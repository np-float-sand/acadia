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Z:\xls\"/>
    </mc:Choice>
  </mc:AlternateContent>
  <bookViews>
    <workbookView xWindow="828" yWindow="948" windowWidth="10488" windowHeight="6900" tabRatio="824" activeTab="1"/>
  </bookViews>
  <sheets>
    <sheet name="Dates" sheetId="33" r:id="rId1"/>
    <sheet name="Contents" sheetId="41" r:id="rId2"/>
    <sheet name="1tab" sheetId="19" r:id="rId3"/>
    <sheet name="2tab" sheetId="14" r:id="rId4"/>
    <sheet name="3atab" sheetId="39" r:id="rId5"/>
    <sheet name="3btab" sheetId="38" r:id="rId6"/>
    <sheet name="3ctab" sheetId="40" r:id="rId7"/>
    <sheet name="3dtab" sheetId="42" r:id="rId8"/>
    <sheet name="4atab" sheetId="13" r:id="rId9"/>
    <sheet name="4btab" sheetId="35" r:id="rId10"/>
    <sheet name="4ctab" sheetId="30" r:id="rId11"/>
    <sheet name="5atab" sheetId="15" r:id="rId12"/>
    <sheet name="5btab" sheetId="26" r:id="rId13"/>
    <sheet name="6tab" sheetId="20" r:id="rId14"/>
    <sheet name="7atab" sheetId="18" r:id="rId15"/>
    <sheet name="7btab" sheetId="25" r:id="rId16"/>
    <sheet name="7ctab" sheetId="24" r:id="rId17"/>
    <sheet name="7d(1)tab" sheetId="43" r:id="rId18"/>
    <sheet name="7d(2)tab" sheetId="44" r:id="rId19"/>
    <sheet name="8atab" sheetId="45" r:id="rId20"/>
    <sheet name="8btab" sheetId="46" r:id="rId21"/>
    <sheet name="9atab" sheetId="17" r:id="rId22"/>
    <sheet name="9btab" sheetId="31" r:id="rId23"/>
    <sheet name="9ctab" sheetId="37" r:id="rId24"/>
  </sheets>
  <definedNames>
    <definedName name="_Order1" hidden="1">255</definedName>
    <definedName name="_Order2" hidden="1">255</definedName>
    <definedName name="_Regression_Int" localSheetId="2" hidden="1">1</definedName>
    <definedName name="_Regression_Int" localSheetId="3" hidden="1">1</definedName>
    <definedName name="_Regression_Int" localSheetId="8" hidden="1">1</definedName>
    <definedName name="_Regression_Int" localSheetId="10" hidden="1">1</definedName>
    <definedName name="_Regression_Int" localSheetId="11" hidden="1">1</definedName>
    <definedName name="_Regression_Int" localSheetId="12" hidden="1">1</definedName>
    <definedName name="_Regression_Int" localSheetId="13" hidden="1">1</definedName>
    <definedName name="_Regression_Int" localSheetId="14" hidden="1">1</definedName>
    <definedName name="_Regression_Int" localSheetId="15" hidden="1">1</definedName>
    <definedName name="_Regression_Int" localSheetId="16" hidden="1">1</definedName>
    <definedName name="_Regression_Int" localSheetId="17" hidden="1">1</definedName>
    <definedName name="_Regression_Int" localSheetId="18" hidden="1">1</definedName>
    <definedName name="_Regression_Int" localSheetId="21" hidden="1">1</definedName>
    <definedName name="_Regression_Int" localSheetId="22" hidden="1">1</definedName>
    <definedName name="HTML_CodePage" hidden="1">1252</definedName>
    <definedName name="HTML_Description" hidden="1">""</definedName>
    <definedName name="HTML_Email" hidden="1">""</definedName>
    <definedName name="HTML_Header" localSheetId="3" hidden="1">"US_PRICE"</definedName>
    <definedName name="HTML_Header" localSheetId="13" hidden="1">"US_COAL"</definedName>
    <definedName name="HTML_Header" hidden="1">""</definedName>
    <definedName name="HTML_LastUpdate" localSheetId="3" hidden="1">"5/28/98"</definedName>
    <definedName name="HTML_LastUpdate" localSheetId="13" hidden="1">"5/15/98"</definedName>
    <definedName name="HTML_LastUpdate" hidden="1">"6/2/98"</definedName>
    <definedName name="HTML_LineAfter" hidden="1">FALSE</definedName>
    <definedName name="HTML_LineBefore" hidden="1">FALSE</definedName>
    <definedName name="HTML_Name" hidden="1">"Arti Choxi -"</definedName>
    <definedName name="HTML_OBDlg2" hidden="1">TRUE</definedName>
    <definedName name="HTML_OBDlg4" hidden="1">TRUE</definedName>
    <definedName name="HTML_OS" hidden="1">0</definedName>
    <definedName name="HTML_PathFile" localSheetId="3" hidden="1">"H:\PRJ\STEO_NEW\MyHTML.htm"</definedName>
    <definedName name="HTML_PathFile" localSheetId="13" hidden="1">"H:\PRJ\STEO_NEW\9tabb.htm"</definedName>
    <definedName name="HTML_PathFile" hidden="1">"H:\PRJ\STEO_NEW\5TABB.htm"</definedName>
    <definedName name="HTML_Title" localSheetId="3" hidden="1">"us_price"</definedName>
    <definedName name="HTML_Title" localSheetId="13" hidden="1">"Us_coal"</definedName>
    <definedName name="HTML_Title" hidden="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2">'1tab'!$B$1:$AL$70</definedName>
    <definedName name="_xlnm.Print_Area" localSheetId="3">'2tab'!$B$1:$AL$40</definedName>
    <definedName name="_xlnm.Print_Area" localSheetId="4">'3atab'!$B$1:$AL$47</definedName>
    <definedName name="_xlnm.Print_Area" localSheetId="5">'3btab'!$B$1:$AL$52</definedName>
    <definedName name="_xlnm.Print_Area" localSheetId="6">'3ctab'!$B$1:$AL$36</definedName>
    <definedName name="_xlnm.Print_Area" localSheetId="7">'3dtab'!$B$1:$BV$43</definedName>
    <definedName name="_xlnm.Print_Area" localSheetId="8">'4atab'!$B$1:$AL$63</definedName>
    <definedName name="_xlnm.Print_Area" localSheetId="9">'4btab'!$B$1:$AL$66</definedName>
    <definedName name="_xlnm.Print_Area" localSheetId="10">'4ctab'!$B$1:$AL$28</definedName>
    <definedName name="_xlnm.Print_Area" localSheetId="11">'5atab'!$B$1:$AL$39</definedName>
    <definedName name="_xlnm.Print_Area" localSheetId="12">'5btab'!$B$1:$AL$40</definedName>
    <definedName name="_xlnm.Print_Area" localSheetId="13">'6tab'!$B$1:$AL$46</definedName>
    <definedName name="_xlnm.Print_Area" localSheetId="14">'7atab'!$B$1:$AL$52</definedName>
    <definedName name="_xlnm.Print_Area" localSheetId="15">'7btab'!$B$1:$AL$53</definedName>
    <definedName name="_xlnm.Print_Area" localSheetId="16">'7ctab'!$B$1:$AL$49</definedName>
    <definedName name="_xlnm.Print_Area" localSheetId="17">'7d(1)tab'!$B$1:$N$72</definedName>
    <definedName name="_xlnm.Print_Area" localSheetId="18">'7d(2)tab'!$B$1:$N$65</definedName>
    <definedName name="_xlnm.Print_Area" localSheetId="19">'8atab'!$B$1:$N$57</definedName>
    <definedName name="_xlnm.Print_Area" localSheetId="21">'9atab'!$B$1:$AL$63</definedName>
    <definedName name="_xlnm.Print_Area" localSheetId="22">'9btab'!$B$1:$AL$55</definedName>
    <definedName name="_xlnm.Print_Area" localSheetId="23">'9ctab'!$B$1:$AL$48</definedName>
    <definedName name="_xlnm.Print_Area" localSheetId="1">Contents!$A$3:$B$30</definedName>
  </definedNames>
  <calcPr calcId="152511"/>
</workbook>
</file>

<file path=xl/calcChain.xml><?xml version="1.0" encoding="utf-8"?>
<calcChain xmlns="http://schemas.openxmlformats.org/spreadsheetml/2006/main">
  <c r="D7" i="33" l="1"/>
  <c r="B2" i="46" l="1"/>
  <c r="D3" i="33" l="1"/>
  <c r="C3" i="46" s="1"/>
  <c r="O3" i="46" s="1"/>
  <c r="AA3" i="46" s="1"/>
  <c r="AM3" i="46" s="1"/>
  <c r="AY3" i="46" s="1"/>
  <c r="BK3" i="46" s="1"/>
  <c r="B2" i="37" l="1"/>
  <c r="B2" i="31"/>
  <c r="B2" i="17"/>
  <c r="B2" i="45"/>
  <c r="B2" i="44"/>
  <c r="B2" i="43"/>
  <c r="B2" i="24"/>
  <c r="B2" i="25"/>
  <c r="B2" i="18"/>
  <c r="B2" i="20"/>
  <c r="B2" i="26"/>
  <c r="B2" i="15"/>
  <c r="B2" i="30"/>
  <c r="B2" i="35"/>
  <c r="B2" i="13"/>
  <c r="B2" i="42"/>
  <c r="B2" i="40"/>
  <c r="B2" i="38"/>
  <c r="B2" i="39"/>
  <c r="B2" i="14"/>
  <c r="B2" i="19"/>
  <c r="D5" i="33"/>
  <c r="C11" i="33" s="1"/>
  <c r="C3" i="45"/>
  <c r="O3" i="45" s="1"/>
  <c r="AA3" i="45" s="1"/>
  <c r="AM3" i="45" s="1"/>
  <c r="AY3" i="45" s="1"/>
  <c r="BK3" i="45" s="1"/>
  <c r="C3" i="44"/>
  <c r="O3" i="44" s="1"/>
  <c r="AA3" i="44" s="1"/>
  <c r="AM3" i="44" s="1"/>
  <c r="AY3" i="44" s="1"/>
  <c r="BK3" i="44" s="1"/>
  <c r="C3" i="43"/>
  <c r="O3" i="43" s="1"/>
  <c r="AA3" i="43" s="1"/>
  <c r="AM3" i="43" s="1"/>
  <c r="AY3" i="43" s="1"/>
  <c r="BK3" i="43" s="1"/>
  <c r="C3" i="42"/>
  <c r="O3" i="42" s="1"/>
  <c r="AA3" i="42" s="1"/>
  <c r="AM3" i="42" s="1"/>
  <c r="AY3" i="42" s="1"/>
  <c r="BK3" i="42" s="1"/>
  <c r="C3" i="19"/>
  <c r="O3" i="19" s="1"/>
  <c r="AA3" i="19" s="1"/>
  <c r="AM3" i="19" s="1"/>
  <c r="AY3" i="19" s="1"/>
  <c r="BK3" i="19" s="1"/>
  <c r="C3" i="14"/>
  <c r="O3" i="14" s="1"/>
  <c r="AA3" i="14" s="1"/>
  <c r="AM3" i="14" s="1"/>
  <c r="AY3" i="14" s="1"/>
  <c r="BK3" i="14" s="1"/>
  <c r="C3" i="39"/>
  <c r="O3" i="39" s="1"/>
  <c r="AA3" i="39" s="1"/>
  <c r="AM3" i="39" s="1"/>
  <c r="AY3" i="39" s="1"/>
  <c r="BK3" i="39" s="1"/>
  <c r="C3" i="38"/>
  <c r="O3" i="38" s="1"/>
  <c r="AA3" i="38" s="1"/>
  <c r="AM3" i="38" s="1"/>
  <c r="AY3" i="38" s="1"/>
  <c r="BK3" i="38" s="1"/>
  <c r="C3" i="40"/>
  <c r="O3" i="40" s="1"/>
  <c r="AA3" i="40" s="1"/>
  <c r="AM3" i="40" s="1"/>
  <c r="AY3" i="40" s="1"/>
  <c r="BK3" i="40" s="1"/>
  <c r="C3" i="13"/>
  <c r="O3" i="13" s="1"/>
  <c r="AA3" i="13" s="1"/>
  <c r="AM3" i="13" s="1"/>
  <c r="AY3" i="13" s="1"/>
  <c r="BK3" i="13" s="1"/>
  <c r="C3" i="35"/>
  <c r="O3" i="35" s="1"/>
  <c r="AA3" i="35" s="1"/>
  <c r="AM3" i="35" s="1"/>
  <c r="AY3" i="35" s="1"/>
  <c r="BK3" i="35" s="1"/>
  <c r="C3" i="30"/>
  <c r="O3" i="30" s="1"/>
  <c r="AA3" i="30" s="1"/>
  <c r="AM3" i="30" s="1"/>
  <c r="AY3" i="30" s="1"/>
  <c r="BK3" i="30" s="1"/>
  <c r="C3" i="15"/>
  <c r="O3" i="15" s="1"/>
  <c r="AA3" i="15" s="1"/>
  <c r="AM3" i="15" s="1"/>
  <c r="AY3" i="15" s="1"/>
  <c r="BK3" i="15" s="1"/>
  <c r="C3" i="26"/>
  <c r="O3" i="26" s="1"/>
  <c r="AA3" i="26" s="1"/>
  <c r="AM3" i="26" s="1"/>
  <c r="AY3" i="26" s="1"/>
  <c r="BK3" i="26" s="1"/>
  <c r="C3" i="20"/>
  <c r="O3" i="20" s="1"/>
  <c r="AA3" i="20" s="1"/>
  <c r="AM3" i="20" s="1"/>
  <c r="AY3" i="20" s="1"/>
  <c r="BK3" i="20" s="1"/>
  <c r="C3" i="18"/>
  <c r="O3" i="18" s="1"/>
  <c r="AA3" i="18" s="1"/>
  <c r="AM3" i="18" s="1"/>
  <c r="AY3" i="18" s="1"/>
  <c r="BK3" i="18" s="1"/>
  <c r="C3" i="25"/>
  <c r="O3" i="25" s="1"/>
  <c r="AA3" i="25" s="1"/>
  <c r="AM3" i="25" s="1"/>
  <c r="AY3" i="25" s="1"/>
  <c r="BK3" i="25" s="1"/>
  <c r="C3" i="24"/>
  <c r="O3" i="24" s="1"/>
  <c r="AA3" i="24" s="1"/>
  <c r="AM3" i="24" s="1"/>
  <c r="AY3" i="24" s="1"/>
  <c r="BK3" i="24" s="1"/>
  <c r="C3" i="17"/>
  <c r="O3" i="17" s="1"/>
  <c r="AA3" i="17" s="1"/>
  <c r="AM3" i="17" s="1"/>
  <c r="AY3" i="17" s="1"/>
  <c r="BK3" i="17" s="1"/>
  <c r="C3" i="31"/>
  <c r="O3" i="31" s="1"/>
  <c r="AA3" i="31" s="1"/>
  <c r="AM3" i="31" s="1"/>
  <c r="AY3" i="31" s="1"/>
  <c r="BK3" i="31" s="1"/>
  <c r="C3" i="37"/>
  <c r="O3" i="37" s="1"/>
  <c r="AA3" i="37" s="1"/>
  <c r="AM3" i="37" s="1"/>
  <c r="AY3" i="37" s="1"/>
  <c r="BK3" i="37" s="1"/>
  <c r="B6" i="41"/>
  <c r="C13" i="33" l="1"/>
  <c r="D11" i="33"/>
  <c r="E11" i="33" s="1"/>
  <c r="O11" i="33"/>
  <c r="AA11" i="33" l="1"/>
  <c r="E13" i="33"/>
  <c r="D13" i="33"/>
  <c r="O13" i="33"/>
  <c r="P11" i="33"/>
  <c r="F11" i="33"/>
  <c r="AA13" i="33" l="1"/>
  <c r="AB11" i="33"/>
  <c r="AM11" i="33"/>
  <c r="F13" i="33"/>
  <c r="C78" i="43"/>
  <c r="P13" i="33"/>
  <c r="Q11" i="33"/>
  <c r="AB13" i="33"/>
  <c r="G11" i="33"/>
  <c r="AY11" i="33"/>
  <c r="AC11" i="33"/>
  <c r="AN11" i="33" l="1"/>
  <c r="AM13" i="33"/>
  <c r="D78" i="43"/>
  <c r="R11" i="33"/>
  <c r="G13" i="33"/>
  <c r="AY13" i="33"/>
  <c r="AC13" i="33"/>
  <c r="O78" i="43"/>
  <c r="Q13" i="33"/>
  <c r="E78" i="43"/>
  <c r="H11" i="33"/>
  <c r="AA78" i="43"/>
  <c r="AZ11" i="33"/>
  <c r="BK11" i="33"/>
  <c r="AD11" i="33"/>
  <c r="AO11" i="33"/>
  <c r="AN13" i="33" l="1"/>
  <c r="S11" i="33"/>
  <c r="R13" i="33"/>
  <c r="H13" i="33"/>
  <c r="P78" i="43"/>
  <c r="BK13" i="33"/>
  <c r="AZ13" i="33"/>
  <c r="AO13" i="33"/>
  <c r="S13" i="33"/>
  <c r="AD13" i="33"/>
  <c r="F78" i="43"/>
  <c r="I11" i="33"/>
  <c r="AM78" i="43"/>
  <c r="AB78" i="43"/>
  <c r="AE11" i="33"/>
  <c r="AP11" i="33"/>
  <c r="T11" i="33"/>
  <c r="BL11" i="33"/>
  <c r="BA11" i="33"/>
  <c r="I13" i="33" l="1"/>
  <c r="Q78" i="43"/>
  <c r="BL13" i="33"/>
  <c r="T13" i="33"/>
  <c r="AE13" i="33"/>
  <c r="AP13" i="33"/>
  <c r="BA13" i="33"/>
  <c r="J11" i="33"/>
  <c r="G78" i="43"/>
  <c r="AF11" i="33"/>
  <c r="BB11" i="33"/>
  <c r="AC78" i="43"/>
  <c r="U11" i="33"/>
  <c r="BM11" i="33"/>
  <c r="AN78" i="43"/>
  <c r="AQ11" i="33"/>
  <c r="AY78" i="43"/>
  <c r="R78" i="43"/>
  <c r="J13" i="33" l="1"/>
  <c r="AF13" i="33"/>
  <c r="BB13" i="33"/>
  <c r="BM13" i="33"/>
  <c r="AQ13" i="33"/>
  <c r="U13" i="33"/>
  <c r="H78" i="43"/>
  <c r="K11" i="33"/>
  <c r="AD78" i="43"/>
  <c r="AO78" i="43"/>
  <c r="AZ78" i="43"/>
  <c r="BC11" i="33"/>
  <c r="AG11" i="33"/>
  <c r="BN11" i="33"/>
  <c r="AR11" i="33"/>
  <c r="S78" i="43"/>
  <c r="V11" i="33"/>
  <c r="BK78" i="43"/>
  <c r="K13" i="33" l="1"/>
  <c r="V13" i="33"/>
  <c r="AR13" i="33"/>
  <c r="AG13" i="33"/>
  <c r="BN13" i="33"/>
  <c r="BC13" i="33"/>
  <c r="I78" i="43"/>
  <c r="L11" i="33"/>
  <c r="AP78" i="43"/>
  <c r="AS11" i="33"/>
  <c r="BO11" i="33"/>
  <c r="BL78" i="43"/>
  <c r="BA78" i="43"/>
  <c r="T78" i="43"/>
  <c r="AH11" i="33"/>
  <c r="W11" i="33"/>
  <c r="AE78" i="43"/>
  <c r="BD11" i="33"/>
  <c r="L13" i="33" l="1"/>
  <c r="BB78" i="43"/>
  <c r="BO13" i="33"/>
  <c r="BD13" i="33"/>
  <c r="AS13" i="33"/>
  <c r="W13" i="33"/>
  <c r="AH13" i="33"/>
  <c r="M11" i="33"/>
  <c r="J78" i="43"/>
  <c r="AI11" i="33"/>
  <c r="BP11" i="33"/>
  <c r="AF78" i="43"/>
  <c r="U78" i="43"/>
  <c r="X11" i="33"/>
  <c r="BE11" i="33"/>
  <c r="BM78" i="43"/>
  <c r="AQ78" i="43"/>
  <c r="AT11" i="33"/>
  <c r="M13" i="33" l="1"/>
  <c r="AT13" i="33"/>
  <c r="AI13" i="33"/>
  <c r="X13" i="33"/>
  <c r="BP13" i="33"/>
  <c r="BE13" i="33"/>
  <c r="K78" i="43"/>
  <c r="N11" i="33"/>
  <c r="AG78" i="43"/>
  <c r="BQ11" i="33"/>
  <c r="BN78" i="43"/>
  <c r="BF11" i="33"/>
  <c r="AR78" i="43"/>
  <c r="V78" i="43"/>
  <c r="AU11" i="33"/>
  <c r="BC78" i="43"/>
  <c r="Y11" i="33"/>
  <c r="AJ11" i="33"/>
  <c r="AJ13" i="33" l="1"/>
  <c r="BQ13" i="33"/>
  <c r="BF13" i="33"/>
  <c r="AU13" i="33"/>
  <c r="Y13" i="33"/>
  <c r="N13" i="33"/>
  <c r="L78" i="43"/>
  <c r="AV11" i="33"/>
  <c r="AS78" i="43"/>
  <c r="AK11" i="33"/>
  <c r="BR11" i="33"/>
  <c r="AH78" i="43"/>
  <c r="BD78" i="43"/>
  <c r="BO78" i="43"/>
  <c r="Z11" i="33"/>
  <c r="W78" i="43"/>
  <c r="BG11" i="33"/>
  <c r="BR13" i="33" l="1"/>
  <c r="AV13" i="33"/>
  <c r="Z13" i="33"/>
  <c r="AK13" i="33"/>
  <c r="BG13" i="33"/>
  <c r="M78" i="43"/>
  <c r="AT78" i="43"/>
  <c r="BE78" i="43"/>
  <c r="BP78" i="43"/>
  <c r="X78" i="43"/>
  <c r="AI78" i="43"/>
  <c r="BH11" i="33"/>
  <c r="BS11" i="33"/>
  <c r="AL11" i="33"/>
  <c r="AW11" i="33"/>
  <c r="N78" i="43" l="1"/>
  <c r="AW13" i="33"/>
  <c r="BS13" i="33"/>
  <c r="BH13" i="33"/>
  <c r="AL13" i="33"/>
  <c r="BQ78" i="43"/>
  <c r="BF78" i="43"/>
  <c r="AU78" i="43"/>
  <c r="AJ78" i="43"/>
  <c r="Y78" i="43"/>
  <c r="AX11" i="33"/>
  <c r="BT11" i="33"/>
  <c r="BI11" i="33"/>
  <c r="Z78" i="43" l="1"/>
  <c r="BT13" i="33"/>
  <c r="BI13" i="33"/>
  <c r="AX13" i="33"/>
  <c r="AV78" i="43"/>
  <c r="BG78" i="43"/>
  <c r="BR78" i="43"/>
  <c r="AK78" i="43"/>
  <c r="BJ11" i="33"/>
  <c r="BU11" i="33"/>
  <c r="AL78" i="43" l="1"/>
  <c r="BU13" i="33"/>
  <c r="BJ13" i="33"/>
  <c r="AW78" i="43"/>
  <c r="BH78" i="43"/>
  <c r="BS78" i="43"/>
  <c r="BV11" i="33"/>
  <c r="AX78" i="43" l="1"/>
  <c r="BV13" i="33"/>
  <c r="BT78" i="43"/>
  <c r="BI78" i="43"/>
  <c r="BJ78" i="43" l="1"/>
  <c r="BU78" i="43"/>
  <c r="BV78" i="43" l="1"/>
</calcChain>
</file>

<file path=xl/sharedStrings.xml><?xml version="1.0" encoding="utf-8"?>
<sst xmlns="http://schemas.openxmlformats.org/spreadsheetml/2006/main" count="3924" uniqueCount="1430">
  <si>
    <t>(a) Conventional hydroelectric power only.  Hydroelectricity generated by pumped storage is not included in renewable energy.</t>
  </si>
  <si>
    <t>(b) Total highway travel includes gasoline and diesel fuel vehicles.</t>
  </si>
  <si>
    <r>
      <t>Historical data</t>
    </r>
    <r>
      <rPr>
        <sz val="8"/>
        <rFont val="Arial"/>
        <family val="2"/>
      </rPr>
      <t>: Latest data available from U.S. Department of Commerce, Bureau of Economic Analysis; Federal Reserve System, Statistical release G17; Federal Highway Administration;</t>
    </r>
  </si>
  <si>
    <t>and Federal Aviation Administration.</t>
  </si>
  <si>
    <r>
      <t>Historical data</t>
    </r>
    <r>
      <rPr>
        <sz val="8"/>
        <rFont val="Arial"/>
        <family val="2"/>
      </rPr>
      <t>: Latest data available from U.S. Department of Commerce, Bureau of Economic Analysis; Federal Reserve System, Statistical release G17.</t>
    </r>
  </si>
  <si>
    <t>U.S. Cooling Degree-Days</t>
  </si>
  <si>
    <t>ESICUUS</t>
  </si>
  <si>
    <t>ESCMUUS</t>
  </si>
  <si>
    <t xml:space="preserve">   Henry Hub Spot Price</t>
  </si>
  <si>
    <t>Residential Sector</t>
  </si>
  <si>
    <t>Commercial Sector</t>
  </si>
  <si>
    <t>Percent change from prior year</t>
  </si>
  <si>
    <t xml:space="preserve">   Refiner Prices to End Users</t>
  </si>
  <si>
    <t xml:space="preserve">   Refiner Wholesale Price</t>
  </si>
  <si>
    <t xml:space="preserve">   Gasoline Regular Grade Retail Prices Including Taxes</t>
  </si>
  <si>
    <t xml:space="preserve">   Gasoline All Grades Including Taxes</t>
  </si>
  <si>
    <t>Surplus Crude Oil Production Capacity</t>
  </si>
  <si>
    <t>NGNWPUS</t>
  </si>
  <si>
    <t>DKEUDUS</t>
  </si>
  <si>
    <t>Price Indexes</t>
  </si>
  <si>
    <t>Producer Price Index: All Commodities</t>
  </si>
  <si>
    <t>REICBUS</t>
  </si>
  <si>
    <t>OWICBUS</t>
  </si>
  <si>
    <t>WWCCBUS</t>
  </si>
  <si>
    <t>SORCBUS</t>
  </si>
  <si>
    <t>RERCBUS</t>
  </si>
  <si>
    <t>RETCBUS</t>
  </si>
  <si>
    <t>GDPQXUS_PCT</t>
  </si>
  <si>
    <t>GDPDIUS_PCT</t>
  </si>
  <si>
    <t>YD87OUS_PCT</t>
  </si>
  <si>
    <t>ZOMNIUS_PCT</t>
  </si>
  <si>
    <t>Industrial Sector</t>
  </si>
  <si>
    <t>HVTCBUS</t>
  </si>
  <si>
    <t>GETCBUS</t>
  </si>
  <si>
    <t>SOTCBUS</t>
  </si>
  <si>
    <t xml:space="preserve">   Power Generation Fuel Costs (dollars per million Btu)</t>
  </si>
  <si>
    <t>WWTCBUS</t>
  </si>
  <si>
    <t>OWTCBUS</t>
  </si>
  <si>
    <t>Households (Thousands)</t>
  </si>
  <si>
    <t>ZWCD_NEC</t>
  </si>
  <si>
    <t>ZWCD_MAC</t>
  </si>
  <si>
    <t>ZWCD_ENC</t>
  </si>
  <si>
    <t>ZWCD_WNC</t>
  </si>
  <si>
    <t>ZWCD_ESC</t>
  </si>
  <si>
    <t>ZWCD_WSC</t>
  </si>
  <si>
    <t>EOTCBUS</t>
  </si>
  <si>
    <t>BDTCBUS</t>
  </si>
  <si>
    <t>ZWCD_MTN</t>
  </si>
  <si>
    <t>ZWCD_PAC</t>
  </si>
  <si>
    <t>Dry Natural Gas Production</t>
  </si>
  <si>
    <t>Coal Market Indicators</t>
  </si>
  <si>
    <t xml:space="preserve">   Coal Miner Productivity</t>
  </si>
  <si>
    <t xml:space="preserve">   Hydroelectric Power (a) </t>
  </si>
  <si>
    <t>Vehicle Miles Traveled (a)</t>
  </si>
  <si>
    <t>WWICBUS</t>
  </si>
  <si>
    <t xml:space="preserve">   Total Raw Steel Production</t>
  </si>
  <si>
    <t xml:space="preserve">   Cost of Coal to Electric Utilities</t>
  </si>
  <si>
    <t>CLMRHUS</t>
  </si>
  <si>
    <t xml:space="preserve">      (Dollars per million Btu)</t>
  </si>
  <si>
    <t xml:space="preserve">      (Tons per hour)</t>
  </si>
  <si>
    <t xml:space="preserve">      (Million short tons per day)</t>
  </si>
  <si>
    <t>CLSOPUS</t>
  </si>
  <si>
    <t>CLSKPUS</t>
  </si>
  <si>
    <t>CLPS_EP</t>
  </si>
  <si>
    <t xml:space="preserve">      Electric Power Sector</t>
  </si>
  <si>
    <t xml:space="preserve">      Retail and General Industry</t>
  </si>
  <si>
    <t>GECCBUS</t>
  </si>
  <si>
    <t>GEECBUS</t>
  </si>
  <si>
    <t>ZWHD_NEC</t>
  </si>
  <si>
    <t>Table 5b. U.S. Regional Natural Gas Prices</t>
  </si>
  <si>
    <t>ZWHD_MAC</t>
  </si>
  <si>
    <t>ZWHD_ENC</t>
  </si>
  <si>
    <t>ZWHD_WNC</t>
  </si>
  <si>
    <t>ZWHD_ESC</t>
  </si>
  <si>
    <t>ZWHD_WSC</t>
  </si>
  <si>
    <t>ZWHD_MTN</t>
  </si>
  <si>
    <t>ZWHD_PAC</t>
  </si>
  <si>
    <t>RFPS_EP</t>
  </si>
  <si>
    <t>DKPS_EP</t>
  </si>
  <si>
    <t xml:space="preserve">   Residual Fuel (mmb)</t>
  </si>
  <si>
    <t xml:space="preserve">   Distillate Fuel (mmb)</t>
  </si>
  <si>
    <t xml:space="preserve">   Coal (mmst)</t>
  </si>
  <si>
    <t>Total non-OPEC liquids</t>
  </si>
  <si>
    <t xml:space="preserve">      OPEC Total</t>
  </si>
  <si>
    <t>Total OPEC Supply</t>
  </si>
  <si>
    <t xml:space="preserve">   Coal</t>
  </si>
  <si>
    <t xml:space="preserve">   Natural Gas</t>
  </si>
  <si>
    <t xml:space="preserve">   Other Gases</t>
  </si>
  <si>
    <t xml:space="preserve">   Nuclear</t>
  </si>
  <si>
    <t xml:space="preserve">      Geothermal</t>
  </si>
  <si>
    <t xml:space="preserve">      Wind</t>
  </si>
  <si>
    <t>(million barrels per day)</t>
  </si>
  <si>
    <t>Wholesale/Spot</t>
  </si>
  <si>
    <t>End-of-period Fuel Inventories Held by Electric Power Sector</t>
  </si>
  <si>
    <t>(d) Primary stocks are held at the mines and distribution points.</t>
  </si>
  <si>
    <t xml:space="preserve">   Secondary Inventories</t>
  </si>
  <si>
    <t>(billion cubic feet per day)</t>
  </si>
  <si>
    <t xml:space="preserve">   Brent Spot Average</t>
  </si>
  <si>
    <t>BREPUUS</t>
  </si>
  <si>
    <t>(billion kilowatt hours per day)</t>
  </si>
  <si>
    <t>(quadrillion Btu)</t>
  </si>
  <si>
    <t>WNTCBUS</t>
  </si>
  <si>
    <t>WNECBUS</t>
  </si>
  <si>
    <r>
      <t>Table 9a.  U.S. Macroeconomic Indicators and CO</t>
    </r>
    <r>
      <rPr>
        <u/>
        <vertAlign val="subscript"/>
        <sz val="10"/>
        <color indexed="12"/>
        <rFont val="Arial"/>
        <family val="2"/>
      </rPr>
      <t>2</t>
    </r>
    <r>
      <rPr>
        <u/>
        <sz val="10"/>
        <color indexed="12"/>
        <rFont val="Arial"/>
        <family val="2"/>
      </rPr>
      <t xml:space="preserve"> Emissions </t>
    </r>
  </si>
  <si>
    <t>(dollars per barrel)</t>
  </si>
  <si>
    <t>(dollars per million Btu)</t>
  </si>
  <si>
    <t xml:space="preserve">Table Beginning Year--- </t>
  </si>
  <si>
    <t>Crude Oil Production (a)</t>
  </si>
  <si>
    <t>Coal (b)</t>
  </si>
  <si>
    <r>
      <t xml:space="preserve">Crude Oil </t>
    </r>
    <r>
      <rPr>
        <sz val="8"/>
        <color indexed="8"/>
        <rFont val="Arial"/>
        <family val="2"/>
      </rPr>
      <t>(dollars per barrel)</t>
    </r>
  </si>
  <si>
    <r>
      <t xml:space="preserve">   Power Generation Fuel Costs </t>
    </r>
    <r>
      <rPr>
        <sz val="8"/>
        <color indexed="8"/>
        <rFont val="Arial"/>
        <family val="2"/>
      </rPr>
      <t>(dollars per million Btu)</t>
    </r>
  </si>
  <si>
    <t xml:space="preserve">      No. 6 Residual Fuel Oil (a)</t>
  </si>
  <si>
    <t xml:space="preserve">         Fuel Ethanol Production</t>
  </si>
  <si>
    <t xml:space="preserve">   Total Commercial Inventory</t>
  </si>
  <si>
    <t xml:space="preserve">   Commercial Inventory</t>
  </si>
  <si>
    <t xml:space="preserve">         U.S. Total</t>
  </si>
  <si>
    <t xml:space="preserve">   Total Gasoline Inventories</t>
  </si>
  <si>
    <t xml:space="preserve">   Finished Gasoline Inventories</t>
  </si>
  <si>
    <t xml:space="preserve">   Gasoline Blending Components Inventories</t>
  </si>
  <si>
    <t xml:space="preserve">      Lower 48 States (excl GOM)</t>
  </si>
  <si>
    <t xml:space="preserve">         Lower 48 States (excl GOM)</t>
  </si>
  <si>
    <t xml:space="preserve">      Domestic Production (a)</t>
  </si>
  <si>
    <t xml:space="preserve">      Crude Oil Net Imports (c)</t>
  </si>
  <si>
    <t xml:space="preserve">      Crude Oil Adjustment (d)</t>
  </si>
  <si>
    <t xml:space="preserve">      Product Net Imports (c)</t>
  </si>
  <si>
    <t xml:space="preserve">      Product Inventory Net Withdrawals</t>
  </si>
  <si>
    <t xml:space="preserve">      SPR Net Withdrawals</t>
  </si>
  <si>
    <t xml:space="preserve">      Federal GOM (a)</t>
  </si>
  <si>
    <t xml:space="preserve">   Henry Hub Spot (dollars per million Btu) </t>
  </si>
  <si>
    <t>Energy Prices</t>
  </si>
  <si>
    <t>Prices (cents per gallon)</t>
  </si>
  <si>
    <t>Prices are not adjusted for inflation.</t>
  </si>
  <si>
    <t>Prices</t>
  </si>
  <si>
    <t xml:space="preserve">   Henry Hub Spot (dollars per thousand cubic feet)</t>
  </si>
  <si>
    <r>
      <t>Natural Gas</t>
    </r>
    <r>
      <rPr>
        <sz val="8"/>
        <color indexed="8"/>
        <rFont val="Arial"/>
        <family val="2"/>
      </rPr>
      <t/>
    </r>
  </si>
  <si>
    <t>NGHHUUS</t>
  </si>
  <si>
    <t>Balancing Item (b)</t>
  </si>
  <si>
    <t xml:space="preserve">   Electric Power (c)</t>
  </si>
  <si>
    <t xml:space="preserve">   Waste Coal (a)</t>
  </si>
  <si>
    <t>ZWHD_NEC_10YR</t>
  </si>
  <si>
    <t>ZWHD_MAC_10YR</t>
  </si>
  <si>
    <t>ZWHD_ENC_10YR</t>
  </si>
  <si>
    <t>ZWHD_WNC_10YR</t>
  </si>
  <si>
    <t>ZWHD_SAC_10YR</t>
  </si>
  <si>
    <t>ZWHD_ESC_10YR</t>
  </si>
  <si>
    <t>ZWHD_WSC_10YR</t>
  </si>
  <si>
    <t>ZWHD_MTN_10YR</t>
  </si>
  <si>
    <t>ZWHD_PAC_10YR</t>
  </si>
  <si>
    <t>ZWHD_US_10YR</t>
  </si>
  <si>
    <t>ZWCD_NEC_10YR</t>
  </si>
  <si>
    <t>ZWCD_MAC_10YR</t>
  </si>
  <si>
    <t>ZWCD_ENC_10YR</t>
  </si>
  <si>
    <t>ZWCD_WNC_10YR</t>
  </si>
  <si>
    <t>ZWCD_SAC_10YR</t>
  </si>
  <si>
    <t>ZWCD_ESC_10YR</t>
  </si>
  <si>
    <t>ZWCD_WSC_10YR</t>
  </si>
  <si>
    <t>ZWCD_MTN_10YR</t>
  </si>
  <si>
    <t>ZWCD_PAC_10YR</t>
  </si>
  <si>
    <t>ZWCD_US_10YR</t>
  </si>
  <si>
    <t>Heating Degree Days</t>
  </si>
  <si>
    <t>Heating Degree Days, Prior 10-year Average</t>
  </si>
  <si>
    <t>Cooling Degree Days</t>
  </si>
  <si>
    <t>Cooling Degree Days, Prior 10-year Average</t>
  </si>
  <si>
    <r>
      <t xml:space="preserve">See </t>
    </r>
    <r>
      <rPr>
        <i/>
        <sz val="8"/>
        <rFont val="Arial"/>
        <family val="2"/>
      </rPr>
      <t>Change in Regional and U.S. Degree-Day Calculations</t>
    </r>
    <r>
      <rPr>
        <sz val="8"/>
        <rFont val="Arial"/>
        <family val="2"/>
      </rPr>
      <t xml:space="preserve"> (http://www.eia.gov/forecasts/steo/special/pdf/2012_sp_04.pdf) for more information.</t>
    </r>
  </si>
  <si>
    <t>Regions refer to U.S. Census divisions.  See "Census division" in EIA’s Energy Glossary (http://www.eia.gov/tools/glossary/) for a list of states in each region.</t>
  </si>
  <si>
    <r>
      <t>Historical data</t>
    </r>
    <r>
      <rPr>
        <sz val="8"/>
        <rFont val="Arial"/>
        <family val="2"/>
      </rPr>
      <t>: Latest data available from U.S. Department of Commerce, National Oceanic and Atmospheric Association (NOAA).</t>
    </r>
  </si>
  <si>
    <r>
      <t xml:space="preserve">Projections: </t>
    </r>
    <r>
      <rPr>
        <sz val="8"/>
        <rFont val="Arial"/>
        <family val="2"/>
      </rPr>
      <t>Based on forecasts by the NOAA Climate Prediction Center (http://www.cpc.ncep.noaa.gov/pacdir/DDdir/NHOME3.shtml).</t>
    </r>
  </si>
  <si>
    <r>
      <t>Notes:</t>
    </r>
    <r>
      <rPr>
        <sz val="8"/>
        <rFont val="Arial"/>
        <family val="2"/>
      </rPr>
      <t xml:space="preserve"> Regional degree days for each period are calculated by EIA as contemporaneous period population-weighted averages of</t>
    </r>
  </si>
  <si>
    <t>state degree day data published by the National Oceanic and Atmospheric Administration (NOAA).</t>
  </si>
  <si>
    <t xml:space="preserve">   Electric Power Sector (b)</t>
  </si>
  <si>
    <t>Discrepancy (c)</t>
  </si>
  <si>
    <t xml:space="preserve">   Total Crude Oil Input to Refineries</t>
  </si>
  <si>
    <t xml:space="preserve">         Distillate Fuel Oil</t>
  </si>
  <si>
    <t xml:space="preserve">         Jet Fuel</t>
  </si>
  <si>
    <t xml:space="preserve">         Residual Fuel Oil</t>
  </si>
  <si>
    <t>MGNIPUS</t>
  </si>
  <si>
    <t>MBNIPUS</t>
  </si>
  <si>
    <t>JFNIPUS</t>
  </si>
  <si>
    <t>DFNIPUS</t>
  </si>
  <si>
    <t>RFNIPUS</t>
  </si>
  <si>
    <t>UONIPUS</t>
  </si>
  <si>
    <t xml:space="preserve">         Unfinished Oils</t>
  </si>
  <si>
    <t>PPNIPUS</t>
  </si>
  <si>
    <t>Natural gas Henry Hub spot price from Reuter's News Service (http://www.reuters.com).</t>
  </si>
  <si>
    <t xml:space="preserve">         Other HC/Oxygenates</t>
  </si>
  <si>
    <t>OHNIPUS</t>
  </si>
  <si>
    <t>PSNIPUS</t>
  </si>
  <si>
    <t xml:space="preserve">   Average residential electricity</t>
  </si>
  <si>
    <t>EXRCH_US</t>
  </si>
  <si>
    <t xml:space="preserve">   usage per customer (kWh)</t>
  </si>
  <si>
    <t xml:space="preserve">   Total Consumption</t>
  </si>
  <si>
    <t xml:space="preserve">   Primary Inventories (d)</t>
  </si>
  <si>
    <t xml:space="preserve">   Retail and Other Industry</t>
  </si>
  <si>
    <t>ESTCU_NEC</t>
  </si>
  <si>
    <t>ESTCU_MAC</t>
  </si>
  <si>
    <t>ESTCU_ENC</t>
  </si>
  <si>
    <t>ESTCU_WNC</t>
  </si>
  <si>
    <t>ESTCU_SAC</t>
  </si>
  <si>
    <t>ESTCU_ESC</t>
  </si>
  <si>
    <t>ESTCU_WSC</t>
  </si>
  <si>
    <t>ESTCU_MTN</t>
  </si>
  <si>
    <t>ESTCU_PAC</t>
  </si>
  <si>
    <t>ESTCU_US</t>
  </si>
  <si>
    <t>CLSHPUS</t>
  </si>
  <si>
    <t xml:space="preserve">      Commercial &amp; Institutional …………</t>
  </si>
  <si>
    <t>CLPRPUS_TON</t>
  </si>
  <si>
    <t>CLPRPAR_TON</t>
  </si>
  <si>
    <t>CLPRPIR_TON</t>
  </si>
  <si>
    <t>CLPRPWR_TON</t>
  </si>
  <si>
    <t>CLSD_DRAW_TON</t>
  </si>
  <si>
    <t>CLIMPUS_TON</t>
  </si>
  <si>
    <t>CLEXPUS_TON</t>
  </si>
  <si>
    <t>CLEXPMC_TON</t>
  </si>
  <si>
    <t>CLEXPSC_TON</t>
  </si>
  <si>
    <t>CLNSPUS_TON</t>
  </si>
  <si>
    <t>CLST_DRAW_TON</t>
  </si>
  <si>
    <t>CLWCPUS_TON</t>
  </si>
  <si>
    <t>CLTSPUS_TON</t>
  </si>
  <si>
    <t>CLKCPUS_TON</t>
  </si>
  <si>
    <t>CLEPCON_TON</t>
  </si>
  <si>
    <t>CLZCPUS_TON</t>
  </si>
  <si>
    <t>CLHCPUS_TON</t>
  </si>
  <si>
    <t>CLYCPUS_TON</t>
  </si>
  <si>
    <t>CLTCPUS_TON</t>
  </si>
  <si>
    <t>CLAJPUS_TON</t>
  </si>
  <si>
    <t>Supply (million short tons)</t>
  </si>
  <si>
    <t>Consumption (million short tons)</t>
  </si>
  <si>
    <t xml:space="preserve">   Total World Consumption</t>
  </si>
  <si>
    <t>REECBUS</t>
  </si>
  <si>
    <t>RECCBUS</t>
  </si>
  <si>
    <t>Forecast Month -</t>
  </si>
  <si>
    <t>Domestic Tables:</t>
  </si>
  <si>
    <t>Renewables (c)</t>
  </si>
  <si>
    <t>Total Energy Consumption (d)</t>
  </si>
  <si>
    <t xml:space="preserve">   Retail Prices Including Taxes</t>
  </si>
  <si>
    <t xml:space="preserve">      Gasoline Regular Grade (b)</t>
  </si>
  <si>
    <t xml:space="preserve">      Gasoline All Grades (b)</t>
  </si>
  <si>
    <t>Column</t>
  </si>
  <si>
    <t xml:space="preserve">         Federal Gulf of Mexico (b)</t>
  </si>
  <si>
    <t>North America</t>
  </si>
  <si>
    <t xml:space="preserve">Table 1.  U.S. Energy Markets Summary </t>
  </si>
  <si>
    <t>Table 4c. U.S. Regional Gasoline Prices and Inventories</t>
  </si>
  <si>
    <t>Table 5a.  U.S. Natural Gas Supply, Consumption, and Inventories</t>
  </si>
  <si>
    <t>Table 6.  U.S. Coal Supply, Consumption, and Inventories</t>
  </si>
  <si>
    <t>Table 9b. U.S. Regional Macroeconomic Data</t>
  </si>
  <si>
    <t>Table 9c. U.S. Regional Weather Data</t>
  </si>
  <si>
    <t xml:space="preserve">      Coke Plants</t>
  </si>
  <si>
    <r>
      <t>Total All Sectors</t>
    </r>
    <r>
      <rPr>
        <sz val="8"/>
        <rFont val="Arial"/>
        <family val="2"/>
      </rPr>
      <t xml:space="preserve"> (a)</t>
    </r>
  </si>
  <si>
    <t xml:space="preserve">   Pacific contiguous</t>
  </si>
  <si>
    <t xml:space="preserve">   AK and HI</t>
  </si>
  <si>
    <r>
      <t>All Sectors</t>
    </r>
    <r>
      <rPr>
        <sz val="8"/>
        <rFont val="Arial"/>
        <family val="2"/>
      </rPr>
      <t xml:space="preserve"> (a)</t>
    </r>
  </si>
  <si>
    <t xml:space="preserve">   OECD</t>
  </si>
  <si>
    <t xml:space="preserve">      U.S. (50 States)</t>
  </si>
  <si>
    <t>papr_CA</t>
  </si>
  <si>
    <t>papr_MX</t>
  </si>
  <si>
    <t>papr_US</t>
  </si>
  <si>
    <t>papr_AR</t>
  </si>
  <si>
    <t>papr_BR</t>
  </si>
  <si>
    <t>papr_CO</t>
  </si>
  <si>
    <t>papr_OLA</t>
  </si>
  <si>
    <t>papr_NO</t>
  </si>
  <si>
    <t>papr_AJ</t>
  </si>
  <si>
    <t>papr_KZ</t>
  </si>
  <si>
    <t>papr_RS</t>
  </si>
  <si>
    <t>papr_MU</t>
  </si>
  <si>
    <t>papr_AS</t>
  </si>
  <si>
    <t>papr_CH</t>
  </si>
  <si>
    <t>papr_IN</t>
  </si>
  <si>
    <t>papr_MY</t>
  </si>
  <si>
    <t>papr_VM</t>
  </si>
  <si>
    <t>papr_EG</t>
  </si>
  <si>
    <t>CXTCCO2</t>
  </si>
  <si>
    <t xml:space="preserve">      U.S. Territories</t>
  </si>
  <si>
    <t xml:space="preserve">      Canada</t>
  </si>
  <si>
    <t xml:space="preserve">      Europe</t>
  </si>
  <si>
    <t xml:space="preserve">      Japan</t>
  </si>
  <si>
    <t xml:space="preserve">      Other OECD</t>
  </si>
  <si>
    <t xml:space="preserve">   Non-OECD</t>
  </si>
  <si>
    <t xml:space="preserve">      Former Soviet Union</t>
  </si>
  <si>
    <t xml:space="preserve">      China</t>
  </si>
  <si>
    <t xml:space="preserve">      Other Asia</t>
  </si>
  <si>
    <t xml:space="preserve">      Other Non-OECD</t>
  </si>
  <si>
    <t xml:space="preserve">      Mexico</t>
  </si>
  <si>
    <t xml:space="preserve">         Crude Oil Portion</t>
  </si>
  <si>
    <t>patc_us</t>
  </si>
  <si>
    <t>patc_ust</t>
  </si>
  <si>
    <t>patc_ca</t>
  </si>
  <si>
    <t>patc_oecd_europe</t>
  </si>
  <si>
    <t>patc_ja</t>
  </si>
  <si>
    <t>patc_other_oecd</t>
  </si>
  <si>
    <t>patc_oecd</t>
  </si>
  <si>
    <t>patc_fsu</t>
  </si>
  <si>
    <t>patc_nonoecd_europe</t>
  </si>
  <si>
    <t>patc_ch</t>
  </si>
  <si>
    <t>patc_other_asia</t>
  </si>
  <si>
    <t>patc_other_nonoecd</t>
  </si>
  <si>
    <t>patc_non_oecd</t>
  </si>
  <si>
    <t>patc_world</t>
  </si>
  <si>
    <t>papr_us</t>
  </si>
  <si>
    <t>papr_ca</t>
  </si>
  <si>
    <t>papr_mx</t>
  </si>
  <si>
    <t>papr_otheroecd</t>
  </si>
  <si>
    <t>papr_oecd</t>
  </si>
  <si>
    <t>papr_opec</t>
  </si>
  <si>
    <t>copr_opec</t>
  </si>
  <si>
    <t>papr_fsu</t>
  </si>
  <si>
    <t>papr_ch</t>
  </si>
  <si>
    <t>papr_other_nonoecd</t>
  </si>
  <si>
    <t>papr_nonoecd</t>
  </si>
  <si>
    <t>papr_world</t>
  </si>
  <si>
    <t xml:space="preserve">   U.S. Commercial Inventory</t>
  </si>
  <si>
    <t>World Real Gross Domestic Product (a)</t>
  </si>
  <si>
    <t xml:space="preserve">   OECD Commercial Inventory</t>
  </si>
  <si>
    <t>pasc_oecd_t3</t>
  </si>
  <si>
    <t>t3_stchange_us</t>
  </si>
  <si>
    <t>t3_stchange_ooecd</t>
  </si>
  <si>
    <t>t3_stchange_noecd</t>
  </si>
  <si>
    <t>t3_stchange_world</t>
  </si>
  <si>
    <t>Crude Oil</t>
  </si>
  <si>
    <t xml:space="preserve">   Algeria</t>
  </si>
  <si>
    <t xml:space="preserve">   Iran</t>
  </si>
  <si>
    <t xml:space="preserve">   Kuwait</t>
  </si>
  <si>
    <t xml:space="preserve">   Libya</t>
  </si>
  <si>
    <t xml:space="preserve">   Nigeria</t>
  </si>
  <si>
    <t xml:space="preserve">   Saudi Arabia</t>
  </si>
  <si>
    <t xml:space="preserve">   United Arab Emirates</t>
  </si>
  <si>
    <t xml:space="preserve">   Venezuela</t>
  </si>
  <si>
    <t xml:space="preserve">   Angola</t>
  </si>
  <si>
    <t xml:space="preserve">   Iraq</t>
  </si>
  <si>
    <t>Crude Oil Production Capacity</t>
  </si>
  <si>
    <t>copr_ku</t>
  </si>
  <si>
    <t>copr_ly</t>
  </si>
  <si>
    <t>copr_ni</t>
  </si>
  <si>
    <t>copr_sa</t>
  </si>
  <si>
    <t>copr_tc</t>
  </si>
  <si>
    <t>copr_ve</t>
  </si>
  <si>
    <t>copr_ao</t>
  </si>
  <si>
    <t>copr_iz</t>
  </si>
  <si>
    <t>ZWCD_SAC</t>
  </si>
  <si>
    <t>ZWHD_SAC</t>
  </si>
  <si>
    <t>Australia</t>
  </si>
  <si>
    <t>China</t>
  </si>
  <si>
    <t>India</t>
  </si>
  <si>
    <t>Malaysia</t>
  </si>
  <si>
    <t>Vietnam</t>
  </si>
  <si>
    <t>Canada</t>
  </si>
  <si>
    <t>Mexico</t>
  </si>
  <si>
    <t>United States</t>
  </si>
  <si>
    <t>Argentina</t>
  </si>
  <si>
    <t>Brazil</t>
  </si>
  <si>
    <t>Colombia</t>
  </si>
  <si>
    <t>Other Central and S. America</t>
  </si>
  <si>
    <t>Norway</t>
  </si>
  <si>
    <t>t3b_papr_r03</t>
  </si>
  <si>
    <t xml:space="preserve">   Losses and Unaccounted for (c) </t>
  </si>
  <si>
    <t xml:space="preserve">   Direct Use (d)</t>
  </si>
  <si>
    <t xml:space="preserve">   Renewable Energy Sources:</t>
  </si>
  <si>
    <t xml:space="preserve">   Total Generation</t>
  </si>
  <si>
    <t xml:space="preserve">      Conventional Hydropower</t>
  </si>
  <si>
    <t xml:space="preserve">   Pumped Storage Hydropower</t>
  </si>
  <si>
    <t>The approximate break between historical and forecast values is shown with historical data printed in bold; estimates and forecasts in italics.</t>
  </si>
  <si>
    <t xml:space="preserve">Electric Power Sector </t>
  </si>
  <si>
    <t xml:space="preserve">      Subtotal </t>
  </si>
  <si>
    <t xml:space="preserve">Industrial Sector </t>
  </si>
  <si>
    <t xml:space="preserve">Commercial Sector </t>
  </si>
  <si>
    <t xml:space="preserve">Residential Sector </t>
  </si>
  <si>
    <t xml:space="preserve">Transportation Sector </t>
  </si>
  <si>
    <t>EOACBUS</t>
  </si>
  <si>
    <t>BFACBUS</t>
  </si>
  <si>
    <t>All Sectors Total</t>
  </si>
  <si>
    <r>
      <t>Notes:</t>
    </r>
    <r>
      <rPr>
        <sz val="8"/>
        <rFont val="Arial"/>
        <family val="2"/>
      </rPr>
      <t xml:space="preserve"> The approximate break between historical and forecast values is shown with historical data printed in bold; estimates and forecasts in italics.</t>
    </r>
  </si>
  <si>
    <r>
      <t>Historical data</t>
    </r>
    <r>
      <rPr>
        <sz val="8"/>
        <rFont val="Arial"/>
        <family val="2"/>
      </rPr>
      <t xml:space="preserve">:  Latest data available from EIA databases supporting the following reports: </t>
    </r>
    <r>
      <rPr>
        <i/>
        <sz val="8"/>
        <rFont val="Arial"/>
        <family val="2"/>
      </rPr>
      <t>Electric Power Monthly</t>
    </r>
    <r>
      <rPr>
        <sz val="8"/>
        <rFont val="Arial"/>
        <family val="2"/>
      </rPr>
      <t xml:space="preserve">, DOE/EIA-0226 and </t>
    </r>
    <r>
      <rPr>
        <i/>
        <sz val="8"/>
        <rFont val="Arial"/>
        <family val="2"/>
      </rPr>
      <t>Renewable Energy Annual</t>
    </r>
    <r>
      <rPr>
        <sz val="8"/>
        <rFont val="Arial"/>
        <family val="2"/>
      </rPr>
      <t xml:space="preserve">, DOE/EIA-0603; </t>
    </r>
    <r>
      <rPr>
        <i/>
        <sz val="8"/>
        <rFont val="Arial"/>
        <family val="2"/>
      </rPr>
      <t>Petroleum Supply Monthly</t>
    </r>
    <r>
      <rPr>
        <sz val="8"/>
        <rFont val="Arial"/>
        <family val="2"/>
      </rPr>
      <t xml:space="preserve">, DOE/EIA-0109. </t>
    </r>
  </si>
  <si>
    <t>Table 8.  U.S. Renewable Energy Consumption (Quadrillion Btu)</t>
  </si>
  <si>
    <t>t3b_papr_r02</t>
  </si>
  <si>
    <t>t3b_papr_r01</t>
  </si>
  <si>
    <t>Azerbaijan</t>
  </si>
  <si>
    <t>Kazakhstan</t>
  </si>
  <si>
    <t>Russia</t>
  </si>
  <si>
    <t>papr_ofsu</t>
  </si>
  <si>
    <t>t3b_papr_r04</t>
  </si>
  <si>
    <t>Oman</t>
  </si>
  <si>
    <t>t3b_papr_r05</t>
  </si>
  <si>
    <t>t3b_papr_r07</t>
  </si>
  <si>
    <t>Egypt</t>
  </si>
  <si>
    <t>t3b_papr_r06</t>
  </si>
  <si>
    <t>opec_nc</t>
  </si>
  <si>
    <t>papr_nonopec</t>
  </si>
  <si>
    <t>papr_nonopec_i_opecnc</t>
  </si>
  <si>
    <t xml:space="preserve">North America </t>
  </si>
  <si>
    <t xml:space="preserve">Central and South America  </t>
  </si>
  <si>
    <t xml:space="preserve">Europe </t>
  </si>
  <si>
    <t xml:space="preserve">Middle East </t>
  </si>
  <si>
    <t xml:space="preserve">Asia and Oceania  </t>
  </si>
  <si>
    <t xml:space="preserve">Africa </t>
  </si>
  <si>
    <t xml:space="preserve">OPEC non-crude liquids  </t>
  </si>
  <si>
    <t xml:space="preserve">Non-OPEC + OPEC non-crude  </t>
  </si>
  <si>
    <t xml:space="preserve">      Jet Fuel</t>
  </si>
  <si>
    <t xml:space="preserve">      Industrial Sector</t>
  </si>
  <si>
    <t xml:space="preserve">      Commercial Sector</t>
  </si>
  <si>
    <t xml:space="preserve">      Residential Sector</t>
  </si>
  <si>
    <t xml:space="preserve">      Coal</t>
  </si>
  <si>
    <t xml:space="preserve">      Natural Gas </t>
  </si>
  <si>
    <t xml:space="preserve">         Alaska</t>
  </si>
  <si>
    <t xml:space="preserve">      Commercial Inventory Net Withdrawals</t>
  </si>
  <si>
    <t xml:space="preserve">      Refinery Processing Gain</t>
  </si>
  <si>
    <t xml:space="preserve">   Total Supply</t>
  </si>
  <si>
    <t xml:space="preserve">      Unfinished Oils</t>
  </si>
  <si>
    <t xml:space="preserve">      Motor Gasoline</t>
  </si>
  <si>
    <t xml:space="preserve">      Distillate Fuel Oil</t>
  </si>
  <si>
    <t xml:space="preserve">      Residual Fuel Oil</t>
  </si>
  <si>
    <t xml:space="preserve">      Crude Oil (excluding SPR)</t>
  </si>
  <si>
    <t xml:space="preserve">      Other HC/Oxygenates</t>
  </si>
  <si>
    <t xml:space="preserve">      Total Motor Gasoline</t>
  </si>
  <si>
    <t xml:space="preserve">         Finished Motor Gasoline</t>
  </si>
  <si>
    <t xml:space="preserve">   Crude Oil in SPR</t>
  </si>
  <si>
    <t xml:space="preserve">   Crude OIl</t>
  </si>
  <si>
    <t xml:space="preserve">   Other Hydrocarbons/Oxygenates</t>
  </si>
  <si>
    <t xml:space="preserve">   Unfinished Oils</t>
  </si>
  <si>
    <t xml:space="preserve">Refinery Processing Gain  </t>
  </si>
  <si>
    <t xml:space="preserve">   Finished Motor Gasoline</t>
  </si>
  <si>
    <t xml:space="preserve">   Jet Fuel</t>
  </si>
  <si>
    <t xml:space="preserve">   Distillate Fuel</t>
  </si>
  <si>
    <t xml:space="preserve">   Residual Fuel</t>
  </si>
  <si>
    <t xml:space="preserve">Refinery Operable Distillation Capacity  </t>
  </si>
  <si>
    <t xml:space="preserve">Refinery Distillation Inputs  </t>
  </si>
  <si>
    <t xml:space="preserve">      U.S. Average</t>
  </si>
  <si>
    <t xml:space="preserve">      PADD 1</t>
  </si>
  <si>
    <t xml:space="preserve">      PADD 2</t>
  </si>
  <si>
    <t xml:space="preserve">      PADD 3</t>
  </si>
  <si>
    <t xml:space="preserve">      PADD 4</t>
  </si>
  <si>
    <t xml:space="preserve">      PADD 5</t>
  </si>
  <si>
    <t xml:space="preserve">  Total Marketed Production</t>
  </si>
  <si>
    <t xml:space="preserve">      Alaska</t>
  </si>
  <si>
    <t xml:space="preserve">   Total Dry Gas Production</t>
  </si>
  <si>
    <t xml:space="preserve">   Supplemental Gaseous Fuels</t>
  </si>
  <si>
    <t xml:space="preserve">   Net Inventory Withdrawals</t>
  </si>
  <si>
    <t>Total Primary Supply</t>
  </si>
  <si>
    <t>Total Supply</t>
  </si>
  <si>
    <t xml:space="preserve">   Residential</t>
  </si>
  <si>
    <t xml:space="preserve">   Commercial</t>
  </si>
  <si>
    <t xml:space="preserve">   Industrial</t>
  </si>
  <si>
    <t xml:space="preserve">   Lease and Plant Fuel</t>
  </si>
  <si>
    <t xml:space="preserve">   Vehicle Use</t>
  </si>
  <si>
    <t xml:space="preserve">   Working Gas Inventory</t>
  </si>
  <si>
    <t xml:space="preserve">   New England</t>
  </si>
  <si>
    <t xml:space="preserve">   E. N. Central</t>
  </si>
  <si>
    <t xml:space="preserve">   W. N. Central</t>
  </si>
  <si>
    <t xml:space="preserve">   S. Atlantic</t>
  </si>
  <si>
    <t xml:space="preserve">   E. S. Central</t>
  </si>
  <si>
    <t xml:space="preserve">   W. S. Central</t>
  </si>
  <si>
    <t xml:space="preserve">   Mountain</t>
  </si>
  <si>
    <t xml:space="preserve">   Pacific</t>
  </si>
  <si>
    <t xml:space="preserve">      Total</t>
  </si>
  <si>
    <t xml:space="preserve">   Production</t>
  </si>
  <si>
    <t xml:space="preserve">      Appalachia</t>
  </si>
  <si>
    <t xml:space="preserve">      Interior</t>
  </si>
  <si>
    <t xml:space="preserve">      Western</t>
  </si>
  <si>
    <t xml:space="preserve">   Primary Inventory Withdrawals</t>
  </si>
  <si>
    <t xml:space="preserve">   Imports</t>
  </si>
  <si>
    <t xml:space="preserve">   Exports</t>
  </si>
  <si>
    <t xml:space="preserve">   Secondary Inventory Withdrawals</t>
  </si>
  <si>
    <t xml:space="preserve">   Coke Plants</t>
  </si>
  <si>
    <t xml:space="preserve">Total Consumption </t>
  </si>
  <si>
    <t xml:space="preserve">   Electricity Generation</t>
  </si>
  <si>
    <t xml:space="preserve">   Net Imports  </t>
  </si>
  <si>
    <t xml:space="preserve">   Retail Sales</t>
  </si>
  <si>
    <t xml:space="preserve">   Total Consumption </t>
  </si>
  <si>
    <t xml:space="preserve">      Natural Gas</t>
  </si>
  <si>
    <t xml:space="preserve">         U.S. Average</t>
  </si>
  <si>
    <t xml:space="preserve">   Geothermal  </t>
  </si>
  <si>
    <t xml:space="preserve">   Wind </t>
  </si>
  <si>
    <t xml:space="preserve">   (millions)</t>
  </si>
  <si>
    <t xml:space="preserve">  (index, 1982-1984=1.00)</t>
  </si>
  <si>
    <t xml:space="preserve">  (index, 1982=1.00)</t>
  </si>
  <si>
    <t xml:space="preserve">  (million miles/day)</t>
  </si>
  <si>
    <t xml:space="preserve">  (index, 1982-1984=100)</t>
  </si>
  <si>
    <t xml:space="preserve">  (million short tons per day)</t>
  </si>
  <si>
    <t xml:space="preserve">   Middle Atlantic</t>
  </si>
  <si>
    <t xml:space="preserve">   South Atlantic</t>
  </si>
  <si>
    <t xml:space="preserve">      U.S. Average </t>
  </si>
  <si>
    <t xml:space="preserve">   West Texas Intermediate Spot Average</t>
  </si>
  <si>
    <t>DFPSPUS</t>
  </si>
  <si>
    <t>Jan</t>
  </si>
  <si>
    <t>Feb</t>
  </si>
  <si>
    <t>Mar</t>
  </si>
  <si>
    <t>Apr</t>
  </si>
  <si>
    <t>May</t>
  </si>
  <si>
    <t>Jun</t>
  </si>
  <si>
    <t>Jul</t>
  </si>
  <si>
    <t>Aug</t>
  </si>
  <si>
    <t>Sep</t>
  </si>
  <si>
    <t>Oct</t>
  </si>
  <si>
    <t>Nov</t>
  </si>
  <si>
    <t>Dec</t>
  </si>
  <si>
    <t>D2RCAUS</t>
  </si>
  <si>
    <t>MGTSPP1</t>
  </si>
  <si>
    <t>MGTSPP2</t>
  </si>
  <si>
    <t>MGTSPP3</t>
  </si>
  <si>
    <t>MGTSPP4</t>
  </si>
  <si>
    <t>MGTSPP5</t>
  </si>
  <si>
    <t>MGTSPUS</t>
  </si>
  <si>
    <t>MGPSPUS</t>
  </si>
  <si>
    <t>MBPSPUS</t>
  </si>
  <si>
    <t xml:space="preserve">   Total World Supply</t>
  </si>
  <si>
    <t xml:space="preserve">   Non-OPEC Supply</t>
  </si>
  <si>
    <t>MGRARP1</t>
  </si>
  <si>
    <t>MGRARP2</t>
  </si>
  <si>
    <t>MGRARP3</t>
  </si>
  <si>
    <t>MGRARP4</t>
  </si>
  <si>
    <t>MGRARP5</t>
  </si>
  <si>
    <t>MGRARUS</t>
  </si>
  <si>
    <t>COPRPUS</t>
  </si>
  <si>
    <t>PAPRPAK</t>
  </si>
  <si>
    <t>PAPRPGLF</t>
  </si>
  <si>
    <t>PAPR48NGOM</t>
  </si>
  <si>
    <t xml:space="preserve"> </t>
  </si>
  <si>
    <t>COUNPUS</t>
  </si>
  <si>
    <t>CORIPUS</t>
  </si>
  <si>
    <t>NLPRPUS</t>
  </si>
  <si>
    <t>PAGLPUS</t>
  </si>
  <si>
    <t>PANIPUS</t>
  </si>
  <si>
    <t>MGTCPUSX</t>
  </si>
  <si>
    <t>JFTCPUS</t>
  </si>
  <si>
    <t>DFTCPUS</t>
  </si>
  <si>
    <t>RFTCPUS</t>
  </si>
  <si>
    <t>PATCPUSX</t>
  </si>
  <si>
    <t>COSXPUS</t>
  </si>
  <si>
    <t>JFPSPUS</t>
  </si>
  <si>
    <t>RFPSPUS</t>
  </si>
  <si>
    <t>PASXPUS</t>
  </si>
  <si>
    <t>COSQPUS</t>
  </si>
  <si>
    <t>RAIMUUS</t>
  </si>
  <si>
    <t>WTIPUUS</t>
  </si>
  <si>
    <t>MGEIAUS</t>
  </si>
  <si>
    <t>DSRTUUS</t>
  </si>
  <si>
    <t>D2WHUUS</t>
  </si>
  <si>
    <t>RFTCUUS</t>
  </si>
  <si>
    <t>CLEUDUS</t>
  </si>
  <si>
    <t>RFEUDUS</t>
  </si>
  <si>
    <t>NGEUDUS</t>
  </si>
  <si>
    <t>NGRCUUS</t>
  </si>
  <si>
    <t>ESRCUUS</t>
  </si>
  <si>
    <t>NGPRPUS</t>
  </si>
  <si>
    <t>Liquid Fuels</t>
  </si>
  <si>
    <t>Total OECD Liquid Fuels Consumption</t>
  </si>
  <si>
    <t>Total non-OECD Liquid Fuels Consumption</t>
  </si>
  <si>
    <t>Total World Liquid Fuels Consumption</t>
  </si>
  <si>
    <t>NGIMPUS_PIPE</t>
  </si>
  <si>
    <t>NGIMPUS_LNG</t>
  </si>
  <si>
    <t>NGSFPUS</t>
  </si>
  <si>
    <t>NGWGPUS</t>
  </si>
  <si>
    <t>BALIT</t>
  </si>
  <si>
    <t>NGRCPUS</t>
  </si>
  <si>
    <t>NGCCPUS</t>
  </si>
  <si>
    <t>NGLPPUS</t>
  </si>
  <si>
    <t>NGINX</t>
  </si>
  <si>
    <t>NGEPCON</t>
  </si>
  <si>
    <t>NGTCPUS</t>
  </si>
  <si>
    <t>NGACPUS</t>
  </si>
  <si>
    <t xml:space="preserve">   Refiner Prices for Resale</t>
  </si>
  <si>
    <t xml:space="preserve">      Gasoline</t>
  </si>
  <si>
    <t xml:space="preserve">      Heating Oil</t>
  </si>
  <si>
    <t>copc_opec_r05</t>
  </si>
  <si>
    <t xml:space="preserve">   Middle East</t>
  </si>
  <si>
    <t>cops_opec_r05</t>
  </si>
  <si>
    <t xml:space="preserve">      Diesel Fuel</t>
  </si>
  <si>
    <t>NGVHPUS</t>
  </si>
  <si>
    <t>Real Gross Domestic Product</t>
  </si>
  <si>
    <t>GDPQXUS</t>
  </si>
  <si>
    <t>GDP Implicit Price Deflator</t>
  </si>
  <si>
    <t>GDPDIUS</t>
  </si>
  <si>
    <t>Real Disposable Personal Income</t>
  </si>
  <si>
    <t>YD87OUS</t>
  </si>
  <si>
    <t>ZOMNIUS</t>
  </si>
  <si>
    <t>ZWHDPUS</t>
  </si>
  <si>
    <t>copc_opec</t>
  </si>
  <si>
    <t>pasc_us</t>
  </si>
  <si>
    <t xml:space="preserve">   U.S. (50 States)</t>
  </si>
  <si>
    <t xml:space="preserve">   Other OECD</t>
  </si>
  <si>
    <t xml:space="preserve">   Other Stock Draws and Balance</t>
  </si>
  <si>
    <t xml:space="preserve">      Total Stock Draw</t>
  </si>
  <si>
    <t>ZWCDPUS</t>
  </si>
  <si>
    <t>I87RXUS</t>
  </si>
  <si>
    <t>Refinery and Blender Net Inputs</t>
  </si>
  <si>
    <t>Total Refinery and Blender Net Inputs</t>
  </si>
  <si>
    <t>Refinery and Blender Net Production</t>
  </si>
  <si>
    <t>Total Refinery and Blender Net Production</t>
  </si>
  <si>
    <t>Business Inventory Change</t>
  </si>
  <si>
    <t>KRDRXUS</t>
  </si>
  <si>
    <t>WPCPIUS</t>
  </si>
  <si>
    <t>CICPIUS</t>
  </si>
  <si>
    <t>WP57IUS</t>
  </si>
  <si>
    <t>Non-Farm Employment</t>
  </si>
  <si>
    <t>EMNFPUS</t>
  </si>
  <si>
    <t>Total Industrial Production</t>
  </si>
  <si>
    <t>ZOTOIUS</t>
  </si>
  <si>
    <t>Miscellaneous</t>
  </si>
  <si>
    <t>MVVMPUS</t>
  </si>
  <si>
    <t>Air Travel Capacity</t>
  </si>
  <si>
    <t>RMZTPUS</t>
  </si>
  <si>
    <t>Aircraft Utilization</t>
  </si>
  <si>
    <t>RMZZPUS</t>
  </si>
  <si>
    <t>Airline Ticket Price Index</t>
  </si>
  <si>
    <t>ACTKFUS</t>
  </si>
  <si>
    <t>Raw Steel Production</t>
  </si>
  <si>
    <t>RSPRPUS</t>
  </si>
  <si>
    <t>patc_r01</t>
  </si>
  <si>
    <t>patc_mx</t>
  </si>
  <si>
    <t>patc_r02</t>
  </si>
  <si>
    <t>patc_br</t>
  </si>
  <si>
    <t>patc_r03</t>
  </si>
  <si>
    <t>patc_r04</t>
  </si>
  <si>
    <t>patc_rs</t>
  </si>
  <si>
    <t>patc_r05</t>
  </si>
  <si>
    <t>patc_r07</t>
  </si>
  <si>
    <t>Japan</t>
  </si>
  <si>
    <t>patc_in</t>
  </si>
  <si>
    <t>patc_r06</t>
  </si>
  <si>
    <t>rgdpq_world</t>
  </si>
  <si>
    <t>rgdpq_world_pct</t>
  </si>
  <si>
    <t>ESTXPUS</t>
  </si>
  <si>
    <t>Petroleum</t>
  </si>
  <si>
    <t>Natural Gas</t>
  </si>
  <si>
    <t>TETCFUEL</t>
  </si>
  <si>
    <t>GERCBUS</t>
  </si>
  <si>
    <t>GEICBUS</t>
  </si>
  <si>
    <t>HVICBUS</t>
  </si>
  <si>
    <t>WWEPCONB</t>
  </si>
  <si>
    <t>OWEPCONB</t>
  </si>
  <si>
    <t>CLSDPUS</t>
  </si>
  <si>
    <t>CLSTPUS</t>
  </si>
  <si>
    <t>ESRCU_NEC</t>
  </si>
  <si>
    <t>ESRCU_MAC</t>
  </si>
  <si>
    <t>ESRCU_ENC</t>
  </si>
  <si>
    <t>ESRCU_WNC</t>
  </si>
  <si>
    <t>ESRCU_SAC</t>
  </si>
  <si>
    <t>ESRCU_ESC</t>
  </si>
  <si>
    <t>ESRCU_WSC</t>
  </si>
  <si>
    <t>ESRCU_MTN</t>
  </si>
  <si>
    <t>ESRCU_PAC</t>
  </si>
  <si>
    <t>ESRCU_US</t>
  </si>
  <si>
    <t>ESCMU_NEC</t>
  </si>
  <si>
    <t>ESCMU_MAC</t>
  </si>
  <si>
    <t>ESCMU_ENC</t>
  </si>
  <si>
    <t>ESCMU_WNC</t>
  </si>
  <si>
    <t>ESCMU_SAC</t>
  </si>
  <si>
    <t>ESCMU_ESC</t>
  </si>
  <si>
    <t>ESCMU_WSC</t>
  </si>
  <si>
    <t>ESCMU_MTN</t>
  </si>
  <si>
    <t>ESCMU_PAC</t>
  </si>
  <si>
    <t>ESCMU_US</t>
  </si>
  <si>
    <t>ESICU_NEC</t>
  </si>
  <si>
    <t>ESICU_MAC</t>
  </si>
  <si>
    <t>ESICU_ENC</t>
  </si>
  <si>
    <t>ESICU_WNC</t>
  </si>
  <si>
    <t>ESICU_SAC</t>
  </si>
  <si>
    <t>ESICU_ESC</t>
  </si>
  <si>
    <t>ESICU_WSC</t>
  </si>
  <si>
    <t>ESICU_MTN</t>
  </si>
  <si>
    <t>ESICU_PAC</t>
  </si>
  <si>
    <t>ESICU_US</t>
  </si>
  <si>
    <t xml:space="preserve">OECD = Organization for Economic Cooperation and Development: Australia, Austria, Belgium, Canada, Chile, the Czech Republic, Denmark, Estonia, Finland, </t>
  </si>
  <si>
    <t>NGRCU_NEC</t>
  </si>
  <si>
    <t>NGRCU_MAC</t>
  </si>
  <si>
    <t>NGRCU_ENC</t>
  </si>
  <si>
    <t>NGRCU_WNC</t>
  </si>
  <si>
    <t>NGRCU_SAC</t>
  </si>
  <si>
    <t>NGRCU_ESC</t>
  </si>
  <si>
    <t>NGRCU_WSC</t>
  </si>
  <si>
    <t>NGRCU_MTN</t>
  </si>
  <si>
    <t>NGRCU_PAC</t>
  </si>
  <si>
    <t>NGCCU_NEC</t>
  </si>
  <si>
    <t>NGCCU_MAC</t>
  </si>
  <si>
    <t>NGCCU_ENC</t>
  </si>
  <si>
    <t>NGCCU_WNC</t>
  </si>
  <si>
    <t>NGCCU_SAC</t>
  </si>
  <si>
    <t>NGCCU_ESC</t>
  </si>
  <si>
    <t>NGCCU_WSC</t>
  </si>
  <si>
    <t>NGCCU_MTN</t>
  </si>
  <si>
    <t>NGCCU_PAC</t>
  </si>
  <si>
    <t>NGCCUUS</t>
  </si>
  <si>
    <t>NGICU_NEC</t>
  </si>
  <si>
    <t>NGICU_MAC</t>
  </si>
  <si>
    <t>NGICU_ENC</t>
  </si>
  <si>
    <t>NGICU_WNC</t>
  </si>
  <si>
    <t>NGICU_SAC</t>
  </si>
  <si>
    <t>NGICU_ESC</t>
  </si>
  <si>
    <t>NGICU_WSC</t>
  </si>
  <si>
    <t>NGICU_MTN</t>
  </si>
  <si>
    <t>NGICU_PAC</t>
  </si>
  <si>
    <t>NGICUUS</t>
  </si>
  <si>
    <t>Natural gas Henry Hub and WTI crude oil spot prices from Reuter's News Service (http://www.reuters.com).</t>
  </si>
  <si>
    <t xml:space="preserve">         Motor Gasoline Blend Comp.</t>
  </si>
  <si>
    <t xml:space="preserve">Refinery Distillation Utilization Factor </t>
  </si>
  <si>
    <t>End-of-period Inventories (million short tons)</t>
  </si>
  <si>
    <t>Producer Price Index: Petroleum</t>
  </si>
  <si>
    <t xml:space="preserve">      Metallurgical Coal</t>
  </si>
  <si>
    <t xml:space="preserve">      Steam Coal</t>
  </si>
  <si>
    <t xml:space="preserve">      Residential and Commercial</t>
  </si>
  <si>
    <t xml:space="preserve">      Other Industrial</t>
  </si>
  <si>
    <t>CGSP_NEC</t>
  </si>
  <si>
    <t>CGSP_MAC</t>
  </si>
  <si>
    <t>CGSP_ENC</t>
  </si>
  <si>
    <t>CGSP_WNC</t>
  </si>
  <si>
    <t>CGSP_SAC</t>
  </si>
  <si>
    <t>CGSP_ESC</t>
  </si>
  <si>
    <t>CGSP_WSC</t>
  </si>
  <si>
    <t>CGSP_MTN</t>
  </si>
  <si>
    <t>CGSP_PAC</t>
  </si>
  <si>
    <t>IPMFG_NEC</t>
  </si>
  <si>
    <t>IPMFG_MAC</t>
  </si>
  <si>
    <t>IPMFG_ENC</t>
  </si>
  <si>
    <t>IPMFG_WNC</t>
  </si>
  <si>
    <t>IPMFG_SAC</t>
  </si>
  <si>
    <t>IPMFG_ESC</t>
  </si>
  <si>
    <t>IPMFG_WSC</t>
  </si>
  <si>
    <t>IPMFG_MTN</t>
  </si>
  <si>
    <t>IPMFG_PAC</t>
  </si>
  <si>
    <t>CYRPIC_NEC</t>
  </si>
  <si>
    <t>CYRPIC_MAC</t>
  </si>
  <si>
    <t>CYRPIC_ENC</t>
  </si>
  <si>
    <t>CYRPIC_WNC</t>
  </si>
  <si>
    <t>CYRPIC_SAC</t>
  </si>
  <si>
    <t>CYRPIC_ESC</t>
  </si>
  <si>
    <t>CYRPIC_WSC</t>
  </si>
  <si>
    <t>CYRPIC_MTN</t>
  </si>
  <si>
    <t>CYRPIC_PAC</t>
  </si>
  <si>
    <t>QHALLC_NEC</t>
  </si>
  <si>
    <t>QHALLC_MAC</t>
  </si>
  <si>
    <t>QHALLC_ENC</t>
  </si>
  <si>
    <t>QHALLC_WNC</t>
  </si>
  <si>
    <t>QHALLC_SAC</t>
  </si>
  <si>
    <t>QHALLC_ESC</t>
  </si>
  <si>
    <t>QHALLC_WSC</t>
  </si>
  <si>
    <t>QHALLC_MTN</t>
  </si>
  <si>
    <t>QHALLC_PAC</t>
  </si>
  <si>
    <t>Total Non-farm Employment (Millions)</t>
  </si>
  <si>
    <t>EE_NEC</t>
  </si>
  <si>
    <t>EE_MAC</t>
  </si>
  <si>
    <t>EE_ENC</t>
  </si>
  <si>
    <t>EE_WNC</t>
  </si>
  <si>
    <t>EE_SAC</t>
  </si>
  <si>
    <t>EE_ESC</t>
  </si>
  <si>
    <t>EE_WSC</t>
  </si>
  <si>
    <t>EE_MTN</t>
  </si>
  <si>
    <t>EE_PAC</t>
  </si>
  <si>
    <t>WWRCBUS</t>
  </si>
  <si>
    <t>NGHHMCF</t>
  </si>
  <si>
    <t>CONIPUS</t>
  </si>
  <si>
    <t>COSX_DRAW</t>
  </si>
  <si>
    <t>COSQ_DRAW</t>
  </si>
  <si>
    <t xml:space="preserve">   Crude Oil Supply</t>
  </si>
  <si>
    <t xml:space="preserve">   Other Supply</t>
  </si>
  <si>
    <t>PROD_DRAW</t>
  </si>
  <si>
    <t>PPTCPUS</t>
  </si>
  <si>
    <t>UOTCPUS</t>
  </si>
  <si>
    <t>PSTCPUS</t>
  </si>
  <si>
    <t>PAIMPORT</t>
  </si>
  <si>
    <t>PASUPPLY</t>
  </si>
  <si>
    <t>End-of-period Inventories (million barrels)</t>
  </si>
  <si>
    <t>UOPSPUS</t>
  </si>
  <si>
    <t>PPPSPUS</t>
  </si>
  <si>
    <t>OHPSPUS</t>
  </si>
  <si>
    <t>PSPSPUS</t>
  </si>
  <si>
    <t>AAAA_DATEX or AAAA_YEAR</t>
  </si>
  <si>
    <t>HVECBUS</t>
  </si>
  <si>
    <t>SOECBUS</t>
  </si>
  <si>
    <t>PPRIPUS</t>
  </si>
  <si>
    <t>UORIPUS</t>
  </si>
  <si>
    <t>MBRIPUS</t>
  </si>
  <si>
    <t>ABRIPUS</t>
  </si>
  <si>
    <t>PARIPUS</t>
  </si>
  <si>
    <t>MGROPUS</t>
  </si>
  <si>
    <t>JFROPUS</t>
  </si>
  <si>
    <t>DFROPUS</t>
  </si>
  <si>
    <t>RFROPUS</t>
  </si>
  <si>
    <t>PSROPUS</t>
  </si>
  <si>
    <t>PAROPUS</t>
  </si>
  <si>
    <t>ORCAPUS</t>
  </si>
  <si>
    <t>ORUTCUS</t>
  </si>
  <si>
    <t>CODIPUS</t>
  </si>
  <si>
    <t>MGWHUUS</t>
  </si>
  <si>
    <t>Supply (million barrels per day)</t>
  </si>
  <si>
    <t>Consumption (million barrels per day)</t>
  </si>
  <si>
    <t>NGPSUPP</t>
  </si>
  <si>
    <t>NGSUPP</t>
  </si>
  <si>
    <t>NGMPPUS</t>
  </si>
  <si>
    <t>NGMPPAK</t>
  </si>
  <si>
    <t>PATCCO2</t>
  </si>
  <si>
    <t>NGTCCO2</t>
  </si>
  <si>
    <t>NGMPPGLF</t>
  </si>
  <si>
    <t>NGMP48NGOM</t>
  </si>
  <si>
    <t>Supply (billion cubic feet per day)</t>
  </si>
  <si>
    <t>Consumption (billion cubic feet per day)</t>
  </si>
  <si>
    <t>End-of-period Inventories (billion cubic feet)</t>
  </si>
  <si>
    <t>Total Consumption</t>
  </si>
  <si>
    <t>RACPUUS</t>
  </si>
  <si>
    <t>DSWHUUS</t>
  </si>
  <si>
    <t>JKTCUUS</t>
  </si>
  <si>
    <t>EOPRPUS</t>
  </si>
  <si>
    <t>Electricity</t>
  </si>
  <si>
    <t>Coal Production</t>
  </si>
  <si>
    <t xml:space="preserve">Energy Consumption  </t>
  </si>
  <si>
    <t>Energy Supply</t>
  </si>
  <si>
    <t>Coal</t>
  </si>
  <si>
    <t>Macroeconomic</t>
  </si>
  <si>
    <t>Manufacturing Production Index</t>
  </si>
  <si>
    <t>Weather</t>
  </si>
  <si>
    <t>U.S. Heating Degree-Days</t>
  </si>
  <si>
    <t>Table of Contents</t>
  </si>
  <si>
    <t>Table 4c. U.S. Regional Motor Gasoline Prices and Inventories</t>
  </si>
  <si>
    <t>Table 7b. U.S. Regional Electricity Retail Sales</t>
  </si>
  <si>
    <t>Table 7c. U.S. Regional Electricity Prices</t>
  </si>
  <si>
    <t>Supply includes production of crude oil (including lease condensates), natural gas plant liquids, biofuels, other liquids, and refinery processing gains.</t>
  </si>
  <si>
    <t>(a) Supply includes production of crude oil (including lease condensates), natural gas plant liquids, biofuels, other liquids, and refinery processing gains.</t>
  </si>
  <si>
    <t xml:space="preserve">  (Available ton-miles/day, thousands)</t>
  </si>
  <si>
    <t xml:space="preserve">  (Revenue ton-miles/day, thousands)</t>
  </si>
  <si>
    <t>(million short tons)</t>
  </si>
  <si>
    <t>Supply (million barrels per day) (a)</t>
  </si>
  <si>
    <t xml:space="preserve">   Motor Gasoline Blend Components</t>
  </si>
  <si>
    <t xml:space="preserve">   Aviation Gasoline Blend Components</t>
  </si>
  <si>
    <t xml:space="preserve">      On-highway Diesel Fuel</t>
  </si>
  <si>
    <t xml:space="preserve">      Transportation Sector</t>
  </si>
  <si>
    <t>Table 7a.  U.S. Electricity Industry Overview</t>
  </si>
  <si>
    <t>cops_opec</t>
  </si>
  <si>
    <t xml:space="preserve">   Pipeline and Distribution Use</t>
  </si>
  <si>
    <t>- = no data available</t>
  </si>
  <si>
    <t>(a) Includes lease condensate.</t>
  </si>
  <si>
    <t>(b) Total consumption includes Independent Power Producer (IPP) consumption.</t>
  </si>
  <si>
    <t>(c) Renewable energy includes minor components of non-marketed renewable energy that is neither bought nor sold, either directly or indirectly, as inputs to marketed energy.</t>
  </si>
  <si>
    <t>Natural Gas Henry Hub Spot</t>
  </si>
  <si>
    <t>Real Personal Consumption Expend.</t>
  </si>
  <si>
    <t>CONSRUS</t>
  </si>
  <si>
    <t>Civilian Unemployment Rate</t>
  </si>
  <si>
    <t xml:space="preserve">   (percent)</t>
  </si>
  <si>
    <t>XRUNR</t>
  </si>
  <si>
    <t>Housing Starts</t>
  </si>
  <si>
    <t>HSTCXUS</t>
  </si>
  <si>
    <t xml:space="preserve">   (millions - SAAR)</t>
  </si>
  <si>
    <t>SAAR = Seasonally-adjusted annual rate</t>
  </si>
  <si>
    <t>EIA does not estimate or project end-use consumption of non-marketed renewable energy.</t>
  </si>
  <si>
    <t xml:space="preserve">   Waste Biomass (c)</t>
  </si>
  <si>
    <t>(c) Municipal solid waste from biogenic sources, landfill gas, sludge waste, agricultural byproducts, and other biomass.</t>
  </si>
  <si>
    <t xml:space="preserve">(d) The conversion from physical units to Btu is calculated using a subset of conversion factors used in the calculations of gross energy consumption in EIA’s Monthly Energy Review (MER). </t>
  </si>
  <si>
    <t>Consequently, the historical data may not precisely match those published in the MER or the Annual Energy Review (AER).</t>
  </si>
  <si>
    <t xml:space="preserve">   Percent change from prior year</t>
  </si>
  <si>
    <t>rgdpq_oecd</t>
  </si>
  <si>
    <t>rgdpq_oecd_pct</t>
  </si>
  <si>
    <t>rgdpq_nonoecd</t>
  </si>
  <si>
    <t>rgdpq_nonoecd_pct</t>
  </si>
  <si>
    <t>(e) Refers to the refiner average acquisition cost (RAC) of crude oil.</t>
  </si>
  <si>
    <r>
      <t>Notes:</t>
    </r>
    <r>
      <rPr>
        <sz val="8"/>
        <rFont val="Arial"/>
        <family val="2"/>
      </rPr>
      <t xml:space="preserve"> The approximate break between historical and forecast values is shown with historical data printed in bold; estimates and forecasts in italics.</t>
    </r>
  </si>
  <si>
    <r>
      <t>Historical data:</t>
    </r>
    <r>
      <rPr>
        <sz val="8"/>
        <rFont val="Arial"/>
        <family val="2"/>
      </rPr>
      <t xml:space="preserve"> Latest data available from Energy Information Administration databases supporting the following reports: </t>
    </r>
    <r>
      <rPr>
        <i/>
        <sz val="8"/>
        <rFont val="Arial"/>
        <family val="2"/>
      </rPr>
      <t>Petroleum Supply Monthly</t>
    </r>
    <r>
      <rPr>
        <sz val="8"/>
        <rFont val="Arial"/>
        <family val="2"/>
      </rPr>
      <t>, DOE/EIA-0109;</t>
    </r>
  </si>
  <si>
    <r>
      <t>Petroleum Supply Annual</t>
    </r>
    <r>
      <rPr>
        <sz val="8"/>
        <rFont val="Arial"/>
        <family val="2"/>
      </rPr>
      <t xml:space="preserve">, DOE/EIA-0340/2; </t>
    </r>
    <r>
      <rPr>
        <i/>
        <sz val="8"/>
        <rFont val="Arial"/>
        <family val="2"/>
      </rPr>
      <t>Weekly Petroleum Status Report</t>
    </r>
    <r>
      <rPr>
        <sz val="8"/>
        <rFont val="Arial"/>
        <family val="2"/>
      </rPr>
      <t xml:space="preserve">, DOE/EIA-0208; </t>
    </r>
    <r>
      <rPr>
        <i/>
        <sz val="8"/>
        <rFont val="Arial"/>
        <family val="2"/>
      </rPr>
      <t>Petroleum Marketing Monthly</t>
    </r>
    <r>
      <rPr>
        <sz val="8"/>
        <rFont val="Arial"/>
        <family val="2"/>
      </rPr>
      <t xml:space="preserve">, DOE/EIA-0380; </t>
    </r>
    <r>
      <rPr>
        <i/>
        <sz val="8"/>
        <rFont val="Arial"/>
        <family val="2"/>
      </rPr>
      <t>Natural Gas Monthly</t>
    </r>
    <r>
      <rPr>
        <sz val="8"/>
        <rFont val="Arial"/>
        <family val="2"/>
      </rPr>
      <t xml:space="preserve">, DOE/EIA-0130; </t>
    </r>
  </si>
  <si>
    <r>
      <t>Electric Power Monthly</t>
    </r>
    <r>
      <rPr>
        <sz val="8"/>
        <rFont val="Arial"/>
        <family val="2"/>
      </rPr>
      <t xml:space="preserve">, DOE/EIA-0226; </t>
    </r>
    <r>
      <rPr>
        <i/>
        <sz val="8"/>
        <rFont val="Arial"/>
        <family val="2"/>
      </rPr>
      <t>Quarterly Coal Report</t>
    </r>
    <r>
      <rPr>
        <sz val="8"/>
        <rFont val="Arial"/>
        <family val="2"/>
      </rPr>
      <t xml:space="preserve">, DOE/EIA-0121; and </t>
    </r>
    <r>
      <rPr>
        <i/>
        <sz val="8"/>
        <rFont val="Arial"/>
        <family val="2"/>
      </rPr>
      <t>International Petroleum Monthly</t>
    </r>
    <r>
      <rPr>
        <sz val="8"/>
        <rFont val="Arial"/>
        <family val="2"/>
      </rPr>
      <t>, DOE/EIA-0520.</t>
    </r>
  </si>
  <si>
    <t xml:space="preserve">Minor discrepancies with published historical data are due to independent rounding. </t>
  </si>
  <si>
    <t>Weather projections from National Oceanic and Atmospheric Administration.</t>
  </si>
  <si>
    <t>(a) Average for all sulfur contents.</t>
  </si>
  <si>
    <t>(b) Average self-service cash price.</t>
  </si>
  <si>
    <t>Prices exclude taxes unless otherwise noted</t>
  </si>
  <si>
    <r>
      <t>Historical data</t>
    </r>
    <r>
      <rPr>
        <sz val="8"/>
        <rFont val="Arial"/>
        <family val="2"/>
      </rPr>
      <t xml:space="preserve">: Latest data available from Energy Information Administration databases supporting the following reports: </t>
    </r>
    <r>
      <rPr>
        <i/>
        <sz val="8"/>
        <rFont val="Arial"/>
        <family val="2"/>
      </rPr>
      <t>Petroleum Marketing Monthly</t>
    </r>
    <r>
      <rPr>
        <sz val="8"/>
        <rFont val="Arial"/>
        <family val="2"/>
      </rPr>
      <t>, DOE/EIA-0380;</t>
    </r>
  </si>
  <si>
    <r>
      <t>Weekly Petroleum Status Report</t>
    </r>
    <r>
      <rPr>
        <sz val="8"/>
        <rFont val="Arial"/>
        <family val="2"/>
      </rPr>
      <t xml:space="preserve">, DOE/EIA-0208; </t>
    </r>
    <r>
      <rPr>
        <i/>
        <sz val="8"/>
        <rFont val="Arial"/>
        <family val="2"/>
      </rPr>
      <t>Natural Gas Monthly</t>
    </r>
    <r>
      <rPr>
        <sz val="8"/>
        <rFont val="Arial"/>
        <family val="2"/>
      </rPr>
      <t xml:space="preserve">, DOE/EIA-0130; </t>
    </r>
    <r>
      <rPr>
        <i/>
        <sz val="8"/>
        <rFont val="Arial"/>
        <family val="2"/>
      </rPr>
      <t>Electric Power Monthly</t>
    </r>
    <r>
      <rPr>
        <sz val="8"/>
        <rFont val="Arial"/>
        <family val="2"/>
      </rPr>
      <t xml:space="preserve">, DOE/EIA-0226; and </t>
    </r>
    <r>
      <rPr>
        <i/>
        <sz val="8"/>
        <rFont val="Arial"/>
        <family val="2"/>
      </rPr>
      <t>Monthly Energy Review</t>
    </r>
    <r>
      <rPr>
        <sz val="8"/>
        <rFont val="Arial"/>
        <family val="2"/>
      </rPr>
      <t>, DOE/EIA-0035.</t>
    </r>
  </si>
  <si>
    <t>OWCCBUS</t>
  </si>
  <si>
    <t>(b) Crude oil production from U.S. Federal leases in the Gulf of Mexico (GOM).</t>
  </si>
  <si>
    <t>(c) Net imports equals gross imports minus gross exports.</t>
  </si>
  <si>
    <t>(d) Crude oil adjustment balances supply and consumption and was previously referred to as "Unaccounted for Crude Oil."</t>
  </si>
  <si>
    <t>SPR: Strategic Petroleum Reserve</t>
  </si>
  <si>
    <t>HC: Hydrocarbons</t>
  </si>
  <si>
    <r>
      <t>Historical data</t>
    </r>
    <r>
      <rPr>
        <sz val="8"/>
        <rFont val="Arial"/>
        <family val="2"/>
      </rPr>
      <t xml:space="preserve">: Latest data available from Energy Information Administration databases supporting the following reports: </t>
    </r>
    <r>
      <rPr>
        <i/>
        <sz val="8"/>
        <rFont val="Arial"/>
        <family val="2"/>
      </rPr>
      <t xml:space="preserve"> Petroleum Supply Monthly</t>
    </r>
    <r>
      <rPr>
        <sz val="8"/>
        <rFont val="Arial"/>
        <family val="2"/>
      </rPr>
      <t xml:space="preserve">, DOE/EIA-0109; </t>
    </r>
  </si>
  <si>
    <r>
      <t>Petroleum Supply Annual</t>
    </r>
    <r>
      <rPr>
        <sz val="8"/>
        <rFont val="Arial"/>
        <family val="2"/>
      </rPr>
      <t xml:space="preserve">, DOE/EIA-0340/2; and </t>
    </r>
    <r>
      <rPr>
        <i/>
        <sz val="8"/>
        <rFont val="Arial"/>
        <family val="2"/>
      </rPr>
      <t>Weekly Petroleum Status Report</t>
    </r>
    <r>
      <rPr>
        <sz val="8"/>
        <rFont val="Arial"/>
        <family val="2"/>
      </rPr>
      <t xml:space="preserve">, DOE/EIA-0208. </t>
    </r>
  </si>
  <si>
    <r>
      <t>Petroleum Supply Annual</t>
    </r>
    <r>
      <rPr>
        <sz val="8"/>
        <rFont val="Arial"/>
        <family val="2"/>
      </rPr>
      <t xml:space="preserve">, DOE/EIA-0340/2; </t>
    </r>
    <r>
      <rPr>
        <i/>
        <sz val="8"/>
        <rFont val="Arial"/>
        <family val="2"/>
      </rPr>
      <t>Weekly Petroleum Status Report</t>
    </r>
    <r>
      <rPr>
        <sz val="8"/>
        <rFont val="Arial"/>
        <family val="2"/>
      </rPr>
      <t>, DOE/EIA-0208.</t>
    </r>
  </si>
  <si>
    <t>Regions refer to Petroleum Administration for Defense Districts (PADD).</t>
  </si>
  <si>
    <t>See “Petroleum for Administration Defense District” in EIA’s Energy Glossary (http://www.eia.doe.gov/glossary/index.html) for a list of States in each region.</t>
  </si>
  <si>
    <r>
      <t>Historical data:</t>
    </r>
    <r>
      <rPr>
        <sz val="8"/>
        <rFont val="Arial"/>
        <family val="2"/>
      </rPr>
      <t xml:space="preserve"> Latest data available from Energy Information Administration international energy statistics.</t>
    </r>
  </si>
  <si>
    <r>
      <t>Historical data</t>
    </r>
    <r>
      <rPr>
        <sz val="8"/>
        <rFont val="Arial"/>
        <family val="2"/>
      </rPr>
      <t xml:space="preserve">: Latest data available from Energy Information Administration databases supporting the following reports: </t>
    </r>
    <r>
      <rPr>
        <i/>
        <sz val="8"/>
        <rFont val="Arial"/>
        <family val="2"/>
      </rPr>
      <t>Petroleum Marketing Monthly</t>
    </r>
    <r>
      <rPr>
        <sz val="8"/>
        <rFont val="Arial"/>
        <family val="2"/>
      </rPr>
      <t>, DOE/EIA-0380;</t>
    </r>
    <r>
      <rPr>
        <i/>
        <sz val="8"/>
        <rFont val="Arial"/>
        <family val="2"/>
      </rPr>
      <t xml:space="preserve"> </t>
    </r>
  </si>
  <si>
    <r>
      <t>Petroleum Supply Monthly</t>
    </r>
    <r>
      <rPr>
        <sz val="8"/>
        <rFont val="Arial"/>
        <family val="2"/>
      </rPr>
      <t xml:space="preserve">, DOE/EIA-0109; </t>
    </r>
    <r>
      <rPr>
        <i/>
        <sz val="8"/>
        <rFont val="Arial"/>
        <family val="2"/>
      </rPr>
      <t>Petroleum Supply Annual</t>
    </r>
    <r>
      <rPr>
        <sz val="8"/>
        <rFont val="Arial"/>
        <family val="2"/>
      </rPr>
      <t xml:space="preserve">, DOE/EIA-0340/2; and </t>
    </r>
    <r>
      <rPr>
        <i/>
        <sz val="8"/>
        <rFont val="Arial"/>
        <family val="2"/>
      </rPr>
      <t>Weekly Petroleum Status Report</t>
    </r>
    <r>
      <rPr>
        <sz val="8"/>
        <rFont val="Arial"/>
        <family val="2"/>
      </rPr>
      <t>, DOE/EIA-0208.</t>
    </r>
  </si>
  <si>
    <t>(a) Marketed production from U.S. Federal leases in the Gulf of Mexico.</t>
  </si>
  <si>
    <t>Real U.S. Dollar Exchange Rate (a)</t>
  </si>
  <si>
    <t>forex_world</t>
  </si>
  <si>
    <t>forex_world_pct</t>
  </si>
  <si>
    <t>(b) The balancing item represents the difference between the sum of the components of natural gas supply and the sum of components of natural gas demand.</t>
  </si>
  <si>
    <t>(c) Natural gas used for electricity generation and (a limited amount of) useful thermal output by electric utilities and independent power producers.</t>
  </si>
  <si>
    <t>papr_TX</t>
  </si>
  <si>
    <t>Turkmenistan</t>
  </si>
  <si>
    <t>Not all countries are shown in each region and sum of reported country volumes may not equal regional volumes.</t>
  </si>
  <si>
    <t>LNG: liquefied natural gas.</t>
  </si>
  <si>
    <r>
      <t>Historical data</t>
    </r>
    <r>
      <rPr>
        <sz val="8"/>
        <rFont val="Arial"/>
        <family val="2"/>
      </rPr>
      <t xml:space="preserve">: Latest data available from Energy Information Administration databases supporting the following reports: </t>
    </r>
    <r>
      <rPr>
        <i/>
        <sz val="8"/>
        <rFont val="Arial"/>
        <family val="2"/>
      </rPr>
      <t>Natural Gas Monthly</t>
    </r>
    <r>
      <rPr>
        <sz val="8"/>
        <rFont val="Arial"/>
        <family val="2"/>
      </rPr>
      <t xml:space="preserve">, DOE/EIA-0130; and </t>
    </r>
    <r>
      <rPr>
        <i/>
        <sz val="8"/>
        <rFont val="Arial"/>
        <family val="2"/>
      </rPr>
      <t>Electric Power Monthly</t>
    </r>
    <r>
      <rPr>
        <sz val="8"/>
        <rFont val="Arial"/>
        <family val="2"/>
      </rPr>
      <t>, DOE/EIA-0226.</t>
    </r>
  </si>
  <si>
    <t xml:space="preserve">Regions refer to U.S. Census divisions.  </t>
  </si>
  <si>
    <t>See "Census division" in EIA’s Energy Glossary (http://www.eia.doe.gov/glossary/index.html) for a list of States in each region.</t>
  </si>
  <si>
    <r>
      <t>Historical data</t>
    </r>
    <r>
      <rPr>
        <sz val="8"/>
        <rFont val="Arial"/>
        <family val="2"/>
      </rPr>
      <t xml:space="preserve">: Latest data available from Energy Information Administration databases supporting the </t>
    </r>
    <r>
      <rPr>
        <i/>
        <sz val="8"/>
        <rFont val="Arial"/>
        <family val="2"/>
      </rPr>
      <t>Natural Gas Monthly</t>
    </r>
    <r>
      <rPr>
        <sz val="8"/>
        <rFont val="Arial"/>
        <family val="2"/>
      </rPr>
      <t>, DOE/EIA-0130.</t>
    </r>
  </si>
  <si>
    <t>(a) Waste coal includes waste coal and cloal slurry reprocessed into briquettes.</t>
  </si>
  <si>
    <t>(b) Coal used for electricity generation and (a limited amount of) useful thermal output by electric utilities and independent power producers.</t>
  </si>
  <si>
    <t>(c) The discrepancy reflects an unaccounted-for shipper and receiver reporting difference, assumed to be zero in the forecast period.</t>
  </si>
  <si>
    <r>
      <t>Historical data</t>
    </r>
    <r>
      <rPr>
        <sz val="8"/>
        <rFont val="Arial"/>
        <family val="2"/>
      </rPr>
      <t xml:space="preserve">: Latest data available from Energy Information Administration databases supporting the following reports: </t>
    </r>
    <r>
      <rPr>
        <i/>
        <sz val="8"/>
        <rFont val="Arial"/>
        <family val="2"/>
      </rPr>
      <t>Quarterly Coal Report</t>
    </r>
    <r>
      <rPr>
        <sz val="8"/>
        <rFont val="Arial"/>
        <family val="2"/>
      </rPr>
      <t xml:space="preserve">, DOE/EIA-0121; and </t>
    </r>
    <r>
      <rPr>
        <i/>
        <sz val="8"/>
        <rFont val="Arial"/>
        <family val="2"/>
      </rPr>
      <t>Electric Power Monthly</t>
    </r>
    <r>
      <rPr>
        <sz val="8"/>
        <rFont val="Arial"/>
        <family val="2"/>
      </rPr>
      <t>, DOE/EIA-0226.</t>
    </r>
  </si>
  <si>
    <r>
      <t xml:space="preserve">Historical data: </t>
    </r>
    <r>
      <rPr>
        <sz val="8"/>
        <rFont val="Arial"/>
        <family val="2"/>
      </rPr>
      <t xml:space="preserve">Latest data available from Energy Information Administration databases supporting the following reports: </t>
    </r>
    <r>
      <rPr>
        <i/>
        <sz val="8"/>
        <rFont val="Arial"/>
        <family val="2"/>
      </rPr>
      <t>Electric Power Monthly</t>
    </r>
    <r>
      <rPr>
        <sz val="8"/>
        <rFont val="Arial"/>
        <family val="2"/>
      </rPr>
      <t xml:space="preserve">, DOE/EIA-0226; and </t>
    </r>
    <r>
      <rPr>
        <i/>
        <sz val="8"/>
        <rFont val="Arial"/>
        <family val="2"/>
      </rPr>
      <t>Electric Power Annual</t>
    </r>
    <r>
      <rPr>
        <sz val="8"/>
        <rFont val="Arial"/>
        <family val="2"/>
      </rPr>
      <t>, DOE/EIA-0348.</t>
    </r>
  </si>
  <si>
    <t>(a) Total retail sales to all sectors includes residential, commercial, industrial, and transportation sector sales.</t>
  </si>
  <si>
    <t xml:space="preserve">Retail Sales represents total retail electricity sales by electric utilities and power marketers.    </t>
  </si>
  <si>
    <r>
      <t xml:space="preserve">Historical data: </t>
    </r>
    <r>
      <rPr>
        <sz val="8"/>
        <rFont val="Arial"/>
        <family val="2"/>
      </rPr>
      <t xml:space="preserve">Latest data available from Energy Information Administration databases supporting the following reports: </t>
    </r>
    <r>
      <rPr>
        <i/>
        <sz val="8"/>
        <rFont val="Arial"/>
        <family val="2"/>
      </rPr>
      <t>Electric Power Monthly</t>
    </r>
    <r>
      <rPr>
        <sz val="8"/>
        <rFont val="Arial"/>
        <family val="2"/>
      </rPr>
      <t xml:space="preserve">, DOE/EIA-0226; and </t>
    </r>
    <r>
      <rPr>
        <i/>
        <sz val="8"/>
        <rFont val="Arial"/>
        <family val="2"/>
      </rPr>
      <t>Electric Power Annual</t>
    </r>
    <r>
      <rPr>
        <sz val="8"/>
        <rFont val="Arial"/>
        <family val="2"/>
      </rPr>
      <t xml:space="preserve">, DOE/EIA-0348. </t>
    </r>
  </si>
  <si>
    <t>(a) Volume-weighted average of retail prices to residential, commercial, industrial, and transportation sectors.</t>
  </si>
  <si>
    <t>PARNPUS</t>
  </si>
  <si>
    <t xml:space="preserve">      Renewables and Oxygenate Production (e)</t>
  </si>
  <si>
    <t>PAFPPUS</t>
  </si>
  <si>
    <t xml:space="preserve">      Petroleum Products Adjustment (f)</t>
  </si>
  <si>
    <t>(e) Renewables and oxygenate production includes pentanes plus, oxygenates (excluding fuel ethanol), and renewable fuels.</t>
  </si>
  <si>
    <t>(f) Petroleum products adjustment includes hydrogen/oxygenates/renewables/other hydrocarbons, motor gasoline blend components, and finished motor gasoline.</t>
  </si>
  <si>
    <t>OHRIPUS</t>
  </si>
  <si>
    <t xml:space="preserve">      OPEC</t>
  </si>
  <si>
    <t>Consumer Price Index (all urban consumers)</t>
  </si>
  <si>
    <t>Forecasts are not published for individual OPEC countries.</t>
  </si>
  <si>
    <t>QSIC_CL</t>
  </si>
  <si>
    <t>QSIC_DF</t>
  </si>
  <si>
    <t>QSIC_EL</t>
  </si>
  <si>
    <t>QSIC_NG</t>
  </si>
  <si>
    <r>
      <t xml:space="preserve">(a) Fuel share weights of individual sector indices based on EIA </t>
    </r>
    <r>
      <rPr>
        <i/>
        <sz val="8"/>
        <rFont val="Arial"/>
        <family val="2"/>
      </rPr>
      <t>Manufacturing Energy Consumption Survey</t>
    </r>
    <r>
      <rPr>
        <sz val="8"/>
        <rFont val="Arial"/>
        <family val="2"/>
      </rPr>
      <t>.</t>
    </r>
  </si>
  <si>
    <t>ZO311IUS</t>
  </si>
  <si>
    <t>ZO322IUS</t>
  </si>
  <si>
    <t>ZO324IUS</t>
  </si>
  <si>
    <t>ZO325IUS</t>
  </si>
  <si>
    <t>ZO327IUS</t>
  </si>
  <si>
    <t>ZO331IUS</t>
  </si>
  <si>
    <t>EOTCPUS</t>
  </si>
  <si>
    <t xml:space="preserve">         Fuel Ethanol blended into Motor Gasoline</t>
  </si>
  <si>
    <t xml:space="preserve">      Natural Gas Plant Liquids Production</t>
  </si>
  <si>
    <t>Table 3a. International Petroleum and Other Liquids Production, Consumption, and Inventories</t>
  </si>
  <si>
    <t>Table 4a.  U.S. Petroleum and Other Liquids Supply, Consumption, and Inventories</t>
  </si>
  <si>
    <t>padi_opec</t>
  </si>
  <si>
    <t>Unplanned OPEC Production Outages</t>
  </si>
  <si>
    <t>padi_nonopec</t>
  </si>
  <si>
    <t>Unplanned non-OPEC Production Outages</t>
  </si>
  <si>
    <t xml:space="preserve">   Manufacturing</t>
  </si>
  <si>
    <t xml:space="preserve">      Food </t>
  </si>
  <si>
    <t xml:space="preserve">      Paper </t>
  </si>
  <si>
    <t xml:space="preserve">      Petroleum and Coal Products</t>
  </si>
  <si>
    <t xml:space="preserve">      Chemicals</t>
  </si>
  <si>
    <t xml:space="preserve">      Nonmetallic Mineral Products </t>
  </si>
  <si>
    <t xml:space="preserve">      Primary Metals</t>
  </si>
  <si>
    <t xml:space="preserve">   Coal-weighted Manufacturing (a)</t>
  </si>
  <si>
    <t xml:space="preserve">   Distillate-weighted Manufacturing (a)</t>
  </si>
  <si>
    <t xml:space="preserve">   Electricity-weighted Manufacturing (a)</t>
  </si>
  <si>
    <t xml:space="preserve">   Natural Gas-weighted Manufacturing (a)</t>
  </si>
  <si>
    <t>Real Government Expenditures</t>
  </si>
  <si>
    <t>Real Exports of Goods &amp; Services</t>
  </si>
  <si>
    <t>GOVXRUS</t>
  </si>
  <si>
    <t>TREXRUS</t>
  </si>
  <si>
    <t>TRIMRUS</t>
  </si>
  <si>
    <t>Real Imports of Goods &amp; Services</t>
  </si>
  <si>
    <t xml:space="preserve">      Eurasia</t>
  </si>
  <si>
    <t>Eurasia</t>
  </si>
  <si>
    <t>Other Eurasia</t>
  </si>
  <si>
    <r>
      <t xml:space="preserve">Projections: </t>
    </r>
    <r>
      <rPr>
        <sz val="8"/>
        <rFont val="Arial"/>
        <family val="2"/>
      </rPr>
      <t>EIA Regional Short-Term Energy Model.</t>
    </r>
  </si>
  <si>
    <t>Table 3d. World Petroleum and Other Liquids Consumption</t>
  </si>
  <si>
    <t xml:space="preserve">   Pipeline Gross Imports</t>
  </si>
  <si>
    <t xml:space="preserve">   Pipeline Gross Exports</t>
  </si>
  <si>
    <t>HGL Production</t>
  </si>
  <si>
    <t xml:space="preserve">   Natural Gas Processing Plants</t>
  </si>
  <si>
    <t>ETFPPUS</t>
  </si>
  <si>
    <t xml:space="preserve">      Ethane</t>
  </si>
  <si>
    <t>PRFPPUS</t>
  </si>
  <si>
    <t xml:space="preserve">      Propane</t>
  </si>
  <si>
    <t>C4FPPUS</t>
  </si>
  <si>
    <t xml:space="preserve">      Butanes/Butylenes</t>
  </si>
  <si>
    <t>PPFPPUS</t>
  </si>
  <si>
    <t xml:space="preserve">      Natural Gasoline (Pentanes Plus)</t>
  </si>
  <si>
    <t xml:space="preserve">   Refinery and Blender Net Production</t>
  </si>
  <si>
    <t>ETROPUS</t>
  </si>
  <si>
    <t xml:space="preserve">      Ethane/Ethylene</t>
  </si>
  <si>
    <t>C4ROPUS</t>
  </si>
  <si>
    <t xml:space="preserve">   Renewable Fuels and Oxygenate Plant Net Production</t>
  </si>
  <si>
    <t>PPPRPUS</t>
  </si>
  <si>
    <t>HGL Net Imports</t>
  </si>
  <si>
    <t>ETNIPUS</t>
  </si>
  <si>
    <t xml:space="preserve">   Ethane</t>
  </si>
  <si>
    <t>PRNIPUS</t>
  </si>
  <si>
    <t>C4NIPUS</t>
  </si>
  <si>
    <t xml:space="preserve">   Butanes/Butylenes</t>
  </si>
  <si>
    <t xml:space="preserve">   Natural Gasoline (Pentanes Plus)</t>
  </si>
  <si>
    <t>HGL Refinery and Blender Net Inputs</t>
  </si>
  <si>
    <t>C4RIPUS</t>
  </si>
  <si>
    <t>HGL Consumption</t>
  </si>
  <si>
    <t>ETTCPUS</t>
  </si>
  <si>
    <t xml:space="preserve">   Ethane/Ethylene</t>
  </si>
  <si>
    <t xml:space="preserve">   Propane/Propylene</t>
  </si>
  <si>
    <t>C4TCPUS</t>
  </si>
  <si>
    <t>HGL Inventories (million barrels)</t>
  </si>
  <si>
    <t>ETPSPUS</t>
  </si>
  <si>
    <t>C4PSPUS</t>
  </si>
  <si>
    <t xml:space="preserve">      Butanes</t>
  </si>
  <si>
    <t xml:space="preserve">   LNG Gross Imports</t>
  </si>
  <si>
    <t>NGEXPUS_LNG</t>
  </si>
  <si>
    <t xml:space="preserve">   LNG Gross Exports</t>
  </si>
  <si>
    <t>NGEXPUS_PIPE</t>
  </si>
  <si>
    <t>NLTCPUS</t>
  </si>
  <si>
    <t xml:space="preserve">   Hydrocarbon Gas Liquids</t>
  </si>
  <si>
    <t>NLPSPUS</t>
  </si>
  <si>
    <t xml:space="preserve">      Hydrocarbon Gas Liquids</t>
  </si>
  <si>
    <t xml:space="preserve">      Other Oils (g)</t>
  </si>
  <si>
    <t xml:space="preserve">         Other Oils (g)</t>
  </si>
  <si>
    <t>NLNIPUS</t>
  </si>
  <si>
    <t xml:space="preserve">         Hydrocarbon Gas Liquids</t>
  </si>
  <si>
    <t>NLRIPUS</t>
  </si>
  <si>
    <t>NLROPUS</t>
  </si>
  <si>
    <t xml:space="preserve">   Other Oils (a)</t>
  </si>
  <si>
    <t>(g) "Other Oils" inludes aviation gasoline blend components, finished aviation gasoline, kerosene, petrochemical feedstocks, special naphthas, lubricants, waxes, petroleum coke, asphalt and road oil, still gas, and miscellaneous products.</t>
  </si>
  <si>
    <t>(a) "Other Oils" includes aviation gasoline blend components, finished aviation gasoline, kerosene, petrochemical feedstocks, special naphthas, lubricants, waxes, petroleum coke, asphalt and road oil, still gas, and miscellaneous products.</t>
  </si>
  <si>
    <t xml:space="preserve">Total Petroleum and Other Liquids Net Imports   </t>
  </si>
  <si>
    <t>BFLCBUS</t>
  </si>
  <si>
    <t>Table 4b.  U.S. Hydrocarbon Gas Liquids (HGL) and Petroleum Refinery Balances  (million barrels per day, except inventories and utilization factor)</t>
  </si>
  <si>
    <t>Table 4b.  U.S. Hydrocarbon Gas Liquids (HGL) and Petroleum Refinery Balances</t>
  </si>
  <si>
    <t>Total Energy (c)</t>
  </si>
  <si>
    <t>TETCCO2</t>
  </si>
  <si>
    <t>(c) Includes electric power sector use of geothermal energy and non-biomass waste.</t>
  </si>
  <si>
    <t>Total Crude Oil and Other Liquids Inventory Net Withdrawals (million barrels per day)</t>
  </si>
  <si>
    <t>Table 2.  Energy Prices</t>
  </si>
  <si>
    <t>Table 2.  Energy Nominal Prices</t>
  </si>
  <si>
    <t xml:space="preserve">   U.S. Refiner Average Acquisition Cost</t>
  </si>
  <si>
    <t xml:space="preserve">   U.S. Imported Average</t>
  </si>
  <si>
    <r>
      <t xml:space="preserve">U.S. Liquid Fuels </t>
    </r>
    <r>
      <rPr>
        <sz val="8"/>
        <color indexed="8"/>
        <rFont val="Arial"/>
        <family val="2"/>
      </rPr>
      <t>(cents per gallon)</t>
    </r>
  </si>
  <si>
    <t>U.S. Electricity</t>
  </si>
  <si>
    <t xml:space="preserve">      Residual Fuel Oil (c)</t>
  </si>
  <si>
    <t>(c) Includes fuel oils No. 4, No. 5, No. 6, and topped crude.</t>
  </si>
  <si>
    <t>.</t>
  </si>
  <si>
    <t>Industrial Production Indices (Index, 2012=100)</t>
  </si>
  <si>
    <t>Industrial Output, Manufacturing (Index, Year 2012=100)</t>
  </si>
  <si>
    <t>Crude Oil West Texas Intermediate Spot</t>
  </si>
  <si>
    <t>Other Liquids (a)</t>
  </si>
  <si>
    <t>NGWG_EAST</t>
  </si>
  <si>
    <t>NGWG_MW</t>
  </si>
  <si>
    <t>NGWG_SC</t>
  </si>
  <si>
    <t>NGWG_MTN</t>
  </si>
  <si>
    <t>NGWG_PAC</t>
  </si>
  <si>
    <t xml:space="preserve">      East Region (d)</t>
  </si>
  <si>
    <t xml:space="preserve">      Midwest Region (d)</t>
  </si>
  <si>
    <t xml:space="preserve">      South Central Region (d)</t>
  </si>
  <si>
    <t xml:space="preserve">      Mountain Region (d)</t>
  </si>
  <si>
    <t xml:space="preserve">      Pacific Region (d)</t>
  </si>
  <si>
    <t>NGWG_AK</t>
  </si>
  <si>
    <r>
      <t xml:space="preserve">(d) For a list of States in each inventory region refer to </t>
    </r>
    <r>
      <rPr>
        <i/>
        <sz val="8"/>
        <rFont val="Arial"/>
        <family val="2"/>
      </rPr>
      <t>Weekly Natural Gas Storage Report, Notes and Definitions (http://ir.eia.gov/ngs/notes.html)</t>
    </r>
    <r>
      <rPr>
        <sz val="8"/>
        <rFont val="Arial"/>
        <family val="2"/>
      </rPr>
      <t>.</t>
    </r>
  </si>
  <si>
    <t>copr_ir</t>
  </si>
  <si>
    <t>copr_ag</t>
  </si>
  <si>
    <r>
      <t xml:space="preserve">   U.S. Retail Prices</t>
    </r>
    <r>
      <rPr>
        <sz val="8"/>
        <rFont val="Arial"/>
        <family val="2"/>
      </rPr>
      <t xml:space="preserve"> (dollars per thousand cubic feet) </t>
    </r>
  </si>
  <si>
    <r>
      <t xml:space="preserve">   Retail Prices </t>
    </r>
    <r>
      <rPr>
        <sz val="8"/>
        <color indexed="8"/>
        <rFont val="Arial"/>
        <family val="2"/>
      </rPr>
      <t>(cents per kilowatthour)</t>
    </r>
  </si>
  <si>
    <t>Residential Retail</t>
  </si>
  <si>
    <t>Commercial Retail</t>
  </si>
  <si>
    <t>Industrial Retail</t>
  </si>
  <si>
    <t xml:space="preserve">   Retail Prices (cents per kilowatthour)</t>
  </si>
  <si>
    <t>copr_gb</t>
  </si>
  <si>
    <t xml:space="preserve">   Gabon</t>
  </si>
  <si>
    <t>(a) Includes lease condensate, natural gas plant liquids, other liquids, refinery processing gain, and other unaccounted-for liquids.</t>
  </si>
  <si>
    <t>copc_opec_rot</t>
  </si>
  <si>
    <t>cops_opec_rot</t>
  </si>
  <si>
    <t>Indonesia</t>
  </si>
  <si>
    <t>papr_ID</t>
  </si>
  <si>
    <t xml:space="preserve">         Other Liquids (b)</t>
  </si>
  <si>
    <t>Consumption (million barrels per day) (c)</t>
  </si>
  <si>
    <t>papr_UK</t>
  </si>
  <si>
    <t>United Kingdom</t>
  </si>
  <si>
    <t>South Sudan</t>
  </si>
  <si>
    <t>papr_OD</t>
  </si>
  <si>
    <t xml:space="preserve">Table Beginning Month--- </t>
  </si>
  <si>
    <t>Historical</t>
  </si>
  <si>
    <t xml:space="preserve">Last Historical Month--- </t>
  </si>
  <si>
    <t xml:space="preserve">   Solar (b)</t>
  </si>
  <si>
    <t>SOICBUS</t>
  </si>
  <si>
    <t xml:space="preserve">   Solar (b)  </t>
  </si>
  <si>
    <t>SOCCBUS</t>
  </si>
  <si>
    <t xml:space="preserve">   Solar (b) </t>
  </si>
  <si>
    <t xml:space="preserve">   Wood Biomass </t>
  </si>
  <si>
    <t xml:space="preserve">   Biofuel Losses and Co-products (d)</t>
  </si>
  <si>
    <t xml:space="preserve">   Solar (e)</t>
  </si>
  <si>
    <t xml:space="preserve">   Ethanol (f)</t>
  </si>
  <si>
    <t xml:space="preserve">   Biomass-based Diesel (f)</t>
  </si>
  <si>
    <t xml:space="preserve">   Solar (b)(e) </t>
  </si>
  <si>
    <t>(b) Solar consumption in the electric power, commercial, and industrial sectors includes energy produced from large scale (&gt;1 MW) solar thermal and photovoltaic generators and small-scale (&lt;1 MW) distributed solar photovoltaic systems.</t>
  </si>
  <si>
    <t>(d) Losses and co-products from the production of fuel ethanol and biomass-based diesel</t>
  </si>
  <si>
    <t>(e) Solar consumption in the residential sector includes energy from small-scale (&lt;1 MW) solar photovoltaic systems.  Also includes solar heating consumption in all sectors.</t>
  </si>
  <si>
    <t>(f) Fuel ethanol and biomass-based diesel consumption in the transportation sector includes production, stock change, and imports less exports. Some biomass-based diesel may be consumed in the residential sector in heating oil.</t>
  </si>
  <si>
    <t>Table 8b.  U.S. Renewable Electricity Generation and Capacity</t>
  </si>
  <si>
    <t>BMEPCAP_US</t>
  </si>
  <si>
    <t>OWEPCAP_US</t>
  </si>
  <si>
    <t>WWEPCAP_US</t>
  </si>
  <si>
    <t>HVEPCAP_US</t>
  </si>
  <si>
    <t>GEEPCAP_US</t>
  </si>
  <si>
    <t>SOEPCAPX_US</t>
  </si>
  <si>
    <t>WNEPCAPX_US</t>
  </si>
  <si>
    <t>Renewable Energy Electric Generating Capacity (megawatts, end of period)</t>
  </si>
  <si>
    <t xml:space="preserve">   Electric Power Sector (a)</t>
  </si>
  <si>
    <t xml:space="preserve">      Biomass</t>
  </si>
  <si>
    <t xml:space="preserve">         Waste</t>
  </si>
  <si>
    <t xml:space="preserve">         Wood</t>
  </si>
  <si>
    <t xml:space="preserve">      Conventional Hydroelectric</t>
  </si>
  <si>
    <t xml:space="preserve">      Large-Scale Solar (b)</t>
  </si>
  <si>
    <t xml:space="preserve">   Other Sectors (c)</t>
  </si>
  <si>
    <t>BMCHCAP_US</t>
  </si>
  <si>
    <t>OWCHCAP_US</t>
  </si>
  <si>
    <t>WWCHCAP_US</t>
  </si>
  <si>
    <t>HVCHCAP_US</t>
  </si>
  <si>
    <t>SOCHCAP_US</t>
  </si>
  <si>
    <t>SODTC_US</t>
  </si>
  <si>
    <t xml:space="preserve">      Small-Scale Solar (d)</t>
  </si>
  <si>
    <t>SODRC_US</t>
  </si>
  <si>
    <t xml:space="preserve">         Residential Sector</t>
  </si>
  <si>
    <t>SODCC_US</t>
  </si>
  <si>
    <t xml:space="preserve">         Commercial Sector</t>
  </si>
  <si>
    <t>SODIC_US</t>
  </si>
  <si>
    <t xml:space="preserve">         Industrial Sector</t>
  </si>
  <si>
    <t>WNCHCAP_US</t>
  </si>
  <si>
    <t xml:space="preserve">      Geothermal  </t>
  </si>
  <si>
    <t xml:space="preserve">      Wind </t>
  </si>
  <si>
    <t>SODTP_US</t>
  </si>
  <si>
    <t>SODRP_US</t>
  </si>
  <si>
    <t xml:space="preserve">         Residential Sector </t>
  </si>
  <si>
    <t>SODCP_US</t>
  </si>
  <si>
    <t xml:space="preserve">         Commercial Sector </t>
  </si>
  <si>
    <t>SODIP_US</t>
  </si>
  <si>
    <t xml:space="preserve">         Industrial Sector </t>
  </si>
  <si>
    <t>(a) Power plants larger than or equal to one megawatt in size that are operated by electric utilities or independent power producers.</t>
  </si>
  <si>
    <t>(b) Solar thermal and photovoltaic generating units at power plants larger than or equal to 1 megawatt.</t>
  </si>
  <si>
    <t>(c) Businesses or individual households not primarily engaged in electric power production for sale to the public, whose generating capacity is at least 
      one megawatt (except for small-scale solar photovoltaic data, which consists of systems smaller than 1 megawatt).</t>
  </si>
  <si>
    <t>(d) Solar photovoltaic systems smaller than one megawatt.</t>
  </si>
  <si>
    <r>
      <rPr>
        <b/>
        <sz val="8"/>
        <color theme="1"/>
        <rFont val="Arial"/>
        <family val="2"/>
      </rPr>
      <t>Notes</t>
    </r>
    <r>
      <rPr>
        <sz val="8"/>
        <color theme="1"/>
        <rFont val="Arial"/>
        <family val="2"/>
      </rPr>
      <t>:  The approximate break between historical and forecast values is shown with historical data printed in bold; estimates and forecasts in italics.</t>
    </r>
  </si>
  <si>
    <r>
      <rPr>
        <b/>
        <sz val="8"/>
        <color theme="1"/>
        <rFont val="Arial"/>
        <family val="2"/>
      </rPr>
      <t>Historical data</t>
    </r>
    <r>
      <rPr>
        <sz val="8"/>
        <color theme="1"/>
        <rFont val="Arial"/>
        <family val="2"/>
      </rPr>
      <t xml:space="preserve">:  Latest data available from EIA databases supporting the Electric Power Monthly, DOE/EIA-0226. </t>
    </r>
  </si>
  <si>
    <r>
      <rPr>
        <b/>
        <sz val="8"/>
        <color theme="1"/>
        <rFont val="Arial"/>
        <family val="2"/>
      </rPr>
      <t>Projections</t>
    </r>
    <r>
      <rPr>
        <sz val="8"/>
        <color theme="1"/>
        <rFont val="Arial"/>
        <family val="2"/>
      </rPr>
      <t>: EIA-860M database, EIA-826 Solar PV database, and EIA Regional Short-Term Energy Model.</t>
    </r>
  </si>
  <si>
    <t>-- = no data available</t>
  </si>
  <si>
    <t>--</t>
  </si>
  <si>
    <t>Table 8a. U.S. Renewable Energy Consumption</t>
  </si>
  <si>
    <t>copr_ek</t>
  </si>
  <si>
    <t xml:space="preserve">   Equatorial Guinea</t>
  </si>
  <si>
    <t>(Index, 2012=100)</t>
  </si>
  <si>
    <t>C3ROPUS</t>
  </si>
  <si>
    <t>P3ROPUS</t>
  </si>
  <si>
    <t xml:space="preserve">      Propylene (refinery-grade)</t>
  </si>
  <si>
    <t>C3TCPUS</t>
  </si>
  <si>
    <t>P3TCPUS</t>
  </si>
  <si>
    <t xml:space="preserve">   Propane</t>
  </si>
  <si>
    <t xml:space="preserve">   Propylene (refinery-grade)</t>
  </si>
  <si>
    <t>C3PSPUS</t>
  </si>
  <si>
    <t>P3PSPUS</t>
  </si>
  <si>
    <r>
      <t>Projections:</t>
    </r>
    <r>
      <rPr>
        <sz val="8"/>
        <rFont val="Arial"/>
        <family val="2"/>
      </rPr>
      <t xml:space="preserve"> EIA Regional Short-Term Energy Model. U.S. macroeconomic projections are based on the IHS Markit model of the U.S. Economy. </t>
    </r>
  </si>
  <si>
    <r>
      <t>Projections:</t>
    </r>
    <r>
      <rPr>
        <sz val="8"/>
        <rFont val="Arial"/>
        <family val="2"/>
      </rPr>
      <t xml:space="preserve"> Macroeconomic projections are based on the IHS Markit model of the U.S. Economy.</t>
    </r>
  </si>
  <si>
    <t>(a)  Weighted geometric mean of real indices for various countries with weights equal to each country's share of world oil consumption in the base period. Exchange rate is measured in foreign currency per U.S. dollar. GDP and exchange rate data are from Oxford Economics, and oil consumption data are from EIA.</t>
  </si>
  <si>
    <t>World Index, 2015 Q1 = 100</t>
  </si>
  <si>
    <t>OECD Index, 2015 Q1 = 100</t>
  </si>
  <si>
    <t>Non-OECD Index, 2015 Q1 = 100</t>
  </si>
  <si>
    <t>Index, 2015 Q1 = 100</t>
  </si>
  <si>
    <t>End-of-period Commercial Crude Oil and Other Liquids Inventories (million barrels)</t>
  </si>
  <si>
    <t>copr_cf</t>
  </si>
  <si>
    <t xml:space="preserve">   Congo (Brazzaville)</t>
  </si>
  <si>
    <t xml:space="preserve">   (billion chained 2012 dollars - SAAR)</t>
  </si>
  <si>
    <t xml:space="preserve">  (index, 2012=100)</t>
  </si>
  <si>
    <t>(billion chained 2012 dollars - SAAR)</t>
  </si>
  <si>
    <t>Carbon Dioxide (CO2) Emissions (million metric tons)</t>
  </si>
  <si>
    <r>
      <t>Table 9a.  U.S. Macroeconomic Indicators and CO2</t>
    </r>
    <r>
      <rPr>
        <b/>
        <sz val="10"/>
        <color indexed="8"/>
        <rFont val="Arial"/>
        <family val="2"/>
      </rPr>
      <t xml:space="preserve"> Emissions</t>
    </r>
  </si>
  <si>
    <t>Real Private Fixed Investment</t>
  </si>
  <si>
    <t>Real Gross State Product (Billion $2009)</t>
  </si>
  <si>
    <t>Real Personal Income (Billion $2009)</t>
  </si>
  <si>
    <t>Qatar</t>
  </si>
  <si>
    <t>papr_QA</t>
  </si>
  <si>
    <t xml:space="preserve">             the United Arab Emirates, Venezuela.</t>
  </si>
  <si>
    <t>(b) Includes lease condensate, natural gas plant liquids, other liquids, and refinery processing gain. Includes other unaccounted-for liquids.</t>
  </si>
  <si>
    <r>
      <t xml:space="preserve">(c) Consumption of petroleum by the OECD countries is synonymous with "petroleum product supplied," defined in the glossary of the EIA </t>
    </r>
    <r>
      <rPr>
        <i/>
        <sz val="8"/>
        <rFont val="Arial"/>
        <family val="2"/>
      </rPr>
      <t>Petroleum Supply Monthly</t>
    </r>
    <r>
      <rPr>
        <sz val="8"/>
        <rFont val="Arial"/>
        <family val="2"/>
      </rPr>
      <t xml:space="preserve">, </t>
    </r>
  </si>
  <si>
    <t xml:space="preserve">      DOE/EIA-0109. Consumption of petroleum by the non-OECD countries is "apparent consumption," which includes internal consumption, refinery fuel and loss, and bunkering.</t>
  </si>
  <si>
    <t>TSEOTWH</t>
  </si>
  <si>
    <t>EPEOTWH</t>
  </si>
  <si>
    <t>ELNITWH</t>
  </si>
  <si>
    <t>ELSUTWH</t>
  </si>
  <si>
    <t>TDLOTWH</t>
  </si>
  <si>
    <t>Electricity Consumption (billion kilowatthours)</t>
  </si>
  <si>
    <t>Electricity Supply (billion kilowatthours)</t>
  </si>
  <si>
    <t>ELTCTWH</t>
  </si>
  <si>
    <t>ELRCTWH</t>
  </si>
  <si>
    <t>ELCCTWH</t>
  </si>
  <si>
    <t>ELICTWH</t>
  </si>
  <si>
    <t>ELACTWH</t>
  </si>
  <si>
    <t>ELDUTWH</t>
  </si>
  <si>
    <t>ELCOTWH</t>
  </si>
  <si>
    <t xml:space="preserve">   Wholesale Electricity Prices (dollars per megawatthour)</t>
  </si>
  <si>
    <t>ELWHU_TX</t>
  </si>
  <si>
    <t>ELWHU_CA</t>
  </si>
  <si>
    <t>ELWHU_NE</t>
  </si>
  <si>
    <t>ELWHU_NY</t>
  </si>
  <si>
    <t>ELWHU_PJ</t>
  </si>
  <si>
    <t>ELWHU_MW</t>
  </si>
  <si>
    <t>ELWHU_SP</t>
  </si>
  <si>
    <t>ELWHU_SE</t>
  </si>
  <si>
    <t>ELWHU_FL</t>
  </si>
  <si>
    <t>ELWHU_NW</t>
  </si>
  <si>
    <t>ELWHU_SW</t>
  </si>
  <si>
    <t xml:space="preserve">      ERCOT North hub</t>
  </si>
  <si>
    <t xml:space="preserve">      CAISO SP15 zone</t>
  </si>
  <si>
    <t xml:space="preserve">      ISO-NE Internal hub</t>
  </si>
  <si>
    <t xml:space="preserve">      NYISO Hudson Valley zone</t>
  </si>
  <si>
    <t xml:space="preserve">      PJM Western hub</t>
  </si>
  <si>
    <t xml:space="preserve">      Midcontinent ISO Illinois hub</t>
  </si>
  <si>
    <t xml:space="preserve">      SPP ISO South hub</t>
  </si>
  <si>
    <t xml:space="preserve">      SERC index, Into Southern</t>
  </si>
  <si>
    <t xml:space="preserve">      FRCC index, Florida Reliability</t>
  </si>
  <si>
    <t xml:space="preserve">      Northwest index, Mid-Columbia</t>
  </si>
  <si>
    <t xml:space="preserve">      Southwest index, Palo Verde</t>
  </si>
  <si>
    <t>ELRCP_NEC</t>
  </si>
  <si>
    <t>ELRCP_MAC</t>
  </si>
  <si>
    <t>ELRCP_ENC</t>
  </si>
  <si>
    <t>ELRCP_WNC</t>
  </si>
  <si>
    <t>ELRCP_SAC</t>
  </si>
  <si>
    <t>ELRCP_ESC</t>
  </si>
  <si>
    <t>ELRCP_WSC</t>
  </si>
  <si>
    <t>ELRCP_MTN</t>
  </si>
  <si>
    <t>ELRCP_PAC</t>
  </si>
  <si>
    <t>ELRCP_HAK</t>
  </si>
  <si>
    <t>ELRCP_US</t>
  </si>
  <si>
    <t>ELCCP_NEC</t>
  </si>
  <si>
    <t>ELCCP_MAC</t>
  </si>
  <si>
    <t>ELCCP_ENC</t>
  </si>
  <si>
    <t>ELCCP_WNC</t>
  </si>
  <si>
    <t>ELCCP_SAC</t>
  </si>
  <si>
    <t>ELCCP_ESC</t>
  </si>
  <si>
    <t>ELCCP_WSC</t>
  </si>
  <si>
    <t>ELCCP_MTN</t>
  </si>
  <si>
    <t>ELCCP_PAC</t>
  </si>
  <si>
    <t>ELCCP_HAK</t>
  </si>
  <si>
    <t>ELCCP_US</t>
  </si>
  <si>
    <t>ELICP_NEC</t>
  </si>
  <si>
    <t>ELICP_MAC</t>
  </si>
  <si>
    <t>ELICP_ENC</t>
  </si>
  <si>
    <t>ELICP_WNC</t>
  </si>
  <si>
    <t>ELICP_SAC</t>
  </si>
  <si>
    <t>ELICP_ESC</t>
  </si>
  <si>
    <t>ELICP_WSC</t>
  </si>
  <si>
    <t>ELICP_MTN</t>
  </si>
  <si>
    <t>ELICP_PAC</t>
  </si>
  <si>
    <t>ELICP_HAK</t>
  </si>
  <si>
    <t>ELICP_US</t>
  </si>
  <si>
    <t>ELTCP_NEC</t>
  </si>
  <si>
    <t>ELTCP_MAC</t>
  </si>
  <si>
    <t>ELTCP_ENC</t>
  </si>
  <si>
    <t>ELTCP_WNC</t>
  </si>
  <si>
    <t>ELTCP_SAC</t>
  </si>
  <si>
    <t>ELTCP_ESC</t>
  </si>
  <si>
    <t>ELTCP_WSC</t>
  </si>
  <si>
    <t>ELTCP_MTN</t>
  </si>
  <si>
    <t>ELTCP_PAC</t>
  </si>
  <si>
    <t>ELTCP_HAK</t>
  </si>
  <si>
    <t>ELTCP_US</t>
  </si>
  <si>
    <t>NGEPGEN_US</t>
  </si>
  <si>
    <t>CLEPGEN_US</t>
  </si>
  <si>
    <t>NUEPGEN_US</t>
  </si>
  <si>
    <t>RTEPGEN_US</t>
  </si>
  <si>
    <t>HVEPGEN_US</t>
  </si>
  <si>
    <t>WNEPGEN_US</t>
  </si>
  <si>
    <t>SOEPGEN_US</t>
  </si>
  <si>
    <t>BMEPGEN_US</t>
  </si>
  <si>
    <t>GEEPGEN_US</t>
  </si>
  <si>
    <t>HPEPGEN_US</t>
  </si>
  <si>
    <t>PAEPGEN_US</t>
  </si>
  <si>
    <t>OGEPGEN_US</t>
  </si>
  <si>
    <t>TOEPGEN_US</t>
  </si>
  <si>
    <t>NGEPGEN_NE</t>
  </si>
  <si>
    <t>CLEPGEN_NE</t>
  </si>
  <si>
    <t>NUEPGEN_NE</t>
  </si>
  <si>
    <t>HVEPGEN_NE</t>
  </si>
  <si>
    <t xml:space="preserve">   Conventional hydropower</t>
  </si>
  <si>
    <t>RNEPGEN_NE</t>
  </si>
  <si>
    <t>XXEPGEN_NE</t>
  </si>
  <si>
    <t>TOEPGEN_NE</t>
  </si>
  <si>
    <t xml:space="preserve">   Total generation</t>
  </si>
  <si>
    <t>ELLOAD_NE</t>
  </si>
  <si>
    <t>NGEPGEN_NY</t>
  </si>
  <si>
    <t>CLEPGEN_NY</t>
  </si>
  <si>
    <t>NUEPGEN_NY</t>
  </si>
  <si>
    <t>HVEPGEN_NY</t>
  </si>
  <si>
    <t>RNEPGEN_NY</t>
  </si>
  <si>
    <t>XXEPGEN_NY</t>
  </si>
  <si>
    <t>TOEPGEN_NY</t>
  </si>
  <si>
    <t>ELLOAD_NY</t>
  </si>
  <si>
    <t>NGEPGEN_PJ</t>
  </si>
  <si>
    <t>CLEPGEN_PJ</t>
  </si>
  <si>
    <t>NUEPGEN_PJ</t>
  </si>
  <si>
    <t>HVEPGEN_PJ</t>
  </si>
  <si>
    <t>RNEPGEN_PJ</t>
  </si>
  <si>
    <t>XXEPGEN_PJ</t>
  </si>
  <si>
    <t>TOEPGEN_PJ</t>
  </si>
  <si>
    <t>ELLOAD_PJ</t>
  </si>
  <si>
    <t>Southeast (SERC)</t>
  </si>
  <si>
    <t>NGEPGEN_SE</t>
  </si>
  <si>
    <t>CLEPGEN_SE</t>
  </si>
  <si>
    <t>NUEPGEN_SE</t>
  </si>
  <si>
    <t>HVEPGEN_SE</t>
  </si>
  <si>
    <t>RNEPGEN_SE</t>
  </si>
  <si>
    <t>XXEPGEN_SE</t>
  </si>
  <si>
    <t>TOEPGEN_SE</t>
  </si>
  <si>
    <t>ELLOAD_SE</t>
  </si>
  <si>
    <t>Florida (FRCC)</t>
  </si>
  <si>
    <t>NGEPGEN_FL</t>
  </si>
  <si>
    <t>CLEPGEN_FL</t>
  </si>
  <si>
    <t>NUEPGEN_FL</t>
  </si>
  <si>
    <t>HVEPGEN_FL</t>
  </si>
  <si>
    <t>RNEPGEN_FL</t>
  </si>
  <si>
    <t>XXEPGEN_FL</t>
  </si>
  <si>
    <t>TOEPGEN_FL</t>
  </si>
  <si>
    <t>ELLOAD_FL</t>
  </si>
  <si>
    <t>NGEPGEN_MW</t>
  </si>
  <si>
    <t>CLEPGEN_MW</t>
  </si>
  <si>
    <t>NUEPGEN_MW</t>
  </si>
  <si>
    <t>HVEPGEN_MW</t>
  </si>
  <si>
    <t>RNEPGEN_MW</t>
  </si>
  <si>
    <t>XXEPGEN_MW</t>
  </si>
  <si>
    <t>TOEPGEN_MW</t>
  </si>
  <si>
    <t>ELLOAD_MW</t>
  </si>
  <si>
    <t>NGEPGEN_SP</t>
  </si>
  <si>
    <t>CLEPGEN_SP</t>
  </si>
  <si>
    <t>NUEPGEN_SP</t>
  </si>
  <si>
    <t>HVEPGEN_SP</t>
  </si>
  <si>
    <t>RNEPGEN_SP</t>
  </si>
  <si>
    <t>XXEPGEN_SP</t>
  </si>
  <si>
    <t>TOEPGEN_SP</t>
  </si>
  <si>
    <t>ELLOAD_SP</t>
  </si>
  <si>
    <t>NGEPGEN_TX</t>
  </si>
  <si>
    <t>CLEPGEN_TX</t>
  </si>
  <si>
    <t>NUEPGEN_TX</t>
  </si>
  <si>
    <t>HVEPGEN_TX</t>
  </si>
  <si>
    <t>RNEPGEN_TX</t>
  </si>
  <si>
    <t>XXEPGEN_TX</t>
  </si>
  <si>
    <t>TOEPGEN_TX</t>
  </si>
  <si>
    <t>ELLOAD_TX</t>
  </si>
  <si>
    <t>NGEPGEN_NW</t>
  </si>
  <si>
    <t>CLEPGEN_NW</t>
  </si>
  <si>
    <t>NUEPGEN_NW</t>
  </si>
  <si>
    <t>HVEPGEN_NW</t>
  </si>
  <si>
    <t>RNEPGEN_NW</t>
  </si>
  <si>
    <t>XXEPGEN_NW</t>
  </si>
  <si>
    <t>TOEPGEN_NW</t>
  </si>
  <si>
    <t>ELLOAD_NW</t>
  </si>
  <si>
    <t>Southwest</t>
  </si>
  <si>
    <t>NGEPGEN_SW</t>
  </si>
  <si>
    <t>CLEPGEN_SW</t>
  </si>
  <si>
    <t>NUEPGEN_SW</t>
  </si>
  <si>
    <t>HVEPGEN_SW</t>
  </si>
  <si>
    <t>RNEPGEN_SW</t>
  </si>
  <si>
    <t>XXEPGEN_SW</t>
  </si>
  <si>
    <t>TOEPGEN_SW</t>
  </si>
  <si>
    <t>ELLOAD_SW</t>
  </si>
  <si>
    <t>California</t>
  </si>
  <si>
    <t>NGEPGEN_CA</t>
  </si>
  <si>
    <t>CLEPGEN_CA</t>
  </si>
  <si>
    <t>NUEPGEN_CA</t>
  </si>
  <si>
    <t>HVEPGEN_CA</t>
  </si>
  <si>
    <t>RNEPGEN_CA</t>
  </si>
  <si>
    <t>XXEPGEN_CA</t>
  </si>
  <si>
    <t>TOEPGEN_CA</t>
  </si>
  <si>
    <t>ELLOAD_CA</t>
  </si>
  <si>
    <t>OWEPGEN_US</t>
  </si>
  <si>
    <t>WWEPGEN_US</t>
  </si>
  <si>
    <t>BMCHGEN_US</t>
  </si>
  <si>
    <t>OWCHGEN_US</t>
  </si>
  <si>
    <t>WWCHGEN_US</t>
  </si>
  <si>
    <t>HVCHGEN_US</t>
  </si>
  <si>
    <t>SOCHGEN_US</t>
  </si>
  <si>
    <t>WNCHGEN_US</t>
  </si>
  <si>
    <t>Renewable Electricity Generation (billion kilowatthours)</t>
  </si>
  <si>
    <t xml:space="preserve">      Solar (a) </t>
  </si>
  <si>
    <t xml:space="preserve">   Petroleum (b) </t>
  </si>
  <si>
    <t xml:space="preserve">   Other Nonrenewable Fuels (c)</t>
  </si>
  <si>
    <t>New England (ISO-NE)</t>
  </si>
  <si>
    <t xml:space="preserve">   Nonhydro renewables (d) </t>
  </si>
  <si>
    <t xml:space="preserve">   Other energy sources (e) </t>
  </si>
  <si>
    <t xml:space="preserve">   Net energy for load (f) </t>
  </si>
  <si>
    <t>New York (NYISO)</t>
  </si>
  <si>
    <t>Mid-Atlantic (PJM)</t>
  </si>
  <si>
    <r>
      <t xml:space="preserve">Notes: </t>
    </r>
    <r>
      <rPr>
        <sz val="8"/>
        <color indexed="8"/>
        <rFont val="Arial"/>
        <family val="2"/>
      </rPr>
      <t xml:space="preserve"> The approximate break between historical and forecast values is shown with historical data printed in bold; estimates and forecasts in italics.</t>
    </r>
  </si>
  <si>
    <t xml:space="preserve">             Data reflect generation supplied by power plants with a combined capacity of at least 1 megawatt operated by electric utilities and independent power producers.</t>
  </si>
  <si>
    <t xml:space="preserve">     (a) Large-scale solar generation from power plants with more than 1 megawatt of capacity. Excludes generation from small-scale solar photovoltaic systems.</t>
  </si>
  <si>
    <t xml:space="preserve">     (b) Residual fuel oil, distillate fuel oil, petroleum coke, and other petroleum liquids.</t>
  </si>
  <si>
    <t xml:space="preserve">     (c) Batteries, chemicals, hydrogen, pitch, purchased steam, sulfur, nonrenewable waste, and miscellaneous technologies.</t>
  </si>
  <si>
    <t xml:space="preserve">     (d) Wind, large-scale solar, biomass, and geothermal</t>
  </si>
  <si>
    <t xml:space="preserve">     (e) Pumped storage hydroelectric, petroleum, other gases, batteries, and other nonrenewable fuels. See notes (b) and (c).</t>
  </si>
  <si>
    <t xml:space="preserve">     (f) Regional generation from generating units operated by electric power sector, plus energy receipts from minus energy deliveries to U.S. balancing authorities outside region.</t>
  </si>
  <si>
    <r>
      <t xml:space="preserve">Historical data: </t>
    </r>
    <r>
      <rPr>
        <sz val="8"/>
        <rFont val="Arial"/>
        <family val="2"/>
      </rPr>
      <t xml:space="preserve">Latest data available from U.S. Energy Information Administration databases supporting the following reports: </t>
    </r>
    <r>
      <rPr>
        <i/>
        <sz val="8"/>
        <rFont val="Arial"/>
        <family val="2"/>
      </rPr>
      <t>Electric Power Monthly</t>
    </r>
    <r>
      <rPr>
        <sz val="8"/>
        <rFont val="Arial"/>
        <family val="2"/>
      </rPr>
      <t xml:space="preserve">, DOE/EIA-0226; 
     and </t>
    </r>
    <r>
      <rPr>
        <i/>
        <sz val="8"/>
        <rFont val="Arial"/>
        <family val="2"/>
      </rPr>
      <t>Electric Power Annual</t>
    </r>
    <r>
      <rPr>
        <sz val="8"/>
        <rFont val="Arial"/>
        <family val="2"/>
      </rPr>
      <t>, DOE/EIA-0348.</t>
    </r>
  </si>
  <si>
    <r>
      <rPr>
        <b/>
        <sz val="8"/>
        <rFont val="Arial"/>
        <family val="2"/>
      </rPr>
      <t>Historical data:</t>
    </r>
    <r>
      <rPr>
        <sz val="8"/>
        <rFont val="Arial"/>
        <family val="2"/>
      </rPr>
      <t xml:space="preserve"> Latest data available from U.S. Energy Information Administration databases supporting the following reports: </t>
    </r>
    <r>
      <rPr>
        <i/>
        <sz val="8"/>
        <rFont val="Arial"/>
        <family val="2"/>
      </rPr>
      <t>Electric Power Monthly</t>
    </r>
    <r>
      <rPr>
        <sz val="8"/>
        <rFont val="Arial"/>
        <family val="2"/>
      </rPr>
      <t xml:space="preserve">, DOE/EIA-0226; 
     and </t>
    </r>
    <r>
      <rPr>
        <i/>
        <sz val="8"/>
        <rFont val="Arial"/>
        <family val="2"/>
      </rPr>
      <t>Electric Power Annual</t>
    </r>
    <r>
      <rPr>
        <sz val="8"/>
        <rFont val="Arial"/>
        <family val="2"/>
      </rPr>
      <t>, DOE/EIA-0348.</t>
    </r>
  </si>
  <si>
    <r>
      <rPr>
        <b/>
        <sz val="8"/>
        <rFont val="Arial"/>
        <family val="2"/>
      </rPr>
      <t>Projections:</t>
    </r>
    <r>
      <rPr>
        <sz val="8"/>
        <rFont val="Arial"/>
        <family val="2"/>
      </rPr>
      <t xml:space="preserve"> EIA Regional Short-Term Energy Model.</t>
    </r>
  </si>
  <si>
    <t>Texas (ERCOT)</t>
  </si>
  <si>
    <r>
      <t xml:space="preserve">Table 7d part 1.  U.S. Regional Electricity Generation, Electric Power Sector (billion kilowatthours), </t>
    </r>
    <r>
      <rPr>
        <i/>
        <sz val="10"/>
        <color indexed="8"/>
        <rFont val="Arial"/>
        <family val="2"/>
      </rPr>
      <t>continues on Table 7d part 2</t>
    </r>
  </si>
  <si>
    <t>Table 7d(1). U.S. Regional Electricity Generation, Electric Power Sector</t>
  </si>
  <si>
    <t>Table 7d(2). U.S. Regional Electricity Generation, Electric Power Sector, continued</t>
  </si>
  <si>
    <t>OBEPGEN_US</t>
  </si>
  <si>
    <t xml:space="preserve">     Electric Power Sector (a)</t>
  </si>
  <si>
    <t>INEOTWH</t>
  </si>
  <si>
    <t xml:space="preserve">     Industrial Sector (b)</t>
  </si>
  <si>
    <t>CMEOTWH</t>
  </si>
  <si>
    <t xml:space="preserve">     Commercial Sector (b)</t>
  </si>
  <si>
    <t xml:space="preserve">     kWh = kilowatthours. Btu = British thermal units.</t>
  </si>
  <si>
    <t xml:space="preserve">     Prices are not adjusted for inflation.</t>
  </si>
  <si>
    <t xml:space="preserve">     (a) Generation supplied by power plants with capacity of at least 1 megawatt operated by electric utilities and independent power producers.</t>
  </si>
  <si>
    <t xml:space="preserve">     (b) Generation supplied by power plants with capacity of at least 1 megawatt operated by businesses in the commercial and industrial sectors, primarily for onsite use.</t>
  </si>
  <si>
    <t xml:space="preserve">     (c) Includes transmission and distribution losses, data collection time-frame differences, and estimation error.</t>
  </si>
  <si>
    <t xml:space="preserve">     (d) Direct Use represents commercial and industrial facility use of onsite net electricity generation; and electrical sales or transfers to adjacent or colocated facilities </t>
  </si>
  <si>
    <r>
      <t xml:space="preserve">         for which revenue information is not available. See Table 7.6 of the EIA </t>
    </r>
    <r>
      <rPr>
        <i/>
        <sz val="8"/>
        <rFont val="Arial"/>
        <family val="2"/>
      </rPr>
      <t>Monthly Energy Review</t>
    </r>
    <r>
      <rPr>
        <sz val="8"/>
        <rFont val="Arial"/>
        <family val="2"/>
      </rPr>
      <t>.</t>
    </r>
  </si>
  <si>
    <r>
      <rPr>
        <b/>
        <sz val="8"/>
        <rFont val="Arial"/>
        <family val="2"/>
      </rPr>
      <t xml:space="preserve">Historical data sources: </t>
    </r>
    <r>
      <rPr>
        <b/>
        <sz val="8"/>
        <rFont val="Arial"/>
        <family val="2"/>
      </rPr>
      <t/>
    </r>
  </si>
  <si>
    <r>
      <t xml:space="preserve">     (1) Electricity supply, consumption, fuel costs, and retail electricity prices: Latest data available from U.S. Energy Information Administration databases
           supporting the following reports: Electric Power Monthly, DOE/EIA-0226; and Electric Power Annual, DOE/EIA-0348</t>
    </r>
    <r>
      <rPr>
        <b/>
        <sz val="8"/>
        <rFont val="Arial"/>
        <family val="2"/>
      </rPr>
      <t/>
    </r>
  </si>
  <si>
    <r>
      <t xml:space="preserve">     (2) Wholesale electricity prices (except for PJM RTO price): S&amp;P Global Market Intelligence, SNL Energy Data
     (3) PJM ISO Western hub wholesale electricity prices: PJM Data Miner website.</t>
    </r>
    <r>
      <rPr>
        <b/>
        <sz val="8"/>
        <rFont val="Arial"/>
        <family val="2"/>
      </rPr>
      <t/>
    </r>
  </si>
  <si>
    <r>
      <t xml:space="preserve">     (3) PJM ISO Western Hub wholesale electricity prices: PJM Data Miner website</t>
    </r>
    <r>
      <rPr>
        <b/>
        <sz val="8"/>
        <rFont val="Arial"/>
        <family val="2"/>
      </rPr>
      <t/>
    </r>
  </si>
  <si>
    <t xml:space="preserve">     Minor discrepancies with published historical data are due to independent rounding. </t>
  </si>
  <si>
    <t xml:space="preserve">     (a) Solar generation from large-scale power plants with more than 1 megawatt of capacity. Excludes generation from small-scale solar photovoltaic systems.</t>
  </si>
  <si>
    <t>Midwest (Midcontinent ISO)</t>
  </si>
  <si>
    <t>Central (Southwest Power Pool)</t>
  </si>
  <si>
    <t>Northwest</t>
  </si>
  <si>
    <t xml:space="preserve">             Poland, Portugal, Slovakia, Slovenia, South Korea, Spain, Sweden, Switzerland, Turkey, the United Kingdom, the United States.</t>
  </si>
  <si>
    <t xml:space="preserve">             France, Germany, Greece, Hungary, Iceland, Ireland, Israel, Italy, Japan, Latvia, Lithuania, Luxembourg, Mexico, the Netherlands, New Zealand, Norway,</t>
  </si>
  <si>
    <t xml:space="preserve">OPEC = Organization of the Petroleum Exporting Countries: Algeria, Angola, Congo (Brazzaville), Equatorial Guinea, Gabon, Iran, Iraq, Kuwait, Libya, Nigeria, Saudi Arabia, </t>
  </si>
  <si>
    <t>papr_EC</t>
  </si>
  <si>
    <t>Ecuador</t>
  </si>
  <si>
    <t>OPEC = Organization of the Petroleum Exporting Countries: Algeria, Angola, Congo (Brazzaville), Equatorial Guinea, Gabon, Iran, Iraq, Kuwait, Libya, Nigeria, Saudi Arabia,</t>
  </si>
  <si>
    <t xml:space="preserve">   Other</t>
  </si>
  <si>
    <t xml:space="preserve">              the United Arab Emirates, Venezuela.</t>
  </si>
  <si>
    <t>OPEC = Organization of the Petroleum Exporting Countries: Iran, Iraq, Kuwait, Saudi Arabia, and the United Arab Emirates (Middle East); Algeria, Angola, Congo (Brazzaville), Equatorial Guinea,</t>
  </si>
  <si>
    <t xml:space="preserve">             Gabon, Libya, Nigeria, and Venezuela (Other).</t>
  </si>
  <si>
    <t xml:space="preserve">   Propylene (at refineries only)</t>
  </si>
  <si>
    <t>Table 3a.  International Petroleum and Other Liquids Production, Consumption, and Inventories</t>
  </si>
  <si>
    <t>Table 3b.  Non-OPEC Petroleum and Other Liquids Production  (million barrels per day)</t>
  </si>
  <si>
    <t>Table 3c.  OPEC Crude Oil (excluding Condensates) Production (million barrels per day)</t>
  </si>
  <si>
    <t>Table 3d.  World Petroleum and Other Liquids Consumption (million barrels per day)</t>
  </si>
  <si>
    <t>Table 5c.  U.S. Regional Natural Gas Prices  (dollars per thousand cubic feet)</t>
  </si>
  <si>
    <t>Table 7b.  U.S. Regional Electricity Retail Sales  (billion kilowatthours)</t>
  </si>
  <si>
    <t>Table 7c.  U.S. Regional Retail Electricity Prices (Cents per Kilowatthour)</t>
  </si>
  <si>
    <r>
      <t xml:space="preserve">Table 7d part 2.  U.S. Regional Electricity Generation, Electric Power Sector (billion kilowatthours), </t>
    </r>
    <r>
      <rPr>
        <i/>
        <sz val="10"/>
        <color indexed="8"/>
        <rFont val="Arial"/>
        <family val="2"/>
      </rPr>
      <t>continued from Table 7d part 1</t>
    </r>
  </si>
  <si>
    <t>Table 9b.  U.S. Regional Macroeconomic Data</t>
  </si>
  <si>
    <t>Table 9c.  U.S. Regional Weather Data</t>
  </si>
  <si>
    <t>Table 3b. Non-OPEC Petroleum and Other Liquids Production</t>
  </si>
  <si>
    <t>Table 3c. OPEC Crude Oil (excluding Condensates) Production</t>
  </si>
  <si>
    <t>September 2020</t>
  </si>
  <si>
    <t xml:space="preserve">n/a  </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</si>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</sst>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164" formatCode="0.000"/>
    <numFmt numFmtId="165" formatCode="0.0"/>
    <numFmt numFmtId="166" formatCode="0.00_)"/>
    <numFmt numFmtId="167" formatCode="0_)"/>
    <numFmt numFmtId="168" formatCode="#.00"/>
    <numFmt numFmtId="169" formatCode="0.0_)"/>
    <numFmt numFmtId="170" formatCode="0.000_)"/>
    <numFmt numFmtId="171" formatCode="@&quot; .&quot;*."/>
    <numFmt numFmtId="172" formatCode="#,##0.0"/>
    <numFmt numFmtId="173" formatCode="mmm\ yyyy"/>
    <numFmt numFmtId="174" formatCode="0.0000000"/>
  </numFmts>
  <fonts count="60" x14ac:knownFonts="1">
    <font>
      <sz val="10"/>
      <name val="Arial"/>
    </font>
    <font>
      <sz val="11"/>
      <color theme="1"/>
      <name val="Calibri"/>
      <family val="2"/>
      <scheme val="minor"/>
    </font>
    <font>
      <sz val="10"/>
      <name val="Arial"/>
      <family val="2"/>
    </font>
    <font>
      <sz val="8"/>
      <name val="Arial"/>
      <family val="2"/>
    </font>
    <font>
      <sz val="1"/>
      <color indexed="8"/>
      <name val="Courier"/>
      <family val="3"/>
    </font>
    <font>
      <b/>
      <sz val="1"/>
      <color indexed="8"/>
      <name val="Courier"/>
      <family val="3"/>
    </font>
    <font>
      <sz val="8"/>
      <name val="Courier"/>
      <family val="3"/>
    </font>
    <font>
      <b/>
      <sz val="7"/>
      <name val="Arial"/>
      <family val="2"/>
    </font>
    <font>
      <b/>
      <sz val="7"/>
      <color indexed="8"/>
      <name val="Helvetica"/>
      <family val="2"/>
    </font>
    <font>
      <sz val="7"/>
      <name val="Helvetica"/>
      <family val="2"/>
    </font>
    <font>
      <sz val="7"/>
      <name val="Arial"/>
      <family val="2"/>
    </font>
    <font>
      <sz val="8"/>
      <name val="Arial"/>
      <family val="2"/>
    </font>
    <font>
      <sz val="8"/>
      <name val="Helvetica"/>
      <family val="2"/>
    </font>
    <font>
      <sz val="8"/>
      <color indexed="8"/>
      <name val="Helvetica"/>
      <family val="2"/>
    </font>
    <font>
      <b/>
      <sz val="8"/>
      <color indexed="8"/>
      <name val="Helvetica"/>
      <family val="2"/>
    </font>
    <font>
      <u/>
      <sz val="8"/>
      <color indexed="12"/>
      <name val="Courier"/>
      <family val="3"/>
    </font>
    <font>
      <b/>
      <sz val="10"/>
      <color indexed="8"/>
      <name val="Helvetica"/>
      <family val="2"/>
    </font>
    <font>
      <b/>
      <sz val="8"/>
      <name val="Helvetica"/>
      <family val="2"/>
    </font>
    <font>
      <b/>
      <sz val="10"/>
      <name val="Helvetica"/>
      <family val="2"/>
    </font>
    <font>
      <b/>
      <sz val="8"/>
      <name val="Helvetica"/>
      <family val="2"/>
    </font>
    <font>
      <b/>
      <sz val="10"/>
      <name val="Arial"/>
      <family val="2"/>
    </font>
    <font>
      <b/>
      <sz val="10"/>
      <color indexed="8"/>
      <name val="Arial"/>
      <family val="2"/>
    </font>
    <font>
      <b/>
      <sz val="8"/>
      <name val="Arial"/>
      <family val="2"/>
    </font>
    <font>
      <sz val="10"/>
      <name val="Arial"/>
      <family val="2"/>
    </font>
    <font>
      <i/>
      <sz val="8"/>
      <color indexed="8"/>
      <name val="Arial"/>
      <family val="2"/>
    </font>
    <font>
      <b/>
      <sz val="8"/>
      <color indexed="8"/>
      <name val="Arial"/>
      <family val="2"/>
    </font>
    <font>
      <sz val="8"/>
      <color indexed="8"/>
      <name val="Arial"/>
      <family val="2"/>
    </font>
    <font>
      <sz val="7"/>
      <color indexed="8"/>
      <name val="Arial"/>
      <family val="2"/>
    </font>
    <font>
      <b/>
      <i/>
      <sz val="8"/>
      <color indexed="8"/>
      <name val="Arial"/>
      <family val="2"/>
    </font>
    <font>
      <sz val="8"/>
      <color indexed="10"/>
      <name val="Arial"/>
      <family val="2"/>
    </font>
    <font>
      <b/>
      <sz val="12"/>
      <name val="Arial"/>
      <family val="2"/>
    </font>
    <font>
      <sz val="10"/>
      <name val="Arial"/>
      <family val="2"/>
    </font>
    <font>
      <sz val="10"/>
      <name val="Arial"/>
      <family val="2"/>
    </font>
    <font>
      <u/>
      <sz val="10"/>
      <color indexed="12"/>
      <name val="Arial"/>
      <family val="2"/>
    </font>
    <font>
      <b/>
      <u/>
      <sz val="9"/>
      <color indexed="12"/>
      <name val="Arial"/>
      <family val="2"/>
    </font>
    <font>
      <i/>
      <sz val="8"/>
      <color indexed="8"/>
      <name val="Helvetica"/>
      <family val="2"/>
    </font>
    <font>
      <i/>
      <sz val="8"/>
      <name val="Arial"/>
      <family val="2"/>
    </font>
    <font>
      <i/>
      <sz val="8"/>
      <name val="Helvetica"/>
      <family val="2"/>
    </font>
    <font>
      <i/>
      <sz val="8"/>
      <name val="Helvetica"/>
      <family val="2"/>
    </font>
    <font>
      <i/>
      <sz val="8"/>
      <name val="Courier"/>
      <family val="3"/>
    </font>
    <font>
      <i/>
      <sz val="7"/>
      <color indexed="8"/>
      <name val="Arial"/>
      <family val="2"/>
    </font>
    <font>
      <i/>
      <sz val="7"/>
      <color indexed="8"/>
      <name val="Helvetica"/>
      <family val="2"/>
    </font>
    <font>
      <i/>
      <sz val="7"/>
      <name val="Arial"/>
      <family val="2"/>
    </font>
    <font>
      <i/>
      <sz val="8"/>
      <name val="Arial"/>
      <family val="2"/>
    </font>
    <font>
      <i/>
      <sz val="7"/>
      <name val="Helvetica"/>
      <family val="2"/>
    </font>
    <font>
      <u/>
      <vertAlign val="subscript"/>
      <sz val="10"/>
      <color indexed="12"/>
      <name val="Arial"/>
      <family val="2"/>
    </font>
    <font>
      <b/>
      <sz val="8"/>
      <name val="Courier"/>
      <family val="3"/>
    </font>
    <font>
      <b/>
      <sz val="7"/>
      <name val="Helvetica"/>
      <family val="2"/>
    </font>
    <font>
      <b/>
      <sz val="7"/>
      <color indexed="8"/>
      <name val="Arial"/>
      <family val="2"/>
    </font>
    <font>
      <sz val="8"/>
      <name val="Helvetica"/>
      <family val="2"/>
    </font>
    <font>
      <b/>
      <i/>
      <sz val="8"/>
      <name val="Arial"/>
      <family val="2"/>
    </font>
    <font>
      <sz val="10"/>
      <color theme="1"/>
      <name val="Arial"/>
      <family val="2"/>
    </font>
    <font>
      <b/>
      <sz val="10"/>
      <color theme="1"/>
      <name val="Arial"/>
      <family val="2"/>
    </font>
    <font>
      <sz val="8"/>
      <color theme="1"/>
      <name val="Arial"/>
      <family val="2"/>
    </font>
    <font>
      <b/>
      <sz val="8"/>
      <color theme="1"/>
      <name val="Arial"/>
      <family val="2"/>
    </font>
    <font>
      <b/>
      <sz val="11"/>
      <color theme="1"/>
      <name val="Calibri"/>
      <family val="2"/>
      <scheme val="minor"/>
    </font>
    <font>
      <i/>
      <sz val="8"/>
      <color theme="1"/>
      <name val="Arial"/>
      <family val="2"/>
    </font>
    <font>
      <i/>
      <sz val="11"/>
      <color theme="1"/>
      <name val="Calibri"/>
      <family val="2"/>
      <scheme val="minor"/>
    </font>
    <font>
      <i/>
      <sz val="10"/>
      <color indexed="8"/>
      <name val="Arial"/>
      <family val="2"/>
    </font>
    <font>
      <sz val="10"/>
      <name val="Arial"/>
      <family val="2"/>
    </font>
  </fonts>
  <fills count="7">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9"/>
        <bgColor indexed="64"/>
      </patternFill>
    </fill>
    <fill>
      <patternFill patternType="solid">
        <fgColor rgb="FFBFBFBF"/>
        <bgColor indexed="64"/>
      </patternFill>
    </fill>
    <fill>
      <patternFill patternType="solid">
        <fgColor theme="0"/>
        <bgColor indexed="64"/>
      </patternFill>
    </fill>
  </fills>
  <borders count="15">
    <border>
      <left/>
      <right/>
      <top/>
      <bottom/>
      <diagonal/>
    </border>
    <border>
      <left/>
      <right/>
      <top style="thin">
        <color indexed="64"/>
      </top>
      <bottom style="double">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9"/>
      </right>
      <top/>
      <bottom style="thin">
        <color indexed="64"/>
      </bottom>
      <diagonal/>
    </border>
    <border>
      <left style="thin">
        <color indexed="9"/>
      </left>
      <right style="thin">
        <color indexed="9"/>
      </right>
      <top/>
      <bottom style="thin">
        <color indexed="64"/>
      </bottom>
      <diagonal/>
    </border>
    <border>
      <left style="thin">
        <color indexed="9"/>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auto="1"/>
      </right>
      <top style="thin">
        <color auto="1"/>
      </top>
      <bottom/>
      <diagonal/>
    </border>
    <border>
      <left/>
      <right style="thin">
        <color auto="1"/>
      </right>
      <top/>
      <bottom style="thin">
        <color auto="1"/>
      </bottom>
      <diagonal/>
    </border>
    <border>
      <left style="thin">
        <color indexed="64"/>
      </left>
      <right style="thin">
        <color indexed="64"/>
      </right>
      <top style="thin">
        <color indexed="64"/>
      </top>
      <bottom style="thin">
        <color indexed="64"/>
      </bottom>
      <diagonal/>
    </border>
  </borders>
  <cellStyleXfs count="28">
    <xf numFmtId="0" fontId="0" fillId="0" borderId="0"/>
    <xf numFmtId="0" fontId="4" fillId="0" borderId="0">
      <protection locked="0"/>
    </xf>
    <xf numFmtId="168" fontId="4" fillId="0" borderId="0">
      <protection locked="0"/>
    </xf>
    <xf numFmtId="0" fontId="5" fillId="0" borderId="0">
      <protection locked="0"/>
    </xf>
    <xf numFmtId="0" fontId="5" fillId="0" borderId="0">
      <protection locked="0"/>
    </xf>
    <xf numFmtId="0" fontId="15" fillId="0" borderId="0" applyNumberFormat="0" applyFill="0" applyBorder="0" applyAlignment="0" applyProtection="0">
      <alignment vertical="top"/>
      <protection locked="0"/>
    </xf>
    <xf numFmtId="0" fontId="2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1">
      <protection locked="0"/>
    </xf>
    <xf numFmtId="0" fontId="1" fillId="0" borderId="0"/>
    <xf numFmtId="9" fontId="59" fillId="0" borderId="0" applyFont="0" applyFill="0" applyBorder="0" applyAlignment="0" applyProtection="0"/>
  </cellStyleXfs>
  <cellXfs count="878">
    <xf numFmtId="0" fontId="0" fillId="0" borderId="0" xfId="0"/>
    <xf numFmtId="0" fontId="3" fillId="2" borderId="0" xfId="11" applyFont="1" applyFill="1"/>
    <xf numFmtId="0" fontId="6" fillId="0" borderId="0" xfId="11" applyFont="1"/>
    <xf numFmtId="0" fontId="3" fillId="2" borderId="0" xfId="11" applyFont="1" applyFill="1" applyBorder="1"/>
    <xf numFmtId="0" fontId="9" fillId="3" borderId="0" xfId="11" applyFont="1" applyFill="1" applyAlignment="1">
      <alignment horizontal="center"/>
    </xf>
    <xf numFmtId="0" fontId="6" fillId="0" borderId="0" xfId="23"/>
    <xf numFmtId="0" fontId="11" fillId="0" borderId="0" xfId="13" applyFont="1"/>
    <xf numFmtId="0" fontId="14" fillId="0" borderId="0" xfId="23" applyFont="1" applyFill="1" applyBorder="1" applyAlignment="1" applyProtection="1"/>
    <xf numFmtId="0" fontId="12" fillId="2" borderId="0" xfId="9" applyFont="1" applyFill="1" applyBorder="1"/>
    <xf numFmtId="0" fontId="12" fillId="2" borderId="0" xfId="9" applyFont="1" applyFill="1"/>
    <xf numFmtId="0" fontId="19" fillId="0" borderId="0" xfId="23" applyFont="1" applyAlignment="1" applyProtection="1">
      <alignment horizontal="left"/>
    </xf>
    <xf numFmtId="0" fontId="11" fillId="0" borderId="0" xfId="17" applyFont="1" applyBorder="1"/>
    <xf numFmtId="0" fontId="11" fillId="0" borderId="0" xfId="17" applyFont="1"/>
    <xf numFmtId="0" fontId="11" fillId="0" borderId="0" xfId="22" applyFont="1"/>
    <xf numFmtId="0" fontId="21" fillId="2" borderId="0" xfId="17" applyFont="1" applyFill="1"/>
    <xf numFmtId="0" fontId="25" fillId="0" borderId="2" xfId="17" applyFont="1" applyFill="1" applyBorder="1" applyProtection="1"/>
    <xf numFmtId="0" fontId="11" fillId="2" borderId="0" xfId="17" applyFont="1" applyFill="1"/>
    <xf numFmtId="0" fontId="25" fillId="0" borderId="3" xfId="17" applyFont="1" applyFill="1" applyBorder="1" applyProtection="1"/>
    <xf numFmtId="0" fontId="25" fillId="0" borderId="4" xfId="19" applyFont="1" applyFill="1" applyBorder="1" applyAlignment="1" applyProtection="1">
      <alignment horizontal="center"/>
    </xf>
    <xf numFmtId="0" fontId="11" fillId="2" borderId="0" xfId="17" applyFont="1" applyFill="1" applyBorder="1" applyAlignment="1" applyProtection="1">
      <alignment horizontal="left"/>
    </xf>
    <xf numFmtId="0" fontId="25" fillId="0" borderId="0" xfId="17" applyFont="1" applyFill="1" applyAlignment="1" applyProtection="1"/>
    <xf numFmtId="1" fontId="25" fillId="0" borderId="0" xfId="23" applyNumberFormat="1" applyFont="1" applyFill="1" applyAlignment="1" applyProtection="1">
      <alignment horizontal="right" indent="1"/>
    </xf>
    <xf numFmtId="0" fontId="26" fillId="0" borderId="0" xfId="17" applyFont="1" applyFill="1" applyBorder="1" applyAlignment="1" applyProtection="1"/>
    <xf numFmtId="171" fontId="26" fillId="0" borderId="0" xfId="17" quotePrefix="1" applyNumberFormat="1" applyFont="1" applyFill="1" applyBorder="1" applyAlignment="1" applyProtection="1">
      <alignment wrapText="1"/>
    </xf>
    <xf numFmtId="0" fontId="26" fillId="0" borderId="0" xfId="17" quotePrefix="1" applyFont="1" applyFill="1" applyBorder="1" applyAlignment="1" applyProtection="1">
      <alignment wrapText="1"/>
    </xf>
    <xf numFmtId="0" fontId="26" fillId="0" borderId="0" xfId="17" applyFont="1" applyFill="1" applyProtection="1"/>
    <xf numFmtId="0" fontId="11" fillId="2" borderId="0" xfId="17" applyFont="1" applyFill="1" applyAlignment="1" applyProtection="1">
      <alignment horizontal="left"/>
    </xf>
    <xf numFmtId="171" fontId="26" fillId="0" borderId="0" xfId="17" quotePrefix="1" applyNumberFormat="1" applyFont="1" applyFill="1" applyAlignment="1" applyProtection="1">
      <alignment wrapText="1"/>
    </xf>
    <xf numFmtId="0" fontId="26" fillId="0" borderId="0" xfId="17" applyFont="1" applyFill="1" applyAlignment="1" applyProtection="1">
      <alignment wrapText="1"/>
    </xf>
    <xf numFmtId="0" fontId="26" fillId="0" borderId="0" xfId="17" applyFont="1" applyFill="1" applyAlignment="1" applyProtection="1"/>
    <xf numFmtId="171" fontId="26" fillId="0" borderId="0" xfId="17" quotePrefix="1" applyNumberFormat="1" applyFont="1" applyFill="1" applyAlignment="1" applyProtection="1"/>
    <xf numFmtId="0" fontId="25" fillId="0" borderId="0" xfId="17" applyFont="1" applyFill="1" applyProtection="1"/>
    <xf numFmtId="171" fontId="26" fillId="0" borderId="0" xfId="17" quotePrefix="1" applyNumberFormat="1" applyFont="1" applyFill="1" applyBorder="1" applyAlignment="1" applyProtection="1"/>
    <xf numFmtId="0" fontId="11" fillId="2" borderId="0" xfId="17" applyFont="1" applyFill="1" applyProtection="1"/>
    <xf numFmtId="0" fontId="26" fillId="0" borderId="0" xfId="17" quotePrefix="1" applyFont="1" applyFill="1" applyAlignment="1" applyProtection="1"/>
    <xf numFmtId="0" fontId="27" fillId="2" borderId="0" xfId="20" applyFont="1" applyFill="1" applyProtection="1"/>
    <xf numFmtId="0" fontId="26" fillId="0" borderId="0" xfId="20" applyFont="1" applyFill="1" applyAlignment="1" applyProtection="1"/>
    <xf numFmtId="0" fontId="27" fillId="2" borderId="0" xfId="20" applyFont="1" applyFill="1" applyAlignment="1" applyProtection="1"/>
    <xf numFmtId="171" fontId="26" fillId="0" borderId="0" xfId="20" quotePrefix="1" applyNumberFormat="1" applyFont="1" applyFill="1" applyAlignment="1" applyProtection="1">
      <alignment horizontal="left"/>
    </xf>
    <xf numFmtId="171" fontId="26" fillId="0" borderId="0" xfId="20" applyNumberFormat="1" applyFont="1" applyFill="1" applyAlignment="1" applyProtection="1">
      <alignment horizontal="left"/>
    </xf>
    <xf numFmtId="171" fontId="26" fillId="0" borderId="0" xfId="20" quotePrefix="1" applyNumberFormat="1" applyFont="1" applyFill="1" applyAlignment="1" applyProtection="1"/>
    <xf numFmtId="171" fontId="26" fillId="0" borderId="0" xfId="20" applyNumberFormat="1" applyFont="1" applyFill="1" applyAlignment="1" applyProtection="1"/>
    <xf numFmtId="171" fontId="26" fillId="0" borderId="3" xfId="20" applyNumberFormat="1" applyFont="1" applyFill="1" applyBorder="1" applyAlignment="1" applyProtection="1"/>
    <xf numFmtId="0" fontId="11" fillId="0" borderId="0" xfId="20" applyFont="1"/>
    <xf numFmtId="0" fontId="11" fillId="0" borderId="0" xfId="23" applyFont="1" applyAlignment="1" applyProtection="1">
      <alignment horizontal="left"/>
    </xf>
    <xf numFmtId="0" fontId="26" fillId="0" borderId="0" xfId="9" applyFont="1" applyFill="1" applyProtection="1"/>
    <xf numFmtId="0" fontId="24" fillId="0" borderId="0" xfId="9" applyFont="1" applyFill="1" applyProtection="1"/>
    <xf numFmtId="0" fontId="11" fillId="0" borderId="0" xfId="23" applyFont="1"/>
    <xf numFmtId="167" fontId="26" fillId="0" borderId="5" xfId="9" applyNumberFormat="1" applyFont="1" applyFill="1" applyBorder="1" applyProtection="1"/>
    <xf numFmtId="0" fontId="11" fillId="2" borderId="0" xfId="22" applyFont="1" applyFill="1"/>
    <xf numFmtId="0" fontId="25" fillId="0" borderId="0" xfId="22" applyFont="1" applyFill="1" applyAlignment="1" applyProtection="1"/>
    <xf numFmtId="166" fontId="24" fillId="0" borderId="0" xfId="22" applyNumberFormat="1" applyFont="1" applyFill="1" applyAlignment="1" applyProtection="1">
      <alignment horizontal="center"/>
    </xf>
    <xf numFmtId="0" fontId="11" fillId="2" borderId="0" xfId="22" applyFont="1" applyFill="1" applyAlignment="1" applyProtection="1">
      <alignment horizontal="left"/>
    </xf>
    <xf numFmtId="0" fontId="22" fillId="0" borderId="0" xfId="22" applyFont="1" applyAlignment="1" applyProtection="1">
      <alignment horizontal="left"/>
    </xf>
    <xf numFmtId="0" fontId="25" fillId="0" borderId="0" xfId="22" quotePrefix="1" applyFont="1" applyFill="1" applyAlignment="1" applyProtection="1">
      <alignment horizontal="left"/>
    </xf>
    <xf numFmtId="0" fontId="25" fillId="0" borderId="0" xfId="22" applyFont="1" applyFill="1" applyAlignment="1" applyProtection="1">
      <alignment horizontal="left"/>
    </xf>
    <xf numFmtId="0" fontId="11" fillId="2" borderId="0" xfId="22" applyFont="1" applyFill="1" applyBorder="1" applyAlignment="1" applyProtection="1">
      <alignment horizontal="left"/>
    </xf>
    <xf numFmtId="0" fontId="11" fillId="2" borderId="0" xfId="23" applyFont="1" applyFill="1"/>
    <xf numFmtId="0" fontId="25" fillId="0" borderId="2" xfId="23" applyFont="1" applyFill="1" applyBorder="1" applyAlignment="1" applyProtection="1">
      <alignment horizontal="center"/>
    </xf>
    <xf numFmtId="0" fontId="25" fillId="0" borderId="0" xfId="23" applyFont="1" applyFill="1" applyBorder="1" applyAlignment="1" applyProtection="1"/>
    <xf numFmtId="0" fontId="25" fillId="0" borderId="0" xfId="23" applyFont="1" applyFill="1" applyAlignment="1" applyProtection="1">
      <alignment horizontal="center"/>
    </xf>
    <xf numFmtId="0" fontId="11" fillId="2" borderId="0" xfId="23" applyFont="1" applyFill="1" applyAlignment="1" applyProtection="1">
      <alignment horizontal="left"/>
    </xf>
    <xf numFmtId="166" fontId="25" fillId="0" borderId="0" xfId="23" applyNumberFormat="1" applyFont="1" applyFill="1" applyAlignment="1" applyProtection="1">
      <alignment horizontal="right"/>
    </xf>
    <xf numFmtId="0" fontId="25" fillId="0" borderId="0" xfId="23" applyFont="1" applyFill="1" applyAlignment="1" applyProtection="1">
      <alignment horizontal="right"/>
    </xf>
    <xf numFmtId="0" fontId="29" fillId="0" borderId="0" xfId="23" applyFont="1"/>
    <xf numFmtId="0" fontId="25" fillId="0" borderId="0" xfId="23" applyFont="1" applyFill="1" applyAlignment="1" applyProtection="1"/>
    <xf numFmtId="0" fontId="26" fillId="0" borderId="0" xfId="23" applyFont="1" applyFill="1" applyAlignment="1" applyProtection="1"/>
    <xf numFmtId="0" fontId="22" fillId="0" borderId="0" xfId="23" quotePrefix="1" applyFont="1" applyAlignment="1" applyProtection="1">
      <alignment horizontal="left"/>
    </xf>
    <xf numFmtId="165" fontId="25" fillId="0" borderId="0" xfId="23" applyNumberFormat="1" applyFont="1" applyFill="1" applyAlignment="1" applyProtection="1">
      <alignment horizontal="right"/>
    </xf>
    <xf numFmtId="165" fontId="25" fillId="0" borderId="3" xfId="23" applyNumberFormat="1" applyFont="1" applyFill="1" applyBorder="1" applyAlignment="1" applyProtection="1">
      <alignment horizontal="right"/>
    </xf>
    <xf numFmtId="0" fontId="11" fillId="0" borderId="0" xfId="23" applyFont="1" applyFill="1"/>
    <xf numFmtId="0" fontId="11" fillId="2" borderId="0" xfId="21" applyFont="1" applyFill="1"/>
    <xf numFmtId="0" fontId="11" fillId="0" borderId="0" xfId="21" applyFont="1"/>
    <xf numFmtId="0" fontId="28" fillId="2" borderId="0" xfId="21" applyFont="1" applyFill="1" applyProtection="1"/>
    <xf numFmtId="0" fontId="25" fillId="0" borderId="0" xfId="21" applyFont="1" applyFill="1" applyBorder="1" applyAlignment="1" applyProtection="1"/>
    <xf numFmtId="0" fontId="25" fillId="0" borderId="2" xfId="21" applyFont="1" applyFill="1" applyBorder="1" applyAlignment="1" applyProtection="1">
      <alignment horizontal="right"/>
    </xf>
    <xf numFmtId="0" fontId="11" fillId="2" borderId="0" xfId="21" applyFont="1" applyFill="1" applyAlignment="1" applyProtection="1">
      <alignment horizontal="left"/>
    </xf>
    <xf numFmtId="0" fontId="11" fillId="2" borderId="0" xfId="21" applyFont="1" applyFill="1" applyBorder="1" applyAlignment="1" applyProtection="1">
      <alignment horizontal="left"/>
    </xf>
    <xf numFmtId="0" fontId="25" fillId="0" borderId="0" xfId="21" applyFont="1" applyFill="1" applyAlignment="1" applyProtection="1"/>
    <xf numFmtId="0" fontId="22" fillId="0" borderId="0" xfId="21" applyFont="1" applyAlignment="1" applyProtection="1">
      <alignment horizontal="left"/>
    </xf>
    <xf numFmtId="166" fontId="11" fillId="0" borderId="0" xfId="21" applyNumberFormat="1" applyFont="1" applyProtection="1"/>
    <xf numFmtId="166" fontId="26" fillId="0" borderId="0" xfId="21" applyNumberFormat="1" applyFont="1" applyFill="1" applyAlignment="1" applyProtection="1">
      <alignment horizontal="right"/>
    </xf>
    <xf numFmtId="166" fontId="25" fillId="0" borderId="0" xfId="21" applyNumberFormat="1" applyFont="1" applyFill="1" applyAlignment="1" applyProtection="1">
      <alignment horizontal="right"/>
    </xf>
    <xf numFmtId="0" fontId="26" fillId="0" borderId="0" xfId="21" applyFont="1" applyFill="1" applyAlignment="1" applyProtection="1">
      <alignment horizontal="right"/>
    </xf>
    <xf numFmtId="0" fontId="11" fillId="2" borderId="0" xfId="13" applyFont="1" applyFill="1"/>
    <xf numFmtId="0" fontId="11" fillId="0" borderId="0" xfId="13" applyFont="1" applyBorder="1"/>
    <xf numFmtId="0" fontId="22" fillId="3" borderId="0" xfId="13" applyFont="1" applyFill="1" applyBorder="1"/>
    <xf numFmtId="0" fontId="25" fillId="0" borderId="0" xfId="13" applyFont="1" applyFill="1" applyBorder="1" applyAlignment="1" applyProtection="1">
      <alignment horizontal="center"/>
    </xf>
    <xf numFmtId="0" fontId="22" fillId="0" borderId="0" xfId="13" applyFont="1" applyFill="1"/>
    <xf numFmtId="0" fontId="11" fillId="0" borderId="0" xfId="16" applyFont="1"/>
    <xf numFmtId="0" fontId="11" fillId="2" borderId="0" xfId="16" applyFont="1" applyFill="1"/>
    <xf numFmtId="0" fontId="25" fillId="0" borderId="0" xfId="16" applyFont="1" applyFill="1" applyBorder="1" applyAlignment="1" applyProtection="1"/>
    <xf numFmtId="0" fontId="25" fillId="0" borderId="2" xfId="16" applyFont="1" applyFill="1" applyBorder="1" applyAlignment="1" applyProtection="1">
      <alignment horizontal="right"/>
    </xf>
    <xf numFmtId="0" fontId="11" fillId="2" borderId="0" xfId="16" applyFont="1" applyFill="1" applyAlignment="1" applyProtection="1">
      <alignment horizontal="left"/>
    </xf>
    <xf numFmtId="0" fontId="26" fillId="0" borderId="0" xfId="16" applyFont="1" applyFill="1" applyAlignment="1" applyProtection="1"/>
    <xf numFmtId="169" fontId="11" fillId="2" borderId="0" xfId="16" applyNumberFormat="1" applyFont="1" applyFill="1" applyAlignment="1" applyProtection="1">
      <alignment horizontal="left"/>
    </xf>
    <xf numFmtId="0" fontId="25" fillId="0" borderId="0" xfId="16" applyFont="1" applyFill="1" applyAlignment="1" applyProtection="1"/>
    <xf numFmtId="0" fontId="26" fillId="0" borderId="0" xfId="16" applyFont="1" applyFill="1" applyBorder="1" applyAlignment="1" applyProtection="1"/>
    <xf numFmtId="0" fontId="11" fillId="2" borderId="0" xfId="16" applyFont="1" applyFill="1" applyBorder="1" applyAlignment="1" applyProtection="1">
      <alignment horizontal="left"/>
    </xf>
    <xf numFmtId="169" fontId="25" fillId="0" borderId="0" xfId="16" applyNumberFormat="1" applyFont="1" applyFill="1" applyBorder="1" applyAlignment="1" applyProtection="1">
      <alignment horizontal="right"/>
    </xf>
    <xf numFmtId="0" fontId="11" fillId="0" borderId="0" xfId="18" applyFont="1"/>
    <xf numFmtId="0" fontId="11" fillId="2" borderId="0" xfId="18" applyFont="1" applyFill="1"/>
    <xf numFmtId="0" fontId="25" fillId="0" borderId="0" xfId="18" applyFont="1" applyFill="1" applyBorder="1" applyAlignment="1" applyProtection="1">
      <alignment horizontal="left"/>
    </xf>
    <xf numFmtId="165" fontId="25" fillId="0" borderId="2" xfId="18" applyNumberFormat="1" applyFont="1" applyFill="1" applyBorder="1" applyAlignment="1" applyProtection="1">
      <alignment horizontal="right"/>
    </xf>
    <xf numFmtId="0" fontId="11" fillId="2" borderId="0" xfId="18" applyFont="1" applyFill="1" applyAlignment="1" applyProtection="1">
      <alignment horizontal="left"/>
    </xf>
    <xf numFmtId="0" fontId="11" fillId="0" borderId="0" xfId="18" applyFont="1" applyAlignment="1">
      <alignment horizontal="left"/>
    </xf>
    <xf numFmtId="0" fontId="22" fillId="0" borderId="0" xfId="18" applyFont="1" applyAlignment="1" applyProtection="1">
      <alignment horizontal="left"/>
    </xf>
    <xf numFmtId="0" fontId="11" fillId="2" borderId="0" xfId="18" applyFont="1" applyFill="1" applyBorder="1" applyAlignment="1" applyProtection="1">
      <alignment horizontal="left"/>
    </xf>
    <xf numFmtId="0" fontId="11" fillId="0" borderId="0" xfId="18" applyFont="1" applyBorder="1" applyAlignment="1" applyProtection="1">
      <alignment horizontal="left"/>
    </xf>
    <xf numFmtId="0" fontId="22" fillId="0" borderId="0" xfId="18" applyFont="1" applyBorder="1" applyAlignment="1" applyProtection="1">
      <alignment horizontal="left"/>
    </xf>
    <xf numFmtId="0" fontId="11" fillId="2" borderId="3" xfId="22" applyFont="1" applyFill="1" applyBorder="1" applyAlignment="1" applyProtection="1">
      <alignment horizontal="left"/>
    </xf>
    <xf numFmtId="0" fontId="11" fillId="2" borderId="0" xfId="7" applyFont="1" applyFill="1"/>
    <xf numFmtId="0" fontId="11" fillId="0" borderId="0" xfId="7" applyFont="1"/>
    <xf numFmtId="0" fontId="22" fillId="3" borderId="0" xfId="7" applyFont="1" applyFill="1"/>
    <xf numFmtId="0" fontId="22" fillId="0" borderId="0" xfId="7" applyFont="1" applyFill="1"/>
    <xf numFmtId="0" fontId="22" fillId="0" borderId="0" xfId="7" applyFont="1" applyFill="1" applyBorder="1" applyAlignment="1">
      <alignment horizontal="center"/>
    </xf>
    <xf numFmtId="0" fontId="11" fillId="0" borderId="0" xfId="7" applyFont="1" applyBorder="1"/>
    <xf numFmtId="0" fontId="11" fillId="2" borderId="0" xfId="7" applyFont="1" applyFill="1" applyBorder="1"/>
    <xf numFmtId="0" fontId="22" fillId="0" borderId="0" xfId="7" applyFont="1" applyFill="1" applyBorder="1"/>
    <xf numFmtId="0" fontId="11" fillId="2" borderId="0" xfId="8" applyFont="1" applyFill="1"/>
    <xf numFmtId="0" fontId="11" fillId="0" borderId="0" xfId="8" applyFont="1" applyBorder="1"/>
    <xf numFmtId="0" fontId="11" fillId="0" borderId="0" xfId="8" applyFont="1"/>
    <xf numFmtId="0" fontId="22" fillId="0" borderId="0" xfId="8" applyFont="1" applyFill="1"/>
    <xf numFmtId="0" fontId="22" fillId="0" borderId="0" xfId="8" applyFont="1" applyFill="1" applyBorder="1" applyAlignment="1">
      <alignment horizontal="center"/>
    </xf>
    <xf numFmtId="0" fontId="11" fillId="3" borderId="0" xfId="8" applyFont="1" applyFill="1"/>
    <xf numFmtId="165" fontId="26" fillId="0" borderId="0" xfId="8" applyNumberFormat="1" applyFont="1" applyFill="1" applyAlignment="1" applyProtection="1">
      <alignment horizontal="center"/>
    </xf>
    <xf numFmtId="0" fontId="11" fillId="0" borderId="0" xfId="8" quotePrefix="1" applyFont="1"/>
    <xf numFmtId="165" fontId="11" fillId="0" borderId="0" xfId="8" quotePrefix="1" applyNumberFormat="1" applyFont="1"/>
    <xf numFmtId="165" fontId="11" fillId="0" borderId="0" xfId="8" applyNumberFormat="1" applyFont="1"/>
    <xf numFmtId="0" fontId="25" fillId="0" borderId="0" xfId="14" applyFont="1" applyFill="1" applyBorder="1" applyAlignment="1" applyProtection="1">
      <alignment horizontal="left"/>
    </xf>
    <xf numFmtId="171" fontId="11" fillId="0" borderId="0" xfId="18" applyNumberFormat="1" applyFont="1" applyAlignment="1" applyProtection="1">
      <alignment horizontal="left"/>
    </xf>
    <xf numFmtId="0" fontId="22" fillId="0" borderId="0" xfId="14" applyFont="1" applyAlignment="1" applyProtection="1">
      <alignment horizontal="left"/>
    </xf>
    <xf numFmtId="0" fontId="22" fillId="2" borderId="0" xfId="15" applyFont="1" applyFill="1"/>
    <xf numFmtId="0" fontId="11" fillId="2" borderId="0" xfId="15" applyFont="1" applyFill="1" applyAlignment="1" applyProtection="1">
      <alignment horizontal="left"/>
    </xf>
    <xf numFmtId="0" fontId="11" fillId="2" borderId="0" xfId="19" applyFont="1" applyFill="1"/>
    <xf numFmtId="0" fontId="11" fillId="0" borderId="0" xfId="19" applyFont="1"/>
    <xf numFmtId="0" fontId="25" fillId="0" borderId="0" xfId="19" applyFont="1" applyFill="1" applyBorder="1" applyAlignment="1" applyProtection="1"/>
    <xf numFmtId="0" fontId="26" fillId="0" borderId="2" xfId="19" applyFont="1" applyFill="1" applyBorder="1" applyAlignment="1" applyProtection="1">
      <alignment horizontal="center"/>
    </xf>
    <xf numFmtId="0" fontId="26" fillId="0" borderId="0" xfId="19" applyFont="1" applyFill="1" applyBorder="1" applyAlignment="1" applyProtection="1">
      <alignment horizontal="center"/>
    </xf>
    <xf numFmtId="0" fontId="11" fillId="0" borderId="0" xfId="19" applyFont="1" applyAlignment="1" applyProtection="1">
      <alignment horizontal="left"/>
    </xf>
    <xf numFmtId="0" fontId="11" fillId="2" borderId="0" xfId="19" applyFont="1" applyFill="1" applyAlignment="1" applyProtection="1">
      <alignment horizontal="left"/>
    </xf>
    <xf numFmtId="0" fontId="26" fillId="0" borderId="0" xfId="19" applyFont="1"/>
    <xf numFmtId="165" fontId="11" fillId="2" borderId="0" xfId="19" applyNumberFormat="1" applyFont="1" applyFill="1" applyAlignment="1" applyProtection="1">
      <alignment horizontal="left"/>
    </xf>
    <xf numFmtId="165" fontId="11" fillId="0" borderId="0" xfId="19" applyNumberFormat="1" applyFont="1"/>
    <xf numFmtId="0" fontId="25" fillId="0" borderId="0" xfId="19" applyFont="1" applyFill="1" applyAlignment="1" applyProtection="1"/>
    <xf numFmtId="169" fontId="11" fillId="2" borderId="0" xfId="19" applyNumberFormat="1" applyFont="1" applyFill="1" applyProtection="1"/>
    <xf numFmtId="167" fontId="11" fillId="2" borderId="0" xfId="19" applyNumberFormat="1" applyFont="1" applyFill="1" applyAlignment="1" applyProtection="1">
      <alignment horizontal="left"/>
    </xf>
    <xf numFmtId="0" fontId="11" fillId="2" borderId="0" xfId="9" applyFont="1" applyFill="1" applyBorder="1"/>
    <xf numFmtId="0" fontId="11" fillId="2" borderId="0" xfId="9" applyFont="1" applyFill="1"/>
    <xf numFmtId="0" fontId="11" fillId="2" borderId="3" xfId="9" applyFont="1" applyFill="1" applyBorder="1"/>
    <xf numFmtId="164" fontId="26" fillId="0" borderId="0" xfId="9" applyNumberFormat="1" applyFont="1" applyFill="1" applyAlignment="1" applyProtection="1">
      <alignment horizontal="center"/>
    </xf>
    <xf numFmtId="171" fontId="11" fillId="0" borderId="0" xfId="22" applyNumberFormat="1" applyFont="1" applyAlignment="1" applyProtection="1">
      <alignment horizontal="left"/>
    </xf>
    <xf numFmtId="171" fontId="11" fillId="0" borderId="0" xfId="22" applyNumberFormat="1" applyFont="1" applyBorder="1" applyAlignment="1" applyProtection="1">
      <alignment horizontal="left"/>
    </xf>
    <xf numFmtId="0" fontId="3" fillId="4" borderId="0" xfId="0" applyFont="1" applyFill="1" applyBorder="1"/>
    <xf numFmtId="0" fontId="11" fillId="4" borderId="0" xfId="23" applyFont="1" applyFill="1"/>
    <xf numFmtId="0" fontId="25" fillId="4" borderId="0" xfId="23" applyFont="1" applyFill="1" applyBorder="1" applyAlignment="1" applyProtection="1"/>
    <xf numFmtId="0" fontId="11" fillId="4" borderId="0" xfId="23" applyFont="1" applyFill="1" applyAlignment="1" applyProtection="1">
      <alignment horizontal="left"/>
    </xf>
    <xf numFmtId="0" fontId="29" fillId="4" borderId="0" xfId="23" applyFont="1" applyFill="1"/>
    <xf numFmtId="0" fontId="22" fillId="4" borderId="0" xfId="23" applyFont="1" applyFill="1" applyAlignment="1" applyProtection="1">
      <alignment horizontal="left"/>
    </xf>
    <xf numFmtId="0" fontId="11" fillId="4" borderId="0" xfId="23" applyFont="1" applyFill="1" applyBorder="1" applyAlignment="1" applyProtection="1">
      <alignment horizontal="left"/>
    </xf>
    <xf numFmtId="167" fontId="25" fillId="4" borderId="0" xfId="23" applyNumberFormat="1" applyFont="1" applyFill="1" applyBorder="1" applyAlignment="1" applyProtection="1">
      <alignment horizontal="center"/>
    </xf>
    <xf numFmtId="164" fontId="11" fillId="4" borderId="0" xfId="23" applyNumberFormat="1" applyFont="1" applyFill="1"/>
    <xf numFmtId="0" fontId="3" fillId="2" borderId="0" xfId="0" applyFont="1" applyFill="1" applyBorder="1"/>
    <xf numFmtId="0" fontId="11" fillId="0" borderId="0" xfId="9" applyFont="1" applyFill="1" applyBorder="1"/>
    <xf numFmtId="0" fontId="11" fillId="0" borderId="0" xfId="9" applyFont="1" applyFill="1"/>
    <xf numFmtId="0" fontId="11" fillId="0" borderId="0" xfId="22" applyFont="1" applyFill="1"/>
    <xf numFmtId="0" fontId="22" fillId="0" borderId="0" xfId="9" applyFont="1" applyFill="1" applyAlignment="1"/>
    <xf numFmtId="0" fontId="22" fillId="0" borderId="0" xfId="9" applyFont="1" applyFill="1" applyBorder="1" applyAlignment="1">
      <alignment horizontal="center"/>
    </xf>
    <xf numFmtId="0" fontId="22" fillId="0" borderId="0" xfId="9" applyFont="1" applyFill="1"/>
    <xf numFmtId="0" fontId="22" fillId="4" borderId="0" xfId="15" applyFont="1" applyFill="1"/>
    <xf numFmtId="0" fontId="25" fillId="4" borderId="0" xfId="24" applyFont="1" applyFill="1" applyBorder="1" applyAlignment="1" applyProtection="1"/>
    <xf numFmtId="0" fontId="25" fillId="4" borderId="0" xfId="15" applyFont="1" applyFill="1" applyBorder="1" applyAlignment="1" applyProtection="1">
      <alignment horizontal="center"/>
    </xf>
    <xf numFmtId="171" fontId="22" fillId="4" borderId="0" xfId="0" applyNumberFormat="1" applyFont="1" applyFill="1" applyBorder="1"/>
    <xf numFmtId="171" fontId="3" fillId="4" borderId="0" xfId="0" applyNumberFormat="1" applyFont="1" applyFill="1" applyBorder="1"/>
    <xf numFmtId="171" fontId="22" fillId="4" borderId="3" xfId="0" applyNumberFormat="1" applyFont="1" applyFill="1" applyBorder="1"/>
    <xf numFmtId="171" fontId="11" fillId="0" borderId="0" xfId="23" applyNumberFormat="1" applyFont="1" applyAlignment="1" applyProtection="1">
      <alignment horizontal="left"/>
    </xf>
    <xf numFmtId="171" fontId="26" fillId="0" borderId="0" xfId="23" applyNumberFormat="1" applyFont="1" applyFill="1" applyAlignment="1" applyProtection="1"/>
    <xf numFmtId="171" fontId="22" fillId="0" borderId="0" xfId="23" quotePrefix="1" applyNumberFormat="1" applyFont="1" applyAlignment="1" applyProtection="1">
      <alignment horizontal="left"/>
    </xf>
    <xf numFmtId="171" fontId="11" fillId="0" borderId="3" xfId="23" applyNumberFormat="1" applyFont="1" applyBorder="1" applyAlignment="1" applyProtection="1">
      <alignment horizontal="left"/>
    </xf>
    <xf numFmtId="171" fontId="11" fillId="4" borderId="0" xfId="23" applyNumberFormat="1" applyFont="1" applyFill="1" applyAlignment="1" applyProtection="1">
      <alignment horizontal="left"/>
    </xf>
    <xf numFmtId="171" fontId="22" fillId="4" borderId="0" xfId="23" applyNumberFormat="1" applyFont="1" applyFill="1" applyAlignment="1" applyProtection="1">
      <alignment horizontal="left"/>
    </xf>
    <xf numFmtId="171" fontId="22" fillId="4" borderId="3" xfId="23" applyNumberFormat="1" applyFont="1" applyFill="1" applyBorder="1" applyAlignment="1" applyProtection="1">
      <alignment horizontal="left"/>
    </xf>
    <xf numFmtId="171" fontId="14" fillId="0" borderId="0" xfId="23" applyNumberFormat="1" applyFont="1" applyFill="1" applyBorder="1" applyAlignment="1" applyProtection="1"/>
    <xf numFmtId="171" fontId="12" fillId="0" borderId="0" xfId="23" applyNumberFormat="1" applyFont="1" applyAlignment="1" applyProtection="1">
      <alignment horizontal="left"/>
    </xf>
    <xf numFmtId="171" fontId="12" fillId="0" borderId="3" xfId="23" applyNumberFormat="1" applyFont="1" applyBorder="1" applyAlignment="1" applyProtection="1">
      <alignment horizontal="left"/>
    </xf>
    <xf numFmtId="171" fontId="11" fillId="0" borderId="0" xfId="21" applyNumberFormat="1" applyFont="1" applyAlignment="1" applyProtection="1">
      <alignment horizontal="left"/>
    </xf>
    <xf numFmtId="171" fontId="11" fillId="0" borderId="0" xfId="21" applyNumberFormat="1" applyFont="1" applyBorder="1" applyAlignment="1" applyProtection="1">
      <alignment horizontal="left"/>
    </xf>
    <xf numFmtId="171" fontId="11" fillId="3" borderId="0" xfId="12" applyNumberFormat="1" applyFont="1" applyFill="1" applyBorder="1"/>
    <xf numFmtId="171" fontId="11" fillId="3" borderId="0" xfId="13" applyNumberFormat="1" applyFont="1" applyFill="1" applyBorder="1"/>
    <xf numFmtId="171" fontId="11" fillId="3" borderId="0" xfId="13" applyNumberFormat="1" applyFont="1" applyFill="1"/>
    <xf numFmtId="171" fontId="11" fillId="3" borderId="3" xfId="13" applyNumberFormat="1" applyFont="1" applyFill="1" applyBorder="1"/>
    <xf numFmtId="0" fontId="6" fillId="4" borderId="0" xfId="9" applyFont="1" applyFill="1"/>
    <xf numFmtId="0" fontId="6" fillId="4" borderId="0" xfId="22" applyFill="1"/>
    <xf numFmtId="0" fontId="17" fillId="4" borderId="0" xfId="9" applyFont="1" applyFill="1" applyAlignment="1"/>
    <xf numFmtId="0" fontId="17" fillId="4" borderId="0" xfId="9" applyFont="1" applyFill="1" applyBorder="1" applyAlignment="1">
      <alignment horizontal="center"/>
    </xf>
    <xf numFmtId="0" fontId="11" fillId="4" borderId="0" xfId="9" applyFont="1" applyFill="1"/>
    <xf numFmtId="164" fontId="13" fillId="4" borderId="0" xfId="9" applyNumberFormat="1" applyFont="1" applyFill="1" applyAlignment="1" applyProtection="1">
      <alignment horizontal="center"/>
    </xf>
    <xf numFmtId="0" fontId="6" fillId="4" borderId="0" xfId="9" applyFont="1" applyFill="1" applyBorder="1"/>
    <xf numFmtId="0" fontId="11" fillId="2" borderId="0" xfId="13" applyFont="1" applyFill="1" applyAlignment="1">
      <alignment wrapText="1"/>
    </xf>
    <xf numFmtId="171" fontId="26" fillId="0" borderId="0" xfId="16" applyNumberFormat="1" applyFont="1" applyFill="1" applyAlignment="1" applyProtection="1"/>
    <xf numFmtId="171" fontId="26" fillId="0" borderId="0" xfId="16" applyNumberFormat="1" applyFont="1" applyFill="1" applyBorder="1" applyAlignment="1" applyProtection="1"/>
    <xf numFmtId="171" fontId="26" fillId="0" borderId="3" xfId="16" applyNumberFormat="1" applyFont="1" applyFill="1" applyBorder="1" applyAlignment="1" applyProtection="1"/>
    <xf numFmtId="171" fontId="26" fillId="0" borderId="0" xfId="18" applyNumberFormat="1" applyFont="1" applyFill="1" applyBorder="1" applyAlignment="1" applyProtection="1">
      <alignment horizontal="left"/>
    </xf>
    <xf numFmtId="171" fontId="11" fillId="0" borderId="0" xfId="18" applyNumberFormat="1" applyFont="1" applyBorder="1" applyAlignment="1" applyProtection="1">
      <alignment horizontal="left"/>
    </xf>
    <xf numFmtId="171" fontId="11" fillId="3" borderId="0" xfId="7" applyNumberFormat="1" applyFont="1" applyFill="1"/>
    <xf numFmtId="171" fontId="11" fillId="3" borderId="3" xfId="7" applyNumberFormat="1" applyFont="1" applyFill="1" applyBorder="1"/>
    <xf numFmtId="171" fontId="11" fillId="3" borderId="0" xfId="8" applyNumberFormat="1" applyFont="1" applyFill="1"/>
    <xf numFmtId="171" fontId="11" fillId="3" borderId="3" xfId="8" applyNumberFormat="1" applyFont="1" applyFill="1" applyBorder="1"/>
    <xf numFmtId="171" fontId="11" fillId="0" borderId="0" xfId="19" applyNumberFormat="1" applyFont="1" applyAlignment="1" applyProtection="1">
      <alignment horizontal="left"/>
    </xf>
    <xf numFmtId="171" fontId="11" fillId="0" borderId="0" xfId="9" applyNumberFormat="1" applyFont="1" applyFill="1"/>
    <xf numFmtId="171" fontId="11" fillId="0" borderId="3" xfId="9" applyNumberFormat="1" applyFont="1" applyFill="1" applyBorder="1"/>
    <xf numFmtId="171" fontId="12" fillId="4" borderId="0" xfId="9" applyNumberFormat="1" applyFont="1" applyFill="1"/>
    <xf numFmtId="171" fontId="12" fillId="4" borderId="3" xfId="9" applyNumberFormat="1" applyFont="1" applyFill="1" applyBorder="1"/>
    <xf numFmtId="2" fontId="25" fillId="4" borderId="0" xfId="23" applyNumberFormat="1" applyFont="1" applyFill="1" applyAlignment="1" applyProtection="1">
      <alignment horizontal="right"/>
    </xf>
    <xf numFmtId="2" fontId="25" fillId="4" borderId="3" xfId="23" applyNumberFormat="1" applyFont="1" applyFill="1" applyBorder="1" applyAlignment="1" applyProtection="1">
      <alignment horizontal="right"/>
    </xf>
    <xf numFmtId="2" fontId="25" fillId="0" borderId="0" xfId="23" applyNumberFormat="1" applyFont="1" applyFill="1" applyAlignment="1" applyProtection="1">
      <alignment horizontal="right"/>
    </xf>
    <xf numFmtId="1" fontId="25" fillId="0" borderId="0" xfId="23" applyNumberFormat="1" applyFont="1" applyFill="1" applyAlignment="1" applyProtection="1">
      <alignment horizontal="right"/>
    </xf>
    <xf numFmtId="2" fontId="25" fillId="0" borderId="0" xfId="19" applyNumberFormat="1" applyFont="1" applyFill="1" applyAlignment="1" applyProtection="1">
      <alignment horizontal="right"/>
    </xf>
    <xf numFmtId="0" fontId="25" fillId="0" borderId="0" xfId="19" applyFont="1" applyFill="1" applyAlignment="1" applyProtection="1">
      <alignment horizontal="right"/>
    </xf>
    <xf numFmtId="166" fontId="25" fillId="0" borderId="0" xfId="19" applyNumberFormat="1" applyFont="1" applyFill="1" applyAlignment="1" applyProtection="1">
      <alignment horizontal="right"/>
    </xf>
    <xf numFmtId="0" fontId="25" fillId="0" borderId="0" xfId="22" applyFont="1" applyFill="1" applyAlignment="1" applyProtection="1">
      <alignment horizontal="right"/>
    </xf>
    <xf numFmtId="0" fontId="11" fillId="0" borderId="0" xfId="22" applyFont="1" applyAlignment="1">
      <alignment horizontal="right"/>
    </xf>
    <xf numFmtId="0" fontId="3" fillId="4" borderId="0" xfId="0" applyFont="1" applyFill="1" applyBorder="1" applyAlignment="1">
      <alignment horizontal="right"/>
    </xf>
    <xf numFmtId="1" fontId="14" fillId="0" borderId="0" xfId="23" applyNumberFormat="1" applyFont="1" applyFill="1" applyAlignment="1" applyProtection="1">
      <alignment horizontal="right"/>
    </xf>
    <xf numFmtId="1" fontId="8" fillId="0" borderId="0" xfId="11" applyNumberFormat="1" applyFont="1" applyFill="1" applyAlignment="1" applyProtection="1">
      <alignment horizontal="right"/>
    </xf>
    <xf numFmtId="165" fontId="8" fillId="0" borderId="0" xfId="11" applyNumberFormat="1" applyFont="1" applyFill="1" applyBorder="1" applyAlignment="1" applyProtection="1">
      <alignment horizontal="right"/>
    </xf>
    <xf numFmtId="0" fontId="7" fillId="0" borderId="0" xfId="11" applyFont="1" applyFill="1" applyBorder="1" applyAlignment="1">
      <alignment horizontal="right"/>
    </xf>
    <xf numFmtId="165" fontId="8" fillId="0" borderId="0" xfId="11" applyNumberFormat="1" applyFont="1" applyFill="1" applyAlignment="1" applyProtection="1">
      <alignment horizontal="right"/>
    </xf>
    <xf numFmtId="2" fontId="25" fillId="0" borderId="0" xfId="21" applyNumberFormat="1" applyFont="1" applyFill="1" applyAlignment="1" applyProtection="1">
      <alignment horizontal="right"/>
    </xf>
    <xf numFmtId="0" fontId="22" fillId="0" borderId="0" xfId="13" applyFont="1" applyFill="1" applyBorder="1" applyAlignment="1">
      <alignment horizontal="right"/>
    </xf>
    <xf numFmtId="2" fontId="22" fillId="0" borderId="0" xfId="13" applyNumberFormat="1" applyFont="1" applyFill="1" applyAlignment="1">
      <alignment horizontal="right"/>
    </xf>
    <xf numFmtId="2" fontId="25" fillId="0" borderId="0" xfId="16" applyNumberFormat="1" applyFont="1" applyFill="1" applyAlignment="1" applyProtection="1">
      <alignment horizontal="right"/>
    </xf>
    <xf numFmtId="169" fontId="25" fillId="0" borderId="0" xfId="16" applyNumberFormat="1" applyFont="1" applyFill="1" applyAlignment="1" applyProtection="1">
      <alignment horizontal="right"/>
    </xf>
    <xf numFmtId="165" fontId="25" fillId="0" borderId="0" xfId="18" applyNumberFormat="1" applyFont="1" applyFill="1" applyAlignment="1" applyProtection="1">
      <alignment horizontal="right"/>
    </xf>
    <xf numFmtId="2" fontId="25" fillId="0" borderId="0" xfId="18" applyNumberFormat="1" applyFont="1" applyFill="1" applyBorder="1" applyAlignment="1" applyProtection="1">
      <alignment horizontal="right"/>
    </xf>
    <xf numFmtId="3" fontId="25" fillId="0" borderId="0" xfId="7" applyNumberFormat="1" applyFont="1" applyFill="1" applyBorder="1" applyAlignment="1" applyProtection="1">
      <alignment horizontal="right"/>
    </xf>
    <xf numFmtId="164" fontId="25" fillId="4" borderId="0" xfId="15" applyNumberFormat="1" applyFont="1" applyFill="1" applyAlignment="1" applyProtection="1">
      <alignment horizontal="right"/>
    </xf>
    <xf numFmtId="2" fontId="25" fillId="4" borderId="0" xfId="15" applyNumberFormat="1" applyFont="1" applyFill="1" applyAlignment="1" applyProtection="1">
      <alignment horizontal="right"/>
    </xf>
    <xf numFmtId="3" fontId="25" fillId="0" borderId="0" xfId="23" applyNumberFormat="1" applyFont="1" applyFill="1" applyAlignment="1" applyProtection="1">
      <alignment horizontal="right"/>
    </xf>
    <xf numFmtId="3" fontId="26" fillId="0" borderId="0" xfId="19" applyNumberFormat="1" applyFont="1" applyFill="1" applyBorder="1" applyAlignment="1" applyProtection="1">
      <alignment horizontal="right"/>
    </xf>
    <xf numFmtId="3" fontId="25" fillId="0" borderId="0" xfId="19" applyNumberFormat="1" applyFont="1" applyFill="1" applyAlignment="1" applyProtection="1">
      <alignment horizontal="right"/>
    </xf>
    <xf numFmtId="165" fontId="25" fillId="0" borderId="0" xfId="19" applyNumberFormat="1" applyFont="1" applyFill="1" applyAlignment="1" applyProtection="1">
      <alignment horizontal="right"/>
    </xf>
    <xf numFmtId="170" fontId="25" fillId="0" borderId="0" xfId="19" applyNumberFormat="1" applyFont="1" applyFill="1" applyAlignment="1" applyProtection="1">
      <alignment horizontal="right"/>
    </xf>
    <xf numFmtId="165" fontId="22" fillId="0" borderId="0" xfId="9" applyNumberFormat="1" applyFont="1" applyFill="1" applyAlignment="1">
      <alignment horizontal="right"/>
    </xf>
    <xf numFmtId="164" fontId="22" fillId="0" borderId="0" xfId="9" applyNumberFormat="1" applyFont="1" applyFill="1" applyAlignment="1">
      <alignment horizontal="right"/>
    </xf>
    <xf numFmtId="3" fontId="25" fillId="0" borderId="0" xfId="9" applyNumberFormat="1" applyFont="1" applyFill="1" applyBorder="1" applyAlignment="1" applyProtection="1">
      <alignment horizontal="right"/>
    </xf>
    <xf numFmtId="164" fontId="25" fillId="0" borderId="0" xfId="9" applyNumberFormat="1" applyFont="1" applyFill="1" applyAlignment="1" applyProtection="1">
      <alignment horizontal="right"/>
    </xf>
    <xf numFmtId="3" fontId="19" fillId="4" borderId="0" xfId="9" applyNumberFormat="1" applyFont="1" applyFill="1" applyAlignment="1">
      <alignment horizontal="right"/>
    </xf>
    <xf numFmtId="0" fontId="17" fillId="4" borderId="0" xfId="9" applyFont="1" applyFill="1" applyBorder="1" applyAlignment="1">
      <alignment horizontal="right"/>
    </xf>
    <xf numFmtId="164" fontId="25" fillId="0" borderId="0" xfId="14" applyNumberFormat="1" applyFont="1" applyFill="1" applyAlignment="1" applyProtection="1">
      <alignment horizontal="right"/>
    </xf>
    <xf numFmtId="166" fontId="25" fillId="4" borderId="0" xfId="23" applyNumberFormat="1" applyFont="1" applyFill="1" applyBorder="1" applyAlignment="1" applyProtection="1">
      <alignment horizontal="right"/>
    </xf>
    <xf numFmtId="166" fontId="25" fillId="4" borderId="3" xfId="23" applyNumberFormat="1" applyFont="1" applyFill="1" applyBorder="1" applyAlignment="1" applyProtection="1">
      <alignment horizontal="right"/>
    </xf>
    <xf numFmtId="49" fontId="22" fillId="4" borderId="0" xfId="0" applyNumberFormat="1" applyFont="1" applyFill="1" applyBorder="1"/>
    <xf numFmtId="3" fontId="25" fillId="4" borderId="3" xfId="23" applyNumberFormat="1" applyFont="1" applyFill="1" applyBorder="1" applyAlignment="1" applyProtection="1">
      <alignment horizontal="right"/>
    </xf>
    <xf numFmtId="171" fontId="3" fillId="4" borderId="3" xfId="0" applyNumberFormat="1" applyFont="1" applyFill="1" applyBorder="1"/>
    <xf numFmtId="3" fontId="25" fillId="4" borderId="0" xfId="23" applyNumberFormat="1" applyFont="1" applyFill="1" applyBorder="1" applyAlignment="1" applyProtection="1">
      <alignment horizontal="right"/>
    </xf>
    <xf numFmtId="165" fontId="25" fillId="0" borderId="0" xfId="23" applyNumberFormat="1" applyFont="1" applyFill="1" applyBorder="1" applyAlignment="1" applyProtection="1">
      <alignment horizontal="right"/>
    </xf>
    <xf numFmtId="3" fontId="25" fillId="0" borderId="0" xfId="23" applyNumberFormat="1" applyFont="1" applyFill="1" applyBorder="1" applyAlignment="1" applyProtection="1">
      <alignment horizontal="right"/>
    </xf>
    <xf numFmtId="0" fontId="11" fillId="0" borderId="0" xfId="19" applyFont="1" applyBorder="1"/>
    <xf numFmtId="2" fontId="25" fillId="4" borderId="0" xfId="23" applyNumberFormat="1" applyFont="1" applyFill="1" applyBorder="1" applyAlignment="1" applyProtection="1">
      <alignment horizontal="right"/>
    </xf>
    <xf numFmtId="0" fontId="11" fillId="0" borderId="0" xfId="22" applyFont="1" applyBorder="1"/>
    <xf numFmtId="0" fontId="11" fillId="4" borderId="0" xfId="22" applyFont="1" applyFill="1"/>
    <xf numFmtId="171" fontId="11" fillId="0" borderId="3" xfId="22" applyNumberFormat="1" applyFont="1" applyBorder="1" applyAlignment="1" applyProtection="1">
      <alignment horizontal="left"/>
    </xf>
    <xf numFmtId="0" fontId="12" fillId="2" borderId="0" xfId="8" applyFont="1" applyFill="1"/>
    <xf numFmtId="0" fontId="0" fillId="0" borderId="0" xfId="0" applyAlignment="1">
      <alignment horizontal="left"/>
    </xf>
    <xf numFmtId="172" fontId="25" fillId="0" borderId="0" xfId="16" applyNumberFormat="1" applyFont="1" applyFill="1" applyAlignment="1" applyProtection="1">
      <alignment horizontal="right"/>
    </xf>
    <xf numFmtId="0" fontId="23" fillId="0" borderId="0" xfId="22" applyFont="1" applyBorder="1" applyAlignment="1"/>
    <xf numFmtId="0" fontId="0" fillId="0" borderId="0" xfId="0" applyBorder="1" applyAlignment="1"/>
    <xf numFmtId="3" fontId="25" fillId="0" borderId="3" xfId="23" applyNumberFormat="1" applyFont="1" applyFill="1" applyBorder="1" applyAlignment="1" applyProtection="1">
      <alignment horizontal="right"/>
    </xf>
    <xf numFmtId="164" fontId="25" fillId="4" borderId="0" xfId="23" applyNumberFormat="1" applyFont="1" applyFill="1" applyBorder="1" applyAlignment="1" applyProtection="1">
      <alignment horizontal="right"/>
    </xf>
    <xf numFmtId="164" fontId="25" fillId="4" borderId="0" xfId="23" applyNumberFormat="1" applyFont="1" applyFill="1" applyAlignment="1" applyProtection="1">
      <alignment horizontal="right"/>
    </xf>
    <xf numFmtId="164" fontId="25" fillId="4" borderId="3" xfId="23" applyNumberFormat="1" applyFont="1" applyFill="1" applyBorder="1" applyAlignment="1" applyProtection="1">
      <alignment horizontal="right"/>
    </xf>
    <xf numFmtId="0" fontId="11" fillId="4" borderId="0" xfId="18" applyFont="1" applyFill="1"/>
    <xf numFmtId="3" fontId="25" fillId="4" borderId="0" xfId="23" applyNumberFormat="1" applyFont="1" applyFill="1" applyAlignment="1" applyProtection="1">
      <alignment horizontal="right"/>
    </xf>
    <xf numFmtId="0" fontId="11" fillId="4" borderId="0" xfId="17" applyFont="1" applyFill="1"/>
    <xf numFmtId="166" fontId="25" fillId="4" borderId="0" xfId="19" applyNumberFormat="1" applyFont="1" applyFill="1" applyBorder="1" applyAlignment="1" applyProtection="1">
      <alignment horizontal="center"/>
    </xf>
    <xf numFmtId="171" fontId="12" fillId="4" borderId="0" xfId="23" applyNumberFormat="1" applyFont="1" applyFill="1" applyBorder="1" applyAlignment="1" applyProtection="1">
      <alignment horizontal="left"/>
    </xf>
    <xf numFmtId="165" fontId="14" fillId="4" borderId="0" xfId="23" applyNumberFormat="1" applyFont="1" applyFill="1" applyBorder="1" applyAlignment="1" applyProtection="1">
      <alignment horizontal="right" indent="1"/>
    </xf>
    <xf numFmtId="0" fontId="6" fillId="4" borderId="0" xfId="11" applyFont="1" applyFill="1"/>
    <xf numFmtId="171" fontId="11" fillId="4" borderId="0" xfId="21" applyNumberFormat="1" applyFont="1" applyFill="1" applyBorder="1" applyAlignment="1" applyProtection="1">
      <alignment horizontal="left"/>
    </xf>
    <xf numFmtId="1" fontId="25" fillId="4" borderId="0" xfId="21" applyNumberFormat="1" applyFont="1" applyFill="1" applyBorder="1" applyAlignment="1" applyProtection="1">
      <alignment horizontal="right" indent="1"/>
    </xf>
    <xf numFmtId="0" fontId="11" fillId="4" borderId="0" xfId="21" applyFont="1" applyFill="1"/>
    <xf numFmtId="0" fontId="10" fillId="4" borderId="0" xfId="13" applyFont="1" applyFill="1" applyAlignment="1"/>
    <xf numFmtId="2" fontId="27" fillId="4" borderId="0" xfId="13" applyNumberFormat="1" applyFont="1" applyFill="1" applyAlignment="1" applyProtection="1">
      <alignment horizontal="center"/>
    </xf>
    <xf numFmtId="0" fontId="11" fillId="4" borderId="0" xfId="13" applyFont="1" applyFill="1" applyBorder="1"/>
    <xf numFmtId="0" fontId="26" fillId="4" borderId="0" xfId="16" applyFont="1" applyFill="1" applyBorder="1" applyAlignment="1" applyProtection="1"/>
    <xf numFmtId="169" fontId="25" fillId="4" borderId="0" xfId="16" applyNumberFormat="1" applyFont="1" applyFill="1" applyAlignment="1" applyProtection="1">
      <alignment horizontal="right" indent="1"/>
    </xf>
    <xf numFmtId="0" fontId="11" fillId="4" borderId="0" xfId="16" applyFont="1" applyFill="1"/>
    <xf numFmtId="2" fontId="25" fillId="4" borderId="0" xfId="18" applyNumberFormat="1" applyFont="1" applyFill="1" applyBorder="1" applyAlignment="1" applyProtection="1">
      <alignment horizontal="right" indent="1"/>
    </xf>
    <xf numFmtId="0" fontId="11" fillId="4" borderId="0" xfId="7" applyFont="1" applyFill="1" applyBorder="1"/>
    <xf numFmtId="1" fontId="26" fillId="4" borderId="0" xfId="7" applyNumberFormat="1" applyFont="1" applyFill="1" applyBorder="1" applyAlignment="1" applyProtection="1">
      <alignment horizontal="center"/>
    </xf>
    <xf numFmtId="171" fontId="11" fillId="4" borderId="0" xfId="8" applyNumberFormat="1" applyFont="1" applyFill="1" applyBorder="1"/>
    <xf numFmtId="164" fontId="25" fillId="4" borderId="0" xfId="8" applyNumberFormat="1" applyFont="1" applyFill="1" applyBorder="1" applyAlignment="1" applyProtection="1">
      <alignment horizontal="right"/>
    </xf>
    <xf numFmtId="0" fontId="11" fillId="4" borderId="0" xfId="8" applyFont="1" applyFill="1" applyBorder="1"/>
    <xf numFmtId="0" fontId="23" fillId="0" borderId="0" xfId="0" applyFont="1"/>
    <xf numFmtId="0" fontId="26" fillId="0" borderId="0" xfId="20" applyFont="1" applyFill="1" applyProtection="1"/>
    <xf numFmtId="0" fontId="6" fillId="4" borderId="0" xfId="22" applyFill="1" applyBorder="1"/>
    <xf numFmtId="0" fontId="11" fillId="0" borderId="0" xfId="22" applyFont="1" applyFill="1" applyBorder="1"/>
    <xf numFmtId="0" fontId="11" fillId="0" borderId="0" xfId="23" applyFont="1" applyBorder="1"/>
    <xf numFmtId="0" fontId="11" fillId="0" borderId="0" xfId="18" applyFont="1" applyBorder="1"/>
    <xf numFmtId="0" fontId="11" fillId="0" borderId="0" xfId="16" applyFont="1" applyBorder="1"/>
    <xf numFmtId="0" fontId="11" fillId="0" borderId="0" xfId="21" applyFont="1" applyBorder="1"/>
    <xf numFmtId="0" fontId="6" fillId="0" borderId="0" xfId="11" applyFont="1" applyBorder="1"/>
    <xf numFmtId="0" fontId="6" fillId="0" borderId="0" xfId="23" applyBorder="1"/>
    <xf numFmtId="0" fontId="11" fillId="4" borderId="0" xfId="23" applyFont="1" applyFill="1" applyBorder="1"/>
    <xf numFmtId="0" fontId="11" fillId="4" borderId="0" xfId="22" applyFont="1" applyFill="1" applyBorder="1"/>
    <xf numFmtId="0" fontId="0" fillId="4" borderId="0" xfId="0" applyFill="1" applyBorder="1"/>
    <xf numFmtId="173" fontId="30" fillId="4" borderId="0" xfId="0" applyNumberFormat="1" applyFont="1" applyFill="1" applyBorder="1"/>
    <xf numFmtId="0" fontId="23" fillId="4" borderId="0" xfId="0" applyFont="1" applyFill="1" applyBorder="1"/>
    <xf numFmtId="0" fontId="33" fillId="4" borderId="0" xfId="5" applyFont="1" applyFill="1" applyBorder="1" applyAlignment="1" applyProtection="1"/>
    <xf numFmtId="0" fontId="23" fillId="4" borderId="0" xfId="0" applyFont="1" applyFill="1" applyBorder="1" applyAlignment="1"/>
    <xf numFmtId="0" fontId="31" fillId="4" borderId="0" xfId="0" applyFont="1" applyFill="1" applyBorder="1" applyAlignment="1"/>
    <xf numFmtId="0" fontId="11" fillId="4" borderId="0" xfId="23" applyFont="1" applyFill="1" applyBorder="1" applyAlignment="1"/>
    <xf numFmtId="0" fontId="23" fillId="4" borderId="0" xfId="23" applyFont="1" applyFill="1" applyBorder="1" applyAlignment="1"/>
    <xf numFmtId="0" fontId="11" fillId="4" borderId="0" xfId="21" applyFont="1" applyFill="1" applyBorder="1" applyAlignment="1"/>
    <xf numFmtId="0" fontId="33" fillId="4" borderId="0" xfId="5" applyFont="1" applyFill="1" applyBorder="1" applyAlignment="1" applyProtection="1">
      <alignment horizontal="left"/>
    </xf>
    <xf numFmtId="0" fontId="23" fillId="4" borderId="0" xfId="16" applyFont="1" applyFill="1" applyBorder="1" applyAlignment="1"/>
    <xf numFmtId="0" fontId="31" fillId="4" borderId="0" xfId="0" applyFont="1" applyFill="1" applyBorder="1" applyAlignment="1">
      <alignment horizontal="left"/>
    </xf>
    <xf numFmtId="0" fontId="11" fillId="4" borderId="0" xfId="24" applyFont="1" applyFill="1" applyBorder="1" applyAlignment="1"/>
    <xf numFmtId="0" fontId="32" fillId="4" borderId="0" xfId="0" applyFont="1" applyFill="1" applyBorder="1" applyAlignment="1"/>
    <xf numFmtId="0" fontId="22" fillId="0" borderId="0" xfId="19" applyFont="1" applyAlignment="1" applyProtection="1">
      <alignment horizontal="left"/>
    </xf>
    <xf numFmtId="0" fontId="26" fillId="2" borderId="0" xfId="20" applyFont="1" applyFill="1" applyAlignment="1" applyProtection="1"/>
    <xf numFmtId="165" fontId="25" fillId="4" borderId="3" xfId="23" applyNumberFormat="1" applyFont="1" applyFill="1" applyBorder="1" applyAlignment="1" applyProtection="1">
      <alignment horizontal="right"/>
    </xf>
    <xf numFmtId="2" fontId="24" fillId="0" borderId="0" xfId="23" applyNumberFormat="1" applyFont="1" applyFill="1" applyAlignment="1" applyProtection="1">
      <alignment horizontal="right"/>
    </xf>
    <xf numFmtId="1" fontId="24" fillId="0" borderId="0" xfId="23" applyNumberFormat="1" applyFont="1" applyFill="1" applyAlignment="1" applyProtection="1">
      <alignment horizontal="right"/>
    </xf>
    <xf numFmtId="165" fontId="24" fillId="0" borderId="0" xfId="23" applyNumberFormat="1" applyFont="1" applyFill="1" applyAlignment="1" applyProtection="1">
      <alignment horizontal="right"/>
    </xf>
    <xf numFmtId="166" fontId="24" fillId="0" borderId="0" xfId="23" applyNumberFormat="1" applyFont="1" applyFill="1" applyAlignment="1" applyProtection="1">
      <alignment horizontal="right"/>
    </xf>
    <xf numFmtId="2" fontId="24" fillId="0" borderId="0" xfId="19" applyNumberFormat="1" applyFont="1" applyFill="1" applyAlignment="1" applyProtection="1">
      <alignment horizontal="right"/>
    </xf>
    <xf numFmtId="0" fontId="24" fillId="0" borderId="0" xfId="19" applyFont="1" applyFill="1" applyAlignment="1" applyProtection="1">
      <alignment horizontal="right"/>
    </xf>
    <xf numFmtId="3" fontId="24" fillId="0" borderId="0" xfId="23" applyNumberFormat="1" applyFont="1" applyFill="1" applyAlignment="1" applyProtection="1">
      <alignment horizontal="right"/>
    </xf>
    <xf numFmtId="166" fontId="24" fillId="0" borderId="0" xfId="19" applyNumberFormat="1" applyFont="1" applyFill="1" applyAlignment="1" applyProtection="1">
      <alignment horizontal="right"/>
    </xf>
    <xf numFmtId="3" fontId="24" fillId="0" borderId="3" xfId="23" applyNumberFormat="1" applyFont="1" applyFill="1" applyBorder="1" applyAlignment="1" applyProtection="1">
      <alignment horizontal="right"/>
    </xf>
    <xf numFmtId="166" fontId="24" fillId="4" borderId="0" xfId="19" applyNumberFormat="1" applyFont="1" applyFill="1" applyBorder="1" applyAlignment="1" applyProtection="1">
      <alignment horizontal="center"/>
    </xf>
    <xf numFmtId="0" fontId="36" fillId="0" borderId="0" xfId="17" applyFont="1"/>
    <xf numFmtId="3" fontId="24" fillId="4" borderId="0" xfId="23" applyNumberFormat="1" applyFont="1" applyFill="1" applyAlignment="1" applyProtection="1">
      <alignment horizontal="right"/>
    </xf>
    <xf numFmtId="3" fontId="37" fillId="4" borderId="0" xfId="9" applyNumberFormat="1" applyFont="1" applyFill="1" applyAlignment="1">
      <alignment horizontal="right"/>
    </xf>
    <xf numFmtId="0" fontId="38" fillId="4" borderId="0" xfId="9" applyFont="1" applyFill="1" applyBorder="1" applyAlignment="1">
      <alignment horizontal="right"/>
    </xf>
    <xf numFmtId="3" fontId="24" fillId="4" borderId="0" xfId="23" applyNumberFormat="1" applyFont="1" applyFill="1" applyBorder="1" applyAlignment="1" applyProtection="1">
      <alignment horizontal="right"/>
    </xf>
    <xf numFmtId="3" fontId="24" fillId="4" borderId="3" xfId="23" applyNumberFormat="1" applyFont="1" applyFill="1" applyBorder="1" applyAlignment="1" applyProtection="1">
      <alignment horizontal="right"/>
    </xf>
    <xf numFmtId="164" fontId="35" fillId="4" borderId="0" xfId="9" applyNumberFormat="1" applyFont="1" applyFill="1" applyAlignment="1" applyProtection="1">
      <alignment horizontal="center"/>
    </xf>
    <xf numFmtId="0" fontId="39" fillId="4" borderId="0" xfId="9" applyFont="1" applyFill="1"/>
    <xf numFmtId="165" fontId="36" fillId="0" borderId="0" xfId="9" applyNumberFormat="1" applyFont="1" applyFill="1" applyAlignment="1">
      <alignment horizontal="right"/>
    </xf>
    <xf numFmtId="165" fontId="24" fillId="0" borderId="0" xfId="23" applyNumberFormat="1" applyFont="1" applyFill="1" applyBorder="1" applyAlignment="1" applyProtection="1">
      <alignment horizontal="right"/>
    </xf>
    <xf numFmtId="164" fontId="36" fillId="0" borderId="0" xfId="9" applyNumberFormat="1" applyFont="1" applyFill="1" applyAlignment="1">
      <alignment horizontal="right"/>
    </xf>
    <xf numFmtId="3" fontId="24" fillId="0" borderId="0" xfId="9" applyNumberFormat="1" applyFont="1" applyFill="1" applyBorder="1" applyAlignment="1" applyProtection="1">
      <alignment horizontal="right"/>
    </xf>
    <xf numFmtId="164" fontId="24" fillId="0" borderId="0" xfId="9" applyNumberFormat="1" applyFont="1" applyFill="1" applyAlignment="1" applyProtection="1">
      <alignment horizontal="right"/>
    </xf>
    <xf numFmtId="165" fontId="24" fillId="0" borderId="3" xfId="23" applyNumberFormat="1" applyFont="1" applyFill="1" applyBorder="1" applyAlignment="1" applyProtection="1">
      <alignment horizontal="right"/>
    </xf>
    <xf numFmtId="164" fontId="24" fillId="0" borderId="0" xfId="9" applyNumberFormat="1" applyFont="1" applyFill="1" applyAlignment="1" applyProtection="1">
      <alignment horizontal="center"/>
    </xf>
    <xf numFmtId="0" fontId="36" fillId="0" borderId="0" xfId="9" applyFont="1" applyFill="1"/>
    <xf numFmtId="3" fontId="24" fillId="0" borderId="0" xfId="19" applyNumberFormat="1" applyFont="1" applyFill="1" applyBorder="1" applyAlignment="1" applyProtection="1">
      <alignment horizontal="right"/>
    </xf>
    <xf numFmtId="3" fontId="24" fillId="0" borderId="0" xfId="19" applyNumberFormat="1" applyFont="1" applyFill="1" applyAlignment="1" applyProtection="1">
      <alignment horizontal="right"/>
    </xf>
    <xf numFmtId="2" fontId="24" fillId="4" borderId="0" xfId="23" applyNumberFormat="1" applyFont="1" applyFill="1" applyAlignment="1" applyProtection="1">
      <alignment horizontal="right"/>
    </xf>
    <xf numFmtId="165" fontId="24" fillId="0" borderId="0" xfId="19" applyNumberFormat="1" applyFont="1" applyFill="1" applyAlignment="1" applyProtection="1">
      <alignment horizontal="right"/>
    </xf>
    <xf numFmtId="170" fontId="24" fillId="0" borderId="0" xfId="19" applyNumberFormat="1" applyFont="1" applyFill="1" applyAlignment="1" applyProtection="1">
      <alignment horizontal="right"/>
    </xf>
    <xf numFmtId="164" fontId="24" fillId="4" borderId="3" xfId="23" applyNumberFormat="1" applyFont="1" applyFill="1" applyBorder="1" applyAlignment="1" applyProtection="1">
      <alignment horizontal="right"/>
    </xf>
    <xf numFmtId="0" fontId="36" fillId="0" borderId="0" xfId="19" applyFont="1"/>
    <xf numFmtId="164" fontId="24" fillId="4" borderId="0" xfId="23" applyNumberFormat="1" applyFont="1" applyFill="1" applyAlignment="1" applyProtection="1">
      <alignment horizontal="right"/>
    </xf>
    <xf numFmtId="164" fontId="24" fillId="4" borderId="0" xfId="15" applyNumberFormat="1" applyFont="1" applyFill="1" applyAlignment="1" applyProtection="1">
      <alignment horizontal="right"/>
    </xf>
    <xf numFmtId="2" fontId="24" fillId="4" borderId="0" xfId="15" applyNumberFormat="1" applyFont="1" applyFill="1" applyAlignment="1" applyProtection="1">
      <alignment horizontal="right"/>
    </xf>
    <xf numFmtId="165" fontId="24" fillId="4" borderId="3" xfId="23" applyNumberFormat="1" applyFont="1" applyFill="1" applyBorder="1" applyAlignment="1" applyProtection="1">
      <alignment horizontal="right"/>
    </xf>
    <xf numFmtId="164" fontId="24" fillId="0" borderId="0" xfId="14" applyNumberFormat="1" applyFont="1" applyFill="1" applyAlignment="1" applyProtection="1">
      <alignment horizontal="right"/>
    </xf>
    <xf numFmtId="164" fontId="24" fillId="4" borderId="0" xfId="23" applyNumberFormat="1" applyFont="1" applyFill="1" applyBorder="1" applyAlignment="1" applyProtection="1">
      <alignment horizontal="right"/>
    </xf>
    <xf numFmtId="164" fontId="24" fillId="4" borderId="0" xfId="8" applyNumberFormat="1" applyFont="1" applyFill="1" applyBorder="1" applyAlignment="1" applyProtection="1">
      <alignment horizontal="right"/>
    </xf>
    <xf numFmtId="165" fontId="24" fillId="0" borderId="0" xfId="8" applyNumberFormat="1" applyFont="1" applyFill="1" applyAlignment="1" applyProtection="1">
      <alignment horizontal="center"/>
    </xf>
    <xf numFmtId="0" fontId="36" fillId="0" borderId="0" xfId="8" applyFont="1"/>
    <xf numFmtId="0" fontId="36" fillId="0" borderId="0" xfId="8" quotePrefix="1" applyFont="1"/>
    <xf numFmtId="165" fontId="36" fillId="0" borderId="0" xfId="8" quotePrefix="1" applyNumberFormat="1" applyFont="1"/>
    <xf numFmtId="165" fontId="36" fillId="0" borderId="0" xfId="8" applyNumberFormat="1" applyFont="1"/>
    <xf numFmtId="3" fontId="24" fillId="0" borderId="0" xfId="23" applyNumberFormat="1" applyFont="1" applyFill="1" applyBorder="1" applyAlignment="1" applyProtection="1">
      <alignment horizontal="right"/>
    </xf>
    <xf numFmtId="1" fontId="24" fillId="4" borderId="0" xfId="7" applyNumberFormat="1" applyFont="1" applyFill="1" applyBorder="1" applyAlignment="1" applyProtection="1">
      <alignment horizontal="center"/>
    </xf>
    <xf numFmtId="0" fontId="36" fillId="0" borderId="0" xfId="7" applyFont="1"/>
    <xf numFmtId="165" fontId="24" fillId="0" borderId="0" xfId="18" applyNumberFormat="1" applyFont="1" applyFill="1" applyAlignment="1" applyProtection="1">
      <alignment horizontal="right"/>
    </xf>
    <xf numFmtId="2" fontId="24" fillId="0" borderId="0" xfId="18" applyNumberFormat="1" applyFont="1" applyFill="1" applyBorder="1" applyAlignment="1" applyProtection="1">
      <alignment horizontal="right"/>
    </xf>
    <xf numFmtId="2" fontId="24" fillId="4" borderId="0" xfId="18" applyNumberFormat="1" applyFont="1" applyFill="1" applyBorder="1" applyAlignment="1" applyProtection="1">
      <alignment horizontal="right" indent="1"/>
    </xf>
    <xf numFmtId="0" fontId="36" fillId="0" borderId="0" xfId="18" applyFont="1"/>
    <xf numFmtId="172" fontId="24" fillId="0" borderId="0" xfId="16" applyNumberFormat="1" applyFont="1" applyFill="1" applyAlignment="1" applyProtection="1">
      <alignment horizontal="right"/>
    </xf>
    <xf numFmtId="169" fontId="24" fillId="0" borderId="0" xfId="16" applyNumberFormat="1" applyFont="1" applyFill="1" applyAlignment="1" applyProtection="1">
      <alignment horizontal="right"/>
    </xf>
    <xf numFmtId="169" fontId="24" fillId="0" borderId="0" xfId="16" applyNumberFormat="1" applyFont="1" applyFill="1" applyBorder="1" applyAlignment="1" applyProtection="1">
      <alignment horizontal="right"/>
    </xf>
    <xf numFmtId="2" fontId="24" fillId="4" borderId="0" xfId="23" applyNumberFormat="1" applyFont="1" applyFill="1" applyBorder="1" applyAlignment="1" applyProtection="1">
      <alignment horizontal="right"/>
    </xf>
    <xf numFmtId="2" fontId="24" fillId="0" borderId="0" xfId="16" applyNumberFormat="1" applyFont="1" applyFill="1" applyAlignment="1" applyProtection="1">
      <alignment horizontal="right"/>
    </xf>
    <xf numFmtId="2" fontId="24" fillId="4" borderId="3" xfId="23" applyNumberFormat="1" applyFont="1" applyFill="1" applyBorder="1" applyAlignment="1" applyProtection="1">
      <alignment horizontal="right"/>
    </xf>
    <xf numFmtId="169" fontId="24" fillId="4" borderId="0" xfId="16" applyNumberFormat="1" applyFont="1" applyFill="1" applyAlignment="1" applyProtection="1">
      <alignment horizontal="right" indent="1"/>
    </xf>
    <xf numFmtId="0" fontId="36" fillId="0" borderId="0" xfId="16" applyFont="1"/>
    <xf numFmtId="0" fontId="36" fillId="0" borderId="0" xfId="13" applyFont="1" applyFill="1" applyBorder="1" applyAlignment="1">
      <alignment horizontal="right"/>
    </xf>
    <xf numFmtId="2" fontId="36" fillId="0" borderId="0" xfId="13" applyNumberFormat="1" applyFont="1" applyFill="1" applyAlignment="1">
      <alignment horizontal="right"/>
    </xf>
    <xf numFmtId="2" fontId="40" fillId="4" borderId="0" xfId="13" applyNumberFormat="1" applyFont="1" applyFill="1" applyAlignment="1" applyProtection="1">
      <alignment horizontal="center"/>
    </xf>
    <xf numFmtId="0" fontId="36" fillId="0" borderId="0" xfId="13" applyFont="1"/>
    <xf numFmtId="2" fontId="24" fillId="0" borderId="0" xfId="21" applyNumberFormat="1" applyFont="1" applyFill="1" applyAlignment="1" applyProtection="1">
      <alignment horizontal="right"/>
    </xf>
    <xf numFmtId="166" fontId="24" fillId="0" borderId="0" xfId="21" applyNumberFormat="1" applyFont="1" applyFill="1" applyAlignment="1" applyProtection="1">
      <alignment horizontal="right"/>
    </xf>
    <xf numFmtId="1" fontId="24" fillId="4" borderId="0" xfId="21" applyNumberFormat="1" applyFont="1" applyFill="1" applyBorder="1" applyAlignment="1" applyProtection="1">
      <alignment horizontal="right" indent="1"/>
    </xf>
    <xf numFmtId="0" fontId="36" fillId="0" borderId="0" xfId="21" applyFont="1"/>
    <xf numFmtId="1" fontId="41" fillId="0" borderId="0" xfId="11" applyNumberFormat="1" applyFont="1" applyFill="1" applyAlignment="1" applyProtection="1">
      <alignment horizontal="right"/>
    </xf>
    <xf numFmtId="1" fontId="35" fillId="0" borderId="0" xfId="23" applyNumberFormat="1" applyFont="1" applyFill="1" applyAlignment="1" applyProtection="1">
      <alignment horizontal="right"/>
    </xf>
    <xf numFmtId="165" fontId="41" fillId="0" borderId="0" xfId="11" applyNumberFormat="1" applyFont="1" applyFill="1" applyBorder="1" applyAlignment="1" applyProtection="1">
      <alignment horizontal="right"/>
    </xf>
    <xf numFmtId="0" fontId="42" fillId="0" borderId="0" xfId="11" applyFont="1" applyFill="1" applyBorder="1" applyAlignment="1">
      <alignment horizontal="right"/>
    </xf>
    <xf numFmtId="165" fontId="41" fillId="0" borderId="0" xfId="11" applyNumberFormat="1" applyFont="1" applyFill="1" applyAlignment="1" applyProtection="1">
      <alignment horizontal="right"/>
    </xf>
    <xf numFmtId="165" fontId="35" fillId="4" borderId="0" xfId="23" applyNumberFormat="1" applyFont="1" applyFill="1" applyBorder="1" applyAlignment="1" applyProtection="1">
      <alignment horizontal="right" indent="1"/>
    </xf>
    <xf numFmtId="0" fontId="39" fillId="0" borderId="0" xfId="11" applyFont="1"/>
    <xf numFmtId="167" fontId="24" fillId="4" borderId="0" xfId="23" applyNumberFormat="1" applyFont="1" applyFill="1" applyBorder="1" applyAlignment="1" applyProtection="1">
      <alignment horizontal="center"/>
    </xf>
    <xf numFmtId="164" fontId="36" fillId="4" borderId="0" xfId="23" applyNumberFormat="1" applyFont="1" applyFill="1"/>
    <xf numFmtId="0" fontId="36" fillId="4" borderId="0" xfId="23" applyFont="1" applyFill="1"/>
    <xf numFmtId="0" fontId="24" fillId="0" borderId="0" xfId="23" applyFont="1" applyFill="1" applyAlignment="1" applyProtection="1">
      <alignment horizontal="right"/>
    </xf>
    <xf numFmtId="0" fontId="36" fillId="0" borderId="0" xfId="23" applyFont="1"/>
    <xf numFmtId="166" fontId="24" fillId="4" borderId="0" xfId="23" applyNumberFormat="1" applyFont="1" applyFill="1" applyBorder="1" applyAlignment="1" applyProtection="1">
      <alignment horizontal="right"/>
    </xf>
    <xf numFmtId="0" fontId="43" fillId="4" borderId="0" xfId="0" applyFont="1" applyFill="1" applyBorder="1" applyAlignment="1">
      <alignment horizontal="right"/>
    </xf>
    <xf numFmtId="0" fontId="43" fillId="4" borderId="0" xfId="0" applyFont="1" applyFill="1" applyBorder="1"/>
    <xf numFmtId="0" fontId="24" fillId="0" borderId="0" xfId="22" applyFont="1" applyFill="1" applyAlignment="1" applyProtection="1">
      <alignment horizontal="right"/>
    </xf>
    <xf numFmtId="0" fontId="36" fillId="0" borderId="0" xfId="22" applyFont="1" applyAlignment="1">
      <alignment horizontal="right"/>
    </xf>
    <xf numFmtId="0" fontId="36" fillId="4" borderId="0" xfId="22" applyFont="1" applyFill="1"/>
    <xf numFmtId="0" fontId="36" fillId="0" borderId="0" xfId="22" applyFont="1"/>
    <xf numFmtId="165" fontId="24" fillId="0" borderId="2" xfId="18" applyNumberFormat="1" applyFont="1" applyFill="1" applyBorder="1" applyAlignment="1" applyProtection="1">
      <alignment horizontal="right"/>
    </xf>
    <xf numFmtId="0" fontId="38" fillId="4" borderId="0" xfId="9" applyFont="1" applyFill="1" applyBorder="1" applyAlignment="1">
      <alignment horizontal="center"/>
    </xf>
    <xf numFmtId="0" fontId="36" fillId="0" borderId="0" xfId="9" applyFont="1" applyFill="1" applyBorder="1" applyAlignment="1">
      <alignment horizontal="center"/>
    </xf>
    <xf numFmtId="0" fontId="24" fillId="0" borderId="2" xfId="19" applyFont="1" applyFill="1" applyBorder="1" applyAlignment="1" applyProtection="1">
      <alignment horizontal="center"/>
    </xf>
    <xf numFmtId="0" fontId="24" fillId="0" borderId="0" xfId="19" applyFont="1" applyFill="1" applyBorder="1" applyAlignment="1" applyProtection="1">
      <alignment horizontal="center"/>
    </xf>
    <xf numFmtId="0" fontId="24" fillId="4" borderId="0" xfId="15" applyFont="1" applyFill="1" applyBorder="1" applyAlignment="1" applyProtection="1">
      <alignment horizontal="center"/>
    </xf>
    <xf numFmtId="0" fontId="36" fillId="0" borderId="0" xfId="8" applyFont="1" applyFill="1" applyBorder="1" applyAlignment="1">
      <alignment horizontal="center"/>
    </xf>
    <xf numFmtId="0" fontId="36" fillId="0" borderId="0" xfId="7" applyFont="1" applyFill="1" applyBorder="1" applyAlignment="1">
      <alignment horizontal="center"/>
    </xf>
    <xf numFmtId="0" fontId="24" fillId="0" borderId="2" xfId="16" applyFont="1" applyFill="1" applyBorder="1" applyAlignment="1" applyProtection="1">
      <alignment horizontal="right"/>
    </xf>
    <xf numFmtId="0" fontId="24" fillId="0" borderId="0" xfId="13" applyFont="1" applyFill="1" applyBorder="1" applyAlignment="1" applyProtection="1">
      <alignment horizontal="center"/>
    </xf>
    <xf numFmtId="0" fontId="24" fillId="0" borderId="2" xfId="21" applyFont="1" applyFill="1" applyBorder="1" applyAlignment="1" applyProtection="1">
      <alignment horizontal="right"/>
    </xf>
    <xf numFmtId="0" fontId="44" fillId="3" borderId="0" xfId="11" applyFont="1" applyFill="1" applyAlignment="1">
      <alignment horizontal="center"/>
    </xf>
    <xf numFmtId="0" fontId="24" fillId="0" borderId="2" xfId="23" applyFont="1" applyFill="1" applyBorder="1" applyAlignment="1" applyProtection="1">
      <alignment horizontal="center"/>
    </xf>
    <xf numFmtId="1" fontId="24" fillId="0" borderId="0" xfId="23" applyNumberFormat="1" applyFont="1" applyFill="1" applyAlignment="1" applyProtection="1">
      <alignment horizontal="right" indent="1"/>
    </xf>
    <xf numFmtId="0" fontId="11" fillId="2" borderId="0" xfId="17" applyFont="1" applyFill="1" applyAlignment="1">
      <alignment vertical="top"/>
    </xf>
    <xf numFmtId="0" fontId="11" fillId="4" borderId="0" xfId="17" applyFont="1" applyFill="1" applyAlignment="1">
      <alignment vertical="top"/>
    </xf>
    <xf numFmtId="0" fontId="11" fillId="0" borderId="0" xfId="17" applyFont="1" applyAlignment="1">
      <alignment vertical="top"/>
    </xf>
    <xf numFmtId="0" fontId="11" fillId="2" borderId="0" xfId="22" applyFont="1" applyFill="1" applyBorder="1" applyAlignment="1" applyProtection="1">
      <alignment horizontal="left" vertical="top"/>
    </xf>
    <xf numFmtId="0" fontId="11" fillId="4" borderId="0" xfId="22" applyFont="1" applyFill="1" applyAlignment="1">
      <alignment vertical="top"/>
    </xf>
    <xf numFmtId="0" fontId="11" fillId="2" borderId="0" xfId="15" applyFont="1" applyFill="1" applyAlignment="1" applyProtection="1">
      <alignment horizontal="left" vertical="top"/>
    </xf>
    <xf numFmtId="0" fontId="11" fillId="0" borderId="0" xfId="22" applyFont="1" applyAlignment="1">
      <alignment vertical="top"/>
    </xf>
    <xf numFmtId="0" fontId="3" fillId="2" borderId="0" xfId="0" applyFont="1" applyFill="1" applyBorder="1" applyAlignment="1">
      <alignment vertical="top" wrapText="1"/>
    </xf>
    <xf numFmtId="0" fontId="3" fillId="4" borderId="0" xfId="0" applyFont="1" applyFill="1" applyBorder="1" applyAlignment="1">
      <alignment vertical="top" wrapText="1"/>
    </xf>
    <xf numFmtId="0" fontId="3" fillId="4" borderId="0" xfId="0" applyFont="1" applyFill="1" applyBorder="1" applyAlignment="1">
      <alignment vertical="top"/>
    </xf>
    <xf numFmtId="0" fontId="3" fillId="2" borderId="0" xfId="0" applyFont="1" applyFill="1" applyBorder="1" applyAlignment="1">
      <alignment vertical="top"/>
    </xf>
    <xf numFmtId="0" fontId="11" fillId="2" borderId="0" xfId="23" applyFont="1" applyFill="1" applyAlignment="1" applyProtection="1">
      <alignment horizontal="left" vertical="top"/>
    </xf>
    <xf numFmtId="0" fontId="11" fillId="4" borderId="0" xfId="23" applyFont="1" applyFill="1" applyAlignment="1">
      <alignment vertical="top"/>
    </xf>
    <xf numFmtId="0" fontId="11" fillId="0" borderId="0" xfId="23" applyFont="1" applyAlignment="1">
      <alignment vertical="top"/>
    </xf>
    <xf numFmtId="0" fontId="6" fillId="2" borderId="0" xfId="11" applyFont="1" applyFill="1" applyAlignment="1">
      <alignment vertical="top"/>
    </xf>
    <xf numFmtId="0" fontId="6" fillId="4" borderId="0" xfId="11" applyFont="1" applyFill="1" applyAlignment="1">
      <alignment vertical="top"/>
    </xf>
    <xf numFmtId="0" fontId="6" fillId="0" borderId="0" xfId="11" applyFont="1" applyAlignment="1">
      <alignment vertical="top"/>
    </xf>
    <xf numFmtId="0" fontId="28" fillId="2" borderId="0" xfId="21" applyFont="1" applyFill="1" applyAlignment="1" applyProtection="1">
      <alignment vertical="top"/>
    </xf>
    <xf numFmtId="0" fontId="11" fillId="4" borderId="0" xfId="21" applyFont="1" applyFill="1" applyAlignment="1">
      <alignment vertical="top"/>
    </xf>
    <xf numFmtId="0" fontId="11" fillId="0" borderId="0" xfId="21" applyFont="1" applyAlignment="1">
      <alignment vertical="top"/>
    </xf>
    <xf numFmtId="0" fontId="11" fillId="2" borderId="0" xfId="13" applyFont="1" applyFill="1" applyAlignment="1">
      <alignment vertical="top" wrapText="1"/>
    </xf>
    <xf numFmtId="0" fontId="11" fillId="4" borderId="0" xfId="13" applyFont="1" applyFill="1" applyBorder="1" applyAlignment="1">
      <alignment vertical="top"/>
    </xf>
    <xf numFmtId="0" fontId="11" fillId="2" borderId="0" xfId="13" applyFont="1" applyFill="1" applyAlignment="1">
      <alignment vertical="top"/>
    </xf>
    <xf numFmtId="0" fontId="11" fillId="0" borderId="0" xfId="13" applyFont="1" applyAlignment="1">
      <alignment vertical="top"/>
    </xf>
    <xf numFmtId="0" fontId="11" fillId="2" borderId="0" xfId="16" applyFont="1" applyFill="1" applyAlignment="1" applyProtection="1">
      <alignment horizontal="left" vertical="top"/>
    </xf>
    <xf numFmtId="0" fontId="11" fillId="4" borderId="0" xfId="16" applyFont="1" applyFill="1" applyAlignment="1">
      <alignment vertical="top"/>
    </xf>
    <xf numFmtId="0" fontId="11" fillId="0" borderId="0" xfId="16" applyFont="1" applyAlignment="1">
      <alignment vertical="top"/>
    </xf>
    <xf numFmtId="0" fontId="11" fillId="2" borderId="0" xfId="18" applyFont="1" applyFill="1" applyAlignment="1">
      <alignment vertical="top"/>
    </xf>
    <xf numFmtId="0" fontId="11" fillId="4" borderId="0" xfId="18" applyFont="1" applyFill="1" applyAlignment="1">
      <alignment vertical="top"/>
    </xf>
    <xf numFmtId="0" fontId="11" fillId="2" borderId="0" xfId="18" applyFont="1" applyFill="1" applyBorder="1" applyAlignment="1" applyProtection="1">
      <alignment horizontal="left" vertical="top"/>
    </xf>
    <xf numFmtId="0" fontId="11" fillId="0" borderId="0" xfId="15" applyFont="1" applyAlignment="1">
      <alignment vertical="top"/>
    </xf>
    <xf numFmtId="0" fontId="11" fillId="2" borderId="0" xfId="7" applyFont="1" applyFill="1" applyBorder="1" applyAlignment="1">
      <alignment vertical="top"/>
    </xf>
    <xf numFmtId="0" fontId="11" fillId="4" borderId="0" xfId="7" applyFont="1" applyFill="1" applyBorder="1" applyAlignment="1">
      <alignment vertical="top"/>
    </xf>
    <xf numFmtId="0" fontId="11" fillId="2" borderId="0" xfId="8" applyFont="1" applyFill="1" applyAlignment="1">
      <alignment vertical="top"/>
    </xf>
    <xf numFmtId="0" fontId="11" fillId="4" borderId="0" xfId="8" applyFont="1" applyFill="1" applyBorder="1" applyAlignment="1">
      <alignment vertical="top"/>
    </xf>
    <xf numFmtId="0" fontId="11" fillId="2" borderId="0" xfId="8" applyFont="1" applyFill="1" applyBorder="1" applyAlignment="1">
      <alignment vertical="top"/>
    </xf>
    <xf numFmtId="0" fontId="11" fillId="2" borderId="0" xfId="19" applyFont="1" applyFill="1" applyAlignment="1">
      <alignment vertical="top"/>
    </xf>
    <xf numFmtId="0" fontId="11" fillId="0" borderId="0" xfId="19" applyFont="1" applyAlignment="1">
      <alignment vertical="top"/>
    </xf>
    <xf numFmtId="0" fontId="11" fillId="2" borderId="0" xfId="9" applyFont="1" applyFill="1" applyAlignment="1">
      <alignment vertical="top"/>
    </xf>
    <xf numFmtId="0" fontId="11" fillId="0" borderId="0" xfId="9" applyFont="1" applyFill="1" applyBorder="1" applyAlignment="1">
      <alignment vertical="top"/>
    </xf>
    <xf numFmtId="0" fontId="11" fillId="0" borderId="0" xfId="9" applyFont="1" applyFill="1" applyAlignment="1">
      <alignment vertical="top"/>
    </xf>
    <xf numFmtId="0" fontId="6" fillId="4" borderId="0" xfId="9" applyFont="1" applyFill="1" applyBorder="1" applyAlignment="1">
      <alignment vertical="top"/>
    </xf>
    <xf numFmtId="0" fontId="12" fillId="2" borderId="0" xfId="9" applyFont="1" applyFill="1" applyAlignment="1">
      <alignment vertical="top"/>
    </xf>
    <xf numFmtId="0" fontId="6" fillId="4" borderId="0" xfId="9" applyFont="1" applyFill="1" applyAlignment="1">
      <alignment vertical="top"/>
    </xf>
    <xf numFmtId="0" fontId="26" fillId="4" borderId="2" xfId="22" applyFont="1" applyFill="1" applyBorder="1" applyProtection="1"/>
    <xf numFmtId="0" fontId="11" fillId="4" borderId="3" xfId="22" applyFont="1" applyFill="1" applyBorder="1"/>
    <xf numFmtId="171" fontId="11" fillId="4" borderId="3" xfId="0" applyNumberFormat="1" applyFont="1" applyFill="1" applyBorder="1"/>
    <xf numFmtId="169" fontId="25" fillId="4" borderId="3" xfId="23" applyNumberFormat="1" applyFont="1" applyFill="1" applyBorder="1" applyAlignment="1" applyProtection="1">
      <alignment horizontal="right"/>
    </xf>
    <xf numFmtId="169" fontId="24" fillId="4" borderId="3" xfId="23" applyNumberFormat="1" applyFont="1" applyFill="1" applyBorder="1" applyAlignment="1" applyProtection="1">
      <alignment horizontal="right"/>
    </xf>
    <xf numFmtId="166" fontId="3" fillId="4" borderId="0" xfId="0" applyNumberFormat="1" applyFont="1" applyFill="1" applyBorder="1" applyAlignment="1">
      <alignment horizontal="right"/>
    </xf>
    <xf numFmtId="0" fontId="11" fillId="2" borderId="0" xfId="19" applyFont="1" applyFill="1" applyBorder="1" applyAlignment="1" applyProtection="1">
      <alignment horizontal="left"/>
    </xf>
    <xf numFmtId="171" fontId="11" fillId="0" borderId="0" xfId="19" applyNumberFormat="1" applyFont="1" applyBorder="1" applyAlignment="1" applyProtection="1">
      <alignment horizontal="left"/>
    </xf>
    <xf numFmtId="165" fontId="11" fillId="4" borderId="0" xfId="22" applyNumberFormat="1" applyFont="1" applyFill="1"/>
    <xf numFmtId="169" fontId="25" fillId="4" borderId="0" xfId="23" applyNumberFormat="1" applyFont="1" applyFill="1" applyBorder="1" applyAlignment="1" applyProtection="1">
      <alignment horizontal="right"/>
    </xf>
    <xf numFmtId="169" fontId="24" fillId="4" borderId="0" xfId="23" applyNumberFormat="1" applyFont="1" applyFill="1" applyBorder="1" applyAlignment="1" applyProtection="1">
      <alignment horizontal="right"/>
    </xf>
    <xf numFmtId="2" fontId="25" fillId="0" borderId="0" xfId="23" applyNumberFormat="1" applyFont="1" applyFill="1" applyBorder="1" applyAlignment="1" applyProtection="1">
      <alignment horizontal="right"/>
    </xf>
    <xf numFmtId="2" fontId="24" fillId="0" borderId="0" xfId="23" applyNumberFormat="1" applyFont="1" applyFill="1" applyBorder="1" applyAlignment="1" applyProtection="1">
      <alignment horizontal="right"/>
    </xf>
    <xf numFmtId="2" fontId="25" fillId="0" borderId="3" xfId="23" applyNumberFormat="1" applyFont="1" applyFill="1" applyBorder="1" applyAlignment="1" applyProtection="1">
      <alignment horizontal="right"/>
    </xf>
    <xf numFmtId="2" fontId="24" fillId="0" borderId="3" xfId="23" applyNumberFormat="1" applyFont="1" applyFill="1" applyBorder="1" applyAlignment="1" applyProtection="1">
      <alignment horizontal="right"/>
    </xf>
    <xf numFmtId="2" fontId="22" fillId="0" borderId="0" xfId="8" applyNumberFormat="1" applyFont="1" applyFill="1" applyAlignment="1">
      <alignment horizontal="right"/>
    </xf>
    <xf numFmtId="2" fontId="36" fillId="0" borderId="0" xfId="8" applyNumberFormat="1" applyFont="1" applyFill="1" applyAlignment="1">
      <alignment horizontal="right"/>
    </xf>
    <xf numFmtId="0" fontId="36" fillId="4" borderId="0" xfId="0" applyFont="1" applyFill="1" applyBorder="1" applyAlignment="1">
      <alignment horizontal="right"/>
    </xf>
    <xf numFmtId="166" fontId="24" fillId="4" borderId="0" xfId="23" quotePrefix="1" applyNumberFormat="1" applyFont="1" applyFill="1" applyBorder="1" applyAlignment="1" applyProtection="1">
      <alignment horizontal="right"/>
    </xf>
    <xf numFmtId="0" fontId="36" fillId="4" borderId="0" xfId="0" applyFont="1" applyFill="1" applyBorder="1"/>
    <xf numFmtId="164" fontId="3" fillId="3" borderId="0" xfId="0" applyNumberFormat="1" applyFont="1" applyFill="1"/>
    <xf numFmtId="0" fontId="36" fillId="0" borderId="0" xfId="17" applyFont="1" applyBorder="1"/>
    <xf numFmtId="0" fontId="36" fillId="4" borderId="0" xfId="17" applyFont="1" applyFill="1"/>
    <xf numFmtId="0" fontId="36" fillId="4" borderId="0" xfId="17" applyFont="1" applyFill="1" applyAlignment="1">
      <alignment vertical="top"/>
    </xf>
    <xf numFmtId="0" fontId="36" fillId="0" borderId="0" xfId="17" applyFont="1" applyAlignment="1">
      <alignment vertical="top"/>
    </xf>
    <xf numFmtId="0" fontId="37" fillId="4" borderId="0" xfId="9" applyFont="1" applyFill="1" applyBorder="1" applyAlignment="1">
      <alignment horizontal="center"/>
    </xf>
    <xf numFmtId="165" fontId="36" fillId="4" borderId="0" xfId="22" applyNumberFormat="1" applyFont="1" applyFill="1"/>
    <xf numFmtId="0" fontId="36" fillId="4" borderId="0" xfId="22" applyFont="1" applyFill="1" applyAlignment="1">
      <alignment vertical="top"/>
    </xf>
    <xf numFmtId="0" fontId="36" fillId="0" borderId="0" xfId="22" applyFont="1" applyAlignment="1">
      <alignment vertical="top"/>
    </xf>
    <xf numFmtId="0" fontId="39" fillId="4" borderId="0" xfId="22" applyFont="1" applyFill="1"/>
    <xf numFmtId="0" fontId="39" fillId="4" borderId="0" xfId="9" applyFont="1" applyFill="1" applyBorder="1"/>
    <xf numFmtId="0" fontId="39" fillId="4" borderId="0" xfId="9" applyFont="1" applyFill="1" applyBorder="1" applyAlignment="1">
      <alignment vertical="top"/>
    </xf>
    <xf numFmtId="0" fontId="39" fillId="4" borderId="0" xfId="9" applyFont="1" applyFill="1" applyAlignment="1">
      <alignment vertical="top"/>
    </xf>
    <xf numFmtId="0" fontId="36" fillId="0" borderId="0" xfId="22" applyFont="1" applyFill="1"/>
    <xf numFmtId="0" fontId="36" fillId="0" borderId="0" xfId="9" applyFont="1" applyFill="1" applyBorder="1"/>
    <xf numFmtId="0" fontId="36" fillId="0" borderId="0" xfId="9" applyFont="1" applyFill="1" applyBorder="1" applyAlignment="1">
      <alignment vertical="top"/>
    </xf>
    <xf numFmtId="0" fontId="36" fillId="0" borderId="0" xfId="9" applyFont="1" applyFill="1" applyAlignment="1">
      <alignment vertical="top"/>
    </xf>
    <xf numFmtId="0" fontId="36" fillId="0" borderId="0" xfId="19" applyFont="1" applyAlignment="1">
      <alignment vertical="top"/>
    </xf>
    <xf numFmtId="0" fontId="36" fillId="0" borderId="0" xfId="15" applyFont="1" applyAlignment="1">
      <alignment vertical="top"/>
    </xf>
    <xf numFmtId="0" fontId="36" fillId="4" borderId="0" xfId="8" applyFont="1" applyFill="1" applyBorder="1"/>
    <xf numFmtId="0" fontId="36" fillId="4" borderId="0" xfId="8" applyFont="1" applyFill="1" applyBorder="1" applyAlignment="1">
      <alignment vertical="top"/>
    </xf>
    <xf numFmtId="0" fontId="36" fillId="4" borderId="0" xfId="7" applyFont="1" applyFill="1" applyBorder="1"/>
    <xf numFmtId="0" fontId="36" fillId="4" borderId="0" xfId="7" applyFont="1" applyFill="1" applyBorder="1" applyAlignment="1">
      <alignment vertical="top"/>
    </xf>
    <xf numFmtId="0" fontId="36" fillId="4" borderId="0" xfId="18" applyFont="1" applyFill="1"/>
    <xf numFmtId="0" fontId="36" fillId="4" borderId="0" xfId="18" applyFont="1" applyFill="1" applyAlignment="1">
      <alignment vertical="top"/>
    </xf>
    <xf numFmtId="0" fontId="36" fillId="4" borderId="0" xfId="16" applyFont="1" applyFill="1"/>
    <xf numFmtId="0" fontId="36" fillId="4" borderId="0" xfId="16" applyFont="1" applyFill="1" applyAlignment="1">
      <alignment vertical="top"/>
    </xf>
    <xf numFmtId="0" fontId="36" fillId="0" borderId="0" xfId="16" applyFont="1" applyAlignment="1">
      <alignment vertical="top"/>
    </xf>
    <xf numFmtId="0" fontId="36" fillId="4" borderId="0" xfId="13" applyFont="1" applyFill="1" applyBorder="1"/>
    <xf numFmtId="0" fontId="36" fillId="4" borderId="0" xfId="13" applyFont="1" applyFill="1" applyBorder="1" applyAlignment="1">
      <alignment vertical="top"/>
    </xf>
    <xf numFmtId="0" fontId="36" fillId="0" borderId="0" xfId="13" applyFont="1" applyAlignment="1">
      <alignment vertical="top"/>
    </xf>
    <xf numFmtId="0" fontId="36" fillId="4" borderId="0" xfId="21" applyFont="1" applyFill="1"/>
    <xf numFmtId="0" fontId="36" fillId="4" borderId="0" xfId="21" applyFont="1" applyFill="1" applyAlignment="1">
      <alignment vertical="top"/>
    </xf>
    <xf numFmtId="0" fontId="36" fillId="0" borderId="0" xfId="21" applyFont="1" applyAlignment="1">
      <alignment vertical="top"/>
    </xf>
    <xf numFmtId="0" fontId="24" fillId="0" borderId="0" xfId="21" applyFont="1" applyFill="1" applyAlignment="1" applyProtection="1">
      <alignment horizontal="right"/>
    </xf>
    <xf numFmtId="0" fontId="39" fillId="0" borderId="0" xfId="23" applyFont="1"/>
    <xf numFmtId="0" fontId="39" fillId="4" borderId="0" xfId="11" applyFont="1" applyFill="1"/>
    <xf numFmtId="0" fontId="39" fillId="4" borderId="0" xfId="11" applyFont="1" applyFill="1" applyAlignment="1">
      <alignment vertical="top"/>
    </xf>
    <xf numFmtId="0" fontId="39" fillId="0" borderId="0" xfId="11" applyFont="1" applyAlignment="1">
      <alignment vertical="top"/>
    </xf>
    <xf numFmtId="0" fontId="36" fillId="4" borderId="0" xfId="23" applyFont="1" applyFill="1" applyAlignment="1">
      <alignment vertical="top"/>
    </xf>
    <xf numFmtId="0" fontId="36" fillId="0" borderId="0" xfId="23" applyFont="1" applyAlignment="1">
      <alignment vertical="top"/>
    </xf>
    <xf numFmtId="0" fontId="36" fillId="4" borderId="0" xfId="0" applyFont="1" applyFill="1" applyBorder="1" applyAlignment="1">
      <alignment vertical="top"/>
    </xf>
    <xf numFmtId="0" fontId="36" fillId="4" borderId="0" xfId="0" applyFont="1" applyFill="1" applyBorder="1" applyAlignment="1">
      <alignment vertical="top" wrapText="1"/>
    </xf>
    <xf numFmtId="0" fontId="25" fillId="4" borderId="0" xfId="15" applyFont="1" applyFill="1" applyAlignment="1" applyProtection="1">
      <alignment horizontal="right"/>
    </xf>
    <xf numFmtId="0" fontId="23" fillId="0" borderId="3" xfId="22" applyFont="1" applyBorder="1" applyAlignment="1"/>
    <xf numFmtId="0" fontId="0" fillId="0" borderId="3" xfId="0" applyBorder="1" applyAlignment="1"/>
    <xf numFmtId="0" fontId="23" fillId="0" borderId="3" xfId="22" applyFont="1" applyBorder="1" applyAlignment="1">
      <alignment wrapText="1"/>
    </xf>
    <xf numFmtId="0" fontId="0" fillId="0" borderId="3" xfId="0" applyBorder="1" applyAlignment="1">
      <alignment wrapText="1"/>
    </xf>
    <xf numFmtId="0" fontId="21" fillId="0" borderId="0" xfId="14" applyFont="1" applyFill="1" applyBorder="1" applyAlignment="1" applyProtection="1"/>
    <xf numFmtId="0" fontId="3" fillId="0" borderId="0" xfId="14" applyFont="1"/>
    <xf numFmtId="0" fontId="23" fillId="0" borderId="3" xfId="6" applyBorder="1" applyAlignment="1"/>
    <xf numFmtId="0" fontId="3" fillId="2" borderId="0" xfId="14" applyFont="1" applyFill="1" applyAlignment="1"/>
    <xf numFmtId="0" fontId="26" fillId="0" borderId="2" xfId="14" applyFont="1" applyFill="1" applyBorder="1" applyAlignment="1" applyProtection="1">
      <alignment horizontal="center"/>
    </xf>
    <xf numFmtId="0" fontId="3" fillId="0" borderId="3" xfId="14" applyFont="1" applyBorder="1" applyAlignment="1">
      <alignment horizontal="center"/>
    </xf>
    <xf numFmtId="0" fontId="3" fillId="0" borderId="2" xfId="14" applyFont="1" applyBorder="1" applyAlignment="1">
      <alignment horizontal="right"/>
    </xf>
    <xf numFmtId="0" fontId="25" fillId="0" borderId="2" xfId="14" applyFont="1" applyFill="1" applyBorder="1" applyAlignment="1" applyProtection="1">
      <alignment horizontal="right"/>
    </xf>
    <xf numFmtId="0" fontId="24" fillId="0" borderId="2" xfId="14" applyFont="1" applyFill="1" applyBorder="1" applyAlignment="1" applyProtection="1">
      <alignment horizontal="right"/>
    </xf>
    <xf numFmtId="0" fontId="3" fillId="2" borderId="0" xfId="14" applyFont="1" applyFill="1" applyAlignment="1" applyProtection="1">
      <alignment horizontal="left"/>
    </xf>
    <xf numFmtId="171" fontId="3" fillId="0" borderId="0" xfId="14" applyNumberFormat="1" applyFont="1" applyAlignment="1" applyProtection="1">
      <alignment horizontal="left"/>
    </xf>
    <xf numFmtId="0" fontId="3" fillId="2" borderId="0" xfId="18" applyFont="1" applyFill="1" applyAlignment="1" applyProtection="1">
      <alignment horizontal="left"/>
    </xf>
    <xf numFmtId="171" fontId="3" fillId="0" borderId="0" xfId="18" applyNumberFormat="1" applyFont="1" applyAlignment="1" applyProtection="1">
      <alignment horizontal="left"/>
    </xf>
    <xf numFmtId="0" fontId="3" fillId="0" borderId="0" xfId="14" applyFont="1" applyAlignment="1" applyProtection="1">
      <alignment horizontal="left"/>
    </xf>
    <xf numFmtId="0" fontId="3" fillId="2" borderId="3" xfId="14" applyFont="1" applyFill="1" applyBorder="1" applyAlignment="1" applyProtection="1">
      <alignment horizontal="left"/>
    </xf>
    <xf numFmtId="171" fontId="3" fillId="0" borderId="3" xfId="14" applyNumberFormat="1" applyFont="1" applyBorder="1" applyAlignment="1" applyProtection="1">
      <alignment horizontal="left"/>
    </xf>
    <xf numFmtId="0" fontId="3" fillId="0" borderId="0" xfId="14" quotePrefix="1" applyFont="1" applyBorder="1" applyAlignment="1" applyProtection="1">
      <alignment horizontal="left"/>
    </xf>
    <xf numFmtId="0" fontId="23" fillId="0" borderId="0" xfId="6" applyBorder="1" applyAlignment="1">
      <alignment horizontal="left"/>
    </xf>
    <xf numFmtId="0" fontId="24" fillId="2" borderId="0" xfId="14" applyFont="1" applyFill="1" applyAlignment="1" applyProtection="1"/>
    <xf numFmtId="0" fontId="23" fillId="0" borderId="0" xfId="6" applyBorder="1" applyAlignment="1"/>
    <xf numFmtId="0" fontId="23" fillId="0" borderId="0" xfId="6" applyAlignment="1">
      <alignment horizontal="left"/>
    </xf>
    <xf numFmtId="0" fontId="3" fillId="0" borderId="0" xfId="23" applyFont="1" applyFill="1"/>
    <xf numFmtId="0" fontId="3" fillId="0" borderId="0" xfId="23" applyFont="1"/>
    <xf numFmtId="0" fontId="3" fillId="0" borderId="0" xfId="18" applyFont="1"/>
    <xf numFmtId="0" fontId="3" fillId="0" borderId="0" xfId="23" applyFont="1" applyAlignment="1" applyProtection="1">
      <alignment horizontal="left"/>
    </xf>
    <xf numFmtId="1" fontId="3" fillId="0" borderId="0" xfId="23" applyNumberFormat="1" applyFont="1"/>
    <xf numFmtId="1" fontId="3" fillId="0" borderId="0" xfId="14" applyNumberFormat="1" applyFont="1"/>
    <xf numFmtId="164" fontId="3" fillId="0" borderId="0" xfId="14" applyNumberFormat="1" applyFont="1"/>
    <xf numFmtId="3" fontId="3" fillId="0" borderId="0" xfId="14" applyNumberFormat="1" applyFont="1"/>
    <xf numFmtId="0" fontId="3" fillId="2" borderId="0" xfId="14" applyFont="1" applyFill="1"/>
    <xf numFmtId="0" fontId="3" fillId="2" borderId="0" xfId="14" applyFont="1" applyFill="1" applyBorder="1" applyAlignment="1" applyProtection="1">
      <alignment horizontal="left"/>
    </xf>
    <xf numFmtId="171" fontId="3" fillId="0" borderId="0" xfId="18" applyNumberFormat="1" applyFont="1" applyBorder="1" applyAlignment="1" applyProtection="1">
      <alignment horizontal="left"/>
    </xf>
    <xf numFmtId="171" fontId="3" fillId="0" borderId="3" xfId="15" applyNumberFormat="1" applyFont="1" applyBorder="1" applyAlignment="1" applyProtection="1">
      <alignment horizontal="left"/>
    </xf>
    <xf numFmtId="172" fontId="25" fillId="4" borderId="3" xfId="23" applyNumberFormat="1" applyFont="1" applyFill="1" applyBorder="1" applyAlignment="1" applyProtection="1">
      <alignment horizontal="right"/>
    </xf>
    <xf numFmtId="172" fontId="24" fillId="4" borderId="3" xfId="23" applyNumberFormat="1" applyFont="1" applyFill="1" applyBorder="1" applyAlignment="1" applyProtection="1">
      <alignment horizontal="right"/>
    </xf>
    <xf numFmtId="0" fontId="23" fillId="0" borderId="2" xfId="6" applyBorder="1" applyAlignment="1">
      <alignment horizontal="left"/>
    </xf>
    <xf numFmtId="0" fontId="24" fillId="2" borderId="0" xfId="14" applyFont="1" applyFill="1" applyProtection="1"/>
    <xf numFmtId="0" fontId="21" fillId="4" borderId="0" xfId="24" applyFont="1" applyFill="1" applyBorder="1" applyAlignment="1" applyProtection="1"/>
    <xf numFmtId="0" fontId="3" fillId="4" borderId="0" xfId="24" applyFont="1" applyFill="1" applyBorder="1" applyAlignment="1"/>
    <xf numFmtId="0" fontId="3" fillId="4" borderId="0" xfId="15" applyFont="1" applyFill="1"/>
    <xf numFmtId="0" fontId="3" fillId="2" borderId="0" xfId="15" applyFont="1" applyFill="1"/>
    <xf numFmtId="0" fontId="26" fillId="4" borderId="2" xfId="15" applyFont="1" applyFill="1" applyBorder="1" applyAlignment="1" applyProtection="1">
      <alignment horizontal="center"/>
    </xf>
    <xf numFmtId="0" fontId="22" fillId="4" borderId="3" xfId="15" applyFont="1" applyFill="1" applyBorder="1" applyAlignment="1">
      <alignment horizontal="center"/>
    </xf>
    <xf numFmtId="0" fontId="3" fillId="2" borderId="0" xfId="24" applyFont="1" applyFill="1"/>
    <xf numFmtId="0" fontId="3" fillId="2" borderId="0" xfId="24" applyFont="1" applyFill="1" applyAlignment="1" applyProtection="1">
      <alignment horizontal="left"/>
    </xf>
    <xf numFmtId="171" fontId="3" fillId="4" borderId="0" xfId="24" applyNumberFormat="1" applyFont="1" applyFill="1" applyAlignment="1" applyProtection="1">
      <alignment horizontal="left"/>
    </xf>
    <xf numFmtId="0" fontId="3" fillId="2" borderId="0" xfId="15" applyFont="1" applyFill="1" applyAlignment="1" applyProtection="1">
      <alignment horizontal="left"/>
    </xf>
    <xf numFmtId="171" fontId="22" fillId="4" borderId="3" xfId="24" applyNumberFormat="1" applyFont="1" applyFill="1" applyBorder="1" applyAlignment="1" applyProtection="1">
      <alignment horizontal="left"/>
    </xf>
    <xf numFmtId="49" fontId="3" fillId="4" borderId="0" xfId="6" quotePrefix="1" applyNumberFormat="1" applyFont="1" applyFill="1" applyBorder="1" applyAlignment="1"/>
    <xf numFmtId="0" fontId="23" fillId="0" borderId="0" xfId="6" applyAlignment="1"/>
    <xf numFmtId="0" fontId="3" fillId="2" borderId="0" xfId="15" applyFont="1" applyFill="1" applyAlignment="1" applyProtection="1">
      <alignment horizontal="left" vertical="top"/>
    </xf>
    <xf numFmtId="0" fontId="3" fillId="4" borderId="0" xfId="15" quotePrefix="1" applyFont="1" applyFill="1" applyAlignment="1">
      <alignment vertical="top"/>
    </xf>
    <xf numFmtId="0" fontId="23" fillId="4" borderId="0" xfId="6" applyFill="1" applyAlignment="1">
      <alignment vertical="top"/>
    </xf>
    <xf numFmtId="0" fontId="3" fillId="4" borderId="0" xfId="15" applyFont="1" applyFill="1" applyAlignment="1">
      <alignment vertical="top"/>
    </xf>
    <xf numFmtId="0" fontId="3" fillId="4" borderId="0" xfId="15" quotePrefix="1" applyFont="1" applyFill="1" applyAlignment="1">
      <alignment horizontal="left" vertical="top"/>
    </xf>
    <xf numFmtId="0" fontId="22" fillId="4" borderId="0" xfId="17" applyFont="1" applyFill="1" applyAlignment="1">
      <alignment vertical="top"/>
    </xf>
    <xf numFmtId="0" fontId="22" fillId="4" borderId="0" xfId="6" applyFont="1" applyFill="1" applyAlignment="1">
      <alignment vertical="top"/>
    </xf>
    <xf numFmtId="0" fontId="3" fillId="4" borderId="0" xfId="17" applyFont="1" applyFill="1" applyAlignment="1">
      <alignment vertical="top"/>
    </xf>
    <xf numFmtId="0" fontId="23" fillId="0" borderId="0" xfId="6" applyFont="1" applyAlignment="1">
      <alignment vertical="top"/>
    </xf>
    <xf numFmtId="0" fontId="23" fillId="0" borderId="0" xfId="6" applyAlignment="1">
      <alignment vertical="top"/>
    </xf>
    <xf numFmtId="0" fontId="0" fillId="0" borderId="6" xfId="0" applyBorder="1" applyAlignment="1"/>
    <xf numFmtId="0" fontId="0" fillId="0" borderId="7" xfId="0" applyBorder="1" applyAlignment="1"/>
    <xf numFmtId="0" fontId="11" fillId="0" borderId="7" xfId="23" applyFont="1" applyBorder="1"/>
    <xf numFmtId="0" fontId="36" fillId="0" borderId="7" xfId="23" applyFont="1" applyBorder="1"/>
    <xf numFmtId="0" fontId="11" fillId="0" borderId="8" xfId="23" applyFont="1" applyBorder="1"/>
    <xf numFmtId="0" fontId="3" fillId="2" borderId="0" xfId="17" applyFont="1" applyFill="1" applyProtection="1"/>
    <xf numFmtId="0" fontId="3" fillId="2" borderId="0" xfId="17" applyFont="1" applyFill="1" applyAlignment="1" applyProtection="1">
      <alignment horizontal="left"/>
    </xf>
    <xf numFmtId="0" fontId="0" fillId="0" borderId="0" xfId="0" applyAlignment="1"/>
    <xf numFmtId="49" fontId="3" fillId="4" borderId="0" xfId="0" applyNumberFormat="1" applyFont="1" applyFill="1" applyBorder="1" applyAlignment="1"/>
    <xf numFmtId="49" fontId="2" fillId="0" borderId="0" xfId="0" applyNumberFormat="1" applyFont="1" applyBorder="1" applyAlignment="1"/>
    <xf numFmtId="0" fontId="3" fillId="2" borderId="0" xfId="19" applyFont="1" applyFill="1" applyAlignment="1" applyProtection="1">
      <alignment horizontal="left"/>
    </xf>
    <xf numFmtId="171" fontId="3" fillId="0" borderId="0" xfId="19" applyNumberFormat="1" applyFont="1" applyAlignment="1" applyProtection="1">
      <alignment horizontal="left"/>
    </xf>
    <xf numFmtId="0" fontId="3" fillId="2" borderId="0" xfId="10" applyFont="1" applyFill="1"/>
    <xf numFmtId="171" fontId="12" fillId="3" borderId="0" xfId="10" applyNumberFormat="1" applyFont="1" applyFill="1" applyAlignment="1">
      <alignment vertical="center"/>
    </xf>
    <xf numFmtId="166" fontId="24" fillId="4" borderId="3" xfId="23" applyNumberFormat="1" applyFont="1" applyFill="1" applyBorder="1" applyAlignment="1" applyProtection="1">
      <alignment horizontal="right"/>
    </xf>
    <xf numFmtId="1" fontId="25" fillId="4" borderId="0" xfId="23" applyNumberFormat="1" applyFont="1" applyFill="1" applyAlignment="1" applyProtection="1">
      <alignment horizontal="right"/>
    </xf>
    <xf numFmtId="1" fontId="24" fillId="4" borderId="0" xfId="23" applyNumberFormat="1" applyFont="1" applyFill="1" applyAlignment="1" applyProtection="1">
      <alignment horizontal="right"/>
    </xf>
    <xf numFmtId="0" fontId="3" fillId="2" borderId="0" xfId="21" applyFont="1" applyFill="1" applyAlignment="1" applyProtection="1">
      <alignment horizontal="left"/>
    </xf>
    <xf numFmtId="171" fontId="3" fillId="0" borderId="0" xfId="21" applyNumberFormat="1" applyFont="1" applyAlignment="1" applyProtection="1">
      <alignment horizontal="left"/>
    </xf>
    <xf numFmtId="0" fontId="3" fillId="2" borderId="0" xfId="23" applyFont="1" applyFill="1"/>
    <xf numFmtId="0" fontId="3" fillId="2" borderId="0" xfId="23" applyFont="1" applyFill="1" applyAlignment="1" applyProtection="1">
      <alignment horizontal="left"/>
    </xf>
    <xf numFmtId="171" fontId="3" fillId="4" borderId="0" xfId="23" applyNumberFormat="1" applyFont="1" applyFill="1" applyAlignment="1" applyProtection="1">
      <alignment horizontal="left"/>
    </xf>
    <xf numFmtId="0" fontId="25" fillId="4" borderId="0" xfId="23" applyFont="1" applyFill="1" applyBorder="1" applyAlignment="1" applyProtection="1">
      <alignment horizontal="center"/>
    </xf>
    <xf numFmtId="0" fontId="24" fillId="4" borderId="0" xfId="23" applyFont="1" applyFill="1" applyBorder="1" applyAlignment="1" applyProtection="1">
      <alignment horizontal="center"/>
    </xf>
    <xf numFmtId="164" fontId="11" fillId="4" borderId="0" xfId="23" applyNumberFormat="1" applyFont="1" applyFill="1" applyBorder="1"/>
    <xf numFmtId="164" fontId="36" fillId="4" borderId="0" xfId="23" applyNumberFormat="1" applyFont="1" applyFill="1" applyBorder="1"/>
    <xf numFmtId="171" fontId="3" fillId="0" borderId="0" xfId="23" applyNumberFormat="1" applyFont="1" applyAlignment="1" applyProtection="1">
      <alignment horizontal="left"/>
    </xf>
    <xf numFmtId="0" fontId="22" fillId="4" borderId="0" xfId="0" applyFont="1" applyFill="1" applyBorder="1"/>
    <xf numFmtId="164" fontId="22" fillId="4" borderId="0" xfId="23" applyNumberFormat="1" applyFont="1" applyFill="1"/>
    <xf numFmtId="3" fontId="36" fillId="4" borderId="0" xfId="21" applyNumberFormat="1" applyFont="1" applyFill="1" applyAlignment="1">
      <alignment vertical="top"/>
    </xf>
    <xf numFmtId="171" fontId="3" fillId="0" borderId="3" xfId="19" applyNumberFormat="1" applyFont="1" applyBorder="1" applyAlignment="1" applyProtection="1">
      <alignment horizontal="left"/>
    </xf>
    <xf numFmtId="171" fontId="3" fillId="0" borderId="0" xfId="22" applyNumberFormat="1" applyFont="1" applyAlignment="1" applyProtection="1">
      <alignment horizontal="left"/>
    </xf>
    <xf numFmtId="0" fontId="22" fillId="4" borderId="0" xfId="0" applyFont="1" applyFill="1" applyBorder="1" applyAlignment="1">
      <alignment vertical="top"/>
    </xf>
    <xf numFmtId="0" fontId="22" fillId="4" borderId="0" xfId="0" applyFont="1" applyFill="1" applyBorder="1" applyAlignment="1">
      <alignment vertical="top" wrapText="1"/>
    </xf>
    <xf numFmtId="0" fontId="22" fillId="0" borderId="0" xfId="22" applyFont="1"/>
    <xf numFmtId="166" fontId="25" fillId="0" borderId="0" xfId="22" applyNumberFormat="1" applyFont="1" applyFill="1" applyAlignment="1" applyProtection="1">
      <alignment horizontal="center"/>
    </xf>
    <xf numFmtId="165" fontId="22" fillId="4" borderId="0" xfId="22" applyNumberFormat="1" applyFont="1" applyFill="1"/>
    <xf numFmtId="0" fontId="22" fillId="4" borderId="0" xfId="22" applyFont="1" applyFill="1" applyAlignment="1">
      <alignment vertical="top"/>
    </xf>
    <xf numFmtId="0" fontId="22" fillId="0" borderId="0" xfId="22" applyFont="1" applyAlignment="1">
      <alignment vertical="top"/>
    </xf>
    <xf numFmtId="0" fontId="22" fillId="0" borderId="7" xfId="23" applyFont="1" applyBorder="1"/>
    <xf numFmtId="0" fontId="22" fillId="0" borderId="0" xfId="23" applyFont="1"/>
    <xf numFmtId="0" fontId="22" fillId="4" borderId="0" xfId="23" applyFont="1" applyFill="1"/>
    <xf numFmtId="0" fontId="22" fillId="4" borderId="0" xfId="23" applyFont="1" applyFill="1" applyAlignment="1">
      <alignment vertical="top"/>
    </xf>
    <xf numFmtId="0" fontId="22" fillId="0" borderId="0" xfId="23" applyFont="1" applyAlignment="1">
      <alignment vertical="top"/>
    </xf>
    <xf numFmtId="0" fontId="46" fillId="0" borderId="0" xfId="11" applyFont="1"/>
    <xf numFmtId="0" fontId="46" fillId="0" borderId="0" xfId="23" applyFont="1"/>
    <xf numFmtId="0" fontId="47" fillId="3" borderId="0" xfId="11" applyFont="1" applyFill="1" applyAlignment="1">
      <alignment horizontal="center"/>
    </xf>
    <xf numFmtId="0" fontId="46" fillId="4" borderId="0" xfId="11" applyFont="1" applyFill="1"/>
    <xf numFmtId="0" fontId="46" fillId="4" borderId="0" xfId="11" applyFont="1" applyFill="1" applyAlignment="1">
      <alignment vertical="top"/>
    </xf>
    <xf numFmtId="0" fontId="46" fillId="0" borderId="0" xfId="11" applyFont="1" applyAlignment="1">
      <alignment vertical="top"/>
    </xf>
    <xf numFmtId="0" fontId="22" fillId="0" borderId="0" xfId="21" applyFont="1"/>
    <xf numFmtId="0" fontId="22" fillId="4" borderId="0" xfId="21" applyFont="1" applyFill="1"/>
    <xf numFmtId="0" fontId="22" fillId="4" borderId="0" xfId="21" applyFont="1" applyFill="1" applyAlignment="1">
      <alignment vertical="top"/>
    </xf>
    <xf numFmtId="0" fontId="22" fillId="0" borderId="0" xfId="21" applyFont="1" applyAlignment="1">
      <alignment vertical="top"/>
    </xf>
    <xf numFmtId="0" fontId="25" fillId="0" borderId="0" xfId="21" applyFont="1" applyFill="1" applyAlignment="1" applyProtection="1">
      <alignment horizontal="right"/>
    </xf>
    <xf numFmtId="0" fontId="22" fillId="0" borderId="0" xfId="13" applyFont="1"/>
    <xf numFmtId="2" fontId="48" fillId="4" borderId="0" xfId="13" applyNumberFormat="1" applyFont="1" applyFill="1" applyAlignment="1" applyProtection="1">
      <alignment horizontal="center"/>
    </xf>
    <xf numFmtId="0" fontId="22" fillId="4" borderId="0" xfId="13" applyFont="1" applyFill="1" applyBorder="1"/>
    <xf numFmtId="0" fontId="22" fillId="4" borderId="0" xfId="13" applyFont="1" applyFill="1" applyBorder="1" applyAlignment="1">
      <alignment vertical="top"/>
    </xf>
    <xf numFmtId="0" fontId="22" fillId="0" borderId="0" xfId="13" applyFont="1" applyAlignment="1">
      <alignment vertical="top"/>
    </xf>
    <xf numFmtId="0" fontId="22" fillId="0" borderId="0" xfId="16" applyFont="1"/>
    <xf numFmtId="0" fontId="22" fillId="4" borderId="0" xfId="16" applyFont="1" applyFill="1"/>
    <xf numFmtId="0" fontId="22" fillId="4" borderId="0" xfId="16" applyFont="1" applyFill="1" applyAlignment="1">
      <alignment vertical="top"/>
    </xf>
    <xf numFmtId="0" fontId="22" fillId="0" borderId="0" xfId="16" applyFont="1" applyAlignment="1">
      <alignment vertical="top"/>
    </xf>
    <xf numFmtId="0" fontId="22" fillId="0" borderId="0" xfId="18" applyFont="1"/>
    <xf numFmtId="0" fontId="22" fillId="4" borderId="0" xfId="18" applyFont="1" applyFill="1"/>
    <xf numFmtId="0" fontId="22" fillId="4" borderId="0" xfId="18" applyFont="1" applyFill="1" applyAlignment="1">
      <alignment vertical="top"/>
    </xf>
    <xf numFmtId="0" fontId="22" fillId="0" borderId="0" xfId="15" applyFont="1" applyAlignment="1">
      <alignment vertical="top"/>
    </xf>
    <xf numFmtId="0" fontId="22" fillId="0" borderId="0" xfId="7" applyFont="1"/>
    <xf numFmtId="1" fontId="25" fillId="4" borderId="0" xfId="7" applyNumberFormat="1" applyFont="1" applyFill="1" applyBorder="1" applyAlignment="1" applyProtection="1">
      <alignment horizontal="center"/>
    </xf>
    <xf numFmtId="0" fontId="22" fillId="4" borderId="0" xfId="7" applyFont="1" applyFill="1" applyBorder="1"/>
    <xf numFmtId="0" fontId="22" fillId="4" borderId="0" xfId="7" applyFont="1" applyFill="1" applyBorder="1" applyAlignment="1">
      <alignment vertical="top"/>
    </xf>
    <xf numFmtId="0" fontId="22" fillId="0" borderId="0" xfId="8" applyFont="1"/>
    <xf numFmtId="0" fontId="22" fillId="4" borderId="0" xfId="8" applyFont="1" applyFill="1" applyBorder="1"/>
    <xf numFmtId="0" fontId="22" fillId="4" borderId="0" xfId="8" applyFont="1" applyFill="1" applyBorder="1" applyAlignment="1">
      <alignment vertical="top"/>
    </xf>
    <xf numFmtId="165" fontId="25" fillId="0" borderId="0" xfId="8" applyNumberFormat="1" applyFont="1" applyFill="1" applyAlignment="1" applyProtection="1">
      <alignment horizontal="center"/>
    </xf>
    <xf numFmtId="0" fontId="22" fillId="0" borderId="0" xfId="8" quotePrefix="1" applyFont="1"/>
    <xf numFmtId="165" fontId="22" fillId="0" borderId="0" xfId="8" quotePrefix="1" applyNumberFormat="1" applyFont="1"/>
    <xf numFmtId="165" fontId="22" fillId="0" borderId="0" xfId="8" applyNumberFormat="1" applyFont="1"/>
    <xf numFmtId="0" fontId="20" fillId="0" borderId="3" xfId="6" applyFont="1" applyBorder="1" applyAlignment="1"/>
    <xf numFmtId="0" fontId="20" fillId="0" borderId="0" xfId="6" applyFont="1" applyBorder="1" applyAlignment="1">
      <alignment horizontal="left"/>
    </xf>
    <xf numFmtId="0" fontId="20" fillId="0" borderId="0" xfId="6" applyFont="1" applyBorder="1" applyAlignment="1"/>
    <xf numFmtId="0" fontId="20" fillId="0" borderId="0" xfId="6" applyFont="1" applyAlignment="1">
      <alignment horizontal="left"/>
    </xf>
    <xf numFmtId="1" fontId="22" fillId="0" borderId="0" xfId="23" applyNumberFormat="1" applyFont="1"/>
    <xf numFmtId="1" fontId="22" fillId="0" borderId="0" xfId="14" applyNumberFormat="1" applyFont="1"/>
    <xf numFmtId="164" fontId="22" fillId="0" borderId="0" xfId="14" applyNumberFormat="1" applyFont="1"/>
    <xf numFmtId="3" fontId="22" fillId="0" borderId="0" xfId="14" applyNumberFormat="1" applyFont="1"/>
    <xf numFmtId="0" fontId="22" fillId="0" borderId="0" xfId="14" applyFont="1"/>
    <xf numFmtId="0" fontId="22" fillId="0" borderId="2" xfId="14" applyFont="1" applyBorder="1" applyAlignment="1">
      <alignment horizontal="right"/>
    </xf>
    <xf numFmtId="0" fontId="20" fillId="0" borderId="2" xfId="6" applyFont="1" applyBorder="1" applyAlignment="1">
      <alignment horizontal="left"/>
    </xf>
    <xf numFmtId="0" fontId="22" fillId="4" borderId="0" xfId="24" applyFont="1" applyFill="1" applyBorder="1" applyAlignment="1"/>
    <xf numFmtId="0" fontId="20" fillId="0" borderId="0" xfId="6" applyFont="1" applyAlignment="1"/>
    <xf numFmtId="0" fontId="20" fillId="4" borderId="0" xfId="6" applyFont="1" applyFill="1" applyAlignment="1">
      <alignment vertical="top"/>
    </xf>
    <xf numFmtId="0" fontId="22" fillId="4" borderId="0" xfId="15" quotePrefix="1" applyFont="1" applyFill="1" applyAlignment="1">
      <alignment horizontal="left" vertical="top"/>
    </xf>
    <xf numFmtId="0" fontId="20" fillId="0" borderId="0" xfId="6" applyFont="1" applyAlignment="1">
      <alignment vertical="top"/>
    </xf>
    <xf numFmtId="0" fontId="22" fillId="0" borderId="0" xfId="19" applyFont="1"/>
    <xf numFmtId="0" fontId="25" fillId="0" borderId="2" xfId="19" applyFont="1" applyFill="1" applyBorder="1" applyAlignment="1" applyProtection="1">
      <alignment horizontal="center"/>
    </xf>
    <xf numFmtId="0" fontId="22" fillId="0" borderId="0" xfId="19" applyFont="1" applyAlignment="1">
      <alignment vertical="top"/>
    </xf>
    <xf numFmtId="0" fontId="22" fillId="0" borderId="0" xfId="22" applyFont="1" applyFill="1"/>
    <xf numFmtId="164" fontId="25" fillId="0" borderId="0" xfId="9" applyNumberFormat="1" applyFont="1" applyFill="1" applyAlignment="1" applyProtection="1">
      <alignment horizontal="center"/>
    </xf>
    <xf numFmtId="0" fontId="22" fillId="0" borderId="0" xfId="9" applyFont="1" applyFill="1" applyBorder="1"/>
    <xf numFmtId="0" fontId="22" fillId="0" borderId="0" xfId="9" applyFont="1" applyFill="1" applyBorder="1" applyAlignment="1">
      <alignment vertical="top"/>
    </xf>
    <xf numFmtId="0" fontId="22" fillId="0" borderId="0" xfId="9" applyFont="1" applyFill="1" applyAlignment="1">
      <alignment vertical="top"/>
    </xf>
    <xf numFmtId="0" fontId="49" fillId="4" borderId="0" xfId="9" applyFont="1" applyFill="1" applyBorder="1" applyAlignment="1">
      <alignment horizontal="center"/>
    </xf>
    <xf numFmtId="0" fontId="46" fillId="4" borderId="0" xfId="9" applyFont="1" applyFill="1"/>
    <xf numFmtId="0" fontId="46" fillId="4" borderId="0" xfId="22" applyFont="1" applyFill="1"/>
    <xf numFmtId="164" fontId="14" fillId="4" borderId="0" xfId="9" applyNumberFormat="1" applyFont="1" applyFill="1" applyAlignment="1" applyProtection="1">
      <alignment horizontal="center"/>
    </xf>
    <xf numFmtId="0" fontId="46" fillId="4" borderId="0" xfId="9" applyFont="1" applyFill="1" applyBorder="1" applyAlignment="1">
      <alignment vertical="top"/>
    </xf>
    <xf numFmtId="0" fontId="46" fillId="4" borderId="0" xfId="9" applyFont="1" applyFill="1" applyAlignment="1">
      <alignment vertical="top"/>
    </xf>
    <xf numFmtId="2" fontId="24" fillId="0" borderId="0" xfId="23" applyNumberFormat="1" applyFont="1" applyFill="1" applyAlignment="1" applyProtection="1">
      <alignment horizontal="right" indent="1"/>
    </xf>
    <xf numFmtId="0" fontId="3" fillId="2" borderId="0" xfId="17" applyFont="1" applyFill="1" applyBorder="1" applyAlignment="1" applyProtection="1">
      <alignment horizontal="left"/>
    </xf>
    <xf numFmtId="0" fontId="3" fillId="4" borderId="0" xfId="0" applyFont="1" applyFill="1" applyBorder="1" applyAlignment="1">
      <alignment vertical="top" wrapText="1"/>
    </xf>
    <xf numFmtId="171" fontId="3" fillId="0" borderId="3" xfId="21" applyNumberFormat="1" applyFont="1" applyBorder="1" applyAlignment="1" applyProtection="1">
      <alignment horizontal="left"/>
    </xf>
    <xf numFmtId="171" fontId="3" fillId="0" borderId="0" xfId="21" applyNumberFormat="1" applyFont="1" applyBorder="1" applyAlignment="1" applyProtection="1">
      <alignment horizontal="left"/>
    </xf>
    <xf numFmtId="3" fontId="11" fillId="4" borderId="0" xfId="21" applyNumberFormat="1" applyFont="1" applyFill="1" applyAlignment="1">
      <alignment vertical="top"/>
    </xf>
    <xf numFmtId="166" fontId="26" fillId="4" borderId="0" xfId="23" applyNumberFormat="1" applyFont="1" applyFill="1" applyBorder="1" applyAlignment="1" applyProtection="1">
      <alignment horizontal="right"/>
    </xf>
    <xf numFmtId="2" fontId="24" fillId="0" borderId="2" xfId="21" applyNumberFormat="1" applyFont="1" applyFill="1" applyBorder="1" applyAlignment="1" applyProtection="1">
      <alignment horizontal="right"/>
    </xf>
    <xf numFmtId="164" fontId="50" fillId="4" borderId="0" xfId="23" applyNumberFormat="1" applyFont="1" applyFill="1"/>
    <xf numFmtId="0" fontId="0" fillId="0" borderId="0" xfId="0" applyAlignment="1">
      <alignment horizontal="left"/>
    </xf>
    <xf numFmtId="49" fontId="0" fillId="0" borderId="0" xfId="0" applyNumberFormat="1" applyAlignment="1">
      <alignment horizontal="left"/>
    </xf>
    <xf numFmtId="0" fontId="1" fillId="0" borderId="0" xfId="26"/>
    <xf numFmtId="0" fontId="53" fillId="0" borderId="0" xfId="26" applyFont="1"/>
    <xf numFmtId="0" fontId="51" fillId="0" borderId="0" xfId="26" applyFont="1"/>
    <xf numFmtId="0" fontId="52" fillId="0" borderId="0" xfId="26" applyFont="1"/>
    <xf numFmtId="171" fontId="53" fillId="0" borderId="0" xfId="26" applyNumberFormat="1" applyFont="1"/>
    <xf numFmtId="0" fontId="54" fillId="0" borderId="0" xfId="26" applyFont="1"/>
    <xf numFmtId="0" fontId="53" fillId="5" borderId="0" xfId="26" applyFont="1" applyFill="1"/>
    <xf numFmtId="0" fontId="53" fillId="0" borderId="12" xfId="26" applyFont="1" applyBorder="1"/>
    <xf numFmtId="0" fontId="53" fillId="0" borderId="13" xfId="26" applyFont="1" applyBorder="1"/>
    <xf numFmtId="0" fontId="54" fillId="0" borderId="14" xfId="26" applyFont="1" applyBorder="1" applyAlignment="1">
      <alignment horizontal="center"/>
    </xf>
    <xf numFmtId="0" fontId="53" fillId="5" borderId="3" xfId="26" applyFont="1" applyFill="1" applyBorder="1"/>
    <xf numFmtId="171" fontId="53" fillId="0" borderId="3" xfId="26" applyNumberFormat="1" applyFont="1" applyBorder="1"/>
    <xf numFmtId="0" fontId="53" fillId="5" borderId="0" xfId="26" applyFont="1" applyFill="1" applyBorder="1"/>
    <xf numFmtId="0" fontId="53" fillId="0" borderId="0" xfId="26" applyFont="1" applyBorder="1"/>
    <xf numFmtId="0" fontId="1" fillId="0" borderId="0" xfId="26" applyBorder="1"/>
    <xf numFmtId="171" fontId="53" fillId="0" borderId="0" xfId="26" quotePrefix="1" applyNumberFormat="1" applyFont="1" applyBorder="1"/>
    <xf numFmtId="3" fontId="54" fillId="0" borderId="0" xfId="26" applyNumberFormat="1" applyFont="1"/>
    <xf numFmtId="3" fontId="54" fillId="0" borderId="0" xfId="26" quotePrefix="1" applyNumberFormat="1" applyFont="1" applyAlignment="1">
      <alignment horizontal="right"/>
    </xf>
    <xf numFmtId="0" fontId="55" fillId="0" borderId="0" xfId="26" applyFont="1"/>
    <xf numFmtId="3" fontId="56" fillId="0" borderId="0" xfId="26" applyNumberFormat="1" applyFont="1"/>
    <xf numFmtId="0" fontId="56" fillId="0" borderId="0" xfId="26" applyFont="1"/>
    <xf numFmtId="0" fontId="57" fillId="0" borderId="0" xfId="26" applyFont="1"/>
    <xf numFmtId="2" fontId="36" fillId="4" borderId="0" xfId="22" applyNumberFormat="1" applyFont="1" applyFill="1"/>
    <xf numFmtId="0" fontId="22" fillId="0" borderId="0" xfId="17" applyFont="1" applyBorder="1"/>
    <xf numFmtId="0" fontId="22" fillId="4" borderId="0" xfId="17" applyFont="1" applyFill="1"/>
    <xf numFmtId="0" fontId="22" fillId="0" borderId="0" xfId="17" applyFont="1" applyAlignment="1">
      <alignment vertical="top"/>
    </xf>
    <xf numFmtId="0" fontId="22" fillId="0" borderId="0" xfId="17" applyFont="1"/>
    <xf numFmtId="0" fontId="55" fillId="0" borderId="0" xfId="26" applyFont="1" applyBorder="1"/>
    <xf numFmtId="2" fontId="25" fillId="0" borderId="2" xfId="21" applyNumberFormat="1" applyFont="1" applyFill="1" applyBorder="1" applyAlignment="1" applyProtection="1">
      <alignment horizontal="right"/>
    </xf>
    <xf numFmtId="2" fontId="36" fillId="4" borderId="0" xfId="23" applyNumberFormat="1" applyFont="1" applyFill="1"/>
    <xf numFmtId="2" fontId="25" fillId="0" borderId="0" xfId="23" applyNumberFormat="1" applyFont="1" applyFill="1" applyAlignment="1" applyProtection="1">
      <alignment horizontal="center"/>
    </xf>
    <xf numFmtId="0" fontId="23" fillId="6" borderId="3" xfId="22" applyFont="1" applyFill="1" applyBorder="1" applyAlignment="1"/>
    <xf numFmtId="0" fontId="0" fillId="6" borderId="3" xfId="0" applyFill="1" applyBorder="1" applyAlignment="1"/>
    <xf numFmtId="3" fontId="46" fillId="4" borderId="0" xfId="9" applyNumberFormat="1" applyFont="1" applyFill="1" applyBorder="1"/>
    <xf numFmtId="0" fontId="3" fillId="0" borderId="0" xfId="19" applyFont="1" applyAlignment="1" applyProtection="1">
      <alignment horizontal="left"/>
    </xf>
    <xf numFmtId="170" fontId="25" fillId="0" borderId="0" xfId="23" applyNumberFormat="1" applyFont="1" applyFill="1" applyAlignment="1" applyProtection="1">
      <alignment horizontal="right"/>
    </xf>
    <xf numFmtId="0" fontId="3" fillId="4" borderId="0" xfId="0" applyFont="1" applyFill="1" applyBorder="1" applyAlignment="1">
      <alignment vertical="top" wrapText="1"/>
    </xf>
    <xf numFmtId="0" fontId="3" fillId="4" borderId="0" xfId="0" applyFont="1" applyFill="1" applyBorder="1" applyAlignment="1">
      <alignment horizontal="left" vertical="top" wrapText="1"/>
    </xf>
    <xf numFmtId="0" fontId="22" fillId="0" borderId="0" xfId="22" applyFont="1" applyFill="1" applyAlignment="1" applyProtection="1"/>
    <xf numFmtId="171" fontId="3" fillId="0" borderId="3" xfId="18" applyNumberFormat="1" applyFont="1" applyBorder="1" applyAlignment="1" applyProtection="1">
      <alignment horizontal="left"/>
    </xf>
    <xf numFmtId="172" fontId="25" fillId="0" borderId="0" xfId="23" applyNumberFormat="1" applyFont="1" applyFill="1" applyAlignment="1" applyProtection="1">
      <alignment horizontal="right"/>
    </xf>
    <xf numFmtId="172" fontId="24" fillId="0" borderId="0" xfId="23" applyNumberFormat="1" applyFont="1" applyFill="1" applyAlignment="1" applyProtection="1">
      <alignment horizontal="right"/>
    </xf>
    <xf numFmtId="172" fontId="22" fillId="3" borderId="0" xfId="7" applyNumberFormat="1" applyFont="1" applyFill="1" applyAlignment="1">
      <alignment horizontal="right"/>
    </xf>
    <xf numFmtId="172" fontId="36" fillId="3" borderId="0" xfId="7" applyNumberFormat="1" applyFont="1" applyFill="1" applyAlignment="1">
      <alignment horizontal="right"/>
    </xf>
    <xf numFmtId="172" fontId="25" fillId="0" borderId="0" xfId="7" applyNumberFormat="1" applyFont="1" applyFill="1" applyBorder="1" applyAlignment="1" applyProtection="1">
      <alignment horizontal="right"/>
    </xf>
    <xf numFmtId="172" fontId="24" fillId="0" borderId="0" xfId="7" applyNumberFormat="1" applyFont="1" applyFill="1" applyBorder="1" applyAlignment="1" applyProtection="1">
      <alignment horizontal="right"/>
    </xf>
    <xf numFmtId="172" fontId="25" fillId="0" borderId="0" xfId="23" applyNumberFormat="1" applyFont="1" applyFill="1" applyBorder="1" applyAlignment="1" applyProtection="1">
      <alignment horizontal="right"/>
    </xf>
    <xf numFmtId="172" fontId="24" fillId="0" borderId="0" xfId="23" applyNumberFormat="1" applyFont="1" applyFill="1" applyBorder="1" applyAlignment="1" applyProtection="1">
      <alignment horizontal="right"/>
    </xf>
    <xf numFmtId="172" fontId="25" fillId="0" borderId="3" xfId="23" applyNumberFormat="1" applyFont="1" applyFill="1" applyBorder="1" applyAlignment="1" applyProtection="1">
      <alignment horizontal="right"/>
    </xf>
    <xf numFmtId="172" fontId="24" fillId="0" borderId="3" xfId="23" applyNumberFormat="1" applyFont="1" applyFill="1" applyBorder="1" applyAlignment="1" applyProtection="1">
      <alignment horizontal="right"/>
    </xf>
    <xf numFmtId="172" fontId="25" fillId="4" borderId="0" xfId="23" applyNumberFormat="1" applyFont="1" applyFill="1" applyAlignment="1" applyProtection="1">
      <alignment horizontal="right"/>
    </xf>
    <xf numFmtId="172" fontId="24" fillId="4" borderId="0" xfId="23" applyNumberFormat="1" applyFont="1" applyFill="1" applyAlignment="1" applyProtection="1">
      <alignment horizontal="right"/>
    </xf>
    <xf numFmtId="4" fontId="54" fillId="0" borderId="0" xfId="26" applyNumberFormat="1" applyFont="1"/>
    <xf numFmtId="4" fontId="56" fillId="0" borderId="0" xfId="26" applyNumberFormat="1" applyFont="1"/>
    <xf numFmtId="4" fontId="54" fillId="0" borderId="0" xfId="26" quotePrefix="1" applyNumberFormat="1" applyFont="1" applyAlignment="1">
      <alignment horizontal="right"/>
    </xf>
    <xf numFmtId="4" fontId="54" fillId="0" borderId="3" xfId="26" applyNumberFormat="1" applyFont="1" applyBorder="1"/>
    <xf numFmtId="4" fontId="56" fillId="0" borderId="3" xfId="26" applyNumberFormat="1" applyFont="1" applyBorder="1"/>
    <xf numFmtId="165" fontId="25" fillId="0" borderId="2" xfId="16" applyNumberFormat="1" applyFont="1" applyFill="1" applyBorder="1" applyAlignment="1" applyProtection="1">
      <alignment horizontal="right"/>
    </xf>
    <xf numFmtId="0" fontId="3" fillId="4" borderId="0" xfId="23" applyFont="1" applyFill="1"/>
    <xf numFmtId="2" fontId="11" fillId="4" borderId="0" xfId="23" applyNumberFormat="1" applyFont="1" applyFill="1"/>
    <xf numFmtId="9" fontId="3" fillId="4" borderId="0" xfId="27" applyFont="1" applyFill="1"/>
    <xf numFmtId="2" fontId="3" fillId="4" borderId="0" xfId="23" applyNumberFormat="1" applyFont="1" applyFill="1"/>
    <xf numFmtId="174" fontId="36" fillId="0" borderId="0" xfId="22" applyNumberFormat="1" applyFont="1" applyAlignment="1">
      <alignment horizontal="right"/>
    </xf>
    <xf numFmtId="0" fontId="11" fillId="6" borderId="0" xfId="23" applyFont="1" applyFill="1" applyBorder="1"/>
    <xf numFmtId="0" fontId="11" fillId="6" borderId="0" xfId="23" applyFont="1" applyFill="1"/>
    <xf numFmtId="2" fontId="25" fillId="4" borderId="0" xfId="23" applyNumberFormat="1" applyFont="1" applyFill="1" applyBorder="1" applyAlignment="1" applyProtection="1"/>
    <xf numFmtId="0" fontId="0" fillId="0" borderId="0" xfId="0" applyAlignment="1">
      <alignment vertical="top" wrapText="1"/>
    </xf>
    <xf numFmtId="164" fontId="22" fillId="4" borderId="0" xfId="23" applyNumberFormat="1" applyFont="1" applyFill="1" applyBorder="1"/>
    <xf numFmtId="0" fontId="25" fillId="6" borderId="2" xfId="17" applyFont="1" applyFill="1" applyBorder="1" applyProtection="1"/>
    <xf numFmtId="0" fontId="0" fillId="6" borderId="3" xfId="0" applyFill="1" applyBorder="1" applyAlignment="1">
      <alignment wrapText="1"/>
    </xf>
    <xf numFmtId="0" fontId="11" fillId="4" borderId="0" xfId="17" quotePrefix="1" applyFont="1" applyFill="1" applyAlignment="1">
      <alignment horizontal="left" vertical="top" wrapText="1"/>
    </xf>
    <xf numFmtId="0" fontId="0" fillId="4" borderId="0" xfId="0" applyFill="1" applyAlignment="1">
      <alignment horizontal="left" vertical="top" wrapText="1"/>
    </xf>
    <xf numFmtId="0" fontId="0" fillId="0" borderId="0" xfId="0" applyAlignment="1">
      <alignment horizontal="left" vertical="top" wrapText="1"/>
    </xf>
    <xf numFmtId="0" fontId="11" fillId="4" borderId="0" xfId="17" applyFont="1" applyFill="1" applyAlignment="1">
      <alignment vertical="top" wrapText="1"/>
    </xf>
    <xf numFmtId="0" fontId="23" fillId="0" borderId="0" xfId="0" applyFont="1" applyAlignment="1">
      <alignment vertical="top" wrapText="1"/>
    </xf>
    <xf numFmtId="0" fontId="0" fillId="0" borderId="0" xfId="0" applyAlignment="1">
      <alignment vertical="top" wrapText="1"/>
    </xf>
    <xf numFmtId="0" fontId="22" fillId="0" borderId="0" xfId="17" applyFont="1" applyAlignment="1">
      <alignment vertical="top" wrapText="1"/>
    </xf>
    <xf numFmtId="0" fontId="11" fillId="0" borderId="0" xfId="17" applyFont="1" applyAlignment="1">
      <alignment vertical="top" wrapText="1"/>
    </xf>
    <xf numFmtId="0" fontId="22" fillId="4" borderId="0" xfId="17" applyFont="1" applyFill="1" applyAlignment="1">
      <alignment vertical="top" wrapText="1"/>
    </xf>
    <xf numFmtId="0" fontId="0" fillId="4" borderId="0" xfId="0" applyFill="1" applyAlignment="1">
      <alignment vertical="top" wrapText="1"/>
    </xf>
    <xf numFmtId="0" fontId="36" fillId="4" borderId="0" xfId="17" applyFont="1" applyFill="1" applyAlignment="1">
      <alignment vertical="top" wrapText="1"/>
    </xf>
    <xf numFmtId="0" fontId="34" fillId="4" borderId="0" xfId="5" applyFont="1" applyFill="1" applyBorder="1" applyAlignment="1" applyProtection="1">
      <alignment horizontal="center" vertical="center" wrapText="1"/>
    </xf>
    <xf numFmtId="0" fontId="34" fillId="4" borderId="0" xfId="5" applyFont="1" applyFill="1" applyAlignment="1" applyProtection="1">
      <alignment horizontal="center" vertical="center" wrapText="1"/>
    </xf>
    <xf numFmtId="0" fontId="22" fillId="3" borderId="4" xfId="8" applyFont="1" applyFill="1" applyBorder="1" applyAlignment="1">
      <alignment horizontal="center"/>
    </xf>
    <xf numFmtId="0" fontId="20" fillId="0" borderId="9" xfId="0" applyFont="1" applyBorder="1" applyAlignment="1">
      <alignment horizontal="center"/>
    </xf>
    <xf numFmtId="0" fontId="20" fillId="0" borderId="10" xfId="0" applyFont="1"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21" fillId="0" borderId="0" xfId="17" applyFont="1" applyFill="1" applyBorder="1" applyAlignment="1" applyProtection="1"/>
    <xf numFmtId="0" fontId="0" fillId="0" borderId="0" xfId="0" applyAlignment="1"/>
    <xf numFmtId="0" fontId="25" fillId="0" borderId="4" xfId="8" applyFont="1" applyFill="1" applyBorder="1" applyAlignment="1" applyProtection="1">
      <alignment horizontal="center"/>
    </xf>
    <xf numFmtId="0" fontId="25" fillId="0" borderId="9" xfId="8" applyFont="1" applyFill="1" applyBorder="1" applyAlignment="1" applyProtection="1">
      <alignment horizontal="center"/>
    </xf>
    <xf numFmtId="49" fontId="11" fillId="4" borderId="0" xfId="0" quotePrefix="1" applyNumberFormat="1" applyFont="1" applyFill="1" applyBorder="1" applyAlignment="1"/>
    <xf numFmtId="0" fontId="23" fillId="4" borderId="0" xfId="0" applyFont="1" applyFill="1" applyAlignment="1">
      <alignment horizontal="left" vertical="top" wrapText="1"/>
    </xf>
    <xf numFmtId="49" fontId="11" fillId="4" borderId="0" xfId="0" applyNumberFormat="1" applyFont="1" applyFill="1" applyBorder="1" applyAlignment="1"/>
    <xf numFmtId="0" fontId="22" fillId="0" borderId="0" xfId="18" applyFont="1" applyAlignment="1">
      <alignment vertical="top" wrapText="1"/>
    </xf>
    <xf numFmtId="0" fontId="36" fillId="0" borderId="0" xfId="22" applyFont="1" applyAlignment="1">
      <alignment vertical="top" wrapText="1"/>
    </xf>
    <xf numFmtId="0" fontId="21" fillId="0" borderId="0" xfId="22" applyFont="1" applyFill="1" applyAlignment="1" applyProtection="1"/>
    <xf numFmtId="0" fontId="11" fillId="0" borderId="0" xfId="22" applyFont="1" applyAlignment="1">
      <alignment vertical="top" wrapText="1"/>
    </xf>
    <xf numFmtId="0" fontId="3" fillId="4" borderId="0" xfId="22" quotePrefix="1" applyFont="1" applyFill="1" applyBorder="1" applyAlignment="1">
      <alignment horizontal="justify" vertical="top" wrapText="1"/>
    </xf>
    <xf numFmtId="0" fontId="11" fillId="4" borderId="0" xfId="22" quotePrefix="1" applyFont="1" applyFill="1" applyBorder="1" applyAlignment="1">
      <alignment horizontal="justify" vertical="top" wrapText="1"/>
    </xf>
    <xf numFmtId="0" fontId="11" fillId="4" borderId="2" xfId="22" applyFont="1" applyFill="1" applyBorder="1" applyAlignment="1">
      <alignment horizontal="justify"/>
    </xf>
    <xf numFmtId="0" fontId="11" fillId="4" borderId="2" xfId="22" applyFont="1" applyFill="1" applyBorder="1" applyAlignment="1"/>
    <xf numFmtId="0" fontId="3" fillId="4" borderId="0" xfId="0" applyFont="1" applyFill="1" applyBorder="1" applyAlignment="1">
      <alignment vertical="top" wrapText="1"/>
    </xf>
    <xf numFmtId="0" fontId="22" fillId="4" borderId="0" xfId="0" applyNumberFormat="1" applyFont="1" applyFill="1" applyBorder="1" applyAlignment="1">
      <alignment vertical="top" wrapText="1"/>
    </xf>
    <xf numFmtId="0" fontId="3" fillId="4" borderId="0" xfId="17" applyFont="1" applyFill="1" applyAlignment="1">
      <alignment vertical="top" wrapText="1"/>
    </xf>
    <xf numFmtId="0" fontId="2" fillId="0" borderId="0" xfId="0" applyFont="1" applyAlignment="1">
      <alignment vertical="top" wrapText="1"/>
    </xf>
    <xf numFmtId="0" fontId="3" fillId="4" borderId="0" xfId="0" quotePrefix="1" applyFont="1" applyFill="1" applyBorder="1" applyAlignment="1">
      <alignment vertical="top" wrapText="1"/>
    </xf>
    <xf numFmtId="0" fontId="3" fillId="4" borderId="0" xfId="0" applyFont="1" applyFill="1" applyBorder="1" applyAlignment="1">
      <alignment horizontal="left" vertical="top" wrapText="1"/>
    </xf>
    <xf numFmtId="0" fontId="18" fillId="4" borderId="11" xfId="0" applyFont="1" applyFill="1" applyBorder="1" applyAlignment="1"/>
    <xf numFmtId="49" fontId="3" fillId="4" borderId="0" xfId="0" quotePrefix="1" applyNumberFormat="1" applyFont="1" applyFill="1" applyBorder="1" applyAlignment="1"/>
    <xf numFmtId="49" fontId="3" fillId="4" borderId="0" xfId="0" applyNumberFormat="1" applyFont="1" applyFill="1" applyBorder="1" applyAlignment="1"/>
    <xf numFmtId="0" fontId="18" fillId="6" borderId="11" xfId="0" applyFont="1" applyFill="1" applyBorder="1" applyAlignment="1"/>
    <xf numFmtId="0" fontId="0" fillId="6" borderId="0" xfId="0" applyFill="1" applyAlignment="1"/>
    <xf numFmtId="0" fontId="18" fillId="4" borderId="0" xfId="0" applyFont="1" applyFill="1" applyBorder="1" applyAlignment="1">
      <alignment horizontal="left"/>
    </xf>
    <xf numFmtId="0" fontId="11" fillId="4" borderId="0" xfId="23" applyFont="1" applyFill="1" applyBorder="1" applyAlignment="1" applyProtection="1">
      <alignment horizontal="left" vertical="top" wrapText="1"/>
    </xf>
    <xf numFmtId="0" fontId="3" fillId="4" borderId="0" xfId="23" quotePrefix="1" applyFont="1" applyFill="1" applyBorder="1" applyAlignment="1" applyProtection="1">
      <alignment horizontal="left" vertical="top" wrapText="1"/>
    </xf>
    <xf numFmtId="0" fontId="11" fillId="4" borderId="0" xfId="23" quotePrefix="1" applyFont="1" applyFill="1" applyBorder="1" applyAlignment="1" applyProtection="1">
      <alignment horizontal="left" vertical="top" wrapText="1"/>
    </xf>
    <xf numFmtId="0" fontId="21" fillId="0" borderId="0" xfId="23" applyFont="1" applyFill="1" applyAlignment="1" applyProtection="1"/>
    <xf numFmtId="0" fontId="11" fillId="0" borderId="0" xfId="23" applyFont="1" applyAlignment="1"/>
    <xf numFmtId="0" fontId="21" fillId="4" borderId="0" xfId="23" applyFont="1" applyFill="1" applyAlignment="1" applyProtection="1"/>
    <xf numFmtId="0" fontId="23" fillId="4" borderId="0" xfId="23" applyFont="1" applyFill="1" applyAlignment="1"/>
    <xf numFmtId="0" fontId="11" fillId="0" borderId="0" xfId="0" applyFont="1" applyAlignment="1">
      <alignment vertical="top" wrapText="1"/>
    </xf>
    <xf numFmtId="0" fontId="20" fillId="0" borderId="0" xfId="11" applyFont="1" applyBorder="1" applyAlignment="1"/>
    <xf numFmtId="0" fontId="3" fillId="4" borderId="0" xfId="21" quotePrefix="1" applyFont="1" applyFill="1" applyAlignment="1">
      <alignment vertical="top" wrapText="1"/>
    </xf>
    <xf numFmtId="0" fontId="11" fillId="4" borderId="0" xfId="21" applyFont="1" applyFill="1" applyAlignment="1">
      <alignment vertical="top" wrapText="1"/>
    </xf>
    <xf numFmtId="0" fontId="11" fillId="4" borderId="0" xfId="21" quotePrefix="1" applyFont="1" applyFill="1" applyAlignment="1">
      <alignment vertical="top" wrapText="1"/>
    </xf>
    <xf numFmtId="0" fontId="21" fillId="0" borderId="0" xfId="21" applyFont="1" applyFill="1" applyAlignment="1" applyProtection="1"/>
    <xf numFmtId="0" fontId="11" fillId="0" borderId="0" xfId="21" applyFont="1" applyAlignment="1"/>
    <xf numFmtId="0" fontId="21" fillId="0" borderId="0" xfId="13" applyFont="1" applyFill="1" applyBorder="1" applyAlignment="1" applyProtection="1">
      <alignment horizontal="left" readingOrder="1"/>
    </xf>
    <xf numFmtId="0" fontId="26" fillId="4" borderId="0" xfId="16" quotePrefix="1" applyFont="1" applyFill="1" applyBorder="1" applyAlignment="1" applyProtection="1">
      <alignment vertical="top" wrapText="1"/>
    </xf>
    <xf numFmtId="0" fontId="21" fillId="0" borderId="0" xfId="16" applyFont="1" applyFill="1" applyAlignment="1" applyProtection="1"/>
    <xf numFmtId="0" fontId="23" fillId="0" borderId="0" xfId="16" applyFont="1" applyAlignment="1"/>
    <xf numFmtId="0" fontId="21" fillId="0" borderId="0" xfId="18" applyFont="1" applyFill="1" applyBorder="1" applyAlignment="1" applyProtection="1"/>
    <xf numFmtId="0" fontId="26" fillId="4" borderId="0" xfId="16" quotePrefix="1" applyFont="1" applyFill="1" applyBorder="1" applyAlignment="1" applyProtection="1">
      <alignment vertical="top"/>
    </xf>
    <xf numFmtId="0" fontId="0" fillId="0" borderId="0" xfId="0" applyAlignment="1">
      <alignment vertical="top"/>
    </xf>
    <xf numFmtId="0" fontId="2" fillId="4" borderId="0" xfId="0" applyFont="1" applyFill="1" applyAlignment="1">
      <alignment vertical="top" wrapText="1"/>
    </xf>
    <xf numFmtId="0" fontId="3" fillId="0" borderId="0" xfId="0" quotePrefix="1" applyFont="1" applyAlignment="1">
      <alignment vertical="top" wrapText="1"/>
    </xf>
    <xf numFmtId="0" fontId="21" fillId="0" borderId="0" xfId="7" applyFont="1" applyFill="1" applyBorder="1" applyAlignment="1" applyProtection="1">
      <alignment horizontal="left"/>
    </xf>
    <xf numFmtId="0" fontId="0" fillId="0" borderId="0" xfId="0" applyAlignment="1">
      <alignment horizontal="left"/>
    </xf>
    <xf numFmtId="49" fontId="11" fillId="4" borderId="0" xfId="8" quotePrefix="1" applyNumberFormat="1" applyFont="1" applyFill="1" applyBorder="1" applyAlignment="1">
      <alignment vertical="top" wrapText="1"/>
    </xf>
    <xf numFmtId="0" fontId="21" fillId="0" borderId="0" xfId="8" applyFont="1" applyFill="1" applyBorder="1" applyAlignment="1" applyProtection="1">
      <alignment horizontal="left"/>
    </xf>
    <xf numFmtId="0" fontId="25" fillId="0" borderId="10" xfId="8" applyFont="1" applyFill="1" applyBorder="1" applyAlignment="1" applyProtection="1">
      <alignment horizontal="center"/>
    </xf>
    <xf numFmtId="0" fontId="3" fillId="0" borderId="0" xfId="14" quotePrefix="1" applyFont="1" applyBorder="1" applyAlignment="1" applyProtection="1">
      <alignment horizontal="left"/>
    </xf>
    <xf numFmtId="0" fontId="23" fillId="0" borderId="0" xfId="6" applyBorder="1" applyAlignment="1">
      <alignment horizontal="left"/>
    </xf>
    <xf numFmtId="0" fontId="3" fillId="0" borderId="0" xfId="14" quotePrefix="1" applyFont="1" applyBorder="1" applyAlignment="1" applyProtection="1">
      <alignment horizontal="left" wrapText="1"/>
    </xf>
    <xf numFmtId="0" fontId="25" fillId="0" borderId="0" xfId="14" applyFont="1" applyFill="1" applyBorder="1" applyAlignment="1" applyProtection="1"/>
    <xf numFmtId="0" fontId="23" fillId="0" borderId="0" xfId="6" applyBorder="1" applyAlignment="1"/>
    <xf numFmtId="0" fontId="26" fillId="0" borderId="0" xfId="14" applyFont="1" applyFill="1" applyBorder="1" applyAlignment="1" applyProtection="1"/>
    <xf numFmtId="0" fontId="3" fillId="4" borderId="0" xfId="15" quotePrefix="1" applyFont="1" applyFill="1" applyAlignment="1">
      <alignment vertical="top" wrapText="1"/>
    </xf>
    <xf numFmtId="0" fontId="34" fillId="0" borderId="0" xfId="5" applyFont="1" applyAlignment="1" applyProtection="1">
      <alignment horizontal="center" vertical="center" wrapText="1"/>
    </xf>
    <xf numFmtId="49" fontId="54" fillId="0" borderId="4" xfId="26" applyNumberFormat="1" applyFont="1" applyBorder="1" applyAlignment="1">
      <alignment horizontal="center"/>
    </xf>
    <xf numFmtId="0" fontId="54" fillId="0" borderId="9" xfId="26" applyFont="1" applyBorder="1" applyAlignment="1">
      <alignment horizontal="center"/>
    </xf>
    <xf numFmtId="0" fontId="54" fillId="0" borderId="10" xfId="26" applyFont="1" applyBorder="1" applyAlignment="1">
      <alignment horizontal="center"/>
    </xf>
    <xf numFmtId="0" fontId="21" fillId="0" borderId="0" xfId="19" applyFont="1" applyFill="1" applyAlignment="1" applyProtection="1">
      <alignment wrapText="1"/>
    </xf>
    <xf numFmtId="0" fontId="0" fillId="0" borderId="0" xfId="0" applyAlignment="1">
      <alignment wrapText="1"/>
    </xf>
    <xf numFmtId="0" fontId="3" fillId="0" borderId="0" xfId="19" quotePrefix="1" applyFont="1" applyBorder="1" applyAlignment="1" applyProtection="1">
      <alignment horizontal="left" vertical="top" wrapText="1"/>
    </xf>
    <xf numFmtId="0" fontId="11" fillId="0" borderId="0" xfId="19" quotePrefix="1" applyFont="1" applyBorder="1" applyAlignment="1" applyProtection="1">
      <alignment horizontal="left" vertical="top" wrapText="1"/>
    </xf>
    <xf numFmtId="0" fontId="21" fillId="0" borderId="0" xfId="9" applyFont="1" applyFill="1" applyBorder="1" applyAlignment="1" applyProtection="1">
      <alignment horizontal="left" wrapText="1" readingOrder="1"/>
    </xf>
    <xf numFmtId="0" fontId="0" fillId="0" borderId="0" xfId="0" applyAlignment="1">
      <alignment wrapText="1" readingOrder="1"/>
    </xf>
    <xf numFmtId="0" fontId="16" fillId="6" borderId="0" xfId="9" applyFont="1" applyFill="1" applyBorder="1" applyAlignment="1" applyProtection="1">
      <alignment horizontal="left" wrapText="1" readingOrder="1"/>
    </xf>
    <xf numFmtId="0" fontId="0" fillId="6" borderId="0" xfId="0" applyFill="1" applyAlignment="1">
      <alignment wrapText="1"/>
    </xf>
  </cellXfs>
  <cellStyles count="28">
    <cellStyle name="Date" xfId="1"/>
    <cellStyle name="Fixed" xfId="2"/>
    <cellStyle name="Heading1" xfId="3"/>
    <cellStyle name="Heading2" xfId="4"/>
    <cellStyle name="Hyperlink" xfId="5" builtinId="8"/>
    <cellStyle name="Normal" xfId="0" builtinId="0"/>
    <cellStyle name="Normal 2" xfId="6"/>
    <cellStyle name="Normal 3" xfId="26"/>
    <cellStyle name="Normal_10btab" xfId="7"/>
    <cellStyle name="Normal_10ctab" xfId="8"/>
    <cellStyle name="Normal_1atab" xfId="9"/>
    <cellStyle name="Normal_1-macro-stub" xfId="10"/>
    <cellStyle name="Normal_5btab" xfId="11"/>
    <cellStyle name="Normal_8btab" xfId="12"/>
    <cellStyle name="Normal_8ctab" xfId="13"/>
    <cellStyle name="Normal_tab-10B" xfId="14"/>
    <cellStyle name="Normal_tab-10C" xfId="15"/>
    <cellStyle name="Normal_Us_coal" xfId="16"/>
    <cellStyle name="Normal_us_e_s&amp;d" xfId="17"/>
    <cellStyle name="Normal_us_elec" xfId="18"/>
    <cellStyle name="Normal_us_energy" xfId="19"/>
    <cellStyle name="Normal_us_macro" xfId="20"/>
    <cellStyle name="Normal_us_ng" xfId="21"/>
    <cellStyle name="Normal_us_price" xfId="22"/>
    <cellStyle name="Normal_us_psd_m" xfId="23"/>
    <cellStyle name="Normal_us_renew" xfId="24"/>
    <cellStyle name="Percent" xfId="27" builtinId="5"/>
    <cellStyle name="Total" xfId="25" builtinId="25" customBuiltin="1"/>
  </cellStyles>
  <dxfs count="3">
    <dxf>
      <font>
        <b/>
        <i val="0"/>
        <condense val="0"/>
        <extend val="0"/>
        <color indexed="10"/>
      </font>
    </dxf>
    <dxf>
      <font>
        <b/>
        <i val="0"/>
        <condense val="0"/>
        <extend val="0"/>
        <color indexed="10"/>
      </font>
    </dxf>
    <dxf>
      <font>
        <b/>
        <i val="0"/>
        <condense val="0"/>
        <extend val="0"/>
        <color indexed="10"/>
      </font>
    </dxf>
  </dxfs>
  <tableStyles count="0" defaultTableStyle="TableStyleMedium9" defaultPivotStyle="PivotStyleLight16"/>
  <colors>
    <mruColors>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eia.gov/"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28575</xdr:colOff>
      <xdr:row>0</xdr:row>
      <xdr:rowOff>95250</xdr:rowOff>
    </xdr:from>
    <xdr:to>
      <xdr:col>1</xdr:col>
      <xdr:colOff>3305175</xdr:colOff>
      <xdr:row>4</xdr:row>
      <xdr:rowOff>85725</xdr:rowOff>
    </xdr:to>
    <xdr:pic>
      <xdr:nvPicPr>
        <xdr:cNvPr id="1263" name="Picture 13" descr="eia_logo_tagline">
          <a:hlinkClick xmlns:r="http://schemas.openxmlformats.org/officeDocument/2006/relationships" r:id="rId1"/>
        </xdr:cNvPr>
        <xdr:cNvPicPr>
          <a:picLocks noChangeAspect="1" noChangeArrowheads="1"/>
        </xdr:cNvPicPr>
      </xdr:nvPicPr>
      <xdr:blipFill>
        <a:blip xmlns:r="http://schemas.openxmlformats.org/officeDocument/2006/relationships" r:embed="rId2" cstate="print"/>
        <a:srcRect/>
        <a:stretch>
          <a:fillRect/>
        </a:stretch>
      </xdr:blipFill>
      <xdr:spPr bwMode="auto">
        <a:xfrm>
          <a:off x="904875" y="95250"/>
          <a:ext cx="3276600" cy="6381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V13"/>
  <sheetViews>
    <sheetView workbookViewId="0">
      <selection activeCell="E24" sqref="E24"/>
    </sheetView>
  </sheetViews>
  <sheetFormatPr defaultRowHeight="13.2" x14ac:dyDescent="0.25"/>
  <cols>
    <col min="1" max="1" width="6.44140625" customWidth="1"/>
    <col min="2" max="2" width="14" customWidth="1"/>
  </cols>
  <sheetData>
    <row r="1" spans="1:74" x14ac:dyDescent="0.25">
      <c r="A1" s="266" t="s">
        <v>230</v>
      </c>
      <c r="B1" s="267"/>
      <c r="C1" s="267"/>
      <c r="D1" s="605" t="s">
        <v>1427</v>
      </c>
      <c r="E1" s="267"/>
      <c r="F1" s="267"/>
      <c r="G1" s="267"/>
      <c r="H1" s="267"/>
      <c r="I1" s="267"/>
      <c r="J1" s="267"/>
      <c r="K1" s="267"/>
      <c r="L1" s="267"/>
      <c r="M1" s="267"/>
      <c r="N1" s="267"/>
      <c r="O1" s="267"/>
      <c r="P1" s="267"/>
    </row>
    <row r="3" spans="1:74" x14ac:dyDescent="0.25">
      <c r="A3" t="s">
        <v>106</v>
      </c>
      <c r="D3" s="715">
        <f>YEAR(D1)-4</f>
        <v>2016</v>
      </c>
    </row>
    <row r="4" spans="1:74" x14ac:dyDescent="0.25">
      <c r="D4" s="264"/>
    </row>
    <row r="5" spans="1:74" x14ac:dyDescent="0.25">
      <c r="A5" t="s">
        <v>1058</v>
      </c>
      <c r="D5" s="264">
        <f>+D3*100+1</f>
        <v>201601</v>
      </c>
    </row>
    <row r="7" spans="1:74" x14ac:dyDescent="0.25">
      <c r="A7" t="s">
        <v>1060</v>
      </c>
      <c r="D7" s="714">
        <f>IF(MONTH(D1)&gt;1,100*YEAR(D1)+MONTH(D1)-1,100*(YEAR(D1)-1)+12)</f>
        <v>202008</v>
      </c>
    </row>
    <row r="10" spans="1:74" s="294" customFormat="1" x14ac:dyDescent="0.25">
      <c r="A10" s="294" t="s">
        <v>231</v>
      </c>
    </row>
    <row r="11" spans="1:74" s="12" customFormat="1" ht="10.199999999999999" x14ac:dyDescent="0.2">
      <c r="A11" s="43"/>
      <c r="B11" s="44" t="s">
        <v>764</v>
      </c>
      <c r="C11" s="295">
        <f>+D5</f>
        <v>201601</v>
      </c>
      <c r="D11" s="45">
        <f>C11+1</f>
        <v>201602</v>
      </c>
      <c r="E11" s="45">
        <f>D11+1</f>
        <v>201603</v>
      </c>
      <c r="F11" s="46">
        <f>E11+1</f>
        <v>201604</v>
      </c>
      <c r="G11" s="46">
        <f t="shared" ref="G11:BR11" si="0">F11+1</f>
        <v>201605</v>
      </c>
      <c r="H11" s="46">
        <f t="shared" si="0"/>
        <v>201606</v>
      </c>
      <c r="I11" s="46">
        <f t="shared" si="0"/>
        <v>201607</v>
      </c>
      <c r="J11" s="46">
        <f t="shared" si="0"/>
        <v>201608</v>
      </c>
      <c r="K11" s="46">
        <f t="shared" si="0"/>
        <v>201609</v>
      </c>
      <c r="L11" s="46">
        <f t="shared" si="0"/>
        <v>201610</v>
      </c>
      <c r="M11" s="46">
        <f t="shared" si="0"/>
        <v>201611</v>
      </c>
      <c r="N11" s="46">
        <f t="shared" si="0"/>
        <v>201612</v>
      </c>
      <c r="O11" s="46">
        <f>+C11+100</f>
        <v>201701</v>
      </c>
      <c r="P11" s="46">
        <f t="shared" si="0"/>
        <v>201702</v>
      </c>
      <c r="Q11" s="46">
        <f t="shared" si="0"/>
        <v>201703</v>
      </c>
      <c r="R11" s="46">
        <f t="shared" si="0"/>
        <v>201704</v>
      </c>
      <c r="S11" s="46">
        <f t="shared" si="0"/>
        <v>201705</v>
      </c>
      <c r="T11" s="46">
        <f t="shared" si="0"/>
        <v>201706</v>
      </c>
      <c r="U11" s="46">
        <f t="shared" si="0"/>
        <v>201707</v>
      </c>
      <c r="V11" s="46">
        <f t="shared" si="0"/>
        <v>201708</v>
      </c>
      <c r="W11" s="46">
        <f t="shared" si="0"/>
        <v>201709</v>
      </c>
      <c r="X11" s="46">
        <f t="shared" si="0"/>
        <v>201710</v>
      </c>
      <c r="Y11" s="46">
        <f t="shared" si="0"/>
        <v>201711</v>
      </c>
      <c r="Z11" s="46">
        <f t="shared" si="0"/>
        <v>201712</v>
      </c>
      <c r="AA11" s="46">
        <f>+O11+100</f>
        <v>201801</v>
      </c>
      <c r="AB11" s="46">
        <f t="shared" si="0"/>
        <v>201802</v>
      </c>
      <c r="AC11" s="46">
        <f t="shared" si="0"/>
        <v>201803</v>
      </c>
      <c r="AD11" s="46">
        <f t="shared" si="0"/>
        <v>201804</v>
      </c>
      <c r="AE11" s="46">
        <f t="shared" si="0"/>
        <v>201805</v>
      </c>
      <c r="AF11" s="46">
        <f t="shared" si="0"/>
        <v>201806</v>
      </c>
      <c r="AG11" s="46">
        <f t="shared" si="0"/>
        <v>201807</v>
      </c>
      <c r="AH11" s="46">
        <f t="shared" si="0"/>
        <v>201808</v>
      </c>
      <c r="AI11" s="46">
        <f t="shared" si="0"/>
        <v>201809</v>
      </c>
      <c r="AJ11" s="46">
        <f t="shared" si="0"/>
        <v>201810</v>
      </c>
      <c r="AK11" s="46">
        <f t="shared" si="0"/>
        <v>201811</v>
      </c>
      <c r="AL11" s="46">
        <f t="shared" si="0"/>
        <v>201812</v>
      </c>
      <c r="AM11" s="46">
        <f>+AA11+100</f>
        <v>201901</v>
      </c>
      <c r="AN11" s="46">
        <f t="shared" si="0"/>
        <v>201902</v>
      </c>
      <c r="AO11" s="46">
        <f t="shared" si="0"/>
        <v>201903</v>
      </c>
      <c r="AP11" s="46">
        <f t="shared" si="0"/>
        <v>201904</v>
      </c>
      <c r="AQ11" s="46">
        <f t="shared" si="0"/>
        <v>201905</v>
      </c>
      <c r="AR11" s="46">
        <f t="shared" si="0"/>
        <v>201906</v>
      </c>
      <c r="AS11" s="46">
        <f t="shared" si="0"/>
        <v>201907</v>
      </c>
      <c r="AT11" s="46">
        <f t="shared" si="0"/>
        <v>201908</v>
      </c>
      <c r="AU11" s="46">
        <f t="shared" si="0"/>
        <v>201909</v>
      </c>
      <c r="AV11" s="46">
        <f t="shared" si="0"/>
        <v>201910</v>
      </c>
      <c r="AW11" s="46">
        <f t="shared" si="0"/>
        <v>201911</v>
      </c>
      <c r="AX11" s="46">
        <f t="shared" si="0"/>
        <v>201912</v>
      </c>
      <c r="AY11" s="46">
        <f>+AM11+100</f>
        <v>202001</v>
      </c>
      <c r="AZ11" s="46">
        <f t="shared" si="0"/>
        <v>202002</v>
      </c>
      <c r="BA11" s="46">
        <f t="shared" si="0"/>
        <v>202003</v>
      </c>
      <c r="BB11" s="46">
        <f t="shared" si="0"/>
        <v>202004</v>
      </c>
      <c r="BC11" s="46">
        <f t="shared" si="0"/>
        <v>202005</v>
      </c>
      <c r="BD11" s="46">
        <f t="shared" si="0"/>
        <v>202006</v>
      </c>
      <c r="BE11" s="46">
        <f t="shared" si="0"/>
        <v>202007</v>
      </c>
      <c r="BF11" s="46">
        <f t="shared" si="0"/>
        <v>202008</v>
      </c>
      <c r="BG11" s="46">
        <f t="shared" si="0"/>
        <v>202009</v>
      </c>
      <c r="BH11" s="46">
        <f t="shared" si="0"/>
        <v>202010</v>
      </c>
      <c r="BI11" s="46">
        <f t="shared" si="0"/>
        <v>202011</v>
      </c>
      <c r="BJ11" s="46">
        <f t="shared" si="0"/>
        <v>202012</v>
      </c>
      <c r="BK11" s="46">
        <f>+AY11+100</f>
        <v>202101</v>
      </c>
      <c r="BL11" s="46">
        <f t="shared" si="0"/>
        <v>202102</v>
      </c>
      <c r="BM11" s="46">
        <f t="shared" si="0"/>
        <v>202103</v>
      </c>
      <c r="BN11" s="46">
        <f t="shared" si="0"/>
        <v>202104</v>
      </c>
      <c r="BO11" s="46">
        <f t="shared" si="0"/>
        <v>202105</v>
      </c>
      <c r="BP11" s="46">
        <f t="shared" si="0"/>
        <v>202106</v>
      </c>
      <c r="BQ11" s="46">
        <f t="shared" si="0"/>
        <v>202107</v>
      </c>
      <c r="BR11" s="46">
        <f t="shared" si="0"/>
        <v>202108</v>
      </c>
      <c r="BS11" s="46">
        <f>BR11+1</f>
        <v>202109</v>
      </c>
      <c r="BT11" s="46">
        <f>BS11+1</f>
        <v>202110</v>
      </c>
      <c r="BU11" s="46">
        <f>BT11+1</f>
        <v>202111</v>
      </c>
      <c r="BV11" s="46">
        <f>BU11+1</f>
        <v>202112</v>
      </c>
    </row>
    <row r="12" spans="1:74" s="12" customFormat="1" ht="10.199999999999999" x14ac:dyDescent="0.2">
      <c r="A12" s="43"/>
      <c r="B12" s="47" t="s">
        <v>237</v>
      </c>
      <c r="C12" s="48">
        <v>265</v>
      </c>
      <c r="D12" s="48">
        <v>266</v>
      </c>
      <c r="E12" s="48">
        <v>267</v>
      </c>
      <c r="F12" s="48">
        <v>268</v>
      </c>
      <c r="G12" s="48">
        <v>269</v>
      </c>
      <c r="H12" s="48">
        <v>270</v>
      </c>
      <c r="I12" s="48">
        <v>271</v>
      </c>
      <c r="J12" s="48">
        <v>272</v>
      </c>
      <c r="K12" s="48">
        <v>273</v>
      </c>
      <c r="L12" s="48">
        <v>274</v>
      </c>
      <c r="M12" s="48">
        <v>275</v>
      </c>
      <c r="N12" s="48">
        <v>276</v>
      </c>
      <c r="O12" s="48">
        <v>277</v>
      </c>
      <c r="P12" s="48">
        <v>278</v>
      </c>
      <c r="Q12" s="48">
        <v>279</v>
      </c>
      <c r="R12" s="48">
        <v>280</v>
      </c>
      <c r="S12" s="48">
        <v>281</v>
      </c>
      <c r="T12" s="48">
        <v>282</v>
      </c>
      <c r="U12" s="48">
        <v>283</v>
      </c>
      <c r="V12" s="48">
        <v>284</v>
      </c>
      <c r="W12" s="48">
        <v>285</v>
      </c>
      <c r="X12" s="48">
        <v>286</v>
      </c>
      <c r="Y12" s="48">
        <v>287</v>
      </c>
      <c r="Z12" s="48">
        <v>288</v>
      </c>
      <c r="AA12" s="48">
        <v>289</v>
      </c>
      <c r="AB12" s="48">
        <v>290</v>
      </c>
      <c r="AC12" s="48">
        <v>291</v>
      </c>
      <c r="AD12" s="48">
        <v>292</v>
      </c>
      <c r="AE12" s="48">
        <v>293</v>
      </c>
      <c r="AF12" s="48">
        <v>294</v>
      </c>
      <c r="AG12" s="48">
        <v>295</v>
      </c>
      <c r="AH12" s="48">
        <v>296</v>
      </c>
      <c r="AI12" s="48">
        <v>297</v>
      </c>
      <c r="AJ12" s="48">
        <v>298</v>
      </c>
      <c r="AK12" s="48">
        <v>299</v>
      </c>
      <c r="AL12" s="48">
        <v>300</v>
      </c>
      <c r="AM12" s="48">
        <v>301</v>
      </c>
      <c r="AN12" s="48">
        <v>302</v>
      </c>
      <c r="AO12" s="48">
        <v>303</v>
      </c>
      <c r="AP12" s="48">
        <v>304</v>
      </c>
      <c r="AQ12" s="48">
        <v>305</v>
      </c>
      <c r="AR12" s="48">
        <v>306</v>
      </c>
      <c r="AS12" s="48">
        <v>307</v>
      </c>
      <c r="AT12" s="48">
        <v>308</v>
      </c>
      <c r="AU12" s="48">
        <v>309</v>
      </c>
      <c r="AV12" s="48">
        <v>310</v>
      </c>
      <c r="AW12" s="48">
        <v>311</v>
      </c>
      <c r="AX12" s="48">
        <v>312</v>
      </c>
      <c r="AY12" s="48">
        <v>313</v>
      </c>
      <c r="AZ12" s="48">
        <v>314</v>
      </c>
      <c r="BA12" s="48">
        <v>315</v>
      </c>
      <c r="BB12" s="48">
        <v>316</v>
      </c>
      <c r="BC12" s="48">
        <v>317</v>
      </c>
      <c r="BD12" s="48">
        <v>318</v>
      </c>
      <c r="BE12" s="48">
        <v>319</v>
      </c>
      <c r="BF12" s="48">
        <v>320</v>
      </c>
      <c r="BG12" s="48">
        <v>321</v>
      </c>
      <c r="BH12" s="48">
        <v>322</v>
      </c>
      <c r="BI12" s="48">
        <v>323</v>
      </c>
      <c r="BJ12" s="48">
        <v>324</v>
      </c>
      <c r="BK12" s="48">
        <v>325</v>
      </c>
      <c r="BL12" s="48">
        <v>326</v>
      </c>
      <c r="BM12" s="48">
        <v>327</v>
      </c>
      <c r="BN12" s="48">
        <v>328</v>
      </c>
      <c r="BO12" s="48">
        <v>329</v>
      </c>
      <c r="BP12" s="48">
        <v>330</v>
      </c>
      <c r="BQ12" s="48">
        <v>331</v>
      </c>
      <c r="BR12" s="48">
        <v>332</v>
      </c>
      <c r="BS12" s="48">
        <v>333</v>
      </c>
      <c r="BT12" s="48">
        <v>334</v>
      </c>
      <c r="BU12" s="48">
        <v>335</v>
      </c>
      <c r="BV12" s="48">
        <v>336</v>
      </c>
    </row>
    <row r="13" spans="1:74" s="294" customFormat="1" x14ac:dyDescent="0.25">
      <c r="B13" s="47" t="s">
        <v>1059</v>
      </c>
      <c r="C13" s="48">
        <f>IF(C11&lt;=$D$7,1,0)</f>
        <v>1</v>
      </c>
      <c r="D13" s="48">
        <f t="shared" ref="D13:BO13" si="1">IF(D11&lt;=$D$7,1,0)</f>
        <v>1</v>
      </c>
      <c r="E13" s="48">
        <f t="shared" si="1"/>
        <v>1</v>
      </c>
      <c r="F13" s="48">
        <f t="shared" si="1"/>
        <v>1</v>
      </c>
      <c r="G13" s="48">
        <f t="shared" si="1"/>
        <v>1</v>
      </c>
      <c r="H13" s="48">
        <f t="shared" si="1"/>
        <v>1</v>
      </c>
      <c r="I13" s="48">
        <f t="shared" si="1"/>
        <v>1</v>
      </c>
      <c r="J13" s="48">
        <f t="shared" si="1"/>
        <v>1</v>
      </c>
      <c r="K13" s="48">
        <f t="shared" si="1"/>
        <v>1</v>
      </c>
      <c r="L13" s="48">
        <f t="shared" si="1"/>
        <v>1</v>
      </c>
      <c r="M13" s="48">
        <f t="shared" si="1"/>
        <v>1</v>
      </c>
      <c r="N13" s="48">
        <f t="shared" si="1"/>
        <v>1</v>
      </c>
      <c r="O13" s="48">
        <f t="shared" si="1"/>
        <v>1</v>
      </c>
      <c r="P13" s="48">
        <f t="shared" si="1"/>
        <v>1</v>
      </c>
      <c r="Q13" s="48">
        <f t="shared" si="1"/>
        <v>1</v>
      </c>
      <c r="R13" s="48">
        <f t="shared" si="1"/>
        <v>1</v>
      </c>
      <c r="S13" s="48">
        <f t="shared" si="1"/>
        <v>1</v>
      </c>
      <c r="T13" s="48">
        <f t="shared" si="1"/>
        <v>1</v>
      </c>
      <c r="U13" s="48">
        <f t="shared" si="1"/>
        <v>1</v>
      </c>
      <c r="V13" s="48">
        <f t="shared" si="1"/>
        <v>1</v>
      </c>
      <c r="W13" s="48">
        <f t="shared" si="1"/>
        <v>1</v>
      </c>
      <c r="X13" s="48">
        <f t="shared" si="1"/>
        <v>1</v>
      </c>
      <c r="Y13" s="48">
        <f t="shared" si="1"/>
        <v>1</v>
      </c>
      <c r="Z13" s="48">
        <f t="shared" si="1"/>
        <v>1</v>
      </c>
      <c r="AA13" s="48">
        <f t="shared" si="1"/>
        <v>1</v>
      </c>
      <c r="AB13" s="48">
        <f t="shared" si="1"/>
        <v>1</v>
      </c>
      <c r="AC13" s="48">
        <f t="shared" si="1"/>
        <v>1</v>
      </c>
      <c r="AD13" s="48">
        <f t="shared" si="1"/>
        <v>1</v>
      </c>
      <c r="AE13" s="48">
        <f t="shared" si="1"/>
        <v>1</v>
      </c>
      <c r="AF13" s="48">
        <f t="shared" si="1"/>
        <v>1</v>
      </c>
      <c r="AG13" s="48">
        <f t="shared" si="1"/>
        <v>1</v>
      </c>
      <c r="AH13" s="48">
        <f t="shared" si="1"/>
        <v>1</v>
      </c>
      <c r="AI13" s="48">
        <f t="shared" si="1"/>
        <v>1</v>
      </c>
      <c r="AJ13" s="48">
        <f t="shared" si="1"/>
        <v>1</v>
      </c>
      <c r="AK13" s="48">
        <f t="shared" si="1"/>
        <v>1</v>
      </c>
      <c r="AL13" s="48">
        <f t="shared" si="1"/>
        <v>1</v>
      </c>
      <c r="AM13" s="48">
        <f t="shared" si="1"/>
        <v>1</v>
      </c>
      <c r="AN13" s="48">
        <f t="shared" si="1"/>
        <v>1</v>
      </c>
      <c r="AO13" s="48">
        <f t="shared" si="1"/>
        <v>1</v>
      </c>
      <c r="AP13" s="48">
        <f t="shared" si="1"/>
        <v>1</v>
      </c>
      <c r="AQ13" s="48">
        <f t="shared" si="1"/>
        <v>1</v>
      </c>
      <c r="AR13" s="48">
        <f t="shared" si="1"/>
        <v>1</v>
      </c>
      <c r="AS13" s="48">
        <f t="shared" si="1"/>
        <v>1</v>
      </c>
      <c r="AT13" s="48">
        <f t="shared" si="1"/>
        <v>1</v>
      </c>
      <c r="AU13" s="48">
        <f t="shared" si="1"/>
        <v>1</v>
      </c>
      <c r="AV13" s="48">
        <f t="shared" si="1"/>
        <v>1</v>
      </c>
      <c r="AW13" s="48">
        <f t="shared" si="1"/>
        <v>1</v>
      </c>
      <c r="AX13" s="48">
        <f t="shared" si="1"/>
        <v>1</v>
      </c>
      <c r="AY13" s="48">
        <f t="shared" si="1"/>
        <v>1</v>
      </c>
      <c r="AZ13" s="48">
        <f t="shared" si="1"/>
        <v>1</v>
      </c>
      <c r="BA13" s="48">
        <f t="shared" si="1"/>
        <v>1</v>
      </c>
      <c r="BB13" s="48">
        <f t="shared" si="1"/>
        <v>1</v>
      </c>
      <c r="BC13" s="48">
        <f t="shared" si="1"/>
        <v>1</v>
      </c>
      <c r="BD13" s="48">
        <f t="shared" si="1"/>
        <v>1</v>
      </c>
      <c r="BE13" s="48">
        <f t="shared" si="1"/>
        <v>1</v>
      </c>
      <c r="BF13" s="48">
        <f t="shared" si="1"/>
        <v>1</v>
      </c>
      <c r="BG13" s="48">
        <f t="shared" si="1"/>
        <v>0</v>
      </c>
      <c r="BH13" s="48">
        <f t="shared" si="1"/>
        <v>0</v>
      </c>
      <c r="BI13" s="48">
        <f t="shared" si="1"/>
        <v>0</v>
      </c>
      <c r="BJ13" s="48">
        <f t="shared" si="1"/>
        <v>0</v>
      </c>
      <c r="BK13" s="48">
        <f t="shared" si="1"/>
        <v>0</v>
      </c>
      <c r="BL13" s="48">
        <f t="shared" si="1"/>
        <v>0</v>
      </c>
      <c r="BM13" s="48">
        <f t="shared" si="1"/>
        <v>0</v>
      </c>
      <c r="BN13" s="48">
        <f t="shared" si="1"/>
        <v>0</v>
      </c>
      <c r="BO13" s="48">
        <f t="shared" si="1"/>
        <v>0</v>
      </c>
      <c r="BP13" s="48">
        <f t="shared" ref="BP13:BV13" si="2">IF(BP11&lt;=$D$7,1,0)</f>
        <v>0</v>
      </c>
      <c r="BQ13" s="48">
        <f t="shared" si="2"/>
        <v>0</v>
      </c>
      <c r="BR13" s="48">
        <f t="shared" si="2"/>
        <v>0</v>
      </c>
      <c r="BS13" s="48">
        <f t="shared" si="2"/>
        <v>0</v>
      </c>
      <c r="BT13" s="48">
        <f t="shared" si="2"/>
        <v>0</v>
      </c>
      <c r="BU13" s="48">
        <f t="shared" si="2"/>
        <v>0</v>
      </c>
      <c r="BV13" s="48">
        <f t="shared" si="2"/>
        <v>0</v>
      </c>
    </row>
  </sheetData>
  <phoneticPr fontId="3"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R30"/>
  <sheetViews>
    <sheetView tabSelected="1" workbookViewId="0"/>
  </sheetViews>
  <sheetFormatPr defaultColWidth="8.5546875" defaultRowHeight="13.2" x14ac:dyDescent="0.25"/>
  <cols>
    <col min="1" max="1" width="13.44140625" style="306" customWidth="1"/>
    <col min="2" max="2" width="90" style="306" customWidth="1"/>
    <col min="3" max="16384" width="8.5546875" style="306"/>
  </cols>
  <sheetData>
    <row r="1" spans="1:18" x14ac:dyDescent="0.25">
      <c r="A1" s="306" t="s">
        <v>515</v>
      </c>
    </row>
    <row r="6" spans="1:18" ht="15.6" x14ac:dyDescent="0.3">
      <c r="B6" s="307" t="str">
        <f>"Short-Term Energy Outlook, "&amp;Dates!D1</f>
        <v>Short-Term Energy Outlook, September 2020</v>
      </c>
    </row>
    <row r="8" spans="1:18" ht="15" customHeight="1" x14ac:dyDescent="0.25">
      <c r="A8" s="308"/>
      <c r="B8" s="309" t="s">
        <v>240</v>
      </c>
      <c r="C8" s="310"/>
      <c r="D8" s="310"/>
      <c r="E8" s="310"/>
      <c r="F8" s="310"/>
      <c r="G8" s="310"/>
      <c r="H8" s="310"/>
      <c r="I8" s="310"/>
      <c r="J8" s="310"/>
      <c r="K8" s="310"/>
      <c r="L8" s="310"/>
      <c r="M8" s="310"/>
      <c r="N8" s="310"/>
      <c r="O8" s="310"/>
      <c r="P8" s="310"/>
      <c r="Q8" s="310"/>
      <c r="R8" s="310"/>
    </row>
    <row r="9" spans="1:18" ht="15" customHeight="1" x14ac:dyDescent="0.25">
      <c r="A9" s="308"/>
      <c r="B9" s="309" t="s">
        <v>1013</v>
      </c>
      <c r="C9" s="310"/>
      <c r="D9" s="310"/>
      <c r="E9" s="310"/>
      <c r="F9" s="310"/>
      <c r="G9" s="310"/>
      <c r="H9" s="310"/>
      <c r="I9" s="310"/>
      <c r="J9" s="310"/>
      <c r="K9" s="310"/>
      <c r="L9" s="310"/>
      <c r="M9" s="310"/>
      <c r="N9" s="310"/>
      <c r="O9" s="310"/>
      <c r="P9" s="310"/>
      <c r="Q9" s="310"/>
      <c r="R9" s="310"/>
    </row>
    <row r="10" spans="1:18" ht="15" customHeight="1" x14ac:dyDescent="0.25">
      <c r="A10" s="308"/>
      <c r="B10" s="309" t="s">
        <v>923</v>
      </c>
      <c r="C10" s="311"/>
      <c r="D10" s="311"/>
      <c r="E10" s="311"/>
      <c r="F10" s="311"/>
      <c r="G10" s="311"/>
      <c r="H10" s="311"/>
      <c r="I10" s="311"/>
      <c r="J10" s="311"/>
      <c r="K10" s="311"/>
      <c r="L10" s="311"/>
      <c r="M10" s="311"/>
      <c r="N10" s="311"/>
      <c r="O10" s="311"/>
      <c r="P10" s="311"/>
      <c r="Q10" s="311"/>
      <c r="R10" s="311"/>
    </row>
    <row r="11" spans="1:18" ht="15" customHeight="1" x14ac:dyDescent="0.25">
      <c r="A11" s="308"/>
      <c r="B11" s="309" t="s">
        <v>1425</v>
      </c>
      <c r="C11" s="311"/>
      <c r="D11" s="311"/>
      <c r="E11" s="311"/>
      <c r="F11" s="311"/>
      <c r="G11" s="311"/>
      <c r="H11" s="311"/>
      <c r="I11" s="311"/>
      <c r="J11" s="311"/>
      <c r="K11" s="311"/>
      <c r="L11" s="311"/>
      <c r="M11" s="311"/>
      <c r="N11" s="311"/>
      <c r="O11" s="311"/>
      <c r="P11" s="311"/>
      <c r="Q11" s="311"/>
      <c r="R11" s="311"/>
    </row>
    <row r="12" spans="1:18" ht="15" customHeight="1" x14ac:dyDescent="0.25">
      <c r="A12" s="308"/>
      <c r="B12" s="309" t="s">
        <v>1426</v>
      </c>
      <c r="C12" s="311"/>
      <c r="D12" s="311"/>
      <c r="E12" s="311"/>
      <c r="F12" s="311"/>
      <c r="G12" s="311"/>
      <c r="H12" s="311"/>
      <c r="I12" s="311"/>
      <c r="J12" s="311"/>
      <c r="K12" s="311"/>
      <c r="L12" s="311"/>
      <c r="M12" s="311"/>
      <c r="N12" s="311"/>
      <c r="O12" s="311"/>
      <c r="P12" s="311"/>
      <c r="Q12" s="311"/>
      <c r="R12" s="311"/>
    </row>
    <row r="13" spans="1:18" ht="15" customHeight="1" x14ac:dyDescent="0.25">
      <c r="A13" s="308"/>
      <c r="B13" s="309" t="s">
        <v>950</v>
      </c>
      <c r="C13" s="311"/>
      <c r="D13" s="311"/>
      <c r="E13" s="311"/>
      <c r="F13" s="311"/>
      <c r="G13" s="311"/>
      <c r="H13" s="311"/>
      <c r="I13" s="311"/>
      <c r="J13" s="311"/>
      <c r="K13" s="311"/>
      <c r="L13" s="311"/>
      <c r="M13" s="311"/>
      <c r="N13" s="311"/>
      <c r="O13" s="311"/>
      <c r="P13" s="311"/>
      <c r="Q13" s="311"/>
      <c r="R13" s="311"/>
    </row>
    <row r="14" spans="1:18" ht="15" customHeight="1" x14ac:dyDescent="0.25">
      <c r="A14" s="308"/>
      <c r="B14" s="309" t="s">
        <v>924</v>
      </c>
      <c r="C14" s="312"/>
      <c r="D14" s="312"/>
      <c r="E14" s="312"/>
      <c r="F14" s="312"/>
      <c r="G14" s="312"/>
      <c r="H14" s="312"/>
      <c r="I14" s="312"/>
      <c r="J14" s="312"/>
      <c r="K14" s="312"/>
      <c r="L14" s="312"/>
      <c r="M14" s="312"/>
      <c r="N14" s="312"/>
      <c r="O14" s="312"/>
      <c r="P14" s="312"/>
      <c r="Q14" s="312"/>
      <c r="R14" s="312"/>
    </row>
    <row r="15" spans="1:18" ht="15" customHeight="1" x14ac:dyDescent="0.25">
      <c r="A15" s="308"/>
      <c r="B15" s="309" t="s">
        <v>1007</v>
      </c>
      <c r="C15" s="313"/>
      <c r="D15" s="313"/>
      <c r="E15" s="313"/>
      <c r="F15" s="313"/>
      <c r="G15" s="313"/>
      <c r="H15" s="313"/>
      <c r="I15" s="313"/>
      <c r="J15" s="313"/>
      <c r="K15" s="313"/>
      <c r="L15" s="313"/>
      <c r="M15" s="313"/>
      <c r="N15" s="313"/>
      <c r="O15" s="313"/>
      <c r="P15" s="313"/>
      <c r="Q15" s="313"/>
      <c r="R15" s="313"/>
    </row>
    <row r="16" spans="1:18" ht="15" customHeight="1" x14ac:dyDescent="0.25">
      <c r="A16" s="308"/>
      <c r="B16" s="309" t="s">
        <v>810</v>
      </c>
      <c r="C16" s="311"/>
      <c r="D16" s="311"/>
      <c r="E16" s="311"/>
      <c r="F16" s="311"/>
      <c r="G16" s="311"/>
      <c r="H16" s="311"/>
      <c r="I16" s="311"/>
      <c r="J16" s="311"/>
      <c r="K16" s="311"/>
      <c r="L16" s="311"/>
      <c r="M16" s="311"/>
      <c r="N16" s="311"/>
      <c r="O16" s="311"/>
      <c r="P16" s="311"/>
      <c r="Q16" s="311"/>
      <c r="R16" s="311"/>
    </row>
    <row r="17" spans="1:18" ht="15" customHeight="1" x14ac:dyDescent="0.25">
      <c r="A17" s="308"/>
      <c r="B17" s="309" t="s">
        <v>242</v>
      </c>
      <c r="C17" s="314"/>
      <c r="D17" s="314"/>
      <c r="E17" s="314"/>
      <c r="F17" s="314"/>
      <c r="G17" s="314"/>
      <c r="H17" s="314"/>
      <c r="I17" s="314"/>
      <c r="J17" s="314"/>
      <c r="K17" s="314"/>
      <c r="L17" s="314"/>
      <c r="M17" s="314"/>
      <c r="N17" s="314"/>
      <c r="O17" s="314"/>
      <c r="P17" s="314"/>
      <c r="Q17" s="314"/>
      <c r="R17" s="314"/>
    </row>
    <row r="18" spans="1:18" ht="15" customHeight="1" x14ac:dyDescent="0.25">
      <c r="A18" s="308"/>
      <c r="B18" s="309" t="s">
        <v>69</v>
      </c>
      <c r="C18" s="311"/>
      <c r="D18" s="311"/>
      <c r="E18" s="311"/>
      <c r="F18" s="311"/>
      <c r="G18" s="311"/>
      <c r="H18" s="311"/>
      <c r="I18" s="311"/>
      <c r="J18" s="311"/>
      <c r="K18" s="311"/>
      <c r="L18" s="311"/>
      <c r="M18" s="311"/>
      <c r="N18" s="311"/>
      <c r="O18" s="311"/>
      <c r="P18" s="311"/>
      <c r="Q18" s="311"/>
      <c r="R18" s="311"/>
    </row>
    <row r="19" spans="1:18" ht="15" customHeight="1" x14ac:dyDescent="0.25">
      <c r="A19" s="308"/>
      <c r="B19" s="309" t="s">
        <v>243</v>
      </c>
      <c r="C19" s="316"/>
      <c r="D19" s="316"/>
      <c r="E19" s="316"/>
      <c r="F19" s="316"/>
      <c r="G19" s="316"/>
      <c r="H19" s="316"/>
      <c r="I19" s="316"/>
      <c r="J19" s="316"/>
      <c r="K19" s="316"/>
      <c r="L19" s="316"/>
      <c r="M19" s="316"/>
      <c r="N19" s="316"/>
      <c r="O19" s="316"/>
      <c r="P19" s="316"/>
      <c r="Q19" s="316"/>
      <c r="R19" s="316"/>
    </row>
    <row r="20" spans="1:18" ht="15" customHeight="1" x14ac:dyDescent="0.25">
      <c r="A20" s="308"/>
      <c r="B20" s="309" t="s">
        <v>823</v>
      </c>
      <c r="C20" s="311"/>
      <c r="D20" s="311"/>
      <c r="E20" s="311"/>
      <c r="F20" s="311"/>
      <c r="G20" s="311"/>
      <c r="H20" s="311"/>
      <c r="I20" s="311"/>
      <c r="J20" s="311"/>
      <c r="K20" s="311"/>
      <c r="L20" s="311"/>
      <c r="M20" s="311"/>
      <c r="N20" s="311"/>
      <c r="O20" s="311"/>
      <c r="P20" s="311"/>
      <c r="Q20" s="311"/>
      <c r="R20" s="311"/>
    </row>
    <row r="21" spans="1:18" ht="15" customHeight="1" x14ac:dyDescent="0.25">
      <c r="A21" s="308"/>
      <c r="B21" s="315" t="s">
        <v>811</v>
      </c>
      <c r="C21" s="317"/>
      <c r="D21" s="317"/>
      <c r="E21" s="317"/>
      <c r="F21" s="317"/>
      <c r="G21" s="317"/>
      <c r="H21" s="317"/>
      <c r="I21" s="317"/>
      <c r="J21" s="317"/>
      <c r="K21" s="317"/>
      <c r="L21" s="317"/>
      <c r="M21" s="317"/>
      <c r="N21" s="317"/>
      <c r="O21" s="317"/>
      <c r="P21" s="317"/>
      <c r="Q21" s="317"/>
      <c r="R21" s="317"/>
    </row>
    <row r="22" spans="1:18" ht="15" customHeight="1" x14ac:dyDescent="0.25">
      <c r="A22" s="308"/>
      <c r="B22" s="315" t="s">
        <v>812</v>
      </c>
      <c r="C22" s="311"/>
      <c r="D22" s="311"/>
      <c r="E22" s="311"/>
      <c r="F22" s="311"/>
      <c r="G22" s="311"/>
      <c r="H22" s="311"/>
      <c r="I22" s="311"/>
      <c r="J22" s="311"/>
      <c r="K22" s="311"/>
      <c r="L22" s="311"/>
      <c r="M22" s="311"/>
      <c r="N22" s="311"/>
      <c r="O22" s="311"/>
      <c r="P22" s="311"/>
      <c r="Q22" s="311"/>
      <c r="R22" s="311"/>
    </row>
    <row r="23" spans="1:18" ht="15" customHeight="1" x14ac:dyDescent="0.25">
      <c r="A23" s="308"/>
      <c r="B23" s="315" t="s">
        <v>1380</v>
      </c>
      <c r="C23" s="311"/>
      <c r="D23" s="311"/>
      <c r="E23" s="311"/>
      <c r="F23" s="311"/>
      <c r="G23" s="311"/>
      <c r="H23" s="311"/>
      <c r="I23" s="311"/>
      <c r="J23" s="311"/>
      <c r="K23" s="311"/>
      <c r="L23" s="311"/>
      <c r="M23" s="311"/>
      <c r="N23" s="311"/>
      <c r="O23" s="311"/>
      <c r="P23" s="311"/>
      <c r="Q23" s="311"/>
      <c r="R23" s="311"/>
    </row>
    <row r="24" spans="1:18" ht="15" customHeight="1" x14ac:dyDescent="0.25">
      <c r="A24" s="308"/>
      <c r="B24" s="315" t="s">
        <v>1381</v>
      </c>
      <c r="C24" s="311"/>
      <c r="D24" s="311"/>
      <c r="E24" s="311"/>
      <c r="F24" s="311"/>
      <c r="G24" s="311"/>
      <c r="H24" s="311"/>
      <c r="I24" s="311"/>
      <c r="J24" s="311"/>
      <c r="K24" s="311"/>
      <c r="L24" s="311"/>
      <c r="M24" s="311"/>
      <c r="N24" s="311"/>
      <c r="O24" s="311"/>
      <c r="P24" s="311"/>
      <c r="Q24" s="311"/>
      <c r="R24" s="311"/>
    </row>
    <row r="25" spans="1:18" ht="15" customHeight="1" x14ac:dyDescent="0.25">
      <c r="A25" s="308"/>
      <c r="B25" s="309" t="s">
        <v>1124</v>
      </c>
      <c r="C25" s="318"/>
      <c r="D25" s="318"/>
      <c r="E25" s="318"/>
      <c r="F25" s="318"/>
      <c r="G25" s="318"/>
      <c r="H25" s="318"/>
      <c r="I25" s="318"/>
      <c r="J25" s="311"/>
      <c r="K25" s="311"/>
      <c r="L25" s="311"/>
      <c r="M25" s="311"/>
      <c r="N25" s="311"/>
      <c r="O25" s="311"/>
      <c r="P25" s="311"/>
      <c r="Q25" s="311"/>
      <c r="R25" s="311"/>
    </row>
    <row r="26" spans="1:18" ht="15" customHeight="1" x14ac:dyDescent="0.25">
      <c r="A26" s="308"/>
      <c r="B26" s="309" t="s">
        <v>1076</v>
      </c>
      <c r="C26" s="318"/>
      <c r="D26" s="318"/>
      <c r="E26" s="318"/>
      <c r="F26" s="318"/>
      <c r="G26" s="318"/>
      <c r="H26" s="318"/>
      <c r="I26" s="318"/>
      <c r="J26" s="311"/>
      <c r="K26" s="311"/>
      <c r="L26" s="311"/>
      <c r="M26" s="311"/>
      <c r="N26" s="311"/>
      <c r="O26" s="311"/>
      <c r="P26" s="311"/>
      <c r="Q26" s="311"/>
      <c r="R26" s="311"/>
    </row>
    <row r="27" spans="1:18" ht="15" customHeight="1" x14ac:dyDescent="0.35">
      <c r="A27" s="308"/>
      <c r="B27" s="309" t="s">
        <v>103</v>
      </c>
      <c r="C27" s="311"/>
      <c r="D27" s="311"/>
      <c r="E27" s="311"/>
      <c r="F27" s="311"/>
      <c r="G27" s="311"/>
      <c r="H27" s="311"/>
      <c r="I27" s="311"/>
      <c r="J27" s="311"/>
      <c r="K27" s="311"/>
      <c r="L27" s="311"/>
      <c r="M27" s="311"/>
      <c r="N27" s="311"/>
      <c r="O27" s="311"/>
      <c r="P27" s="311"/>
      <c r="Q27" s="311"/>
      <c r="R27" s="311"/>
    </row>
    <row r="28" spans="1:18" ht="15" customHeight="1" x14ac:dyDescent="0.25">
      <c r="A28" s="308"/>
      <c r="B28" s="315" t="s">
        <v>244</v>
      </c>
      <c r="C28" s="311"/>
      <c r="D28" s="311"/>
      <c r="E28" s="311"/>
      <c r="F28" s="311"/>
      <c r="G28" s="311"/>
      <c r="H28" s="311"/>
      <c r="I28" s="311"/>
      <c r="J28" s="311"/>
      <c r="K28" s="311"/>
      <c r="L28" s="311"/>
      <c r="M28" s="311"/>
      <c r="N28" s="311"/>
      <c r="O28" s="311"/>
      <c r="P28" s="311"/>
      <c r="Q28" s="311"/>
      <c r="R28" s="311"/>
    </row>
    <row r="29" spans="1:18" ht="15" customHeight="1" x14ac:dyDescent="0.25">
      <c r="A29" s="308"/>
      <c r="B29" s="315" t="s">
        <v>245</v>
      </c>
      <c r="C29" s="319"/>
      <c r="D29" s="319"/>
      <c r="E29" s="319"/>
      <c r="F29" s="319"/>
      <c r="G29" s="319"/>
      <c r="H29" s="319"/>
      <c r="I29" s="319"/>
      <c r="J29" s="319"/>
      <c r="K29" s="319"/>
      <c r="L29" s="319"/>
      <c r="M29" s="319"/>
      <c r="N29" s="319"/>
      <c r="O29" s="319"/>
      <c r="P29" s="319"/>
      <c r="Q29" s="319"/>
      <c r="R29" s="319"/>
    </row>
    <row r="30" spans="1:18" x14ac:dyDescent="0.25">
      <c r="B30" s="308"/>
    </row>
  </sheetData>
  <phoneticPr fontId="3" type="noConversion"/>
  <hyperlinks>
    <hyperlink ref="B8" location="'1tab'!A1" display="Table 1.  U.S. Energy Markets Summary: Base Case "/>
    <hyperlink ref="B9" location="'2tab'!A1" display="Table 2.  Energy Nominal Prices"/>
    <hyperlink ref="B10" location="'3atab'!A1" display="Table 3a. International Petroleum and Other Liquids Production, Consumption, and Inventories"/>
    <hyperlink ref="B11" location="'3btab'!A1" display="Table 3b. Non-OPEC Petroleum and Other Liquids Production"/>
    <hyperlink ref="B12" location="'3ctab'!A1" display="Table 3c. OPEC Crude Oil (excluding Condensates) Supply"/>
    <hyperlink ref="B14" location="'4atab'!A1" display="Table 4a.  U.S. Petroleum and Other Liquids Supply, Consumption, and Inventories"/>
    <hyperlink ref="B15" location="'4btab'!A1" display="Table 4b.  U.S. Hydrocarbon Gas Liquids (HGL) and Petroleum Refinery Balances"/>
    <hyperlink ref="B16" location="'4ctab'!A1" display="Table 4c. U.S. Regional Motor Gasoline Prices and Inventories"/>
    <hyperlink ref="B17" location="'5atab'!A1" display="Table 5a.  U.S. Natural Gas Supply, Consumption, and Inventories: Base Case"/>
    <hyperlink ref="B19" location="'6tab'!A1" display="Table 6.  U.S. Coal Supply, Consumption, and Inventories: Base Case"/>
    <hyperlink ref="B20" location="'7atab'!A1" display="Table 7a.  U.S. Electricity Industry Overview"/>
    <hyperlink ref="B21" location="'7btab'!A1" display="Table 7b. U.S. Regional Electricity Retail Sales"/>
    <hyperlink ref="B22" location="'7ctab'!A1" display="Table 7c. U.S. Regional Electricity Prices"/>
    <hyperlink ref="B23" location="'7d(1)tab'!A1" display="Table 7d(1). U.S. Regional Electricity Generation, Electric Power Sector (part 1)"/>
    <hyperlink ref="B24" location="'7d(2)tab'!A1" display="Table 7d(2). U.S. Regional Electricity Generation, Electric Power Sector (part 2)"/>
    <hyperlink ref="B25" location="'8atab'!A1" display="Table 8a. U.S. Renewable Energy Consumption"/>
    <hyperlink ref="B27" location="'9atab'!A1" display="Table 9a.  U.S. Macroeconomic Indicators and CO2 Emissions "/>
    <hyperlink ref="B28" location="'9btab'!A1" display="Table 9b. U.S. Regional Macroeconomic Data: Base Case"/>
    <hyperlink ref="B29" location="'9ctab'!A1" display="Table 9c. U.S. Regional Weather Data: Base Case"/>
    <hyperlink ref="B13" location="'3dtab'!A1" display="Table 3d. World Liquid Fuels Consumption"/>
    <hyperlink ref="B18" location="'5btab'!A1" display="Table 5b. U.S. Regional Natural Gas Prices"/>
    <hyperlink ref="B26" location="'8btab'!A1" display="Table 8b.  U.S. Renewable Electricity Generation and Capacity"/>
  </hyperlinks>
  <pageMargins left="0.75" right="0.75" top="1" bottom="1" header="0.5" footer="0.5"/>
  <pageSetup scale="89"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Vertical="1" syncRef="BB5" transitionEvaluation="1" transitionEntry="1" codeName="Sheet3">
    <pageSetUpPr fitToPage="1"/>
  </sheetPr>
  <dimension ref="A1:BV144"/>
  <sheetViews>
    <sheetView showGridLines="0" workbookViewId="0">
      <pane xSplit="2" ySplit="4" topLeftCell="BB5" activePane="bottomRight" state="frozen"/>
      <selection activeCell="BF63" sqref="BF63"/>
      <selection pane="topRight" activeCell="BF63" sqref="BF63"/>
      <selection pane="bottomLeft" activeCell="BF63" sqref="BF63"/>
      <selection pane="bottomRight" activeCell="B1" sqref="B1:AL1"/>
    </sheetView>
  </sheetViews>
  <sheetFormatPr defaultColWidth="9.5546875" defaultRowHeight="10.199999999999999" x14ac:dyDescent="0.2"/>
  <cols>
    <col min="1" max="1" width="10.5546875" style="12" bestFit="1" customWidth="1"/>
    <col min="2" max="2" width="28" style="12" customWidth="1"/>
    <col min="3" max="12" width="6.5546875" style="12" customWidth="1"/>
    <col min="13" max="13" width="7.44140625" style="12" customWidth="1"/>
    <col min="14" max="50" width="6.5546875" style="12" customWidth="1"/>
    <col min="51" max="55" width="6.5546875" style="333" customWidth="1"/>
    <col min="56" max="58" width="6.5546875" style="742" customWidth="1"/>
    <col min="59" max="62" width="6.5546875" style="333" customWidth="1"/>
    <col min="63" max="74" width="6.5546875" style="12" customWidth="1"/>
    <col min="75" max="16384" width="9.5546875" style="12"/>
  </cols>
  <sheetData>
    <row r="1" spans="1:74" s="11" customFormat="1" ht="13.2" x14ac:dyDescent="0.25">
      <c r="A1" s="797" t="s">
        <v>809</v>
      </c>
      <c r="B1" s="804" t="s">
        <v>240</v>
      </c>
      <c r="C1" s="805"/>
      <c r="D1" s="805"/>
      <c r="E1" s="805"/>
      <c r="F1" s="805"/>
      <c r="G1" s="805"/>
      <c r="H1" s="805"/>
      <c r="I1" s="805"/>
      <c r="J1" s="805"/>
      <c r="K1" s="805"/>
      <c r="L1" s="805"/>
      <c r="M1" s="805"/>
      <c r="N1" s="805"/>
      <c r="O1" s="805"/>
      <c r="P1" s="805"/>
      <c r="Q1" s="805"/>
      <c r="R1" s="805"/>
      <c r="S1" s="805"/>
      <c r="T1" s="805"/>
      <c r="U1" s="805"/>
      <c r="V1" s="805"/>
      <c r="W1" s="805"/>
      <c r="X1" s="805"/>
      <c r="Y1" s="805"/>
      <c r="Z1" s="805"/>
      <c r="AA1" s="805"/>
      <c r="AB1" s="805"/>
      <c r="AC1" s="805"/>
      <c r="AD1" s="805"/>
      <c r="AE1" s="805"/>
      <c r="AF1" s="805"/>
      <c r="AG1" s="805"/>
      <c r="AH1" s="805"/>
      <c r="AI1" s="805"/>
      <c r="AJ1" s="805"/>
      <c r="AK1" s="805"/>
      <c r="AL1" s="805"/>
      <c r="AY1" s="489"/>
      <c r="AZ1" s="489"/>
      <c r="BA1" s="489"/>
      <c r="BB1" s="489"/>
      <c r="BC1" s="489"/>
      <c r="BD1" s="739"/>
      <c r="BE1" s="739"/>
      <c r="BF1" s="739"/>
      <c r="BG1" s="489"/>
      <c r="BH1" s="489"/>
      <c r="BI1" s="489"/>
      <c r="BJ1" s="489"/>
    </row>
    <row r="2" spans="1:74" s="13" customFormat="1" ht="13.2" x14ac:dyDescent="0.25">
      <c r="A2" s="798"/>
      <c r="B2" s="532" t="str">
        <f>"U.S. Energy Information Administration  |  Short-Term Energy Outlook  - "&amp;Dates!D1</f>
        <v>U.S. Energy Information Administration  |  Short-Term Energy Outlook  - September 2020</v>
      </c>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c r="AK2" s="533"/>
      <c r="AL2" s="533"/>
      <c r="AM2" s="260"/>
      <c r="AY2" s="409"/>
      <c r="AZ2" s="409"/>
      <c r="BA2" s="409"/>
      <c r="BB2" s="409"/>
      <c r="BC2" s="409"/>
      <c r="BD2" s="630"/>
      <c r="BE2" s="630"/>
      <c r="BF2" s="630"/>
      <c r="BG2" s="409"/>
      <c r="BH2" s="409"/>
      <c r="BI2" s="409"/>
      <c r="BJ2" s="409"/>
    </row>
    <row r="3" spans="1:74" ht="13.2" x14ac:dyDescent="0.25">
      <c r="A3" s="14"/>
      <c r="B3" s="15"/>
      <c r="C3" s="806">
        <f>Dates!D3</f>
        <v>2016</v>
      </c>
      <c r="D3" s="802"/>
      <c r="E3" s="802"/>
      <c r="F3" s="802"/>
      <c r="G3" s="802"/>
      <c r="H3" s="802"/>
      <c r="I3" s="802"/>
      <c r="J3" s="802"/>
      <c r="K3" s="802"/>
      <c r="L3" s="802"/>
      <c r="M3" s="802"/>
      <c r="N3" s="803"/>
      <c r="O3" s="806">
        <f>C3+1</f>
        <v>2017</v>
      </c>
      <c r="P3" s="807"/>
      <c r="Q3" s="807"/>
      <c r="R3" s="807"/>
      <c r="S3" s="807"/>
      <c r="T3" s="807"/>
      <c r="U3" s="807"/>
      <c r="V3" s="807"/>
      <c r="W3" s="807"/>
      <c r="X3" s="802"/>
      <c r="Y3" s="802"/>
      <c r="Z3" s="803"/>
      <c r="AA3" s="799">
        <f>O3+1</f>
        <v>2018</v>
      </c>
      <c r="AB3" s="802"/>
      <c r="AC3" s="802"/>
      <c r="AD3" s="802"/>
      <c r="AE3" s="802"/>
      <c r="AF3" s="802"/>
      <c r="AG3" s="802"/>
      <c r="AH3" s="802"/>
      <c r="AI3" s="802"/>
      <c r="AJ3" s="802"/>
      <c r="AK3" s="802"/>
      <c r="AL3" s="803"/>
      <c r="AM3" s="799">
        <f>AA3+1</f>
        <v>2019</v>
      </c>
      <c r="AN3" s="802"/>
      <c r="AO3" s="802"/>
      <c r="AP3" s="802"/>
      <c r="AQ3" s="802"/>
      <c r="AR3" s="802"/>
      <c r="AS3" s="802"/>
      <c r="AT3" s="802"/>
      <c r="AU3" s="802"/>
      <c r="AV3" s="802"/>
      <c r="AW3" s="802"/>
      <c r="AX3" s="803"/>
      <c r="AY3" s="799">
        <f>AM3+1</f>
        <v>2020</v>
      </c>
      <c r="AZ3" s="800"/>
      <c r="BA3" s="800"/>
      <c r="BB3" s="800"/>
      <c r="BC3" s="800"/>
      <c r="BD3" s="800"/>
      <c r="BE3" s="800"/>
      <c r="BF3" s="800"/>
      <c r="BG3" s="800"/>
      <c r="BH3" s="800"/>
      <c r="BI3" s="800"/>
      <c r="BJ3" s="801"/>
      <c r="BK3" s="799">
        <f>AY3+1</f>
        <v>2021</v>
      </c>
      <c r="BL3" s="802"/>
      <c r="BM3" s="802"/>
      <c r="BN3" s="802"/>
      <c r="BO3" s="802"/>
      <c r="BP3" s="802"/>
      <c r="BQ3" s="802"/>
      <c r="BR3" s="802"/>
      <c r="BS3" s="802"/>
      <c r="BT3" s="802"/>
      <c r="BU3" s="802"/>
      <c r="BV3" s="803"/>
    </row>
    <row r="4" spans="1:74" x14ac:dyDescent="0.2">
      <c r="A4" s="16"/>
      <c r="B4" s="17"/>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A5" s="19"/>
      <c r="B5" s="20" t="s">
        <v>803</v>
      </c>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423"/>
      <c r="AZ5" s="423"/>
      <c r="BA5" s="423"/>
      <c r="BB5" s="423"/>
      <c r="BC5" s="423"/>
      <c r="BD5" s="21"/>
      <c r="BE5" s="21"/>
      <c r="BF5" s="21"/>
      <c r="BG5" s="21"/>
      <c r="BH5" s="423"/>
      <c r="BI5" s="423"/>
      <c r="BJ5" s="423"/>
      <c r="BK5" s="423"/>
      <c r="BL5" s="423"/>
      <c r="BM5" s="423"/>
      <c r="BN5" s="423"/>
      <c r="BO5" s="423"/>
      <c r="BP5" s="423"/>
      <c r="BQ5" s="423"/>
      <c r="BR5" s="423"/>
      <c r="BS5" s="423"/>
      <c r="BT5" s="423"/>
      <c r="BU5" s="423"/>
      <c r="BV5" s="423"/>
    </row>
    <row r="6" spans="1:74" ht="11.1" customHeight="1" x14ac:dyDescent="0.2">
      <c r="A6" s="19"/>
      <c r="B6" s="20"/>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423"/>
      <c r="AZ6" s="423"/>
      <c r="BA6" s="423"/>
      <c r="BB6" s="423"/>
      <c r="BC6" s="423"/>
      <c r="BD6" s="21"/>
      <c r="BE6" s="21"/>
      <c r="BF6" s="21"/>
      <c r="BG6" s="21"/>
      <c r="BH6" s="423"/>
      <c r="BI6" s="423"/>
      <c r="BJ6" s="423"/>
      <c r="BK6" s="423"/>
      <c r="BL6" s="423"/>
      <c r="BM6" s="423" t="s">
        <v>1020</v>
      </c>
      <c r="BN6" s="423"/>
      <c r="BO6" s="423"/>
      <c r="BP6" s="423"/>
      <c r="BQ6" s="423"/>
      <c r="BR6" s="423"/>
      <c r="BS6" s="423"/>
      <c r="BT6" s="423"/>
      <c r="BU6" s="423"/>
      <c r="BV6" s="423"/>
    </row>
    <row r="7" spans="1:74" ht="11.1" customHeight="1" x14ac:dyDescent="0.2">
      <c r="A7" s="19"/>
      <c r="B7" s="22" t="s">
        <v>107</v>
      </c>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423"/>
      <c r="AZ7" s="705"/>
      <c r="BA7" s="423"/>
      <c r="BB7" s="423"/>
      <c r="BC7" s="423"/>
      <c r="BD7" s="21"/>
      <c r="BE7" s="21"/>
      <c r="BF7" s="21"/>
      <c r="BG7" s="21"/>
      <c r="BH7" s="423"/>
      <c r="BI7" s="423"/>
      <c r="BJ7" s="423"/>
      <c r="BK7" s="423"/>
      <c r="BL7" s="423"/>
      <c r="BM7" s="423"/>
      <c r="BN7" s="423"/>
      <c r="BO7" s="423"/>
      <c r="BP7" s="423"/>
      <c r="BQ7" s="423"/>
      <c r="BR7" s="423"/>
      <c r="BS7" s="705"/>
      <c r="BT7" s="423"/>
      <c r="BU7" s="423"/>
      <c r="BV7" s="423"/>
    </row>
    <row r="8" spans="1:74" ht="11.1" customHeight="1" x14ac:dyDescent="0.2">
      <c r="A8" s="19" t="s">
        <v>511</v>
      </c>
      <c r="B8" s="23" t="s">
        <v>91</v>
      </c>
      <c r="C8" s="215">
        <v>9.1971179999999997</v>
      </c>
      <c r="D8" s="215">
        <v>9.0555339999999998</v>
      </c>
      <c r="E8" s="215">
        <v>9.0890360000000001</v>
      </c>
      <c r="F8" s="215">
        <v>8.8688310000000001</v>
      </c>
      <c r="G8" s="215">
        <v>8.8227019999999996</v>
      </c>
      <c r="H8" s="215">
        <v>8.6541200000000007</v>
      </c>
      <c r="I8" s="215">
        <v>8.6457379999999997</v>
      </c>
      <c r="J8" s="215">
        <v>8.6762239999999995</v>
      </c>
      <c r="K8" s="215">
        <v>8.5338390000000004</v>
      </c>
      <c r="L8" s="215">
        <v>8.8341209999999997</v>
      </c>
      <c r="M8" s="215">
        <v>8.8974799999999998</v>
      </c>
      <c r="N8" s="215">
        <v>8.797784</v>
      </c>
      <c r="O8" s="215">
        <v>8.8633089999999992</v>
      </c>
      <c r="P8" s="215">
        <v>9.1026900000000008</v>
      </c>
      <c r="Q8" s="215">
        <v>9.1622000000000003</v>
      </c>
      <c r="R8" s="215">
        <v>9.1002700000000001</v>
      </c>
      <c r="S8" s="215">
        <v>9.1825460000000003</v>
      </c>
      <c r="T8" s="215">
        <v>9.1065900000000006</v>
      </c>
      <c r="U8" s="215">
        <v>9.2350600000000007</v>
      </c>
      <c r="V8" s="215">
        <v>9.2484660000000005</v>
      </c>
      <c r="W8" s="215">
        <v>9.5118550000000006</v>
      </c>
      <c r="X8" s="215">
        <v>9.6532400000000003</v>
      </c>
      <c r="Y8" s="215">
        <v>10.070655</v>
      </c>
      <c r="Z8" s="215">
        <v>9.9732780000000005</v>
      </c>
      <c r="AA8" s="215">
        <v>10.017673</v>
      </c>
      <c r="AB8" s="215">
        <v>10.281402999999999</v>
      </c>
      <c r="AC8" s="215">
        <v>10.504038</v>
      </c>
      <c r="AD8" s="215">
        <v>10.510258</v>
      </c>
      <c r="AE8" s="215">
        <v>10.459527</v>
      </c>
      <c r="AF8" s="215">
        <v>10.649082</v>
      </c>
      <c r="AG8" s="215">
        <v>10.890995999999999</v>
      </c>
      <c r="AH8" s="215">
        <v>11.360519</v>
      </c>
      <c r="AI8" s="215">
        <v>11.497683</v>
      </c>
      <c r="AJ8" s="215">
        <v>11.631364</v>
      </c>
      <c r="AK8" s="215">
        <v>11.999309</v>
      </c>
      <c r="AL8" s="215">
        <v>12.037535999999999</v>
      </c>
      <c r="AM8" s="215">
        <v>11.865012999999999</v>
      </c>
      <c r="AN8" s="215">
        <v>11.678834</v>
      </c>
      <c r="AO8" s="215">
        <v>11.937306</v>
      </c>
      <c r="AP8" s="215">
        <v>12.134698</v>
      </c>
      <c r="AQ8" s="215">
        <v>12.163192</v>
      </c>
      <c r="AR8" s="215">
        <v>12.087543999999999</v>
      </c>
      <c r="AS8" s="215">
        <v>11.819095000000001</v>
      </c>
      <c r="AT8" s="215">
        <v>12.424769</v>
      </c>
      <c r="AU8" s="215">
        <v>12.495187</v>
      </c>
      <c r="AV8" s="215">
        <v>12.672552</v>
      </c>
      <c r="AW8" s="215">
        <v>12.859780000000001</v>
      </c>
      <c r="AX8" s="215">
        <v>12.802096000000001</v>
      </c>
      <c r="AY8" s="215">
        <v>12.754821</v>
      </c>
      <c r="AZ8" s="215">
        <v>12.745602</v>
      </c>
      <c r="BA8" s="215">
        <v>12.737068000000001</v>
      </c>
      <c r="BB8" s="215">
        <v>12.009976999999999</v>
      </c>
      <c r="BC8" s="215">
        <v>10.016158000000001</v>
      </c>
      <c r="BD8" s="215">
        <v>10.436196000000001</v>
      </c>
      <c r="BE8" s="215">
        <v>10.737451406</v>
      </c>
      <c r="BF8" s="215">
        <v>10.802893702</v>
      </c>
      <c r="BG8" s="323">
        <v>11.20299</v>
      </c>
      <c r="BH8" s="323">
        <v>11.03722</v>
      </c>
      <c r="BI8" s="323">
        <v>11.13856</v>
      </c>
      <c r="BJ8" s="323">
        <v>11.057309999999999</v>
      </c>
      <c r="BK8" s="323">
        <v>10.97068</v>
      </c>
      <c r="BL8" s="323">
        <v>10.88705</v>
      </c>
      <c r="BM8" s="323">
        <v>11.02336</v>
      </c>
      <c r="BN8" s="323">
        <v>10.982480000000001</v>
      </c>
      <c r="BO8" s="323">
        <v>10.960940000000001</v>
      </c>
      <c r="BP8" s="323">
        <v>10.96618</v>
      </c>
      <c r="BQ8" s="323">
        <v>10.988429999999999</v>
      </c>
      <c r="BR8" s="323">
        <v>11.049530000000001</v>
      </c>
      <c r="BS8" s="323">
        <v>11.205270000000001</v>
      </c>
      <c r="BT8" s="323">
        <v>11.1585</v>
      </c>
      <c r="BU8" s="323">
        <v>11.367000000000001</v>
      </c>
      <c r="BV8" s="323">
        <v>11.432079999999999</v>
      </c>
    </row>
    <row r="9" spans="1:74" ht="11.1" customHeight="1" x14ac:dyDescent="0.2">
      <c r="A9" s="19"/>
      <c r="B9" s="23"/>
      <c r="C9" s="215"/>
      <c r="D9" s="215"/>
      <c r="E9" s="215"/>
      <c r="F9" s="215"/>
      <c r="G9" s="215"/>
      <c r="H9" s="215"/>
      <c r="I9" s="215"/>
      <c r="J9" s="215"/>
      <c r="K9" s="215"/>
      <c r="L9" s="215"/>
      <c r="M9" s="215"/>
      <c r="N9" s="215"/>
      <c r="O9" s="215"/>
      <c r="P9" s="215"/>
      <c r="Q9" s="215"/>
      <c r="R9" s="215"/>
      <c r="S9" s="215"/>
      <c r="T9" s="215"/>
      <c r="U9" s="215"/>
      <c r="V9" s="215"/>
      <c r="W9" s="215"/>
      <c r="X9" s="215"/>
      <c r="Y9" s="215"/>
      <c r="Z9" s="215"/>
      <c r="AA9" s="215"/>
      <c r="AB9" s="215"/>
      <c r="AC9" s="215"/>
      <c r="AD9" s="215"/>
      <c r="AE9" s="215"/>
      <c r="AF9" s="215"/>
      <c r="AG9" s="215"/>
      <c r="AH9" s="215"/>
      <c r="AI9" s="215"/>
      <c r="AJ9" s="215"/>
      <c r="AK9" s="215"/>
      <c r="AL9" s="215"/>
      <c r="AM9" s="215"/>
      <c r="AN9" s="215"/>
      <c r="AO9" s="215"/>
      <c r="AP9" s="215"/>
      <c r="AQ9" s="215"/>
      <c r="AR9" s="215"/>
      <c r="AS9" s="215"/>
      <c r="AT9" s="215"/>
      <c r="AU9" s="215"/>
      <c r="AV9" s="215"/>
      <c r="AW9" s="215"/>
      <c r="AX9" s="215"/>
      <c r="AY9" s="215"/>
      <c r="AZ9" s="215"/>
      <c r="BA9" s="215"/>
      <c r="BB9" s="215"/>
      <c r="BC9" s="215"/>
      <c r="BD9" s="215"/>
      <c r="BE9" s="215"/>
      <c r="BF9" s="215"/>
      <c r="BG9" s="323"/>
      <c r="BH9" s="323"/>
      <c r="BI9" s="323"/>
      <c r="BJ9" s="323"/>
      <c r="BK9" s="323"/>
      <c r="BL9" s="323"/>
      <c r="BM9" s="323"/>
      <c r="BN9" s="323"/>
      <c r="BO9" s="323"/>
      <c r="BP9" s="323"/>
      <c r="BQ9" s="323"/>
      <c r="BR9" s="323"/>
      <c r="BS9" s="323"/>
      <c r="BT9" s="323"/>
      <c r="BU9" s="323"/>
      <c r="BV9" s="323"/>
    </row>
    <row r="10" spans="1:74" ht="11.1" customHeight="1" x14ac:dyDescent="0.2">
      <c r="A10" s="19"/>
      <c r="B10" s="22" t="s">
        <v>49</v>
      </c>
      <c r="C10" s="216"/>
      <c r="D10" s="216"/>
      <c r="E10" s="216"/>
      <c r="F10" s="216"/>
      <c r="G10" s="216"/>
      <c r="H10" s="216"/>
      <c r="I10" s="216"/>
      <c r="J10" s="216"/>
      <c r="K10" s="216"/>
      <c r="L10" s="216"/>
      <c r="M10" s="216"/>
      <c r="N10" s="216"/>
      <c r="O10" s="216"/>
      <c r="P10" s="216"/>
      <c r="Q10" s="216"/>
      <c r="R10" s="216"/>
      <c r="S10" s="216"/>
      <c r="T10" s="216"/>
      <c r="U10" s="216"/>
      <c r="V10" s="216"/>
      <c r="W10" s="216"/>
      <c r="X10" s="216"/>
      <c r="Y10" s="216"/>
      <c r="Z10" s="216"/>
      <c r="AA10" s="216"/>
      <c r="AB10" s="216"/>
      <c r="AC10" s="216"/>
      <c r="AD10" s="216"/>
      <c r="AE10" s="216"/>
      <c r="AF10" s="216"/>
      <c r="AG10" s="216"/>
      <c r="AH10" s="216"/>
      <c r="AI10" s="216"/>
      <c r="AJ10" s="216"/>
      <c r="AK10" s="216"/>
      <c r="AL10" s="216"/>
      <c r="AM10" s="216"/>
      <c r="AN10" s="216"/>
      <c r="AO10" s="216"/>
      <c r="AP10" s="216"/>
      <c r="AQ10" s="216"/>
      <c r="AR10" s="216"/>
      <c r="AS10" s="216"/>
      <c r="AT10" s="216"/>
      <c r="AU10" s="216"/>
      <c r="AV10" s="216"/>
      <c r="AW10" s="216"/>
      <c r="AX10" s="216"/>
      <c r="AY10" s="216"/>
      <c r="AZ10" s="216"/>
      <c r="BA10" s="216"/>
      <c r="BB10" s="216"/>
      <c r="BC10" s="216"/>
      <c r="BD10" s="216"/>
      <c r="BE10" s="216"/>
      <c r="BF10" s="216"/>
      <c r="BG10" s="324"/>
      <c r="BH10" s="324"/>
      <c r="BI10" s="324"/>
      <c r="BJ10" s="324"/>
      <c r="BK10" s="324"/>
      <c r="BL10" s="324"/>
      <c r="BM10" s="324"/>
      <c r="BN10" s="324"/>
      <c r="BO10" s="324"/>
      <c r="BP10" s="324"/>
      <c r="BQ10" s="324"/>
      <c r="BR10" s="324"/>
      <c r="BS10" s="324"/>
      <c r="BT10" s="324"/>
      <c r="BU10" s="324"/>
      <c r="BV10" s="324"/>
    </row>
    <row r="11" spans="1:74" ht="11.1" customHeight="1" x14ac:dyDescent="0.2">
      <c r="A11" s="19" t="s">
        <v>542</v>
      </c>
      <c r="B11" s="23" t="s">
        <v>96</v>
      </c>
      <c r="C11" s="215">
        <v>73.559354838999994</v>
      </c>
      <c r="D11" s="215">
        <v>74.601172414000004</v>
      </c>
      <c r="E11" s="215">
        <v>73.758709676999999</v>
      </c>
      <c r="F11" s="215">
        <v>73.707266666999999</v>
      </c>
      <c r="G11" s="215">
        <v>72.867677419000003</v>
      </c>
      <c r="H11" s="215">
        <v>72.169633332999993</v>
      </c>
      <c r="I11" s="215">
        <v>72.760129031999995</v>
      </c>
      <c r="J11" s="215">
        <v>72.183161290000001</v>
      </c>
      <c r="K11" s="215">
        <v>71.704999999999998</v>
      </c>
      <c r="L11" s="215">
        <v>71.424032257999997</v>
      </c>
      <c r="M11" s="215">
        <v>72.02</v>
      </c>
      <c r="N11" s="215">
        <v>71.208838709999995</v>
      </c>
      <c r="O11" s="215">
        <v>70.562806452000004</v>
      </c>
      <c r="P11" s="215">
        <v>71.549714285999997</v>
      </c>
      <c r="Q11" s="215">
        <v>73.167870968000003</v>
      </c>
      <c r="R11" s="215">
        <v>73.257766666999999</v>
      </c>
      <c r="S11" s="215">
        <v>73.256548386999995</v>
      </c>
      <c r="T11" s="215">
        <v>73.966666666999998</v>
      </c>
      <c r="U11" s="215">
        <v>74.729483870999999</v>
      </c>
      <c r="V11" s="215">
        <v>74.687451612999993</v>
      </c>
      <c r="W11" s="215">
        <v>75.993700000000004</v>
      </c>
      <c r="X11" s="215">
        <v>77.343999999999994</v>
      </c>
      <c r="Y11" s="215">
        <v>79.751233333000002</v>
      </c>
      <c r="Z11" s="215">
        <v>79.278645161</v>
      </c>
      <c r="AA11" s="215">
        <v>78.536483871000001</v>
      </c>
      <c r="AB11" s="215">
        <v>80.224892857</v>
      </c>
      <c r="AC11" s="215">
        <v>81.789064515999996</v>
      </c>
      <c r="AD11" s="215">
        <v>81.296000000000006</v>
      </c>
      <c r="AE11" s="215">
        <v>82.055741935</v>
      </c>
      <c r="AF11" s="215">
        <v>82.174033332999997</v>
      </c>
      <c r="AG11" s="215">
        <v>82.936161290000001</v>
      </c>
      <c r="AH11" s="215">
        <v>84.616580644999999</v>
      </c>
      <c r="AI11" s="215">
        <v>86.883433332999999</v>
      </c>
      <c r="AJ11" s="215">
        <v>87.033451612999997</v>
      </c>
      <c r="AK11" s="215">
        <v>89.160966666999997</v>
      </c>
      <c r="AL11" s="215">
        <v>88.741096773999999</v>
      </c>
      <c r="AM11" s="215">
        <v>88.617387097000005</v>
      </c>
      <c r="AN11" s="215">
        <v>89.412107143</v>
      </c>
      <c r="AO11" s="215">
        <v>89.927806451999999</v>
      </c>
      <c r="AP11" s="215">
        <v>90.404866666999993</v>
      </c>
      <c r="AQ11" s="215">
        <v>89.921290322999994</v>
      </c>
      <c r="AR11" s="215">
        <v>91.198466667000005</v>
      </c>
      <c r="AS11" s="215">
        <v>91.277354838999997</v>
      </c>
      <c r="AT11" s="215">
        <v>93.316032258000007</v>
      </c>
      <c r="AU11" s="215">
        <v>94.388999999999996</v>
      </c>
      <c r="AV11" s="215">
        <v>95.781870968000007</v>
      </c>
      <c r="AW11" s="215">
        <v>96.248533332999997</v>
      </c>
      <c r="AX11" s="215">
        <v>95.876838710000001</v>
      </c>
      <c r="AY11" s="215">
        <v>94.785612903000001</v>
      </c>
      <c r="AZ11" s="215">
        <v>94.411379310000001</v>
      </c>
      <c r="BA11" s="215">
        <v>94.248032257999995</v>
      </c>
      <c r="BB11" s="215">
        <v>92.643199999999993</v>
      </c>
      <c r="BC11" s="215">
        <v>87.571451612999994</v>
      </c>
      <c r="BD11" s="215">
        <v>88.349333333000004</v>
      </c>
      <c r="BE11" s="215">
        <v>88.862170000000006</v>
      </c>
      <c r="BF11" s="215">
        <v>88.391260000000003</v>
      </c>
      <c r="BG11" s="323">
        <v>88.061970000000002</v>
      </c>
      <c r="BH11" s="323">
        <v>87.564689999999999</v>
      </c>
      <c r="BI11" s="323">
        <v>87.309179999999998</v>
      </c>
      <c r="BJ11" s="323">
        <v>86.563519999999997</v>
      </c>
      <c r="BK11" s="323">
        <v>85.859949999999998</v>
      </c>
      <c r="BL11" s="323">
        <v>85.498959999999997</v>
      </c>
      <c r="BM11" s="323">
        <v>85.637020000000007</v>
      </c>
      <c r="BN11" s="323">
        <v>85.606480000000005</v>
      </c>
      <c r="BO11" s="323">
        <v>85.783919999999995</v>
      </c>
      <c r="BP11" s="323">
        <v>86.213210000000004</v>
      </c>
      <c r="BQ11" s="323">
        <v>86.555819999999997</v>
      </c>
      <c r="BR11" s="323">
        <v>87.090509999999995</v>
      </c>
      <c r="BS11" s="323">
        <v>87.569410000000005</v>
      </c>
      <c r="BT11" s="323">
        <v>87.657859999999999</v>
      </c>
      <c r="BU11" s="323">
        <v>87.888350000000003</v>
      </c>
      <c r="BV11" s="323">
        <v>87.651009999999999</v>
      </c>
    </row>
    <row r="12" spans="1:74" ht="11.1" customHeight="1" x14ac:dyDescent="0.2">
      <c r="A12" s="19"/>
      <c r="B12" s="24"/>
      <c r="C12" s="215"/>
      <c r="D12" s="215"/>
      <c r="E12" s="215"/>
      <c r="F12" s="215"/>
      <c r="G12" s="215"/>
      <c r="H12" s="215"/>
      <c r="I12" s="215"/>
      <c r="J12" s="215"/>
      <c r="K12" s="215"/>
      <c r="L12" s="215"/>
      <c r="M12" s="215"/>
      <c r="N12" s="215"/>
      <c r="O12" s="215"/>
      <c r="P12" s="215"/>
      <c r="Q12" s="215"/>
      <c r="R12" s="215"/>
      <c r="S12" s="215"/>
      <c r="T12" s="215"/>
      <c r="U12" s="215"/>
      <c r="V12" s="215"/>
      <c r="W12" s="215"/>
      <c r="X12" s="215"/>
      <c r="Y12" s="215"/>
      <c r="Z12" s="215"/>
      <c r="AA12" s="215"/>
      <c r="AB12" s="215"/>
      <c r="AC12" s="215"/>
      <c r="AD12" s="215"/>
      <c r="AE12" s="215"/>
      <c r="AF12" s="215"/>
      <c r="AG12" s="215"/>
      <c r="AH12" s="215"/>
      <c r="AI12" s="215"/>
      <c r="AJ12" s="215"/>
      <c r="AK12" s="215"/>
      <c r="AL12" s="215"/>
      <c r="AM12" s="215"/>
      <c r="AN12" s="215"/>
      <c r="AO12" s="215"/>
      <c r="AP12" s="215"/>
      <c r="AQ12" s="215"/>
      <c r="AR12" s="215"/>
      <c r="AS12" s="215"/>
      <c r="AT12" s="215"/>
      <c r="AU12" s="215"/>
      <c r="AV12" s="215"/>
      <c r="AW12" s="215"/>
      <c r="AX12" s="215"/>
      <c r="AY12" s="215"/>
      <c r="AZ12" s="215"/>
      <c r="BA12" s="215"/>
      <c r="BB12" s="215"/>
      <c r="BC12" s="215"/>
      <c r="BD12" s="215"/>
      <c r="BE12" s="215"/>
      <c r="BF12" s="215"/>
      <c r="BG12" s="323"/>
      <c r="BH12" s="323"/>
      <c r="BI12" s="323"/>
      <c r="BJ12" s="323"/>
      <c r="BK12" s="323"/>
      <c r="BL12" s="323"/>
      <c r="BM12" s="323"/>
      <c r="BN12" s="323"/>
      <c r="BO12" s="323"/>
      <c r="BP12" s="323"/>
      <c r="BQ12" s="323"/>
      <c r="BR12" s="323"/>
      <c r="BS12" s="323"/>
      <c r="BT12" s="323"/>
      <c r="BU12" s="323"/>
      <c r="BV12" s="323"/>
    </row>
    <row r="13" spans="1:74" ht="11.1" customHeight="1" x14ac:dyDescent="0.2">
      <c r="A13" s="19"/>
      <c r="B13" s="22" t="s">
        <v>801</v>
      </c>
      <c r="C13" s="216"/>
      <c r="D13" s="216"/>
      <c r="E13" s="216"/>
      <c r="F13" s="216"/>
      <c r="G13" s="216"/>
      <c r="H13" s="216"/>
      <c r="I13" s="216"/>
      <c r="J13" s="216"/>
      <c r="K13" s="216"/>
      <c r="L13" s="216"/>
      <c r="M13" s="216"/>
      <c r="N13" s="216"/>
      <c r="O13" s="216"/>
      <c r="P13" s="216"/>
      <c r="Q13" s="216"/>
      <c r="R13" s="216"/>
      <c r="S13" s="216"/>
      <c r="T13" s="216"/>
      <c r="U13" s="216"/>
      <c r="V13" s="216"/>
      <c r="W13" s="216"/>
      <c r="X13" s="216"/>
      <c r="Y13" s="216"/>
      <c r="Z13" s="216"/>
      <c r="AA13" s="216"/>
      <c r="AB13" s="216"/>
      <c r="AC13" s="216"/>
      <c r="AD13" s="216"/>
      <c r="AE13" s="216"/>
      <c r="AF13" s="216"/>
      <c r="AG13" s="216"/>
      <c r="AH13" s="216"/>
      <c r="AI13" s="216"/>
      <c r="AJ13" s="216"/>
      <c r="AK13" s="216"/>
      <c r="AL13" s="216"/>
      <c r="AM13" s="216"/>
      <c r="AN13" s="216"/>
      <c r="AO13" s="216"/>
      <c r="AP13" s="216"/>
      <c r="AQ13" s="216"/>
      <c r="AR13" s="216"/>
      <c r="AS13" s="216"/>
      <c r="AT13" s="216"/>
      <c r="AU13" s="216"/>
      <c r="AV13" s="216"/>
      <c r="AW13" s="216"/>
      <c r="AX13" s="216"/>
      <c r="AY13" s="216"/>
      <c r="AZ13" s="216"/>
      <c r="BA13" s="216"/>
      <c r="BB13" s="216"/>
      <c r="BC13" s="216"/>
      <c r="BD13" s="216"/>
      <c r="BE13" s="216"/>
      <c r="BF13" s="216"/>
      <c r="BG13" s="324"/>
      <c r="BH13" s="324"/>
      <c r="BI13" s="324"/>
      <c r="BJ13" s="324"/>
      <c r="BK13" s="324"/>
      <c r="BL13" s="324"/>
      <c r="BM13" s="324"/>
      <c r="BN13" s="324"/>
      <c r="BO13" s="324"/>
      <c r="BP13" s="324"/>
      <c r="BQ13" s="324"/>
      <c r="BR13" s="324"/>
      <c r="BS13" s="324"/>
      <c r="BT13" s="324"/>
      <c r="BU13" s="324"/>
      <c r="BV13" s="324"/>
    </row>
    <row r="14" spans="1:74" ht="11.1" customHeight="1" x14ac:dyDescent="0.2">
      <c r="A14" s="19" t="s">
        <v>205</v>
      </c>
      <c r="B14" s="23" t="s">
        <v>817</v>
      </c>
      <c r="C14" s="68">
        <v>60.568714999999997</v>
      </c>
      <c r="D14" s="68">
        <v>57.328505999999997</v>
      </c>
      <c r="E14" s="68">
        <v>55.327888000000002</v>
      </c>
      <c r="F14" s="68">
        <v>48.216355</v>
      </c>
      <c r="G14" s="68">
        <v>53.123077000000002</v>
      </c>
      <c r="H14" s="68">
        <v>59.513340999999997</v>
      </c>
      <c r="I14" s="68">
        <v>61.783814</v>
      </c>
      <c r="J14" s="68">
        <v>68.246998000000005</v>
      </c>
      <c r="K14" s="68">
        <v>65.069716999999997</v>
      </c>
      <c r="L14" s="68">
        <v>68.725230999999994</v>
      </c>
      <c r="M14" s="68">
        <v>67.149752000000007</v>
      </c>
      <c r="N14" s="68">
        <v>63.311104</v>
      </c>
      <c r="O14" s="68">
        <v>68.414385999999993</v>
      </c>
      <c r="P14" s="68">
        <v>64.389031000000003</v>
      </c>
      <c r="Q14" s="68">
        <v>64.335048</v>
      </c>
      <c r="R14" s="68">
        <v>58.753723000000001</v>
      </c>
      <c r="S14" s="68">
        <v>62.115414000000001</v>
      </c>
      <c r="T14" s="68">
        <v>66.228987000000004</v>
      </c>
      <c r="U14" s="68">
        <v>62.966363999999999</v>
      </c>
      <c r="V14" s="68">
        <v>70.582329999999999</v>
      </c>
      <c r="W14" s="68">
        <v>62.891468000000003</v>
      </c>
      <c r="X14" s="68">
        <v>66.367608000000004</v>
      </c>
      <c r="Y14" s="68">
        <v>64.345232999999993</v>
      </c>
      <c r="Z14" s="68">
        <v>63.219765000000002</v>
      </c>
      <c r="AA14" s="68">
        <v>61.936683000000002</v>
      </c>
      <c r="AB14" s="68">
        <v>60.235142000000003</v>
      </c>
      <c r="AC14" s="68">
        <v>65.467141999999996</v>
      </c>
      <c r="AD14" s="68">
        <v>58.032114</v>
      </c>
      <c r="AE14" s="68">
        <v>61.195974999999997</v>
      </c>
      <c r="AF14" s="68">
        <v>61.557372000000001</v>
      </c>
      <c r="AG14" s="68">
        <v>62.945245999999997</v>
      </c>
      <c r="AH14" s="68">
        <v>69.301237999999998</v>
      </c>
      <c r="AI14" s="68">
        <v>62.416694</v>
      </c>
      <c r="AJ14" s="68">
        <v>66.384384999999995</v>
      </c>
      <c r="AK14" s="68">
        <v>62.717784999999999</v>
      </c>
      <c r="AL14" s="68">
        <v>63.332763999999997</v>
      </c>
      <c r="AM14" s="68">
        <v>65.732791000000006</v>
      </c>
      <c r="AN14" s="68">
        <v>58.223570000000002</v>
      </c>
      <c r="AO14" s="68">
        <v>55.580039999999997</v>
      </c>
      <c r="AP14" s="68">
        <v>61.007258999999998</v>
      </c>
      <c r="AQ14" s="68">
        <v>61.653404000000002</v>
      </c>
      <c r="AR14" s="68">
        <v>56.515031</v>
      </c>
      <c r="AS14" s="68">
        <v>59.034596000000001</v>
      </c>
      <c r="AT14" s="68">
        <v>63.757680000000001</v>
      </c>
      <c r="AU14" s="68">
        <v>58.563501000000002</v>
      </c>
      <c r="AV14" s="68">
        <v>57.142977999999999</v>
      </c>
      <c r="AW14" s="68">
        <v>54.361009000000003</v>
      </c>
      <c r="AX14" s="68">
        <v>53.699269000000001</v>
      </c>
      <c r="AY14" s="68">
        <v>55.612462000000001</v>
      </c>
      <c r="AZ14" s="68">
        <v>47.378791999999997</v>
      </c>
      <c r="BA14" s="68">
        <v>46.060924999999997</v>
      </c>
      <c r="BB14" s="68">
        <v>38.281796</v>
      </c>
      <c r="BC14" s="68">
        <v>36.346901000000003</v>
      </c>
      <c r="BD14" s="68">
        <v>38.506180000000001</v>
      </c>
      <c r="BE14" s="68">
        <v>43.086573999999999</v>
      </c>
      <c r="BF14" s="68">
        <v>47.467761543000002</v>
      </c>
      <c r="BG14" s="325">
        <v>30.41403</v>
      </c>
      <c r="BH14" s="325">
        <v>63.142589999999998</v>
      </c>
      <c r="BI14" s="325">
        <v>40.258940000000003</v>
      </c>
      <c r="BJ14" s="325">
        <v>24.632660000000001</v>
      </c>
      <c r="BK14" s="325">
        <v>73.231930000000006</v>
      </c>
      <c r="BL14" s="325">
        <v>46.807360000000003</v>
      </c>
      <c r="BM14" s="325">
        <v>50.220030000000001</v>
      </c>
      <c r="BN14" s="325">
        <v>37.691240000000001</v>
      </c>
      <c r="BO14" s="325">
        <v>43.124360000000003</v>
      </c>
      <c r="BP14" s="325">
        <v>42.992579999999997</v>
      </c>
      <c r="BQ14" s="325">
        <v>52.075850000000003</v>
      </c>
      <c r="BR14" s="325">
        <v>55.751750000000001</v>
      </c>
      <c r="BS14" s="325">
        <v>46.757309999999997</v>
      </c>
      <c r="BT14" s="325">
        <v>51.974249999999998</v>
      </c>
      <c r="BU14" s="325">
        <v>47.215789999999998</v>
      </c>
      <c r="BV14" s="325">
        <v>52.518540000000002</v>
      </c>
    </row>
    <row r="15" spans="1:74" ht="11.1" customHeight="1" x14ac:dyDescent="0.2">
      <c r="A15" s="19"/>
      <c r="B15" s="22"/>
      <c r="C15" s="216"/>
      <c r="D15" s="216"/>
      <c r="E15" s="216"/>
      <c r="F15" s="216"/>
      <c r="G15" s="216"/>
      <c r="H15" s="216"/>
      <c r="I15" s="216"/>
      <c r="J15" s="216"/>
      <c r="K15" s="216"/>
      <c r="L15" s="216"/>
      <c r="M15" s="216"/>
      <c r="N15" s="216"/>
      <c r="O15" s="216"/>
      <c r="P15" s="216"/>
      <c r="Q15" s="216"/>
      <c r="R15" s="216"/>
      <c r="S15" s="216"/>
      <c r="T15" s="216"/>
      <c r="U15" s="216"/>
      <c r="V15" s="216"/>
      <c r="W15" s="216"/>
      <c r="X15" s="216"/>
      <c r="Y15" s="216"/>
      <c r="Z15" s="216"/>
      <c r="AA15" s="216"/>
      <c r="AB15" s="216"/>
      <c r="AC15" s="216"/>
      <c r="AD15" s="216"/>
      <c r="AE15" s="216"/>
      <c r="AF15" s="216"/>
      <c r="AG15" s="216"/>
      <c r="AH15" s="216"/>
      <c r="AI15" s="216"/>
      <c r="AJ15" s="216"/>
      <c r="AK15" s="216"/>
      <c r="AL15" s="216"/>
      <c r="AM15" s="216"/>
      <c r="AN15" s="216"/>
      <c r="AO15" s="216"/>
      <c r="AP15" s="216"/>
      <c r="AQ15" s="216"/>
      <c r="AR15" s="216"/>
      <c r="AS15" s="216"/>
      <c r="AT15" s="216"/>
      <c r="AU15" s="216"/>
      <c r="AV15" s="216"/>
      <c r="AW15" s="216"/>
      <c r="AX15" s="216"/>
      <c r="AY15" s="216"/>
      <c r="AZ15" s="216"/>
      <c r="BA15" s="216"/>
      <c r="BB15" s="216"/>
      <c r="BC15" s="216"/>
      <c r="BD15" s="216"/>
      <c r="BE15" s="216"/>
      <c r="BF15" s="216"/>
      <c r="BG15" s="324"/>
      <c r="BH15" s="324"/>
      <c r="BI15" s="324"/>
      <c r="BJ15" s="324"/>
      <c r="BK15" s="324"/>
      <c r="BL15" s="324"/>
      <c r="BM15" s="324"/>
      <c r="BN15" s="324"/>
      <c r="BO15" s="324"/>
      <c r="BP15" s="324"/>
      <c r="BQ15" s="324"/>
      <c r="BR15" s="324"/>
      <c r="BS15" s="324"/>
      <c r="BT15" s="324"/>
      <c r="BU15" s="324"/>
      <c r="BV15" s="324"/>
    </row>
    <row r="16" spans="1:74" ht="11.1" customHeight="1" x14ac:dyDescent="0.2">
      <c r="A16" s="16"/>
      <c r="B16" s="20" t="s">
        <v>802</v>
      </c>
      <c r="C16" s="216"/>
      <c r="D16" s="216"/>
      <c r="E16" s="216"/>
      <c r="F16" s="216"/>
      <c r="G16" s="216"/>
      <c r="H16" s="216"/>
      <c r="I16" s="216"/>
      <c r="J16" s="216"/>
      <c r="K16" s="216"/>
      <c r="L16" s="216"/>
      <c r="M16" s="216"/>
      <c r="N16" s="216"/>
      <c r="O16" s="216"/>
      <c r="P16" s="216"/>
      <c r="Q16" s="216"/>
      <c r="R16" s="216"/>
      <c r="S16" s="216"/>
      <c r="T16" s="216"/>
      <c r="U16" s="216"/>
      <c r="V16" s="216"/>
      <c r="W16" s="216"/>
      <c r="X16" s="216"/>
      <c r="Y16" s="216"/>
      <c r="Z16" s="216"/>
      <c r="AA16" s="216"/>
      <c r="AB16" s="216"/>
      <c r="AC16" s="216"/>
      <c r="AD16" s="216"/>
      <c r="AE16" s="216"/>
      <c r="AF16" s="216"/>
      <c r="AG16" s="216"/>
      <c r="AH16" s="216"/>
      <c r="AI16" s="216"/>
      <c r="AJ16" s="216"/>
      <c r="AK16" s="216"/>
      <c r="AL16" s="216"/>
      <c r="AM16" s="216"/>
      <c r="AN16" s="216"/>
      <c r="AO16" s="216"/>
      <c r="AP16" s="216"/>
      <c r="AQ16" s="216"/>
      <c r="AR16" s="216"/>
      <c r="AS16" s="216"/>
      <c r="AT16" s="216"/>
      <c r="AU16" s="216"/>
      <c r="AV16" s="216"/>
      <c r="AW16" s="216"/>
      <c r="AX16" s="216"/>
      <c r="AY16" s="216"/>
      <c r="AZ16" s="216"/>
      <c r="BA16" s="216"/>
      <c r="BB16" s="216"/>
      <c r="BC16" s="216"/>
      <c r="BD16" s="216"/>
      <c r="BE16" s="216"/>
      <c r="BF16" s="216"/>
      <c r="BG16" s="324"/>
      <c r="BH16" s="324"/>
      <c r="BI16" s="324"/>
      <c r="BJ16" s="324"/>
      <c r="BK16" s="324"/>
      <c r="BL16" s="324"/>
      <c r="BM16" s="324"/>
      <c r="BN16" s="324"/>
      <c r="BO16" s="324"/>
      <c r="BP16" s="324"/>
      <c r="BQ16" s="324"/>
      <c r="BR16" s="324"/>
      <c r="BS16" s="324"/>
      <c r="BT16" s="324"/>
      <c r="BU16" s="324"/>
      <c r="BV16" s="324"/>
    </row>
    <row r="17" spans="1:74" ht="11.1" customHeight="1" x14ac:dyDescent="0.2">
      <c r="A17" s="16"/>
      <c r="B17" s="20"/>
      <c r="C17" s="216"/>
      <c r="D17" s="216"/>
      <c r="E17" s="216"/>
      <c r="F17" s="216"/>
      <c r="G17" s="216"/>
      <c r="H17" s="216"/>
      <c r="I17" s="216"/>
      <c r="J17" s="216"/>
      <c r="K17" s="216"/>
      <c r="L17" s="216"/>
      <c r="M17" s="216"/>
      <c r="N17" s="216"/>
      <c r="O17" s="216"/>
      <c r="P17" s="216"/>
      <c r="Q17" s="216"/>
      <c r="R17" s="216"/>
      <c r="S17" s="216"/>
      <c r="T17" s="216"/>
      <c r="U17" s="216"/>
      <c r="V17" s="216"/>
      <c r="W17" s="216"/>
      <c r="X17" s="216"/>
      <c r="Y17" s="216"/>
      <c r="Z17" s="216"/>
      <c r="AA17" s="216"/>
      <c r="AB17" s="216"/>
      <c r="AC17" s="216"/>
      <c r="AD17" s="216"/>
      <c r="AE17" s="216"/>
      <c r="AF17" s="216"/>
      <c r="AG17" s="216"/>
      <c r="AH17" s="216"/>
      <c r="AI17" s="216"/>
      <c r="AJ17" s="216"/>
      <c r="AK17" s="216"/>
      <c r="AL17" s="216"/>
      <c r="AM17" s="216"/>
      <c r="AN17" s="216"/>
      <c r="AO17" s="216"/>
      <c r="AP17" s="216"/>
      <c r="AQ17" s="216"/>
      <c r="AR17" s="216"/>
      <c r="AS17" s="216"/>
      <c r="AT17" s="216"/>
      <c r="AU17" s="216"/>
      <c r="AV17" s="216"/>
      <c r="AW17" s="216"/>
      <c r="AX17" s="216"/>
      <c r="AY17" s="216"/>
      <c r="AZ17" s="216"/>
      <c r="BA17" s="216"/>
      <c r="BB17" s="216"/>
      <c r="BC17" s="216"/>
      <c r="BD17" s="216"/>
      <c r="BE17" s="216"/>
      <c r="BF17" s="216"/>
      <c r="BG17" s="324"/>
      <c r="BH17" s="324"/>
      <c r="BI17" s="324"/>
      <c r="BJ17" s="324"/>
      <c r="BK17" s="324"/>
      <c r="BL17" s="324"/>
      <c r="BM17" s="324"/>
      <c r="BN17" s="324"/>
      <c r="BO17" s="324"/>
      <c r="BP17" s="324"/>
      <c r="BQ17" s="324"/>
      <c r="BR17" s="324"/>
      <c r="BS17" s="324"/>
      <c r="BT17" s="324"/>
      <c r="BU17" s="324"/>
      <c r="BV17" s="324"/>
    </row>
    <row r="18" spans="1:74" ht="11.1" customHeight="1" x14ac:dyDescent="0.2">
      <c r="A18" s="16"/>
      <c r="B18" s="25" t="s">
        <v>543</v>
      </c>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62"/>
      <c r="AG18" s="62"/>
      <c r="AH18" s="62"/>
      <c r="AI18" s="62"/>
      <c r="AJ18" s="62"/>
      <c r="AK18" s="62"/>
      <c r="AL18" s="62"/>
      <c r="AM18" s="62"/>
      <c r="AN18" s="62"/>
      <c r="AO18" s="62"/>
      <c r="AP18" s="62"/>
      <c r="AQ18" s="62"/>
      <c r="AR18" s="62"/>
      <c r="AS18" s="62"/>
      <c r="AT18" s="62"/>
      <c r="AU18" s="62"/>
      <c r="AV18" s="62"/>
      <c r="AW18" s="62"/>
      <c r="AX18" s="62"/>
      <c r="AY18" s="62"/>
      <c r="AZ18" s="62"/>
      <c r="BA18" s="62"/>
      <c r="BB18" s="62"/>
      <c r="BC18" s="62"/>
      <c r="BD18" s="62"/>
      <c r="BE18" s="62"/>
      <c r="BF18" s="62"/>
      <c r="BG18" s="326"/>
      <c r="BH18" s="326"/>
      <c r="BI18" s="326"/>
      <c r="BJ18" s="326"/>
      <c r="BK18" s="326"/>
      <c r="BL18" s="326"/>
      <c r="BM18" s="326"/>
      <c r="BN18" s="326"/>
      <c r="BO18" s="326"/>
      <c r="BP18" s="326"/>
      <c r="BQ18" s="326"/>
      <c r="BR18" s="326"/>
      <c r="BS18" s="326"/>
      <c r="BT18" s="326"/>
      <c r="BU18" s="326"/>
      <c r="BV18" s="326"/>
    </row>
    <row r="19" spans="1:74" ht="11.1" customHeight="1" x14ac:dyDescent="0.2">
      <c r="A19" s="26" t="s">
        <v>525</v>
      </c>
      <c r="B19" s="27" t="s">
        <v>91</v>
      </c>
      <c r="C19" s="215">
        <v>19.062802999999999</v>
      </c>
      <c r="D19" s="215">
        <v>19.846603999999999</v>
      </c>
      <c r="E19" s="215">
        <v>19.728204000000002</v>
      </c>
      <c r="F19" s="215">
        <v>19.340226999999999</v>
      </c>
      <c r="G19" s="215">
        <v>19.328156</v>
      </c>
      <c r="H19" s="215">
        <v>19.846174000000001</v>
      </c>
      <c r="I19" s="215">
        <v>19.775659999999998</v>
      </c>
      <c r="J19" s="215">
        <v>20.274784</v>
      </c>
      <c r="K19" s="215">
        <v>19.756827000000001</v>
      </c>
      <c r="L19" s="215">
        <v>19.650106999999998</v>
      </c>
      <c r="M19" s="215">
        <v>19.658868999999999</v>
      </c>
      <c r="N19" s="215">
        <v>19.983958999999999</v>
      </c>
      <c r="O19" s="215">
        <v>19.322845999999998</v>
      </c>
      <c r="P19" s="215">
        <v>19.190404000000001</v>
      </c>
      <c r="Q19" s="215">
        <v>20.060123999999998</v>
      </c>
      <c r="R19" s="215">
        <v>19.595324999999999</v>
      </c>
      <c r="S19" s="215">
        <v>20.066244999999999</v>
      </c>
      <c r="T19" s="215">
        <v>20.561246000000001</v>
      </c>
      <c r="U19" s="215">
        <v>20.118924</v>
      </c>
      <c r="V19" s="215">
        <v>20.251193000000001</v>
      </c>
      <c r="W19" s="215">
        <v>19.640611</v>
      </c>
      <c r="X19" s="215">
        <v>19.989650999999999</v>
      </c>
      <c r="Y19" s="215">
        <v>20.307238000000002</v>
      </c>
      <c r="Z19" s="215">
        <v>20.323454999999999</v>
      </c>
      <c r="AA19" s="215">
        <v>20.54514</v>
      </c>
      <c r="AB19" s="215">
        <v>19.678705000000001</v>
      </c>
      <c r="AC19" s="215">
        <v>20.756359</v>
      </c>
      <c r="AD19" s="215">
        <v>20.036519999999999</v>
      </c>
      <c r="AE19" s="215">
        <v>20.247366</v>
      </c>
      <c r="AF19" s="215">
        <v>20.790268999999999</v>
      </c>
      <c r="AG19" s="215">
        <v>20.682276000000002</v>
      </c>
      <c r="AH19" s="215">
        <v>21.358391000000001</v>
      </c>
      <c r="AI19" s="215">
        <v>20.082809000000001</v>
      </c>
      <c r="AJ19" s="215">
        <v>20.734404999999999</v>
      </c>
      <c r="AK19" s="215">
        <v>20.746511999999999</v>
      </c>
      <c r="AL19" s="215">
        <v>20.303446999999998</v>
      </c>
      <c r="AM19" s="215">
        <v>20.614982999999999</v>
      </c>
      <c r="AN19" s="215">
        <v>20.283868999999999</v>
      </c>
      <c r="AO19" s="215">
        <v>20.176247</v>
      </c>
      <c r="AP19" s="215">
        <v>20.332599999999999</v>
      </c>
      <c r="AQ19" s="215">
        <v>20.387089</v>
      </c>
      <c r="AR19" s="215">
        <v>20.653979</v>
      </c>
      <c r="AS19" s="215">
        <v>20.734573999999999</v>
      </c>
      <c r="AT19" s="215">
        <v>21.157914000000002</v>
      </c>
      <c r="AU19" s="215">
        <v>20.248484000000001</v>
      </c>
      <c r="AV19" s="215">
        <v>20.713986999999999</v>
      </c>
      <c r="AW19" s="215">
        <v>20.736152000000001</v>
      </c>
      <c r="AX19" s="215">
        <v>20.442869000000002</v>
      </c>
      <c r="AY19" s="215">
        <v>19.905342999999998</v>
      </c>
      <c r="AZ19" s="215">
        <v>19.83887</v>
      </c>
      <c r="BA19" s="215">
        <v>18.283773</v>
      </c>
      <c r="BB19" s="215">
        <v>14.690989</v>
      </c>
      <c r="BC19" s="215">
        <v>16.103228000000001</v>
      </c>
      <c r="BD19" s="215">
        <v>17.435207999999999</v>
      </c>
      <c r="BE19" s="215">
        <v>18.376965835</v>
      </c>
      <c r="BF19" s="215">
        <v>18.654037078999998</v>
      </c>
      <c r="BG19" s="323">
        <v>19.087050000000001</v>
      </c>
      <c r="BH19" s="323">
        <v>19.535630000000001</v>
      </c>
      <c r="BI19" s="323">
        <v>19.515910000000002</v>
      </c>
      <c r="BJ19" s="323">
        <v>19.62895</v>
      </c>
      <c r="BK19" s="323">
        <v>19.363969999999998</v>
      </c>
      <c r="BL19" s="323">
        <v>19.68637</v>
      </c>
      <c r="BM19" s="323">
        <v>19.761099999999999</v>
      </c>
      <c r="BN19" s="323">
        <v>19.49877</v>
      </c>
      <c r="BO19" s="323">
        <v>19.799720000000001</v>
      </c>
      <c r="BP19" s="323">
        <v>20.160910000000001</v>
      </c>
      <c r="BQ19" s="323">
        <v>20.277799999999999</v>
      </c>
      <c r="BR19" s="323">
        <v>20.711980000000001</v>
      </c>
      <c r="BS19" s="323">
        <v>20.137440000000002</v>
      </c>
      <c r="BT19" s="323">
        <v>20.492930000000001</v>
      </c>
      <c r="BU19" s="323">
        <v>20.61759</v>
      </c>
      <c r="BV19" s="323">
        <v>20.202069999999999</v>
      </c>
    </row>
    <row r="20" spans="1:74" ht="11.1" customHeight="1" x14ac:dyDescent="0.2">
      <c r="A20" s="26"/>
      <c r="B20" s="28"/>
      <c r="C20" s="215"/>
      <c r="D20" s="215"/>
      <c r="E20" s="215"/>
      <c r="F20" s="215"/>
      <c r="G20" s="215"/>
      <c r="H20" s="215"/>
      <c r="I20" s="215"/>
      <c r="J20" s="215"/>
      <c r="K20" s="215"/>
      <c r="L20" s="215"/>
      <c r="M20" s="215"/>
      <c r="N20" s="215"/>
      <c r="O20" s="215"/>
      <c r="P20" s="215"/>
      <c r="Q20" s="215"/>
      <c r="R20" s="215"/>
      <c r="S20" s="215"/>
      <c r="T20" s="215"/>
      <c r="U20" s="215"/>
      <c r="V20" s="215"/>
      <c r="W20" s="215"/>
      <c r="X20" s="215"/>
      <c r="Y20" s="215"/>
      <c r="Z20" s="215"/>
      <c r="AA20" s="215"/>
      <c r="AB20" s="215"/>
      <c r="AC20" s="215"/>
      <c r="AD20" s="215"/>
      <c r="AE20" s="215"/>
      <c r="AF20" s="215"/>
      <c r="AG20" s="215"/>
      <c r="AH20" s="215"/>
      <c r="AI20" s="215"/>
      <c r="AJ20" s="215"/>
      <c r="AK20" s="215"/>
      <c r="AL20" s="215"/>
      <c r="AM20" s="215"/>
      <c r="AN20" s="215"/>
      <c r="AO20" s="215"/>
      <c r="AP20" s="215"/>
      <c r="AQ20" s="215"/>
      <c r="AR20" s="215"/>
      <c r="AS20" s="215"/>
      <c r="AT20" s="215"/>
      <c r="AU20" s="215"/>
      <c r="AV20" s="215"/>
      <c r="AW20" s="215"/>
      <c r="AX20" s="215"/>
      <c r="AY20" s="215"/>
      <c r="AZ20" s="215"/>
      <c r="BA20" s="215"/>
      <c r="BB20" s="215"/>
      <c r="BC20" s="215"/>
      <c r="BD20" s="215"/>
      <c r="BE20" s="215"/>
      <c r="BF20" s="215"/>
      <c r="BG20" s="323"/>
      <c r="BH20" s="323"/>
      <c r="BI20" s="323"/>
      <c r="BJ20" s="323"/>
      <c r="BK20" s="323"/>
      <c r="BL20" s="323"/>
      <c r="BM20" s="323"/>
      <c r="BN20" s="323"/>
      <c r="BO20" s="323"/>
      <c r="BP20" s="323"/>
      <c r="BQ20" s="323"/>
      <c r="BR20" s="323"/>
      <c r="BS20" s="323"/>
      <c r="BT20" s="323"/>
      <c r="BU20" s="323"/>
      <c r="BV20" s="323"/>
    </row>
    <row r="21" spans="1:74" ht="11.1" customHeight="1" x14ac:dyDescent="0.2">
      <c r="A21" s="16"/>
      <c r="B21" s="25" t="s">
        <v>622</v>
      </c>
      <c r="C21" s="217"/>
      <c r="D21" s="217"/>
      <c r="E21" s="217"/>
      <c r="F21" s="217"/>
      <c r="G21" s="217"/>
      <c r="H21" s="217"/>
      <c r="I21" s="217"/>
      <c r="J21" s="217"/>
      <c r="K21" s="217"/>
      <c r="L21" s="217"/>
      <c r="M21" s="217"/>
      <c r="N21" s="217"/>
      <c r="O21" s="217"/>
      <c r="P21" s="217"/>
      <c r="Q21" s="217"/>
      <c r="R21" s="217"/>
      <c r="S21" s="217"/>
      <c r="T21" s="217"/>
      <c r="U21" s="217"/>
      <c r="V21" s="217"/>
      <c r="W21" s="217"/>
      <c r="X21" s="217"/>
      <c r="Y21" s="217"/>
      <c r="Z21" s="217"/>
      <c r="AA21" s="217"/>
      <c r="AB21" s="217"/>
      <c r="AC21" s="217"/>
      <c r="AD21" s="217"/>
      <c r="AE21" s="217"/>
      <c r="AF21" s="217"/>
      <c r="AG21" s="217"/>
      <c r="AH21" s="217"/>
      <c r="AI21" s="217"/>
      <c r="AJ21" s="217"/>
      <c r="AK21" s="217"/>
      <c r="AL21" s="217"/>
      <c r="AM21" s="217"/>
      <c r="AN21" s="217"/>
      <c r="AO21" s="217"/>
      <c r="AP21" s="217"/>
      <c r="AQ21" s="217"/>
      <c r="AR21" s="217"/>
      <c r="AS21" s="217"/>
      <c r="AT21" s="217"/>
      <c r="AU21" s="217"/>
      <c r="AV21" s="217"/>
      <c r="AW21" s="217"/>
      <c r="AX21" s="217"/>
      <c r="AY21" s="217"/>
      <c r="AZ21" s="217"/>
      <c r="BA21" s="217"/>
      <c r="BB21" s="217"/>
      <c r="BC21" s="217"/>
      <c r="BD21" s="217"/>
      <c r="BE21" s="217"/>
      <c r="BF21" s="217"/>
      <c r="BG21" s="327"/>
      <c r="BH21" s="327"/>
      <c r="BI21" s="327"/>
      <c r="BJ21" s="327"/>
      <c r="BK21" s="327"/>
      <c r="BL21" s="327"/>
      <c r="BM21" s="327"/>
      <c r="BN21" s="327"/>
      <c r="BO21" s="327"/>
      <c r="BP21" s="327"/>
      <c r="BQ21" s="327"/>
      <c r="BR21" s="327"/>
      <c r="BS21" s="327"/>
      <c r="BT21" s="327"/>
      <c r="BU21" s="327"/>
      <c r="BV21" s="327"/>
    </row>
    <row r="22" spans="1:74" ht="11.1" customHeight="1" x14ac:dyDescent="0.2">
      <c r="A22" s="26" t="s">
        <v>557</v>
      </c>
      <c r="B22" s="27" t="s">
        <v>96</v>
      </c>
      <c r="C22" s="215">
        <v>99.732096773999999</v>
      </c>
      <c r="D22" s="215">
        <v>91.457241378999996</v>
      </c>
      <c r="E22" s="215">
        <v>76.009612903000004</v>
      </c>
      <c r="F22" s="215">
        <v>69.461600000000004</v>
      </c>
      <c r="G22" s="215">
        <v>63.412838710000003</v>
      </c>
      <c r="H22" s="215">
        <v>66.688500000000005</v>
      </c>
      <c r="I22" s="215">
        <v>70.536000000000001</v>
      </c>
      <c r="J22" s="215">
        <v>71.237870967999996</v>
      </c>
      <c r="K22" s="215">
        <v>64.925066666999996</v>
      </c>
      <c r="L22" s="215">
        <v>62.103322581</v>
      </c>
      <c r="M22" s="215">
        <v>71.981466667000007</v>
      </c>
      <c r="N22" s="215">
        <v>92.460419354999999</v>
      </c>
      <c r="O22" s="215">
        <v>94.005322581000001</v>
      </c>
      <c r="P22" s="215">
        <v>83.592035714000005</v>
      </c>
      <c r="Q22" s="215">
        <v>81.41</v>
      </c>
      <c r="R22" s="215">
        <v>64.416433333000001</v>
      </c>
      <c r="S22" s="215">
        <v>61.047967741999997</v>
      </c>
      <c r="T22" s="215">
        <v>63.697899999999997</v>
      </c>
      <c r="U22" s="215">
        <v>69.100096773999994</v>
      </c>
      <c r="V22" s="215">
        <v>67.557612903000006</v>
      </c>
      <c r="W22" s="215">
        <v>64.031633333000002</v>
      </c>
      <c r="X22" s="215">
        <v>65.548580645000001</v>
      </c>
      <c r="Y22" s="215">
        <v>78.589200000000005</v>
      </c>
      <c r="Z22" s="215">
        <v>99.499645161000004</v>
      </c>
      <c r="AA22" s="215">
        <v>107.58</v>
      </c>
      <c r="AB22" s="215">
        <v>96.640249999999995</v>
      </c>
      <c r="AC22" s="215">
        <v>90.084516128999994</v>
      </c>
      <c r="AD22" s="215">
        <v>78.210533333000001</v>
      </c>
      <c r="AE22" s="215">
        <v>66.157774193999998</v>
      </c>
      <c r="AF22" s="215">
        <v>68.622233332999997</v>
      </c>
      <c r="AG22" s="215">
        <v>75.631612903000004</v>
      </c>
      <c r="AH22" s="215">
        <v>74.442096774000007</v>
      </c>
      <c r="AI22" s="215">
        <v>71.717399999999998</v>
      </c>
      <c r="AJ22" s="215">
        <v>73.519451613000001</v>
      </c>
      <c r="AK22" s="215">
        <v>90.330733332999998</v>
      </c>
      <c r="AL22" s="215">
        <v>96.551451612999998</v>
      </c>
      <c r="AM22" s="215">
        <v>109.67033723</v>
      </c>
      <c r="AN22" s="215">
        <v>107.10649675000001</v>
      </c>
      <c r="AO22" s="215">
        <v>93.540726004999996</v>
      </c>
      <c r="AP22" s="215">
        <v>73.365020997000002</v>
      </c>
      <c r="AQ22" s="215">
        <v>68.416228906000001</v>
      </c>
      <c r="AR22" s="215">
        <v>70.506187096999994</v>
      </c>
      <c r="AS22" s="215">
        <v>77.651923260000004</v>
      </c>
      <c r="AT22" s="215">
        <v>78.610012544</v>
      </c>
      <c r="AU22" s="215">
        <v>73.871766766999997</v>
      </c>
      <c r="AV22" s="215">
        <v>75.073749833999997</v>
      </c>
      <c r="AW22" s="215">
        <v>91.760826503000004</v>
      </c>
      <c r="AX22" s="215">
        <v>101.23745309</v>
      </c>
      <c r="AY22" s="215">
        <v>106.08391783</v>
      </c>
      <c r="AZ22" s="215">
        <v>104.65638765999999</v>
      </c>
      <c r="BA22" s="215">
        <v>87.369844673000003</v>
      </c>
      <c r="BB22" s="215">
        <v>74.920105000000007</v>
      </c>
      <c r="BC22" s="215">
        <v>66.789305354999996</v>
      </c>
      <c r="BD22" s="215">
        <v>71.1213099</v>
      </c>
      <c r="BE22" s="215">
        <v>80.411412299999995</v>
      </c>
      <c r="BF22" s="215">
        <v>75.834749299999999</v>
      </c>
      <c r="BG22" s="323">
        <v>71.819879999999998</v>
      </c>
      <c r="BH22" s="323">
        <v>71.777950000000004</v>
      </c>
      <c r="BI22" s="323">
        <v>83.800079999999994</v>
      </c>
      <c r="BJ22" s="323">
        <v>98.030569999999997</v>
      </c>
      <c r="BK22" s="323">
        <v>102.4414</v>
      </c>
      <c r="BL22" s="323">
        <v>95.639750000000006</v>
      </c>
      <c r="BM22" s="323">
        <v>84.586190000000002</v>
      </c>
      <c r="BN22" s="323">
        <v>69.956500000000005</v>
      </c>
      <c r="BO22" s="323">
        <v>63.292650000000002</v>
      </c>
      <c r="BP22" s="323">
        <v>67.374920000000003</v>
      </c>
      <c r="BQ22" s="323">
        <v>73.563469999999995</v>
      </c>
      <c r="BR22" s="323">
        <v>72.906850000000006</v>
      </c>
      <c r="BS22" s="323">
        <v>68.563149999999993</v>
      </c>
      <c r="BT22" s="323">
        <v>70.759460000000004</v>
      </c>
      <c r="BU22" s="323">
        <v>85.011880000000005</v>
      </c>
      <c r="BV22" s="323">
        <v>96.402690000000007</v>
      </c>
    </row>
    <row r="23" spans="1:74" ht="11.1" customHeight="1" x14ac:dyDescent="0.2">
      <c r="A23" s="16"/>
      <c r="B23" s="25"/>
      <c r="C23" s="215"/>
      <c r="D23" s="215"/>
      <c r="E23" s="215"/>
      <c r="F23" s="215"/>
      <c r="G23" s="215"/>
      <c r="H23" s="215"/>
      <c r="I23" s="215"/>
      <c r="J23" s="215"/>
      <c r="K23" s="215"/>
      <c r="L23" s="215"/>
      <c r="M23" s="215"/>
      <c r="N23" s="215"/>
      <c r="O23" s="215"/>
      <c r="P23" s="215"/>
      <c r="Q23" s="215"/>
      <c r="R23" s="215"/>
      <c r="S23" s="215"/>
      <c r="T23" s="215"/>
      <c r="U23" s="215"/>
      <c r="V23" s="215"/>
      <c r="W23" s="215"/>
      <c r="X23" s="215"/>
      <c r="Y23" s="215"/>
      <c r="Z23" s="215"/>
      <c r="AA23" s="215"/>
      <c r="AB23" s="215"/>
      <c r="AC23" s="215"/>
      <c r="AD23" s="215"/>
      <c r="AE23" s="215"/>
      <c r="AF23" s="215"/>
      <c r="AG23" s="215"/>
      <c r="AH23" s="215"/>
      <c r="AI23" s="215"/>
      <c r="AJ23" s="215"/>
      <c r="AK23" s="215"/>
      <c r="AL23" s="215"/>
      <c r="AM23" s="215"/>
      <c r="AN23" s="215"/>
      <c r="AO23" s="215"/>
      <c r="AP23" s="215"/>
      <c r="AQ23" s="215"/>
      <c r="AR23" s="215"/>
      <c r="AS23" s="215"/>
      <c r="AT23" s="215"/>
      <c r="AU23" s="215"/>
      <c r="AV23" s="215"/>
      <c r="AW23" s="215"/>
      <c r="AX23" s="215"/>
      <c r="AY23" s="215"/>
      <c r="AZ23" s="215"/>
      <c r="BA23" s="215"/>
      <c r="BB23" s="215"/>
      <c r="BC23" s="215"/>
      <c r="BD23" s="215"/>
      <c r="BE23" s="215"/>
      <c r="BF23" s="215"/>
      <c r="BG23" s="323"/>
      <c r="BH23" s="323"/>
      <c r="BI23" s="323"/>
      <c r="BJ23" s="323"/>
      <c r="BK23" s="323"/>
      <c r="BL23" s="323"/>
      <c r="BM23" s="323"/>
      <c r="BN23" s="323"/>
      <c r="BO23" s="323"/>
      <c r="BP23" s="323"/>
      <c r="BQ23" s="323"/>
      <c r="BR23" s="323"/>
      <c r="BS23" s="323"/>
      <c r="BT23" s="323"/>
      <c r="BU23" s="323"/>
      <c r="BV23" s="323"/>
    </row>
    <row r="24" spans="1:74" ht="11.1" customHeight="1" x14ac:dyDescent="0.2">
      <c r="A24" s="16"/>
      <c r="B24" s="25" t="s">
        <v>108</v>
      </c>
      <c r="C24" s="215"/>
      <c r="D24" s="215"/>
      <c r="E24" s="215"/>
      <c r="F24" s="215"/>
      <c r="G24" s="215"/>
      <c r="H24" s="215"/>
      <c r="I24" s="215"/>
      <c r="J24" s="215"/>
      <c r="K24" s="215"/>
      <c r="L24" s="215"/>
      <c r="M24" s="215"/>
      <c r="N24" s="215"/>
      <c r="O24" s="215"/>
      <c r="P24" s="215"/>
      <c r="Q24" s="215"/>
      <c r="R24" s="215"/>
      <c r="S24" s="215"/>
      <c r="T24" s="215"/>
      <c r="U24" s="215"/>
      <c r="V24" s="215"/>
      <c r="W24" s="215"/>
      <c r="X24" s="215"/>
      <c r="Y24" s="215"/>
      <c r="Z24" s="215"/>
      <c r="AA24" s="215"/>
      <c r="AB24" s="215"/>
      <c r="AC24" s="215"/>
      <c r="AD24" s="215"/>
      <c r="AE24" s="215"/>
      <c r="AF24" s="215"/>
      <c r="AG24" s="215"/>
      <c r="AH24" s="215"/>
      <c r="AI24" s="215"/>
      <c r="AJ24" s="215"/>
      <c r="AK24" s="215"/>
      <c r="AL24" s="215"/>
      <c r="AM24" s="215"/>
      <c r="AN24" s="215"/>
      <c r="AO24" s="215"/>
      <c r="AP24" s="215"/>
      <c r="AQ24" s="215"/>
      <c r="AR24" s="215"/>
      <c r="AS24" s="215"/>
      <c r="AT24" s="215"/>
      <c r="AU24" s="215"/>
      <c r="AV24" s="215"/>
      <c r="AW24" s="215"/>
      <c r="AX24" s="215"/>
      <c r="AY24" s="215"/>
      <c r="AZ24" s="215"/>
      <c r="BA24" s="215"/>
      <c r="BB24" s="215"/>
      <c r="BC24" s="215"/>
      <c r="BD24" s="215"/>
      <c r="BE24" s="215"/>
      <c r="BF24" s="215"/>
      <c r="BG24" s="323"/>
      <c r="BH24" s="323"/>
      <c r="BI24" s="323"/>
      <c r="BJ24" s="323"/>
      <c r="BK24" s="323"/>
      <c r="BL24" s="323"/>
      <c r="BM24" s="323"/>
      <c r="BN24" s="323"/>
      <c r="BO24" s="323"/>
      <c r="BP24" s="323"/>
      <c r="BQ24" s="323"/>
      <c r="BR24" s="323"/>
      <c r="BS24" s="323"/>
      <c r="BT24" s="323"/>
      <c r="BU24" s="323"/>
      <c r="BV24" s="323"/>
    </row>
    <row r="25" spans="1:74" ht="11.1" customHeight="1" x14ac:dyDescent="0.2">
      <c r="A25" s="26" t="s">
        <v>223</v>
      </c>
      <c r="B25" s="27" t="s">
        <v>817</v>
      </c>
      <c r="C25" s="68">
        <v>66.662224447</v>
      </c>
      <c r="D25" s="68">
        <v>55.210717475999999</v>
      </c>
      <c r="E25" s="68">
        <v>44.574606430000003</v>
      </c>
      <c r="F25" s="68">
        <v>43.383704280000003</v>
      </c>
      <c r="G25" s="68">
        <v>49.342932779000002</v>
      </c>
      <c r="H25" s="68">
        <v>67.551228989999998</v>
      </c>
      <c r="I25" s="68">
        <v>78.568539092999998</v>
      </c>
      <c r="J25" s="68">
        <v>78.174536501999995</v>
      </c>
      <c r="K25" s="68">
        <v>66.614897790000001</v>
      </c>
      <c r="L25" s="68">
        <v>58.952702821000003</v>
      </c>
      <c r="M25" s="68">
        <v>52.533241680000003</v>
      </c>
      <c r="N25" s="68">
        <v>69.501358113999999</v>
      </c>
      <c r="O25" s="68">
        <v>68.005594380999995</v>
      </c>
      <c r="P25" s="68">
        <v>52.380923840000001</v>
      </c>
      <c r="Q25" s="68">
        <v>53.325237356999999</v>
      </c>
      <c r="R25" s="68">
        <v>48.565446540000003</v>
      </c>
      <c r="S25" s="68">
        <v>55.201684469</v>
      </c>
      <c r="T25" s="68">
        <v>63.09854739</v>
      </c>
      <c r="U25" s="68">
        <v>74.213783961000004</v>
      </c>
      <c r="V25" s="68">
        <v>70.229130451000003</v>
      </c>
      <c r="W25" s="68">
        <v>59.039437139999997</v>
      </c>
      <c r="X25" s="68">
        <v>54.435841869000001</v>
      </c>
      <c r="Y25" s="68">
        <v>55.357275270000002</v>
      </c>
      <c r="Z25" s="68">
        <v>63.002781149</v>
      </c>
      <c r="AA25" s="68">
        <v>69.253774041</v>
      </c>
      <c r="AB25" s="68">
        <v>50.024953132</v>
      </c>
      <c r="AC25" s="68">
        <v>48.869908676999998</v>
      </c>
      <c r="AD25" s="68">
        <v>44.793441719999997</v>
      </c>
      <c r="AE25" s="68">
        <v>51.573590324000001</v>
      </c>
      <c r="AF25" s="68">
        <v>60.239975909999998</v>
      </c>
      <c r="AG25" s="68">
        <v>68.083151048999994</v>
      </c>
      <c r="AH25" s="68">
        <v>67.976370340000003</v>
      </c>
      <c r="AI25" s="68">
        <v>58.159414290000001</v>
      </c>
      <c r="AJ25" s="68">
        <v>52.811207013000001</v>
      </c>
      <c r="AK25" s="68">
        <v>56.170449150000003</v>
      </c>
      <c r="AL25" s="68">
        <v>60.149091401</v>
      </c>
      <c r="AM25" s="68">
        <v>60.219019093</v>
      </c>
      <c r="AN25" s="68">
        <v>49.220422775999999</v>
      </c>
      <c r="AO25" s="68">
        <v>48.417438939</v>
      </c>
      <c r="AP25" s="68">
        <v>37.371611100000003</v>
      </c>
      <c r="AQ25" s="68">
        <v>44.129009949999997</v>
      </c>
      <c r="AR25" s="68">
        <v>48.353478299999999</v>
      </c>
      <c r="AS25" s="68">
        <v>59.997894047000003</v>
      </c>
      <c r="AT25" s="68">
        <v>56.467564291999999</v>
      </c>
      <c r="AU25" s="68">
        <v>51.326178329999998</v>
      </c>
      <c r="AV25" s="68">
        <v>41.404697151999997</v>
      </c>
      <c r="AW25" s="68">
        <v>45.883513260000001</v>
      </c>
      <c r="AX25" s="68">
        <v>44.552685771999997</v>
      </c>
      <c r="AY25" s="68">
        <v>40.624280181000003</v>
      </c>
      <c r="AZ25" s="68">
        <v>35.891931171000003</v>
      </c>
      <c r="BA25" s="68">
        <v>32.729227522999999</v>
      </c>
      <c r="BB25" s="68">
        <v>27.429268830000002</v>
      </c>
      <c r="BC25" s="68">
        <v>30.409952789999998</v>
      </c>
      <c r="BD25" s="68">
        <v>40.321092700000001</v>
      </c>
      <c r="BE25" s="68">
        <v>52.184146980000001</v>
      </c>
      <c r="BF25" s="68">
        <v>53.204088830000003</v>
      </c>
      <c r="BG25" s="325">
        <v>42.84928</v>
      </c>
      <c r="BH25" s="325">
        <v>37.035359999999997</v>
      </c>
      <c r="BI25" s="325">
        <v>38.218679999999999</v>
      </c>
      <c r="BJ25" s="325">
        <v>44.242939999999997</v>
      </c>
      <c r="BK25" s="325">
        <v>50.834670000000003</v>
      </c>
      <c r="BL25" s="325">
        <v>40.646720000000002</v>
      </c>
      <c r="BM25" s="325">
        <v>39.793599999999998</v>
      </c>
      <c r="BN25" s="325">
        <v>35.41075</v>
      </c>
      <c r="BO25" s="325">
        <v>40.954079999999998</v>
      </c>
      <c r="BP25" s="325">
        <v>48.212490000000003</v>
      </c>
      <c r="BQ25" s="325">
        <v>58.17042</v>
      </c>
      <c r="BR25" s="325">
        <v>55.50806</v>
      </c>
      <c r="BS25" s="325">
        <v>43.83099</v>
      </c>
      <c r="BT25" s="325">
        <v>39.811750000000004</v>
      </c>
      <c r="BU25" s="325">
        <v>35.152070000000002</v>
      </c>
      <c r="BV25" s="325">
        <v>44.859969999999997</v>
      </c>
    </row>
    <row r="26" spans="1:74" ht="11.1" customHeight="1" x14ac:dyDescent="0.2">
      <c r="A26" s="16"/>
      <c r="B26" s="25"/>
      <c r="C26" s="217"/>
      <c r="D26" s="217"/>
      <c r="E26" s="217"/>
      <c r="F26" s="217"/>
      <c r="G26" s="217"/>
      <c r="H26" s="217"/>
      <c r="I26" s="217"/>
      <c r="J26" s="217"/>
      <c r="K26" s="217"/>
      <c r="L26" s="217"/>
      <c r="M26" s="217"/>
      <c r="N26" s="217"/>
      <c r="O26" s="217"/>
      <c r="P26" s="217"/>
      <c r="Q26" s="217"/>
      <c r="R26" s="217"/>
      <c r="S26" s="217"/>
      <c r="T26" s="217"/>
      <c r="U26" s="217"/>
      <c r="V26" s="217"/>
      <c r="W26" s="217"/>
      <c r="X26" s="217"/>
      <c r="Y26" s="217"/>
      <c r="Z26" s="217"/>
      <c r="AA26" s="217"/>
      <c r="AB26" s="217"/>
      <c r="AC26" s="217"/>
      <c r="AD26" s="217"/>
      <c r="AE26" s="217"/>
      <c r="AF26" s="217"/>
      <c r="AG26" s="217"/>
      <c r="AH26" s="217"/>
      <c r="AI26" s="217"/>
      <c r="AJ26" s="217"/>
      <c r="AK26" s="217"/>
      <c r="AL26" s="217"/>
      <c r="AM26" s="217"/>
      <c r="AN26" s="217"/>
      <c r="AO26" s="217"/>
      <c r="AP26" s="217"/>
      <c r="AQ26" s="217"/>
      <c r="AR26" s="217"/>
      <c r="AS26" s="217"/>
      <c r="AT26" s="217"/>
      <c r="AU26" s="217"/>
      <c r="AV26" s="217"/>
      <c r="AW26" s="217"/>
      <c r="AX26" s="217"/>
      <c r="AY26" s="217"/>
      <c r="AZ26" s="217"/>
      <c r="BA26" s="217"/>
      <c r="BB26" s="217"/>
      <c r="BC26" s="217"/>
      <c r="BD26" s="217"/>
      <c r="BE26" s="217"/>
      <c r="BF26" s="217"/>
      <c r="BG26" s="327"/>
      <c r="BH26" s="327"/>
      <c r="BI26" s="327"/>
      <c r="BJ26" s="327"/>
      <c r="BK26" s="327"/>
      <c r="BL26" s="327"/>
      <c r="BM26" s="327"/>
      <c r="BN26" s="327"/>
      <c r="BO26" s="327"/>
      <c r="BP26" s="327"/>
      <c r="BQ26" s="327"/>
      <c r="BR26" s="327"/>
      <c r="BS26" s="327"/>
      <c r="BT26" s="327"/>
      <c r="BU26" s="327"/>
      <c r="BV26" s="327"/>
    </row>
    <row r="27" spans="1:74" ht="11.1" customHeight="1" x14ac:dyDescent="0.2">
      <c r="A27" s="16"/>
      <c r="B27" s="29" t="s">
        <v>800</v>
      </c>
      <c r="C27" s="215"/>
      <c r="D27" s="215"/>
      <c r="E27" s="215"/>
      <c r="F27" s="215"/>
      <c r="G27" s="215"/>
      <c r="H27" s="215"/>
      <c r="I27" s="215"/>
      <c r="J27" s="215"/>
      <c r="K27" s="215"/>
      <c r="L27" s="215"/>
      <c r="M27" s="215"/>
      <c r="N27" s="215"/>
      <c r="O27" s="215"/>
      <c r="P27" s="215"/>
      <c r="Q27" s="215"/>
      <c r="R27" s="215"/>
      <c r="S27" s="215"/>
      <c r="T27" s="215"/>
      <c r="U27" s="215"/>
      <c r="V27" s="215"/>
      <c r="W27" s="215"/>
      <c r="X27" s="215"/>
      <c r="Y27" s="215"/>
      <c r="Z27" s="215"/>
      <c r="AA27" s="215"/>
      <c r="AB27" s="215"/>
      <c r="AC27" s="215"/>
      <c r="AD27" s="215"/>
      <c r="AE27" s="215"/>
      <c r="AF27" s="215"/>
      <c r="AG27" s="215"/>
      <c r="AH27" s="215"/>
      <c r="AI27" s="215"/>
      <c r="AJ27" s="215"/>
      <c r="AK27" s="215"/>
      <c r="AL27" s="215"/>
      <c r="AM27" s="215"/>
      <c r="AN27" s="215"/>
      <c r="AO27" s="215"/>
      <c r="AP27" s="215"/>
      <c r="AQ27" s="215"/>
      <c r="AR27" s="215"/>
      <c r="AS27" s="215"/>
      <c r="AT27" s="215"/>
      <c r="AU27" s="215"/>
      <c r="AV27" s="215"/>
      <c r="AW27" s="215"/>
      <c r="AX27" s="215"/>
      <c r="AY27" s="215"/>
      <c r="AZ27" s="215"/>
      <c r="BA27" s="215"/>
      <c r="BB27" s="215"/>
      <c r="BC27" s="215"/>
      <c r="BD27" s="215"/>
      <c r="BE27" s="215"/>
      <c r="BF27" s="215"/>
      <c r="BG27" s="323"/>
      <c r="BH27" s="323"/>
      <c r="BI27" s="323"/>
      <c r="BJ27" s="323"/>
      <c r="BK27" s="323"/>
      <c r="BL27" s="323"/>
      <c r="BM27" s="323"/>
      <c r="BN27" s="323"/>
      <c r="BO27" s="323"/>
      <c r="BP27" s="323"/>
      <c r="BQ27" s="323"/>
      <c r="BR27" s="323"/>
      <c r="BS27" s="323"/>
      <c r="BT27" s="323"/>
      <c r="BU27" s="323"/>
      <c r="BV27" s="323"/>
    </row>
    <row r="28" spans="1:74" ht="11.1" customHeight="1" x14ac:dyDescent="0.2">
      <c r="A28" s="16" t="s">
        <v>620</v>
      </c>
      <c r="B28" s="27" t="s">
        <v>99</v>
      </c>
      <c r="C28" s="215">
        <v>10.73582944</v>
      </c>
      <c r="D28" s="215">
        <v>10.616690930000001</v>
      </c>
      <c r="E28" s="215">
        <v>9.5931623380000008</v>
      </c>
      <c r="F28" s="215">
        <v>9.3472501539999993</v>
      </c>
      <c r="G28" s="215">
        <v>9.5511917690000008</v>
      </c>
      <c r="H28" s="215">
        <v>11.38790897</v>
      </c>
      <c r="I28" s="215">
        <v>12.41094657</v>
      </c>
      <c r="J28" s="215">
        <v>12.70533176</v>
      </c>
      <c r="K28" s="215">
        <v>11.61376739</v>
      </c>
      <c r="L28" s="215">
        <v>9.9364685769999994</v>
      </c>
      <c r="M28" s="215">
        <v>9.6195098940000001</v>
      </c>
      <c r="N28" s="215">
        <v>10.401550110000001</v>
      </c>
      <c r="O28" s="215">
        <v>10.654881809999999</v>
      </c>
      <c r="P28" s="215">
        <v>10.23950982</v>
      </c>
      <c r="Q28" s="215">
        <v>9.7774315240000007</v>
      </c>
      <c r="R28" s="215">
        <v>9.4671730840000006</v>
      </c>
      <c r="S28" s="215">
        <v>9.7850943180000005</v>
      </c>
      <c r="T28" s="215">
        <v>11.351136029999999</v>
      </c>
      <c r="U28" s="215">
        <v>12.26889285</v>
      </c>
      <c r="V28" s="215">
        <v>12.02614266</v>
      </c>
      <c r="W28" s="215">
        <v>11.09741771</v>
      </c>
      <c r="X28" s="215">
        <v>10.027870160000001</v>
      </c>
      <c r="Y28" s="215">
        <v>9.8269714419999996</v>
      </c>
      <c r="Z28" s="215">
        <v>10.47526746</v>
      </c>
      <c r="AA28" s="215">
        <v>11.51233087</v>
      </c>
      <c r="AB28" s="215">
        <v>10.84886176</v>
      </c>
      <c r="AC28" s="215">
        <v>9.9522809720000005</v>
      </c>
      <c r="AD28" s="215">
        <v>9.649710829</v>
      </c>
      <c r="AE28" s="215">
        <v>10.16089816</v>
      </c>
      <c r="AF28" s="215">
        <v>11.67034696</v>
      </c>
      <c r="AG28" s="215">
        <v>12.516689449999999</v>
      </c>
      <c r="AH28" s="215">
        <v>12.716431249999999</v>
      </c>
      <c r="AI28" s="215">
        <v>11.64236584</v>
      </c>
      <c r="AJ28" s="215">
        <v>10.35415285</v>
      </c>
      <c r="AK28" s="215">
        <v>10.08279505</v>
      </c>
      <c r="AL28" s="215">
        <v>10.470260980000001</v>
      </c>
      <c r="AM28" s="215">
        <v>10.847717960000001</v>
      </c>
      <c r="AN28" s="215">
        <v>10.79726754</v>
      </c>
      <c r="AO28" s="215">
        <v>9.9658862900000003</v>
      </c>
      <c r="AP28" s="215">
        <v>9.3424512800000006</v>
      </c>
      <c r="AQ28" s="215">
        <v>9.7945465909999996</v>
      </c>
      <c r="AR28" s="215">
        <v>10.92899821</v>
      </c>
      <c r="AS28" s="215">
        <v>12.35991759</v>
      </c>
      <c r="AT28" s="215">
        <v>12.24411027</v>
      </c>
      <c r="AU28" s="215">
        <v>11.5666405</v>
      </c>
      <c r="AV28" s="215">
        <v>10.14329478</v>
      </c>
      <c r="AW28" s="215">
        <v>9.7969635670000006</v>
      </c>
      <c r="AX28" s="215">
        <v>10.264510489999999</v>
      </c>
      <c r="AY28" s="215">
        <v>10.40574943</v>
      </c>
      <c r="AZ28" s="215">
        <v>10.421129840000001</v>
      </c>
      <c r="BA28" s="215">
        <v>9.5826669019999997</v>
      </c>
      <c r="BB28" s="215">
        <v>8.9637236779999991</v>
      </c>
      <c r="BC28" s="215">
        <v>9.0794136202000004</v>
      </c>
      <c r="BD28" s="215">
        <v>10.904585426000001</v>
      </c>
      <c r="BE28" s="215">
        <v>12.519439999999999</v>
      </c>
      <c r="BF28" s="215">
        <v>12.36575</v>
      </c>
      <c r="BG28" s="323">
        <v>11.072039999999999</v>
      </c>
      <c r="BH28" s="323">
        <v>9.7746870000000001</v>
      </c>
      <c r="BI28" s="323">
        <v>9.5209519999999994</v>
      </c>
      <c r="BJ28" s="323">
        <v>10.01519</v>
      </c>
      <c r="BK28" s="323">
        <v>10.39851</v>
      </c>
      <c r="BL28" s="323">
        <v>10.3241</v>
      </c>
      <c r="BM28" s="323">
        <v>9.5165550000000003</v>
      </c>
      <c r="BN28" s="323">
        <v>9.1303219999999996</v>
      </c>
      <c r="BO28" s="323">
        <v>9.3701480000000004</v>
      </c>
      <c r="BP28" s="323">
        <v>11.170059999999999</v>
      </c>
      <c r="BQ28" s="323">
        <v>12.074960000000001</v>
      </c>
      <c r="BR28" s="323">
        <v>12.081989999999999</v>
      </c>
      <c r="BS28" s="323">
        <v>11.16685</v>
      </c>
      <c r="BT28" s="323">
        <v>9.9374160000000007</v>
      </c>
      <c r="BU28" s="323">
        <v>9.6406379999999992</v>
      </c>
      <c r="BV28" s="323">
        <v>10.1305</v>
      </c>
    </row>
    <row r="29" spans="1:74" ht="11.1" customHeight="1" x14ac:dyDescent="0.2">
      <c r="A29" s="16"/>
      <c r="B29" s="25"/>
      <c r="C29" s="215"/>
      <c r="D29" s="215"/>
      <c r="E29" s="215"/>
      <c r="F29" s="215"/>
      <c r="G29" s="215"/>
      <c r="H29" s="215"/>
      <c r="I29" s="215"/>
      <c r="J29" s="215"/>
      <c r="K29" s="215"/>
      <c r="L29" s="215"/>
      <c r="M29" s="215"/>
      <c r="N29" s="215"/>
      <c r="O29" s="215"/>
      <c r="P29" s="215"/>
      <c r="Q29" s="215"/>
      <c r="R29" s="215"/>
      <c r="S29" s="215"/>
      <c r="T29" s="215"/>
      <c r="U29" s="215"/>
      <c r="V29" s="215"/>
      <c r="W29" s="215"/>
      <c r="X29" s="215"/>
      <c r="Y29" s="215"/>
      <c r="Z29" s="215"/>
      <c r="AA29" s="215"/>
      <c r="AB29" s="215"/>
      <c r="AC29" s="215"/>
      <c r="AD29" s="215"/>
      <c r="AE29" s="215"/>
      <c r="AF29" s="215"/>
      <c r="AG29" s="215"/>
      <c r="AH29" s="215"/>
      <c r="AI29" s="215"/>
      <c r="AJ29" s="215"/>
      <c r="AK29" s="215"/>
      <c r="AL29" s="215"/>
      <c r="AM29" s="215"/>
      <c r="AN29" s="215"/>
      <c r="AO29" s="215"/>
      <c r="AP29" s="215"/>
      <c r="AQ29" s="215"/>
      <c r="AR29" s="215"/>
      <c r="AS29" s="215"/>
      <c r="AT29" s="215"/>
      <c r="AU29" s="215"/>
      <c r="AV29" s="215"/>
      <c r="AW29" s="215"/>
      <c r="AX29" s="215"/>
      <c r="AY29" s="215"/>
      <c r="AZ29" s="215"/>
      <c r="BA29" s="215"/>
      <c r="BB29" s="215"/>
      <c r="BC29" s="215"/>
      <c r="BD29" s="215"/>
      <c r="BE29" s="215"/>
      <c r="BF29" s="215"/>
      <c r="BG29" s="323"/>
      <c r="BH29" s="323"/>
      <c r="BI29" s="323"/>
      <c r="BJ29" s="323"/>
      <c r="BK29" s="323"/>
      <c r="BL29" s="323"/>
      <c r="BM29" s="323"/>
      <c r="BN29" s="323"/>
      <c r="BO29" s="323"/>
      <c r="BP29" s="323"/>
      <c r="BQ29" s="323"/>
      <c r="BR29" s="323"/>
      <c r="BS29" s="323"/>
      <c r="BT29" s="323"/>
      <c r="BU29" s="323"/>
      <c r="BV29" s="323"/>
    </row>
    <row r="30" spans="1:74" ht="11.1" customHeight="1" x14ac:dyDescent="0.2">
      <c r="A30" s="16"/>
      <c r="B30" s="25" t="s">
        <v>232</v>
      </c>
      <c r="C30" s="215"/>
      <c r="D30" s="215"/>
      <c r="E30" s="215"/>
      <c r="F30" s="215"/>
      <c r="G30" s="215"/>
      <c r="H30" s="215"/>
      <c r="I30" s="215"/>
      <c r="J30" s="215"/>
      <c r="K30" s="215"/>
      <c r="L30" s="215"/>
      <c r="M30" s="215"/>
      <c r="N30" s="215"/>
      <c r="O30" s="215"/>
      <c r="P30" s="215"/>
      <c r="Q30" s="215"/>
      <c r="R30" s="215"/>
      <c r="S30" s="215"/>
      <c r="T30" s="215"/>
      <c r="U30" s="215"/>
      <c r="V30" s="215"/>
      <c r="W30" s="215"/>
      <c r="X30" s="215"/>
      <c r="Y30" s="215"/>
      <c r="Z30" s="215"/>
      <c r="AA30" s="215"/>
      <c r="AB30" s="215"/>
      <c r="AC30" s="215"/>
      <c r="AD30" s="215"/>
      <c r="AE30" s="215"/>
      <c r="AF30" s="215"/>
      <c r="AG30" s="215"/>
      <c r="AH30" s="215"/>
      <c r="AI30" s="215"/>
      <c r="AJ30" s="215"/>
      <c r="AK30" s="215"/>
      <c r="AL30" s="215"/>
      <c r="AM30" s="215"/>
      <c r="AN30" s="215"/>
      <c r="AO30" s="215"/>
      <c r="AP30" s="215"/>
      <c r="AQ30" s="215"/>
      <c r="AR30" s="215"/>
      <c r="AS30" s="215"/>
      <c r="AT30" s="215"/>
      <c r="AU30" s="215"/>
      <c r="AV30" s="215"/>
      <c r="AW30" s="215"/>
      <c r="AX30" s="215"/>
      <c r="AY30" s="215"/>
      <c r="AZ30" s="215"/>
      <c r="BA30" s="215"/>
      <c r="BB30" s="215"/>
      <c r="BC30" s="215"/>
      <c r="BD30" s="215"/>
      <c r="BE30" s="215"/>
      <c r="BF30" s="215"/>
      <c r="BG30" s="323"/>
      <c r="BH30" s="323"/>
      <c r="BI30" s="323"/>
      <c r="BJ30" s="323"/>
      <c r="BK30" s="323"/>
      <c r="BL30" s="323"/>
      <c r="BM30" s="323"/>
      <c r="BN30" s="323"/>
      <c r="BO30" s="323"/>
      <c r="BP30" s="323"/>
      <c r="BQ30" s="323"/>
      <c r="BR30" s="323"/>
      <c r="BS30" s="323"/>
      <c r="BT30" s="323"/>
      <c r="BU30" s="323"/>
      <c r="BV30" s="323"/>
    </row>
    <row r="31" spans="1:74" ht="11.1" customHeight="1" x14ac:dyDescent="0.2">
      <c r="A31" s="133" t="s">
        <v>26</v>
      </c>
      <c r="B31" s="30" t="s">
        <v>100</v>
      </c>
      <c r="C31" s="215">
        <v>0.85459608652999997</v>
      </c>
      <c r="D31" s="215">
        <v>0.85346211542999995</v>
      </c>
      <c r="E31" s="215">
        <v>0.93013934433000001</v>
      </c>
      <c r="F31" s="215">
        <v>0.88246184510000003</v>
      </c>
      <c r="G31" s="215">
        <v>0.89627229477000003</v>
      </c>
      <c r="H31" s="215">
        <v>0.85004286218000003</v>
      </c>
      <c r="I31" s="215">
        <v>0.86806329074999999</v>
      </c>
      <c r="J31" s="215">
        <v>0.81882543036</v>
      </c>
      <c r="K31" s="215">
        <v>0.78510750612000002</v>
      </c>
      <c r="L31" s="215">
        <v>0.82752041311000002</v>
      </c>
      <c r="M31" s="215">
        <v>0.83070110573</v>
      </c>
      <c r="N31" s="215">
        <v>0.93049417121</v>
      </c>
      <c r="O31" s="215">
        <v>0.90214277900999995</v>
      </c>
      <c r="P31" s="215">
        <v>0.85550178432000001</v>
      </c>
      <c r="Q31" s="215">
        <v>1.0111206996</v>
      </c>
      <c r="R31" s="215">
        <v>0.99001914507</v>
      </c>
      <c r="S31" s="215">
        <v>1.0300483789999999</v>
      </c>
      <c r="T31" s="215">
        <v>0.98706583598999997</v>
      </c>
      <c r="U31" s="215">
        <v>0.91590968906000003</v>
      </c>
      <c r="V31" s="215">
        <v>0.86093739860999996</v>
      </c>
      <c r="W31" s="215">
        <v>0.83191795477999997</v>
      </c>
      <c r="X31" s="215">
        <v>0.88590329892999997</v>
      </c>
      <c r="Y31" s="215">
        <v>0.87183533445000005</v>
      </c>
      <c r="Z31" s="215">
        <v>0.90106008003000004</v>
      </c>
      <c r="AA31" s="215">
        <v>0.95129850898000001</v>
      </c>
      <c r="AB31" s="215">
        <v>0.88986559620000005</v>
      </c>
      <c r="AC31" s="215">
        <v>0.98994532737999996</v>
      </c>
      <c r="AD31" s="215">
        <v>0.99671750566999995</v>
      </c>
      <c r="AE31" s="215">
        <v>1.0396040033</v>
      </c>
      <c r="AF31" s="215">
        <v>1.0116173971</v>
      </c>
      <c r="AG31" s="215">
        <v>0.92581350371000004</v>
      </c>
      <c r="AH31" s="215">
        <v>0.93159787035999997</v>
      </c>
      <c r="AI31" s="215">
        <v>0.84289605393</v>
      </c>
      <c r="AJ31" s="215">
        <v>0.88002774499000003</v>
      </c>
      <c r="AK31" s="215">
        <v>0.88377562953</v>
      </c>
      <c r="AL31" s="215">
        <v>0.92037448183000004</v>
      </c>
      <c r="AM31" s="215">
        <v>0.93815108651000001</v>
      </c>
      <c r="AN31" s="215">
        <v>0.86931453979999995</v>
      </c>
      <c r="AO31" s="215">
        <v>0.98966891757999997</v>
      </c>
      <c r="AP31" s="215">
        <v>1.0205903501</v>
      </c>
      <c r="AQ31" s="215">
        <v>1.0587459024999999</v>
      </c>
      <c r="AR31" s="215">
        <v>0.99355423056000003</v>
      </c>
      <c r="AS31" s="215">
        <v>0.97541677967999996</v>
      </c>
      <c r="AT31" s="215">
        <v>0.93108061141999998</v>
      </c>
      <c r="AU31" s="215">
        <v>0.88242491932</v>
      </c>
      <c r="AV31" s="215">
        <v>0.92192804531999994</v>
      </c>
      <c r="AW31" s="215">
        <v>0.91012744908999998</v>
      </c>
      <c r="AX31" s="215">
        <v>0.94948100348999998</v>
      </c>
      <c r="AY31" s="215">
        <v>0.97015610994000001</v>
      </c>
      <c r="AZ31" s="215">
        <v>0.97097396020000004</v>
      </c>
      <c r="BA31" s="215">
        <v>0.96085656009999998</v>
      </c>
      <c r="BB31" s="215">
        <v>0.90722291419000001</v>
      </c>
      <c r="BC31" s="215">
        <v>1.0370478124</v>
      </c>
      <c r="BD31" s="215">
        <v>1.0550539999999999</v>
      </c>
      <c r="BE31" s="215">
        <v>1.018402</v>
      </c>
      <c r="BF31" s="215">
        <v>0.97064539999999999</v>
      </c>
      <c r="BG31" s="323">
        <v>0.91366539999999996</v>
      </c>
      <c r="BH31" s="323">
        <v>0.97951060000000001</v>
      </c>
      <c r="BI31" s="323">
        <v>0.93562829999999997</v>
      </c>
      <c r="BJ31" s="323">
        <v>1.03843</v>
      </c>
      <c r="BK31" s="323">
        <v>1.0621940000000001</v>
      </c>
      <c r="BL31" s="323">
        <v>1.0123850000000001</v>
      </c>
      <c r="BM31" s="323">
        <v>1.1118870000000001</v>
      </c>
      <c r="BN31" s="323">
        <v>1.0855630000000001</v>
      </c>
      <c r="BO31" s="323">
        <v>1.1476660000000001</v>
      </c>
      <c r="BP31" s="323">
        <v>1.1494599999999999</v>
      </c>
      <c r="BQ31" s="323">
        <v>1.0978349999999999</v>
      </c>
      <c r="BR31" s="323">
        <v>1.062724</v>
      </c>
      <c r="BS31" s="323">
        <v>0.99235439999999997</v>
      </c>
      <c r="BT31" s="323">
        <v>1.064873</v>
      </c>
      <c r="BU31" s="323">
        <v>1.0056879999999999</v>
      </c>
      <c r="BV31" s="323">
        <v>1.0923419999999999</v>
      </c>
    </row>
    <row r="32" spans="1:74" ht="11.1" customHeight="1" x14ac:dyDescent="0.2">
      <c r="A32" s="16"/>
      <c r="B32" s="25"/>
      <c r="C32" s="215"/>
      <c r="D32" s="215"/>
      <c r="E32" s="215"/>
      <c r="F32" s="215"/>
      <c r="G32" s="215"/>
      <c r="H32" s="215"/>
      <c r="I32" s="215"/>
      <c r="J32" s="215"/>
      <c r="K32" s="215"/>
      <c r="L32" s="215"/>
      <c r="M32" s="215"/>
      <c r="N32" s="215"/>
      <c r="O32" s="215"/>
      <c r="P32" s="215"/>
      <c r="Q32" s="215"/>
      <c r="R32" s="215"/>
      <c r="S32" s="215"/>
      <c r="T32" s="215"/>
      <c r="U32" s="215"/>
      <c r="V32" s="215"/>
      <c r="W32" s="215"/>
      <c r="X32" s="215"/>
      <c r="Y32" s="215"/>
      <c r="Z32" s="215"/>
      <c r="AA32" s="215"/>
      <c r="AB32" s="215"/>
      <c r="AC32" s="215"/>
      <c r="AD32" s="215"/>
      <c r="AE32" s="215"/>
      <c r="AF32" s="215"/>
      <c r="AG32" s="215"/>
      <c r="AH32" s="215"/>
      <c r="AI32" s="215"/>
      <c r="AJ32" s="215"/>
      <c r="AK32" s="215"/>
      <c r="AL32" s="215"/>
      <c r="AM32" s="215"/>
      <c r="AN32" s="215"/>
      <c r="AO32" s="215"/>
      <c r="AP32" s="215"/>
      <c r="AQ32" s="215"/>
      <c r="AR32" s="215"/>
      <c r="AS32" s="215"/>
      <c r="AT32" s="215"/>
      <c r="AU32" s="215"/>
      <c r="AV32" s="215"/>
      <c r="AW32" s="215"/>
      <c r="AX32" s="215"/>
      <c r="AY32" s="215"/>
      <c r="AZ32" s="215"/>
      <c r="BA32" s="215"/>
      <c r="BB32" s="215"/>
      <c r="BC32" s="215"/>
      <c r="BD32" s="215"/>
      <c r="BE32" s="215"/>
      <c r="BF32" s="215"/>
      <c r="BG32" s="323"/>
      <c r="BH32" s="323"/>
      <c r="BI32" s="323"/>
      <c r="BJ32" s="323"/>
      <c r="BK32" s="323"/>
      <c r="BL32" s="323"/>
      <c r="BM32" s="323"/>
      <c r="BN32" s="323"/>
      <c r="BO32" s="323"/>
      <c r="BP32" s="323"/>
      <c r="BQ32" s="323"/>
      <c r="BR32" s="323"/>
      <c r="BS32" s="323"/>
      <c r="BT32" s="323"/>
      <c r="BU32" s="323"/>
      <c r="BV32" s="323"/>
    </row>
    <row r="33" spans="1:74" ht="11.1" customHeight="1" x14ac:dyDescent="0.2">
      <c r="A33" s="16"/>
      <c r="B33" s="29" t="s">
        <v>233</v>
      </c>
      <c r="C33" s="217"/>
      <c r="D33" s="217"/>
      <c r="E33" s="217"/>
      <c r="F33" s="217"/>
      <c r="G33" s="217"/>
      <c r="H33" s="217"/>
      <c r="I33" s="217"/>
      <c r="J33" s="217"/>
      <c r="K33" s="217"/>
      <c r="L33" s="217"/>
      <c r="M33" s="217"/>
      <c r="N33" s="217"/>
      <c r="O33" s="217"/>
      <c r="P33" s="217"/>
      <c r="Q33" s="217"/>
      <c r="R33" s="217"/>
      <c r="S33" s="217"/>
      <c r="T33" s="217"/>
      <c r="U33" s="217"/>
      <c r="V33" s="217"/>
      <c r="W33" s="217"/>
      <c r="X33" s="217"/>
      <c r="Y33" s="217"/>
      <c r="Z33" s="217"/>
      <c r="AA33" s="217"/>
      <c r="AB33" s="217"/>
      <c r="AC33" s="217"/>
      <c r="AD33" s="217"/>
      <c r="AE33" s="217"/>
      <c r="AF33" s="217"/>
      <c r="AG33" s="217"/>
      <c r="AH33" s="217"/>
      <c r="AI33" s="217"/>
      <c r="AJ33" s="217"/>
      <c r="AK33" s="217"/>
      <c r="AL33" s="217"/>
      <c r="AM33" s="217"/>
      <c r="AN33" s="217"/>
      <c r="AO33" s="217"/>
      <c r="AP33" s="217"/>
      <c r="AQ33" s="217"/>
      <c r="AR33" s="217"/>
      <c r="AS33" s="217"/>
      <c r="AT33" s="217"/>
      <c r="AU33" s="217"/>
      <c r="AV33" s="217"/>
      <c r="AW33" s="217"/>
      <c r="AX33" s="217"/>
      <c r="AY33" s="217"/>
      <c r="AZ33" s="217"/>
      <c r="BA33" s="217"/>
      <c r="BB33" s="217"/>
      <c r="BC33" s="217"/>
      <c r="BD33" s="217"/>
      <c r="BE33" s="217"/>
      <c r="BF33" s="217"/>
      <c r="BG33" s="327"/>
      <c r="BH33" s="327"/>
      <c r="BI33" s="327"/>
      <c r="BJ33" s="327"/>
      <c r="BK33" s="327"/>
      <c r="BL33" s="327"/>
      <c r="BM33" s="327"/>
      <c r="BN33" s="327"/>
      <c r="BO33" s="327"/>
      <c r="BP33" s="327"/>
      <c r="BQ33" s="327"/>
      <c r="BR33" s="327"/>
      <c r="BS33" s="327"/>
      <c r="BT33" s="327"/>
      <c r="BU33" s="327"/>
      <c r="BV33" s="327"/>
    </row>
    <row r="34" spans="1:74" ht="11.1" customHeight="1" x14ac:dyDescent="0.2">
      <c r="A34" s="26" t="s">
        <v>623</v>
      </c>
      <c r="B34" s="30" t="s">
        <v>100</v>
      </c>
      <c r="C34" s="215">
        <v>9.0531268340000004</v>
      </c>
      <c r="D34" s="215">
        <v>8.2222881870000002</v>
      </c>
      <c r="E34" s="215">
        <v>7.975427067</v>
      </c>
      <c r="F34" s="215">
        <v>7.4424835629999997</v>
      </c>
      <c r="G34" s="215">
        <v>7.5720161709999996</v>
      </c>
      <c r="H34" s="215">
        <v>7.9257457059999998</v>
      </c>
      <c r="I34" s="215">
        <v>8.4589503730000004</v>
      </c>
      <c r="J34" s="215">
        <v>8.5277539299999994</v>
      </c>
      <c r="K34" s="215">
        <v>7.7366350649999998</v>
      </c>
      <c r="L34" s="215">
        <v>7.6408436999999996</v>
      </c>
      <c r="M34" s="215">
        <v>7.7031801360000003</v>
      </c>
      <c r="N34" s="215">
        <v>9.0702153550000002</v>
      </c>
      <c r="O34" s="215">
        <v>8.9744267949999994</v>
      </c>
      <c r="P34" s="215">
        <v>7.6220621929999997</v>
      </c>
      <c r="Q34" s="215">
        <v>8.4260466689999998</v>
      </c>
      <c r="R34" s="215">
        <v>7.4450614570000004</v>
      </c>
      <c r="S34" s="215">
        <v>7.7903388099999997</v>
      </c>
      <c r="T34" s="215">
        <v>7.9541805700000001</v>
      </c>
      <c r="U34" s="215">
        <v>8.4159790720000007</v>
      </c>
      <c r="V34" s="215">
        <v>8.2839157369999992</v>
      </c>
      <c r="W34" s="215">
        <v>7.6139454310000003</v>
      </c>
      <c r="X34" s="215">
        <v>7.8044033060000002</v>
      </c>
      <c r="Y34" s="215">
        <v>8.0912167349999997</v>
      </c>
      <c r="Z34" s="215">
        <v>9.1813522330000001</v>
      </c>
      <c r="AA34" s="215">
        <v>9.6511974459999994</v>
      </c>
      <c r="AB34" s="215">
        <v>8.0509589899999998</v>
      </c>
      <c r="AC34" s="215">
        <v>8.6999257589999992</v>
      </c>
      <c r="AD34" s="215">
        <v>7.8760880090000001</v>
      </c>
      <c r="AE34" s="215">
        <v>7.9718966160000004</v>
      </c>
      <c r="AF34" s="215">
        <v>8.1350957370000003</v>
      </c>
      <c r="AG34" s="215">
        <v>8.5988451430000001</v>
      </c>
      <c r="AH34" s="215">
        <v>8.6766645469999997</v>
      </c>
      <c r="AI34" s="215">
        <v>7.8495655639999997</v>
      </c>
      <c r="AJ34" s="215">
        <v>8.0653704239999993</v>
      </c>
      <c r="AK34" s="215">
        <v>8.498573618</v>
      </c>
      <c r="AL34" s="215">
        <v>9.0118497059999996</v>
      </c>
      <c r="AM34" s="215">
        <v>9.5077797109999995</v>
      </c>
      <c r="AN34" s="215">
        <v>8.3568338519999994</v>
      </c>
      <c r="AO34" s="215">
        <v>8.6769681920000004</v>
      </c>
      <c r="AP34" s="215">
        <v>7.6234311650000004</v>
      </c>
      <c r="AQ34" s="215">
        <v>7.9082553390000001</v>
      </c>
      <c r="AR34" s="215">
        <v>7.9027466889999998</v>
      </c>
      <c r="AS34" s="215">
        <v>8.5633150199999992</v>
      </c>
      <c r="AT34" s="215">
        <v>8.5504367959999996</v>
      </c>
      <c r="AU34" s="215">
        <v>7.8584573600000001</v>
      </c>
      <c r="AV34" s="215">
        <v>7.9589365790000004</v>
      </c>
      <c r="AW34" s="215">
        <v>8.3579336140000002</v>
      </c>
      <c r="AX34" s="215">
        <v>8.9007681810000001</v>
      </c>
      <c r="AY34" s="215">
        <v>8.9514070239999999</v>
      </c>
      <c r="AZ34" s="215">
        <v>8.305800283</v>
      </c>
      <c r="BA34" s="215">
        <v>7.8383470290000004</v>
      </c>
      <c r="BB34" s="215">
        <v>6.5314080460000001</v>
      </c>
      <c r="BC34" s="215">
        <v>6.8698473519999999</v>
      </c>
      <c r="BD34" s="215">
        <v>7.2024739999999996</v>
      </c>
      <c r="BE34" s="215">
        <v>8.0176859999999994</v>
      </c>
      <c r="BF34" s="215">
        <v>7.8868309999999999</v>
      </c>
      <c r="BG34" s="323">
        <v>7.3386500000000003</v>
      </c>
      <c r="BH34" s="323">
        <v>7.4968029999999999</v>
      </c>
      <c r="BI34" s="323">
        <v>7.7057929999999999</v>
      </c>
      <c r="BJ34" s="323">
        <v>8.6256979999999999</v>
      </c>
      <c r="BK34" s="323">
        <v>8.8757990000000007</v>
      </c>
      <c r="BL34" s="323">
        <v>7.7985499999999996</v>
      </c>
      <c r="BM34" s="323">
        <v>8.1405250000000002</v>
      </c>
      <c r="BN34" s="323">
        <v>7.299328</v>
      </c>
      <c r="BO34" s="323">
        <v>7.5498599999999998</v>
      </c>
      <c r="BP34" s="323">
        <v>7.7358180000000001</v>
      </c>
      <c r="BQ34" s="323">
        <v>8.2811800000000009</v>
      </c>
      <c r="BR34" s="323">
        <v>8.2480849999999997</v>
      </c>
      <c r="BS34" s="323">
        <v>7.5029389999999996</v>
      </c>
      <c r="BT34" s="323">
        <v>7.7380240000000002</v>
      </c>
      <c r="BU34" s="323">
        <v>7.8933600000000004</v>
      </c>
      <c r="BV34" s="323">
        <v>8.7041029999999999</v>
      </c>
    </row>
    <row r="35" spans="1:74" ht="11.1" customHeight="1" x14ac:dyDescent="0.2">
      <c r="A35" s="16"/>
      <c r="B35" s="25"/>
      <c r="C35" s="218"/>
      <c r="D35" s="218"/>
      <c r="E35" s="218"/>
      <c r="F35" s="218"/>
      <c r="G35" s="218"/>
      <c r="H35" s="218"/>
      <c r="I35" s="218"/>
      <c r="J35" s="218"/>
      <c r="K35" s="218"/>
      <c r="L35" s="218"/>
      <c r="M35" s="218"/>
      <c r="N35" s="218"/>
      <c r="O35" s="218"/>
      <c r="P35" s="218"/>
      <c r="Q35" s="218"/>
      <c r="R35" s="218"/>
      <c r="S35" s="218"/>
      <c r="T35" s="218"/>
      <c r="U35" s="218"/>
      <c r="V35" s="218"/>
      <c r="W35" s="218"/>
      <c r="X35" s="218"/>
      <c r="Y35" s="218"/>
      <c r="Z35" s="218"/>
      <c r="AA35" s="218"/>
      <c r="AB35" s="218"/>
      <c r="AC35" s="218"/>
      <c r="AD35" s="218"/>
      <c r="AE35" s="218"/>
      <c r="AF35" s="218"/>
      <c r="AG35" s="218"/>
      <c r="AH35" s="218"/>
      <c r="AI35" s="218"/>
      <c r="AJ35" s="218"/>
      <c r="AK35" s="218"/>
      <c r="AL35" s="218"/>
      <c r="AM35" s="218"/>
      <c r="AN35" s="218"/>
      <c r="AO35" s="218"/>
      <c r="AP35" s="218"/>
      <c r="AQ35" s="218"/>
      <c r="AR35" s="218"/>
      <c r="AS35" s="218"/>
      <c r="AT35" s="218"/>
      <c r="AU35" s="218"/>
      <c r="AV35" s="218"/>
      <c r="AW35" s="218"/>
      <c r="AX35" s="218"/>
      <c r="AY35" s="218"/>
      <c r="AZ35" s="218"/>
      <c r="BA35" s="218"/>
      <c r="BB35" s="218"/>
      <c r="BC35" s="218"/>
      <c r="BD35" s="218"/>
      <c r="BE35" s="218"/>
      <c r="BF35" s="218"/>
      <c r="BG35" s="328"/>
      <c r="BH35" s="328"/>
      <c r="BI35" s="328"/>
      <c r="BJ35" s="328"/>
      <c r="BK35" s="328"/>
      <c r="BL35" s="328"/>
      <c r="BM35" s="328"/>
      <c r="BN35" s="328"/>
      <c r="BO35" s="328"/>
      <c r="BP35" s="328"/>
      <c r="BQ35" s="328"/>
      <c r="BR35" s="328"/>
      <c r="BS35" s="328"/>
      <c r="BT35" s="328"/>
      <c r="BU35" s="328"/>
      <c r="BV35" s="328"/>
    </row>
    <row r="36" spans="1:74" ht="11.1" customHeight="1" x14ac:dyDescent="0.2">
      <c r="A36" s="16"/>
      <c r="B36" s="31" t="s">
        <v>129</v>
      </c>
      <c r="C36" s="218"/>
      <c r="D36" s="218"/>
      <c r="E36" s="218"/>
      <c r="F36" s="218"/>
      <c r="G36" s="218"/>
      <c r="H36" s="218"/>
      <c r="I36" s="218"/>
      <c r="J36" s="218"/>
      <c r="K36" s="218"/>
      <c r="L36" s="218"/>
      <c r="M36" s="218"/>
      <c r="N36" s="218"/>
      <c r="O36" s="218"/>
      <c r="P36" s="218"/>
      <c r="Q36" s="218"/>
      <c r="R36" s="218"/>
      <c r="S36" s="218"/>
      <c r="T36" s="218"/>
      <c r="U36" s="218"/>
      <c r="V36" s="218"/>
      <c r="W36" s="218"/>
      <c r="X36" s="218"/>
      <c r="Y36" s="218"/>
      <c r="Z36" s="218"/>
      <c r="AA36" s="218"/>
      <c r="AB36" s="218"/>
      <c r="AC36" s="218"/>
      <c r="AD36" s="218"/>
      <c r="AE36" s="218"/>
      <c r="AF36" s="218"/>
      <c r="AG36" s="218"/>
      <c r="AH36" s="218"/>
      <c r="AI36" s="218"/>
      <c r="AJ36" s="218"/>
      <c r="AK36" s="218"/>
      <c r="AL36" s="218"/>
      <c r="AM36" s="218"/>
      <c r="AN36" s="218"/>
      <c r="AO36" s="218"/>
      <c r="AP36" s="218"/>
      <c r="AQ36" s="218"/>
      <c r="AR36" s="218"/>
      <c r="AS36" s="218"/>
      <c r="AT36" s="218"/>
      <c r="AU36" s="218"/>
      <c r="AV36" s="218"/>
      <c r="AW36" s="218"/>
      <c r="AX36" s="218"/>
      <c r="AY36" s="218"/>
      <c r="AZ36" s="218"/>
      <c r="BA36" s="218"/>
      <c r="BB36" s="218"/>
      <c r="BC36" s="218"/>
      <c r="BD36" s="218"/>
      <c r="BE36" s="218"/>
      <c r="BF36" s="218"/>
      <c r="BG36" s="328"/>
      <c r="BH36" s="328"/>
      <c r="BI36" s="328"/>
      <c r="BJ36" s="328"/>
      <c r="BK36" s="328"/>
      <c r="BL36" s="328"/>
      <c r="BM36" s="328"/>
      <c r="BN36" s="328"/>
      <c r="BO36" s="328"/>
      <c r="BP36" s="328"/>
      <c r="BQ36" s="328"/>
      <c r="BR36" s="328"/>
      <c r="BS36" s="328"/>
      <c r="BT36" s="328"/>
      <c r="BU36" s="328"/>
      <c r="BV36" s="328"/>
    </row>
    <row r="37" spans="1:74" ht="11.1" customHeight="1" x14ac:dyDescent="0.2">
      <c r="A37" s="19"/>
      <c r="B37" s="22"/>
      <c r="C37" s="216"/>
      <c r="D37" s="216"/>
      <c r="E37" s="216"/>
      <c r="F37" s="216"/>
      <c r="G37" s="216"/>
      <c r="H37" s="216"/>
      <c r="I37" s="216"/>
      <c r="J37" s="216"/>
      <c r="K37" s="216"/>
      <c r="L37" s="216"/>
      <c r="M37" s="216"/>
      <c r="N37" s="216"/>
      <c r="O37" s="216"/>
      <c r="P37" s="216"/>
      <c r="Q37" s="216"/>
      <c r="R37" s="216"/>
      <c r="S37" s="216"/>
      <c r="T37" s="216"/>
      <c r="U37" s="216"/>
      <c r="V37" s="216"/>
      <c r="W37" s="216"/>
      <c r="X37" s="216"/>
      <c r="Y37" s="216"/>
      <c r="Z37" s="216"/>
      <c r="AA37" s="216"/>
      <c r="AB37" s="216"/>
      <c r="AC37" s="216"/>
      <c r="AD37" s="216"/>
      <c r="AE37" s="216"/>
      <c r="AF37" s="216"/>
      <c r="AG37" s="216"/>
      <c r="AH37" s="216"/>
      <c r="AI37" s="216"/>
      <c r="AJ37" s="216"/>
      <c r="AK37" s="216"/>
      <c r="AL37" s="216"/>
      <c r="AM37" s="216"/>
      <c r="AN37" s="216"/>
      <c r="AO37" s="216"/>
      <c r="AP37" s="216"/>
      <c r="AQ37" s="216"/>
      <c r="AR37" s="216"/>
      <c r="AS37" s="216"/>
      <c r="AT37" s="216"/>
      <c r="AU37" s="216"/>
      <c r="AV37" s="216"/>
      <c r="AW37" s="216"/>
      <c r="AX37" s="216"/>
      <c r="AY37" s="216"/>
      <c r="AZ37" s="216"/>
      <c r="BA37" s="216"/>
      <c r="BB37" s="216"/>
      <c r="BC37" s="216"/>
      <c r="BD37" s="216"/>
      <c r="BE37" s="216"/>
      <c r="BF37" s="216"/>
      <c r="BG37" s="324"/>
      <c r="BH37" s="324"/>
      <c r="BI37" s="324"/>
      <c r="BJ37" s="324"/>
      <c r="BK37" s="324"/>
      <c r="BL37" s="324"/>
      <c r="BM37" s="324"/>
      <c r="BN37" s="324"/>
      <c r="BO37" s="324"/>
      <c r="BP37" s="324"/>
      <c r="BQ37" s="324"/>
      <c r="BR37" s="324"/>
      <c r="BS37" s="324"/>
      <c r="BT37" s="324"/>
      <c r="BU37" s="324"/>
      <c r="BV37" s="324"/>
    </row>
    <row r="38" spans="1:74" ht="11.1" customHeight="1" x14ac:dyDescent="0.2">
      <c r="A38" s="706"/>
      <c r="B38" s="22" t="s">
        <v>1023</v>
      </c>
      <c r="C38" s="216"/>
      <c r="D38" s="216"/>
      <c r="E38" s="216"/>
      <c r="F38" s="216"/>
      <c r="G38" s="216"/>
      <c r="H38" s="216"/>
      <c r="I38" s="216"/>
      <c r="J38" s="216"/>
      <c r="K38" s="216"/>
      <c r="L38" s="216"/>
      <c r="M38" s="216"/>
      <c r="N38" s="216"/>
      <c r="O38" s="216"/>
      <c r="P38" s="216"/>
      <c r="Q38" s="216"/>
      <c r="R38" s="216"/>
      <c r="S38" s="216"/>
      <c r="T38" s="216"/>
      <c r="U38" s="216"/>
      <c r="V38" s="216"/>
      <c r="W38" s="216"/>
      <c r="X38" s="216"/>
      <c r="Y38" s="216"/>
      <c r="Z38" s="216"/>
      <c r="AA38" s="216"/>
      <c r="AB38" s="216"/>
      <c r="AC38" s="216"/>
      <c r="AD38" s="216"/>
      <c r="AE38" s="216"/>
      <c r="AF38" s="216"/>
      <c r="AG38" s="216"/>
      <c r="AH38" s="216"/>
      <c r="AI38" s="216"/>
      <c r="AJ38" s="216"/>
      <c r="AK38" s="216"/>
      <c r="AL38" s="216"/>
      <c r="AM38" s="216"/>
      <c r="AN38" s="216"/>
      <c r="AO38" s="216"/>
      <c r="AP38" s="216"/>
      <c r="AQ38" s="216"/>
      <c r="AR38" s="216"/>
      <c r="AS38" s="216"/>
      <c r="AT38" s="216"/>
      <c r="AU38" s="216"/>
      <c r="AV38" s="216"/>
      <c r="AW38" s="216"/>
      <c r="AX38" s="216"/>
      <c r="AY38" s="216"/>
      <c r="AZ38" s="216"/>
      <c r="BA38" s="216"/>
      <c r="BB38" s="216"/>
      <c r="BC38" s="216"/>
      <c r="BD38" s="216"/>
      <c r="BE38" s="216"/>
      <c r="BF38" s="216"/>
      <c r="BG38" s="324"/>
      <c r="BH38" s="324"/>
      <c r="BI38" s="324"/>
      <c r="BJ38" s="324"/>
      <c r="BK38" s="324"/>
      <c r="BL38" s="324"/>
      <c r="BM38" s="324"/>
      <c r="BN38" s="324"/>
      <c r="BO38" s="324"/>
      <c r="BP38" s="324"/>
      <c r="BQ38" s="324"/>
      <c r="BR38" s="324"/>
      <c r="BS38" s="324"/>
      <c r="BT38" s="324"/>
      <c r="BU38" s="324"/>
      <c r="BV38" s="324"/>
    </row>
    <row r="39" spans="1:74" ht="11.1" customHeight="1" x14ac:dyDescent="0.2">
      <c r="A39" s="706" t="s">
        <v>532</v>
      </c>
      <c r="B39" s="32" t="s">
        <v>104</v>
      </c>
      <c r="C39" s="215">
        <v>31.683</v>
      </c>
      <c r="D39" s="215">
        <v>30.323</v>
      </c>
      <c r="E39" s="215">
        <v>37.545000000000002</v>
      </c>
      <c r="F39" s="215">
        <v>40.753999999999998</v>
      </c>
      <c r="G39" s="215">
        <v>46.712000000000003</v>
      </c>
      <c r="H39" s="215">
        <v>48.756999999999998</v>
      </c>
      <c r="I39" s="215">
        <v>44.651000000000003</v>
      </c>
      <c r="J39" s="215">
        <v>44.723999999999997</v>
      </c>
      <c r="K39" s="215">
        <v>45.182000000000002</v>
      </c>
      <c r="L39" s="215">
        <v>49.774999999999999</v>
      </c>
      <c r="M39" s="215">
        <v>45.661000000000001</v>
      </c>
      <c r="N39" s="215">
        <v>51.972000000000001</v>
      </c>
      <c r="O39" s="215">
        <v>52.503999999999998</v>
      </c>
      <c r="P39" s="215">
        <v>53.468000000000004</v>
      </c>
      <c r="Q39" s="215">
        <v>49.328000000000003</v>
      </c>
      <c r="R39" s="215">
        <v>51.06</v>
      </c>
      <c r="S39" s="215">
        <v>48.475999999999999</v>
      </c>
      <c r="T39" s="215">
        <v>45.177999999999997</v>
      </c>
      <c r="U39" s="215">
        <v>46.63</v>
      </c>
      <c r="V39" s="215">
        <v>48.036999999999999</v>
      </c>
      <c r="W39" s="215">
        <v>49.822000000000003</v>
      </c>
      <c r="X39" s="215">
        <v>51.578000000000003</v>
      </c>
      <c r="Y39" s="215">
        <v>56.639000000000003</v>
      </c>
      <c r="Z39" s="215">
        <v>57.881</v>
      </c>
      <c r="AA39" s="215">
        <v>63.698</v>
      </c>
      <c r="AB39" s="215">
        <v>62.228999999999999</v>
      </c>
      <c r="AC39" s="215">
        <v>62.725000000000001</v>
      </c>
      <c r="AD39" s="215">
        <v>66.254000000000005</v>
      </c>
      <c r="AE39" s="215">
        <v>69.977999999999994</v>
      </c>
      <c r="AF39" s="215">
        <v>67.873000000000005</v>
      </c>
      <c r="AG39" s="215">
        <v>70.980999999999995</v>
      </c>
      <c r="AH39" s="215">
        <v>68.055000000000007</v>
      </c>
      <c r="AI39" s="215">
        <v>70.230999999999995</v>
      </c>
      <c r="AJ39" s="215">
        <v>70.748999999999995</v>
      </c>
      <c r="AK39" s="215">
        <v>56.963000000000001</v>
      </c>
      <c r="AL39" s="215">
        <v>49.523000000000003</v>
      </c>
      <c r="AM39" s="215">
        <v>51.375999999999998</v>
      </c>
      <c r="AN39" s="215">
        <v>54.954000000000001</v>
      </c>
      <c r="AO39" s="215">
        <v>58.151000000000003</v>
      </c>
      <c r="AP39" s="215">
        <v>63.862000000000002</v>
      </c>
      <c r="AQ39" s="215">
        <v>60.826999999999998</v>
      </c>
      <c r="AR39" s="215">
        <v>54.656999999999996</v>
      </c>
      <c r="AS39" s="215">
        <v>57.353999999999999</v>
      </c>
      <c r="AT39" s="215">
        <v>54.805</v>
      </c>
      <c r="AU39" s="215">
        <v>56.947000000000003</v>
      </c>
      <c r="AV39" s="215">
        <v>53.963000000000001</v>
      </c>
      <c r="AW39" s="215">
        <v>57.027000000000001</v>
      </c>
      <c r="AX39" s="215">
        <v>59.877000000000002</v>
      </c>
      <c r="AY39" s="215">
        <v>57.52</v>
      </c>
      <c r="AZ39" s="215">
        <v>50.54</v>
      </c>
      <c r="BA39" s="215">
        <v>29.21</v>
      </c>
      <c r="BB39" s="215">
        <v>16.55</v>
      </c>
      <c r="BC39" s="215">
        <v>28.56</v>
      </c>
      <c r="BD39" s="215">
        <v>38.31</v>
      </c>
      <c r="BE39" s="215">
        <v>40.71</v>
      </c>
      <c r="BF39" s="215">
        <v>42.34</v>
      </c>
      <c r="BG39" s="323">
        <v>41.5</v>
      </c>
      <c r="BH39" s="323">
        <v>41.5</v>
      </c>
      <c r="BI39" s="323">
        <v>41</v>
      </c>
      <c r="BJ39" s="323">
        <v>41</v>
      </c>
      <c r="BK39" s="323">
        <v>41</v>
      </c>
      <c r="BL39" s="323">
        <v>42</v>
      </c>
      <c r="BM39" s="323">
        <v>43</v>
      </c>
      <c r="BN39" s="323">
        <v>44</v>
      </c>
      <c r="BO39" s="323">
        <v>45</v>
      </c>
      <c r="BP39" s="323">
        <v>46</v>
      </c>
      <c r="BQ39" s="323">
        <v>46</v>
      </c>
      <c r="BR39" s="323">
        <v>46</v>
      </c>
      <c r="BS39" s="323">
        <v>46</v>
      </c>
      <c r="BT39" s="323">
        <v>47</v>
      </c>
      <c r="BU39" s="323">
        <v>47</v>
      </c>
      <c r="BV39" s="323">
        <v>47</v>
      </c>
    </row>
    <row r="40" spans="1:74" ht="11.1" customHeight="1" x14ac:dyDescent="0.2">
      <c r="A40" s="19"/>
      <c r="B40" s="22"/>
      <c r="C40" s="216"/>
      <c r="D40" s="216"/>
      <c r="E40" s="216"/>
      <c r="F40" s="216"/>
      <c r="G40" s="216"/>
      <c r="H40" s="216"/>
      <c r="I40" s="216"/>
      <c r="J40" s="216"/>
      <c r="K40" s="216"/>
      <c r="L40" s="216"/>
      <c r="M40" s="216"/>
      <c r="N40" s="216"/>
      <c r="O40" s="216"/>
      <c r="P40" s="216"/>
      <c r="Q40" s="216"/>
      <c r="R40" s="216"/>
      <c r="S40" s="216"/>
      <c r="T40" s="216"/>
      <c r="U40" s="216"/>
      <c r="V40" s="216"/>
      <c r="W40" s="216"/>
      <c r="X40" s="216"/>
      <c r="Y40" s="216"/>
      <c r="Z40" s="216"/>
      <c r="AA40" s="216"/>
      <c r="AB40" s="216"/>
      <c r="AC40" s="216"/>
      <c r="AD40" s="216"/>
      <c r="AE40" s="216"/>
      <c r="AF40" s="216"/>
      <c r="AG40" s="216"/>
      <c r="AH40" s="216"/>
      <c r="AI40" s="216"/>
      <c r="AJ40" s="216"/>
      <c r="AK40" s="216"/>
      <c r="AL40" s="216"/>
      <c r="AM40" s="216"/>
      <c r="AN40" s="216"/>
      <c r="AO40" s="216"/>
      <c r="AP40" s="216"/>
      <c r="AQ40" s="216"/>
      <c r="AR40" s="216"/>
      <c r="AS40" s="216"/>
      <c r="AT40" s="216"/>
      <c r="AU40" s="216"/>
      <c r="AV40" s="216"/>
      <c r="AW40" s="216"/>
      <c r="AX40" s="216"/>
      <c r="AY40" s="216"/>
      <c r="AZ40" s="216"/>
      <c r="BA40" s="216"/>
      <c r="BB40" s="216"/>
      <c r="BC40" s="216"/>
      <c r="BD40" s="216"/>
      <c r="BE40" s="216"/>
      <c r="BF40" s="216"/>
      <c r="BG40" s="324"/>
      <c r="BH40" s="324"/>
      <c r="BI40" s="324"/>
      <c r="BJ40" s="324"/>
      <c r="BK40" s="324"/>
      <c r="BL40" s="324"/>
      <c r="BM40" s="324"/>
      <c r="BN40" s="324"/>
      <c r="BO40" s="324"/>
      <c r="BP40" s="324"/>
      <c r="BQ40" s="324"/>
      <c r="BR40" s="324"/>
      <c r="BS40" s="324"/>
      <c r="BT40" s="324"/>
      <c r="BU40" s="324"/>
      <c r="BV40" s="324"/>
    </row>
    <row r="41" spans="1:74" ht="11.1" customHeight="1" x14ac:dyDescent="0.2">
      <c r="A41" s="601"/>
      <c r="B41" s="29" t="s">
        <v>830</v>
      </c>
      <c r="C41" s="218"/>
      <c r="D41" s="218"/>
      <c r="E41" s="218"/>
      <c r="F41" s="218"/>
      <c r="G41" s="218"/>
      <c r="H41" s="218"/>
      <c r="I41" s="218"/>
      <c r="J41" s="218"/>
      <c r="K41" s="218"/>
      <c r="L41" s="218"/>
      <c r="M41" s="218"/>
      <c r="N41" s="218"/>
      <c r="O41" s="218"/>
      <c r="P41" s="218"/>
      <c r="Q41" s="218"/>
      <c r="R41" s="218"/>
      <c r="S41" s="218"/>
      <c r="T41" s="218"/>
      <c r="U41" s="218"/>
      <c r="V41" s="218"/>
      <c r="W41" s="218"/>
      <c r="X41" s="218"/>
      <c r="Y41" s="218"/>
      <c r="Z41" s="218"/>
      <c r="AA41" s="218"/>
      <c r="AB41" s="218"/>
      <c r="AC41" s="218"/>
      <c r="AD41" s="218"/>
      <c r="AE41" s="218"/>
      <c r="AF41" s="218"/>
      <c r="AG41" s="218"/>
      <c r="AH41" s="218"/>
      <c r="AI41" s="218"/>
      <c r="AJ41" s="218"/>
      <c r="AK41" s="218"/>
      <c r="AL41" s="218"/>
      <c r="AM41" s="218"/>
      <c r="AN41" s="218"/>
      <c r="AO41" s="218"/>
      <c r="AP41" s="218"/>
      <c r="AQ41" s="218"/>
      <c r="AR41" s="218"/>
      <c r="AS41" s="218"/>
      <c r="AT41" s="218"/>
      <c r="AU41" s="218"/>
      <c r="AV41" s="218"/>
      <c r="AW41" s="218"/>
      <c r="AX41" s="218"/>
      <c r="AY41" s="218"/>
      <c r="AZ41" s="218"/>
      <c r="BA41" s="218"/>
      <c r="BB41" s="218"/>
      <c r="BC41" s="218"/>
      <c r="BD41" s="218"/>
      <c r="BE41" s="218"/>
      <c r="BF41" s="218"/>
      <c r="BG41" s="328"/>
      <c r="BH41" s="328"/>
      <c r="BI41" s="328"/>
      <c r="BJ41" s="328"/>
      <c r="BK41" s="328"/>
      <c r="BL41" s="328"/>
      <c r="BM41" s="328"/>
      <c r="BN41" s="328"/>
      <c r="BO41" s="328"/>
      <c r="BP41" s="328"/>
      <c r="BQ41" s="328"/>
      <c r="BR41" s="328"/>
      <c r="BS41" s="328"/>
      <c r="BT41" s="328"/>
      <c r="BU41" s="328"/>
      <c r="BV41" s="328"/>
    </row>
    <row r="42" spans="1:74" ht="11.1" customHeight="1" x14ac:dyDescent="0.2">
      <c r="A42" s="602" t="s">
        <v>135</v>
      </c>
      <c r="B42" s="30" t="s">
        <v>105</v>
      </c>
      <c r="C42" s="215">
        <v>2.2829999999999999</v>
      </c>
      <c r="D42" s="215">
        <v>1.9890000000000001</v>
      </c>
      <c r="E42" s="215">
        <v>1.7290000000000001</v>
      </c>
      <c r="F42" s="215">
        <v>1.917</v>
      </c>
      <c r="G42" s="215">
        <v>1.9219999999999999</v>
      </c>
      <c r="H42" s="215">
        <v>2.5870000000000002</v>
      </c>
      <c r="I42" s="215">
        <v>2.8220000000000001</v>
      </c>
      <c r="J42" s="215">
        <v>2.8220000000000001</v>
      </c>
      <c r="K42" s="215">
        <v>2.992</v>
      </c>
      <c r="L42" s="215">
        <v>2.9769999999999999</v>
      </c>
      <c r="M42" s="215">
        <v>2.548</v>
      </c>
      <c r="N42" s="215">
        <v>3.5910000000000002</v>
      </c>
      <c r="O42" s="215">
        <v>3.3039999999999998</v>
      </c>
      <c r="P42" s="215">
        <v>2.8519999999999999</v>
      </c>
      <c r="Q42" s="215">
        <v>2.88</v>
      </c>
      <c r="R42" s="215">
        <v>3.1030000000000002</v>
      </c>
      <c r="S42" s="215">
        <v>3.15</v>
      </c>
      <c r="T42" s="215">
        <v>2.9750000000000001</v>
      </c>
      <c r="U42" s="215">
        <v>2.984</v>
      </c>
      <c r="V42" s="215">
        <v>2.9</v>
      </c>
      <c r="W42" s="215">
        <v>2.976</v>
      </c>
      <c r="X42" s="215">
        <v>2.879</v>
      </c>
      <c r="Y42" s="215">
        <v>3.0139999999999998</v>
      </c>
      <c r="Z42" s="215">
        <v>2.8210000000000002</v>
      </c>
      <c r="AA42" s="215">
        <v>3.69</v>
      </c>
      <c r="AB42" s="215">
        <v>2.67</v>
      </c>
      <c r="AC42" s="215">
        <v>2.6930000000000001</v>
      </c>
      <c r="AD42" s="215">
        <v>2.7959999999999998</v>
      </c>
      <c r="AE42" s="215">
        <v>2.8</v>
      </c>
      <c r="AF42" s="215">
        <v>2.9670000000000001</v>
      </c>
      <c r="AG42" s="215">
        <v>2.8330000000000002</v>
      </c>
      <c r="AH42" s="215">
        <v>2.9609999999999999</v>
      </c>
      <c r="AI42" s="215">
        <v>2.9950000000000001</v>
      </c>
      <c r="AJ42" s="215">
        <v>3.2759999999999998</v>
      </c>
      <c r="AK42" s="215">
        <v>4.0910000000000002</v>
      </c>
      <c r="AL42" s="215">
        <v>4.0410000000000004</v>
      </c>
      <c r="AM42" s="215">
        <v>3.109</v>
      </c>
      <c r="AN42" s="215">
        <v>2.6909999999999998</v>
      </c>
      <c r="AO42" s="215">
        <v>2.948</v>
      </c>
      <c r="AP42" s="215">
        <v>2.6469999999999998</v>
      </c>
      <c r="AQ42" s="215">
        <v>2.6379999999999999</v>
      </c>
      <c r="AR42" s="215">
        <v>2.399</v>
      </c>
      <c r="AS42" s="215">
        <v>2.3660000000000001</v>
      </c>
      <c r="AT42" s="215">
        <v>2.2210000000000001</v>
      </c>
      <c r="AU42" s="215">
        <v>2.5590000000000002</v>
      </c>
      <c r="AV42" s="215">
        <v>2.331</v>
      </c>
      <c r="AW42" s="215">
        <v>2.653</v>
      </c>
      <c r="AX42" s="215">
        <v>2.2189999999999999</v>
      </c>
      <c r="AY42" s="215">
        <v>2.02</v>
      </c>
      <c r="AZ42" s="215">
        <v>1.91</v>
      </c>
      <c r="BA42" s="215">
        <v>1.79</v>
      </c>
      <c r="BB42" s="215">
        <v>1.74</v>
      </c>
      <c r="BC42" s="215">
        <v>1.748</v>
      </c>
      <c r="BD42" s="215">
        <v>1.631</v>
      </c>
      <c r="BE42" s="215">
        <v>1.7669999999999999</v>
      </c>
      <c r="BF42" s="215">
        <v>2.2999999999999998</v>
      </c>
      <c r="BG42" s="323">
        <v>2.3116430000000001</v>
      </c>
      <c r="BH42" s="323">
        <v>2.5218929999999999</v>
      </c>
      <c r="BI42" s="323">
        <v>2.921351</v>
      </c>
      <c r="BJ42" s="323">
        <v>3.2909920000000001</v>
      </c>
      <c r="BK42" s="323">
        <v>3.4007100000000001</v>
      </c>
      <c r="BL42" s="323">
        <v>3.3305319999999998</v>
      </c>
      <c r="BM42" s="323">
        <v>3.2504580000000001</v>
      </c>
      <c r="BN42" s="323">
        <v>3.0204149999999998</v>
      </c>
      <c r="BO42" s="323">
        <v>3.009198</v>
      </c>
      <c r="BP42" s="323">
        <v>3.097928</v>
      </c>
      <c r="BQ42" s="323">
        <v>3.0873710000000001</v>
      </c>
      <c r="BR42" s="323">
        <v>3.1397210000000002</v>
      </c>
      <c r="BS42" s="323">
        <v>3.1815560000000001</v>
      </c>
      <c r="BT42" s="323">
        <v>3.2029000000000001</v>
      </c>
      <c r="BU42" s="323">
        <v>3.233813</v>
      </c>
      <c r="BV42" s="323">
        <v>3.2843550000000001</v>
      </c>
    </row>
    <row r="43" spans="1:74" ht="11.1" customHeight="1" x14ac:dyDescent="0.2">
      <c r="A43" s="16"/>
      <c r="B43" s="25"/>
      <c r="C43" s="217"/>
      <c r="D43" s="217"/>
      <c r="E43" s="217"/>
      <c r="F43" s="217"/>
      <c r="G43" s="217"/>
      <c r="H43" s="217"/>
      <c r="I43" s="217"/>
      <c r="J43" s="217"/>
      <c r="K43" s="217"/>
      <c r="L43" s="217"/>
      <c r="M43" s="217"/>
      <c r="N43" s="217"/>
      <c r="O43" s="217"/>
      <c r="P43" s="217"/>
      <c r="Q43" s="217"/>
      <c r="R43" s="217"/>
      <c r="S43" s="217"/>
      <c r="T43" s="217"/>
      <c r="U43" s="217"/>
      <c r="V43" s="217"/>
      <c r="W43" s="217"/>
      <c r="X43" s="217"/>
      <c r="Y43" s="217"/>
      <c r="Z43" s="217"/>
      <c r="AA43" s="217"/>
      <c r="AB43" s="217"/>
      <c r="AC43" s="217"/>
      <c r="AD43" s="217"/>
      <c r="AE43" s="217"/>
      <c r="AF43" s="217"/>
      <c r="AG43" s="217"/>
      <c r="AH43" s="217"/>
      <c r="AI43" s="217"/>
      <c r="AJ43" s="217"/>
      <c r="AK43" s="217"/>
      <c r="AL43" s="217"/>
      <c r="AM43" s="217"/>
      <c r="AN43" s="217"/>
      <c r="AO43" s="217"/>
      <c r="AP43" s="217"/>
      <c r="AQ43" s="217"/>
      <c r="AR43" s="217"/>
      <c r="AS43" s="217"/>
      <c r="AT43" s="217"/>
      <c r="AU43" s="217"/>
      <c r="AV43" s="217"/>
      <c r="AW43" s="217"/>
      <c r="AX43" s="217"/>
      <c r="AY43" s="217"/>
      <c r="AZ43" s="217"/>
      <c r="BA43" s="217"/>
      <c r="BB43" s="217"/>
      <c r="BC43" s="217"/>
      <c r="BD43" s="217"/>
      <c r="BE43" s="217"/>
      <c r="BF43" s="217"/>
      <c r="BG43" s="327"/>
      <c r="BH43" s="327"/>
      <c r="BI43" s="327"/>
      <c r="BJ43" s="327"/>
      <c r="BK43" s="327"/>
      <c r="BL43" s="327"/>
      <c r="BM43" s="327"/>
      <c r="BN43" s="327"/>
      <c r="BO43" s="327"/>
      <c r="BP43" s="327"/>
      <c r="BQ43" s="327"/>
      <c r="BR43" s="327"/>
      <c r="BS43" s="327"/>
      <c r="BT43" s="327"/>
      <c r="BU43" s="327"/>
      <c r="BV43" s="327"/>
    </row>
    <row r="44" spans="1:74" ht="11.1" customHeight="1" x14ac:dyDescent="0.2">
      <c r="A44" s="33"/>
      <c r="B44" s="29" t="s">
        <v>804</v>
      </c>
      <c r="C44" s="217"/>
      <c r="D44" s="217"/>
      <c r="E44" s="217"/>
      <c r="F44" s="217"/>
      <c r="G44" s="217"/>
      <c r="H44" s="217"/>
      <c r="I44" s="217"/>
      <c r="J44" s="217"/>
      <c r="K44" s="217"/>
      <c r="L44" s="217"/>
      <c r="M44" s="217"/>
      <c r="N44" s="217"/>
      <c r="O44" s="217"/>
      <c r="P44" s="217"/>
      <c r="Q44" s="217"/>
      <c r="R44" s="217"/>
      <c r="S44" s="217"/>
      <c r="T44" s="217"/>
      <c r="U44" s="217"/>
      <c r="V44" s="217"/>
      <c r="W44" s="217"/>
      <c r="X44" s="217"/>
      <c r="Y44" s="217"/>
      <c r="Z44" s="217"/>
      <c r="AA44" s="217"/>
      <c r="AB44" s="217"/>
      <c r="AC44" s="217"/>
      <c r="AD44" s="217"/>
      <c r="AE44" s="217"/>
      <c r="AF44" s="217"/>
      <c r="AG44" s="217"/>
      <c r="AH44" s="217"/>
      <c r="AI44" s="217"/>
      <c r="AJ44" s="217"/>
      <c r="AK44" s="217"/>
      <c r="AL44" s="217"/>
      <c r="AM44" s="217"/>
      <c r="AN44" s="217"/>
      <c r="AO44" s="217"/>
      <c r="AP44" s="217"/>
      <c r="AQ44" s="217"/>
      <c r="AR44" s="217"/>
      <c r="AS44" s="217"/>
      <c r="AT44" s="217"/>
      <c r="AU44" s="217"/>
      <c r="AV44" s="217"/>
      <c r="AW44" s="217"/>
      <c r="AX44" s="217"/>
      <c r="AY44" s="217"/>
      <c r="AZ44" s="217"/>
      <c r="BA44" s="217"/>
      <c r="BB44" s="217"/>
      <c r="BC44" s="217"/>
      <c r="BD44" s="217"/>
      <c r="BE44" s="217"/>
      <c r="BF44" s="217"/>
      <c r="BG44" s="327"/>
      <c r="BH44" s="327"/>
      <c r="BI44" s="327"/>
      <c r="BJ44" s="327"/>
      <c r="BK44" s="327"/>
      <c r="BL44" s="327"/>
      <c r="BM44" s="327"/>
      <c r="BN44" s="327"/>
      <c r="BO44" s="327"/>
      <c r="BP44" s="327"/>
      <c r="BQ44" s="327"/>
      <c r="BR44" s="327"/>
      <c r="BS44" s="327"/>
      <c r="BT44" s="327"/>
      <c r="BU44" s="327"/>
      <c r="BV44" s="327"/>
    </row>
    <row r="45" spans="1:74" ht="11.1" customHeight="1" x14ac:dyDescent="0.2">
      <c r="A45" s="26" t="s">
        <v>537</v>
      </c>
      <c r="B45" s="30" t="s">
        <v>105</v>
      </c>
      <c r="C45" s="215">
        <v>2.12</v>
      </c>
      <c r="D45" s="215">
        <v>2.11</v>
      </c>
      <c r="E45" s="215">
        <v>2.17</v>
      </c>
      <c r="F45" s="215">
        <v>2.16</v>
      </c>
      <c r="G45" s="215">
        <v>2.16</v>
      </c>
      <c r="H45" s="215">
        <v>2.1</v>
      </c>
      <c r="I45" s="215">
        <v>2.11</v>
      </c>
      <c r="J45" s="215">
        <v>2.11</v>
      </c>
      <c r="K45" s="215">
        <v>2.12</v>
      </c>
      <c r="L45" s="215">
        <v>2.0699999999999998</v>
      </c>
      <c r="M45" s="215">
        <v>2.08</v>
      </c>
      <c r="N45" s="215">
        <v>2.08</v>
      </c>
      <c r="O45" s="215">
        <v>2.09</v>
      </c>
      <c r="P45" s="215">
        <v>2.06</v>
      </c>
      <c r="Q45" s="215">
        <v>2.0699999999999998</v>
      </c>
      <c r="R45" s="215">
        <v>2.08</v>
      </c>
      <c r="S45" s="215">
        <v>2.09</v>
      </c>
      <c r="T45" s="215">
        <v>2.0699999999999998</v>
      </c>
      <c r="U45" s="215">
        <v>2.06</v>
      </c>
      <c r="V45" s="215">
        <v>2.0499999999999998</v>
      </c>
      <c r="W45" s="215">
        <v>2.02</v>
      </c>
      <c r="X45" s="215">
        <v>2.0299999999999998</v>
      </c>
      <c r="Y45" s="215">
        <v>2.04</v>
      </c>
      <c r="Z45" s="215">
        <v>2.04</v>
      </c>
      <c r="AA45" s="215">
        <v>2.06</v>
      </c>
      <c r="AB45" s="215">
        <v>2.0699999999999998</v>
      </c>
      <c r="AC45" s="215">
        <v>2.04</v>
      </c>
      <c r="AD45" s="215">
        <v>2.0699999999999998</v>
      </c>
      <c r="AE45" s="215">
        <v>2.04</v>
      </c>
      <c r="AF45" s="215">
        <v>2.04</v>
      </c>
      <c r="AG45" s="215">
        <v>2.0499999999999998</v>
      </c>
      <c r="AH45" s="215">
        <v>2.06</v>
      </c>
      <c r="AI45" s="215">
        <v>2.0499999999999998</v>
      </c>
      <c r="AJ45" s="215">
        <v>2.04</v>
      </c>
      <c r="AK45" s="215">
        <v>2.06</v>
      </c>
      <c r="AL45" s="215">
        <v>2.11</v>
      </c>
      <c r="AM45" s="215">
        <v>2.1</v>
      </c>
      <c r="AN45" s="215">
        <v>2.0699999999999998</v>
      </c>
      <c r="AO45" s="215">
        <v>2.08</v>
      </c>
      <c r="AP45" s="215">
        <v>2.0699999999999998</v>
      </c>
      <c r="AQ45" s="215">
        <v>2.06</v>
      </c>
      <c r="AR45" s="215">
        <v>2.0299999999999998</v>
      </c>
      <c r="AS45" s="215">
        <v>2.02</v>
      </c>
      <c r="AT45" s="215">
        <v>2</v>
      </c>
      <c r="AU45" s="215">
        <v>1.96</v>
      </c>
      <c r="AV45" s="215">
        <v>1.96</v>
      </c>
      <c r="AW45" s="215">
        <v>1.97</v>
      </c>
      <c r="AX45" s="215">
        <v>1.92</v>
      </c>
      <c r="AY45" s="215">
        <v>1.94</v>
      </c>
      <c r="AZ45" s="215">
        <v>1.91</v>
      </c>
      <c r="BA45" s="215">
        <v>1.94</v>
      </c>
      <c r="BB45" s="215">
        <v>1.93</v>
      </c>
      <c r="BC45" s="215">
        <v>1.8865349658999999</v>
      </c>
      <c r="BD45" s="215">
        <v>1.9005932907</v>
      </c>
      <c r="BE45" s="215">
        <v>1.991536</v>
      </c>
      <c r="BF45" s="215">
        <v>1.9997819999999999</v>
      </c>
      <c r="BG45" s="323">
        <v>1.9972559999999999</v>
      </c>
      <c r="BH45" s="323">
        <v>2.0172469999999998</v>
      </c>
      <c r="BI45" s="323">
        <v>2.001649</v>
      </c>
      <c r="BJ45" s="323">
        <v>1.994013</v>
      </c>
      <c r="BK45" s="323">
        <v>2.0515379999999999</v>
      </c>
      <c r="BL45" s="323">
        <v>2.038602</v>
      </c>
      <c r="BM45" s="323">
        <v>2.0440719999999999</v>
      </c>
      <c r="BN45" s="323">
        <v>2.0610339999999998</v>
      </c>
      <c r="BO45" s="323">
        <v>2.0553720000000002</v>
      </c>
      <c r="BP45" s="323">
        <v>2.0300199999999999</v>
      </c>
      <c r="BQ45" s="323">
        <v>2.0172880000000002</v>
      </c>
      <c r="BR45" s="323">
        <v>2.0274450000000002</v>
      </c>
      <c r="BS45" s="323">
        <v>2.0334080000000001</v>
      </c>
      <c r="BT45" s="323">
        <v>2.0294919999999999</v>
      </c>
      <c r="BU45" s="323">
        <v>2.0311189999999999</v>
      </c>
      <c r="BV45" s="323">
        <v>2.0370409999999999</v>
      </c>
    </row>
    <row r="46" spans="1:74" ht="11.1" customHeight="1" x14ac:dyDescent="0.2">
      <c r="A46" s="26"/>
      <c r="B46" s="34"/>
      <c r="C46" s="216"/>
      <c r="D46" s="216"/>
      <c r="E46" s="216"/>
      <c r="F46" s="216"/>
      <c r="G46" s="216"/>
      <c r="H46" s="216"/>
      <c r="I46" s="216"/>
      <c r="J46" s="216"/>
      <c r="K46" s="216"/>
      <c r="L46" s="216"/>
      <c r="M46" s="216"/>
      <c r="N46" s="216"/>
      <c r="O46" s="216"/>
      <c r="P46" s="216"/>
      <c r="Q46" s="216"/>
      <c r="R46" s="216"/>
      <c r="S46" s="216"/>
      <c r="T46" s="216"/>
      <c r="U46" s="216"/>
      <c r="V46" s="216"/>
      <c r="W46" s="216"/>
      <c r="X46" s="216"/>
      <c r="Y46" s="216"/>
      <c r="Z46" s="216"/>
      <c r="AA46" s="216"/>
      <c r="AB46" s="216"/>
      <c r="AC46" s="216"/>
      <c r="AD46" s="216"/>
      <c r="AE46" s="216"/>
      <c r="AF46" s="216"/>
      <c r="AG46" s="216"/>
      <c r="AH46" s="216"/>
      <c r="AI46" s="216"/>
      <c r="AJ46" s="216"/>
      <c r="AK46" s="216"/>
      <c r="AL46" s="216"/>
      <c r="AM46" s="216"/>
      <c r="AN46" s="216"/>
      <c r="AO46" s="216"/>
      <c r="AP46" s="216"/>
      <c r="AQ46" s="216"/>
      <c r="AR46" s="216"/>
      <c r="AS46" s="216"/>
      <c r="AT46" s="216"/>
      <c r="AU46" s="216"/>
      <c r="AV46" s="216"/>
      <c r="AW46" s="216"/>
      <c r="AX46" s="216"/>
      <c r="AY46" s="216"/>
      <c r="AZ46" s="216"/>
      <c r="BA46" s="216"/>
      <c r="BB46" s="216"/>
      <c r="BC46" s="216"/>
      <c r="BD46" s="216"/>
      <c r="BE46" s="216"/>
      <c r="BF46" s="216"/>
      <c r="BG46" s="324"/>
      <c r="BH46" s="324"/>
      <c r="BI46" s="324"/>
      <c r="BJ46" s="324"/>
      <c r="BK46" s="324"/>
      <c r="BL46" s="324"/>
      <c r="BM46" s="324"/>
      <c r="BN46" s="324"/>
      <c r="BO46" s="324"/>
      <c r="BP46" s="324"/>
      <c r="BQ46" s="324"/>
      <c r="BR46" s="324"/>
      <c r="BS46" s="324"/>
      <c r="BT46" s="324"/>
      <c r="BU46" s="324"/>
      <c r="BV46" s="324"/>
    </row>
    <row r="47" spans="1:74" ht="11.1" customHeight="1" x14ac:dyDescent="0.2">
      <c r="A47" s="19"/>
      <c r="B47" s="20" t="s">
        <v>805</v>
      </c>
      <c r="C47" s="216"/>
      <c r="D47" s="216"/>
      <c r="E47" s="216"/>
      <c r="F47" s="216"/>
      <c r="G47" s="216"/>
      <c r="H47" s="216"/>
      <c r="I47" s="216"/>
      <c r="J47" s="216"/>
      <c r="K47" s="216"/>
      <c r="L47" s="216"/>
      <c r="M47" s="216"/>
      <c r="N47" s="216"/>
      <c r="O47" s="216"/>
      <c r="P47" s="216"/>
      <c r="Q47" s="216"/>
      <c r="R47" s="216"/>
      <c r="S47" s="216"/>
      <c r="T47" s="216"/>
      <c r="U47" s="216"/>
      <c r="V47" s="216"/>
      <c r="W47" s="216"/>
      <c r="X47" s="216"/>
      <c r="Y47" s="216"/>
      <c r="Z47" s="216"/>
      <c r="AA47" s="216"/>
      <c r="AB47" s="216"/>
      <c r="AC47" s="216"/>
      <c r="AD47" s="216"/>
      <c r="AE47" s="216"/>
      <c r="AF47" s="216"/>
      <c r="AG47" s="216"/>
      <c r="AH47" s="216"/>
      <c r="AI47" s="216"/>
      <c r="AJ47" s="216"/>
      <c r="AK47" s="216"/>
      <c r="AL47" s="216"/>
      <c r="AM47" s="216"/>
      <c r="AN47" s="216"/>
      <c r="AO47" s="216"/>
      <c r="AP47" s="216"/>
      <c r="AQ47" s="216"/>
      <c r="AR47" s="216"/>
      <c r="AS47" s="216"/>
      <c r="AT47" s="216"/>
      <c r="AU47" s="216"/>
      <c r="AV47" s="216"/>
      <c r="AW47" s="216"/>
      <c r="AX47" s="216"/>
      <c r="AY47" s="216"/>
      <c r="AZ47" s="216"/>
      <c r="BA47" s="216"/>
      <c r="BB47" s="216"/>
      <c r="BC47" s="216"/>
      <c r="BD47" s="216"/>
      <c r="BE47" s="216"/>
      <c r="BF47" s="216"/>
      <c r="BG47" s="324"/>
      <c r="BH47" s="324"/>
      <c r="BI47" s="324"/>
      <c r="BJ47" s="324"/>
      <c r="BK47" s="324"/>
      <c r="BL47" s="324"/>
      <c r="BM47" s="324"/>
      <c r="BN47" s="324"/>
      <c r="BO47" s="324"/>
      <c r="BP47" s="324"/>
      <c r="BQ47" s="324"/>
      <c r="BR47" s="324"/>
      <c r="BS47" s="324"/>
      <c r="BT47" s="324"/>
      <c r="BU47" s="324"/>
      <c r="BV47" s="324"/>
    </row>
    <row r="48" spans="1:74" ht="11.1" customHeight="1" x14ac:dyDescent="0.2">
      <c r="A48" s="19"/>
      <c r="B48" s="22"/>
      <c r="C48" s="216"/>
      <c r="D48" s="216"/>
      <c r="E48" s="216"/>
      <c r="F48" s="216"/>
      <c r="G48" s="216"/>
      <c r="H48" s="216"/>
      <c r="I48" s="216"/>
      <c r="J48" s="216"/>
      <c r="K48" s="216"/>
      <c r="L48" s="216"/>
      <c r="M48" s="216"/>
      <c r="N48" s="216"/>
      <c r="O48" s="216"/>
      <c r="P48" s="216"/>
      <c r="Q48" s="216"/>
      <c r="R48" s="216"/>
      <c r="S48" s="216"/>
      <c r="T48" s="216"/>
      <c r="U48" s="216"/>
      <c r="V48" s="216"/>
      <c r="W48" s="216"/>
      <c r="X48" s="216"/>
      <c r="Y48" s="216"/>
      <c r="Z48" s="216"/>
      <c r="AA48" s="216"/>
      <c r="AB48" s="216"/>
      <c r="AC48" s="216"/>
      <c r="AD48" s="216"/>
      <c r="AE48" s="216"/>
      <c r="AF48" s="216"/>
      <c r="AG48" s="216"/>
      <c r="AH48" s="216"/>
      <c r="AI48" s="216"/>
      <c r="AJ48" s="216"/>
      <c r="AK48" s="216"/>
      <c r="AL48" s="216"/>
      <c r="AM48" s="216"/>
      <c r="AN48" s="216"/>
      <c r="AO48" s="216"/>
      <c r="AP48" s="216"/>
      <c r="AQ48" s="216"/>
      <c r="AR48" s="216"/>
      <c r="AS48" s="216"/>
      <c r="AT48" s="216"/>
      <c r="AU48" s="216"/>
      <c r="AV48" s="216"/>
      <c r="AW48" s="216"/>
      <c r="AX48" s="216"/>
      <c r="AY48" s="216"/>
      <c r="AZ48" s="216"/>
      <c r="BA48" s="216"/>
      <c r="BB48" s="216"/>
      <c r="BC48" s="216"/>
      <c r="BD48" s="216"/>
      <c r="BE48" s="216"/>
      <c r="BF48" s="216"/>
      <c r="BG48" s="324"/>
      <c r="BH48" s="324"/>
      <c r="BI48" s="324"/>
      <c r="BJ48" s="324"/>
      <c r="BK48" s="324"/>
      <c r="BL48" s="324"/>
      <c r="BM48" s="324"/>
      <c r="BN48" s="324"/>
      <c r="BO48" s="324"/>
      <c r="BP48" s="324"/>
      <c r="BQ48" s="324"/>
      <c r="BR48" s="324"/>
      <c r="BS48" s="324"/>
      <c r="BT48" s="324"/>
      <c r="BU48" s="324"/>
      <c r="BV48" s="324"/>
    </row>
    <row r="49" spans="1:74" ht="11.1" customHeight="1" x14ac:dyDescent="0.2">
      <c r="A49" s="35"/>
      <c r="B49" s="36" t="s">
        <v>567</v>
      </c>
      <c r="C49" s="216"/>
      <c r="D49" s="216"/>
      <c r="E49" s="216"/>
      <c r="F49" s="216"/>
      <c r="G49" s="216"/>
      <c r="H49" s="216"/>
      <c r="I49" s="216"/>
      <c r="J49" s="216"/>
      <c r="K49" s="216"/>
      <c r="L49" s="216"/>
      <c r="M49" s="216"/>
      <c r="N49" s="216"/>
      <c r="O49" s="216"/>
      <c r="P49" s="216"/>
      <c r="Q49" s="216"/>
      <c r="R49" s="216"/>
      <c r="S49" s="216"/>
      <c r="T49" s="216"/>
      <c r="U49" s="216"/>
      <c r="V49" s="216"/>
      <c r="W49" s="216"/>
      <c r="X49" s="216"/>
      <c r="Y49" s="216"/>
      <c r="Z49" s="216"/>
      <c r="AA49" s="216"/>
      <c r="AB49" s="216"/>
      <c r="AC49" s="216"/>
      <c r="AD49" s="216"/>
      <c r="AE49" s="216"/>
      <c r="AF49" s="216"/>
      <c r="AG49" s="216"/>
      <c r="AH49" s="216"/>
      <c r="AI49" s="216"/>
      <c r="AJ49" s="216"/>
      <c r="AK49" s="216"/>
      <c r="AL49" s="216"/>
      <c r="AM49" s="216"/>
      <c r="AN49" s="216"/>
      <c r="AO49" s="216"/>
      <c r="AP49" s="216"/>
      <c r="AQ49" s="216"/>
      <c r="AR49" s="216"/>
      <c r="AS49" s="216"/>
      <c r="AT49" s="216"/>
      <c r="AU49" s="216"/>
      <c r="AV49" s="216"/>
      <c r="AW49" s="216"/>
      <c r="AX49" s="216"/>
      <c r="AY49" s="216"/>
      <c r="AZ49" s="216"/>
      <c r="BA49" s="216"/>
      <c r="BB49" s="216"/>
      <c r="BC49" s="216"/>
      <c r="BD49" s="216"/>
      <c r="BE49" s="216"/>
      <c r="BF49" s="216"/>
      <c r="BG49" s="324"/>
      <c r="BH49" s="324"/>
      <c r="BI49" s="324"/>
      <c r="BJ49" s="324"/>
      <c r="BK49" s="324"/>
      <c r="BL49" s="324"/>
      <c r="BM49" s="324"/>
      <c r="BN49" s="324"/>
      <c r="BO49" s="324"/>
      <c r="BP49" s="324"/>
      <c r="BQ49" s="324"/>
      <c r="BR49" s="324"/>
      <c r="BS49" s="324"/>
      <c r="BT49" s="324"/>
      <c r="BU49" s="324"/>
      <c r="BV49" s="324"/>
    </row>
    <row r="50" spans="1:74" ht="11.1" customHeight="1" x14ac:dyDescent="0.2">
      <c r="A50" s="37" t="s">
        <v>568</v>
      </c>
      <c r="B50" s="38" t="s">
        <v>1149</v>
      </c>
      <c r="C50" s="238">
        <v>17586.754148</v>
      </c>
      <c r="D50" s="238">
        <v>17614.90337</v>
      </c>
      <c r="E50" s="238">
        <v>17638.134481000001</v>
      </c>
      <c r="F50" s="238">
        <v>17643.779481000001</v>
      </c>
      <c r="G50" s="238">
        <v>17666.675370000001</v>
      </c>
      <c r="H50" s="238">
        <v>17694.154148000001</v>
      </c>
      <c r="I50" s="238">
        <v>17730.014332999999</v>
      </c>
      <c r="J50" s="238">
        <v>17763.810000000001</v>
      </c>
      <c r="K50" s="238">
        <v>17799.339667</v>
      </c>
      <c r="L50" s="238">
        <v>17840.496222000002</v>
      </c>
      <c r="M50" s="238">
        <v>17876.574221999999</v>
      </c>
      <c r="N50" s="238">
        <v>17911.466555999999</v>
      </c>
      <c r="O50" s="238">
        <v>17947.202259000002</v>
      </c>
      <c r="P50" s="238">
        <v>17978.201481</v>
      </c>
      <c r="Q50" s="238">
        <v>18006.493258999999</v>
      </c>
      <c r="R50" s="238">
        <v>18020.344556</v>
      </c>
      <c r="S50" s="238">
        <v>18052.021221999999</v>
      </c>
      <c r="T50" s="238">
        <v>18089.790222</v>
      </c>
      <c r="U50" s="238">
        <v>18135.521036999999</v>
      </c>
      <c r="V50" s="238">
        <v>18184.072593000001</v>
      </c>
      <c r="W50" s="238">
        <v>18237.31437</v>
      </c>
      <c r="X50" s="238">
        <v>18301.906666999999</v>
      </c>
      <c r="Y50" s="238">
        <v>18359.533667</v>
      </c>
      <c r="Z50" s="238">
        <v>18416.855667</v>
      </c>
      <c r="AA50" s="238">
        <v>18480.451333000001</v>
      </c>
      <c r="AB50" s="238">
        <v>18532.229332999999</v>
      </c>
      <c r="AC50" s="238">
        <v>18578.768333</v>
      </c>
      <c r="AD50" s="238">
        <v>18616.924185</v>
      </c>
      <c r="AE50" s="238">
        <v>18655.343295999999</v>
      </c>
      <c r="AF50" s="238">
        <v>18690.881518999999</v>
      </c>
      <c r="AG50" s="238">
        <v>18725.090852000001</v>
      </c>
      <c r="AH50" s="238">
        <v>18753.703296</v>
      </c>
      <c r="AI50" s="238">
        <v>18778.270852000001</v>
      </c>
      <c r="AJ50" s="238">
        <v>18782.310556</v>
      </c>
      <c r="AK50" s="238">
        <v>18811.150556000001</v>
      </c>
      <c r="AL50" s="238">
        <v>18848.307889</v>
      </c>
      <c r="AM50" s="238">
        <v>18914.675593</v>
      </c>
      <c r="AN50" s="238">
        <v>18952.797815000002</v>
      </c>
      <c r="AO50" s="238">
        <v>18983.567593</v>
      </c>
      <c r="AP50" s="238">
        <v>18989.641962999998</v>
      </c>
      <c r="AQ50" s="238">
        <v>19018.714074</v>
      </c>
      <c r="AR50" s="238">
        <v>19053.440963000001</v>
      </c>
      <c r="AS50" s="238">
        <v>19102.685296</v>
      </c>
      <c r="AT50" s="238">
        <v>19142.074741</v>
      </c>
      <c r="AU50" s="238">
        <v>19180.471963</v>
      </c>
      <c r="AV50" s="238">
        <v>19269.194888999999</v>
      </c>
      <c r="AW50" s="238">
        <v>19267.119222000001</v>
      </c>
      <c r="AX50" s="238">
        <v>19225.562889000001</v>
      </c>
      <c r="AY50" s="238">
        <v>19323.279815000002</v>
      </c>
      <c r="AZ50" s="238">
        <v>19068.696704000002</v>
      </c>
      <c r="BA50" s="238">
        <v>18640.567480999998</v>
      </c>
      <c r="BB50" s="238">
        <v>18038.892147999999</v>
      </c>
      <c r="BC50" s="238">
        <v>17263.670704</v>
      </c>
      <c r="BD50" s="238">
        <v>16314.903147999999</v>
      </c>
      <c r="BE50" s="238">
        <v>17932.212221999998</v>
      </c>
      <c r="BF50" s="238">
        <v>18159.242889000001</v>
      </c>
      <c r="BG50" s="329">
        <v>18304.57</v>
      </c>
      <c r="BH50" s="329">
        <v>18274.95</v>
      </c>
      <c r="BI50" s="329">
        <v>18326.830000000002</v>
      </c>
      <c r="BJ50" s="329">
        <v>18366.96</v>
      </c>
      <c r="BK50" s="329">
        <v>18356.990000000002</v>
      </c>
      <c r="BL50" s="329">
        <v>18402.37</v>
      </c>
      <c r="BM50" s="329">
        <v>18464.759999999998</v>
      </c>
      <c r="BN50" s="329">
        <v>18575.05</v>
      </c>
      <c r="BO50" s="329">
        <v>18648.27</v>
      </c>
      <c r="BP50" s="329">
        <v>18715.310000000001</v>
      </c>
      <c r="BQ50" s="329">
        <v>18766.55</v>
      </c>
      <c r="BR50" s="329">
        <v>18828.48</v>
      </c>
      <c r="BS50" s="329">
        <v>18891.47</v>
      </c>
      <c r="BT50" s="329">
        <v>18954.32</v>
      </c>
      <c r="BU50" s="329">
        <v>19020.32</v>
      </c>
      <c r="BV50" s="329">
        <v>19088.259999999998</v>
      </c>
    </row>
    <row r="51" spans="1:74" ht="11.1" customHeight="1" x14ac:dyDescent="0.2">
      <c r="A51" s="37" t="s">
        <v>27</v>
      </c>
      <c r="B51" s="39" t="s">
        <v>11</v>
      </c>
      <c r="C51" s="68">
        <v>1.9033276842</v>
      </c>
      <c r="D51" s="68">
        <v>1.7764711251</v>
      </c>
      <c r="E51" s="68">
        <v>1.6516850220999999</v>
      </c>
      <c r="F51" s="68">
        <v>1.4488307886</v>
      </c>
      <c r="G51" s="68">
        <v>1.38786593</v>
      </c>
      <c r="H51" s="68">
        <v>1.3881749126</v>
      </c>
      <c r="I51" s="68">
        <v>1.4873744888</v>
      </c>
      <c r="J51" s="68">
        <v>1.5810751299000001</v>
      </c>
      <c r="K51" s="68">
        <v>1.7071811210000001</v>
      </c>
      <c r="L51" s="68">
        <v>1.9796511668000001</v>
      </c>
      <c r="M51" s="68">
        <v>2.0851974380999998</v>
      </c>
      <c r="N51" s="68">
        <v>2.1376998464999999</v>
      </c>
      <c r="O51" s="68">
        <v>2.0495431281999998</v>
      </c>
      <c r="P51" s="68">
        <v>2.062447369</v>
      </c>
      <c r="Q51" s="68">
        <v>2.0884225492000001</v>
      </c>
      <c r="R51" s="68">
        <v>2.1342653622999999</v>
      </c>
      <c r="S51" s="68">
        <v>2.1812018603999999</v>
      </c>
      <c r="T51" s="68">
        <v>2.2359705400999998</v>
      </c>
      <c r="U51" s="68">
        <v>2.2871199993000002</v>
      </c>
      <c r="V51" s="68">
        <v>2.3658358910000001</v>
      </c>
      <c r="W51" s="68">
        <v>2.4606233259999999</v>
      </c>
      <c r="X51" s="68">
        <v>2.5863094764999999</v>
      </c>
      <c r="Y51" s="68">
        <v>2.7016330894</v>
      </c>
      <c r="Z51" s="68">
        <v>2.8215953703999999</v>
      </c>
      <c r="AA51" s="68">
        <v>2.9712100325000002</v>
      </c>
      <c r="AB51" s="68">
        <v>3.0816644948</v>
      </c>
      <c r="AC51" s="68">
        <v>3.1781594885</v>
      </c>
      <c r="AD51" s="68">
        <v>3.3105894718000002</v>
      </c>
      <c r="AE51" s="68">
        <v>3.3421303169000001</v>
      </c>
      <c r="AF51" s="68">
        <v>3.3228207122</v>
      </c>
      <c r="AG51" s="68">
        <v>3.2509119181999999</v>
      </c>
      <c r="AH51" s="68">
        <v>3.1325804536000001</v>
      </c>
      <c r="AI51" s="68">
        <v>2.9662069233000001</v>
      </c>
      <c r="AJ51" s="68">
        <v>2.6248843775999999</v>
      </c>
      <c r="AK51" s="68">
        <v>2.4598494553000001</v>
      </c>
      <c r="AL51" s="68">
        <v>2.3427029566000002</v>
      </c>
      <c r="AM51" s="68">
        <v>2.3496409878</v>
      </c>
      <c r="AN51" s="68">
        <v>2.2693895802999999</v>
      </c>
      <c r="AO51" s="68">
        <v>2.1788272074999999</v>
      </c>
      <c r="AP51" s="68">
        <v>2.0020373616999998</v>
      </c>
      <c r="AQ51" s="68">
        <v>1.9478107264</v>
      </c>
      <c r="AR51" s="68">
        <v>1.9397664261000001</v>
      </c>
      <c r="AS51" s="68">
        <v>2.0165159541</v>
      </c>
      <c r="AT51" s="68">
        <v>2.0709053476000001</v>
      </c>
      <c r="AU51" s="68">
        <v>2.1418431669000002</v>
      </c>
      <c r="AV51" s="68">
        <v>2.5922494034999999</v>
      </c>
      <c r="AW51" s="68">
        <v>2.4239275813000001</v>
      </c>
      <c r="AX51" s="68">
        <v>2.0015324570000002</v>
      </c>
      <c r="AY51" s="68">
        <v>2.1602496971999998</v>
      </c>
      <c r="AZ51" s="68">
        <v>0.61151335027999998</v>
      </c>
      <c r="BA51" s="68">
        <v>-1.8068264009999999</v>
      </c>
      <c r="BB51" s="68">
        <v>-5.0066758324</v>
      </c>
      <c r="BC51" s="68">
        <v>-9.2279812584999998</v>
      </c>
      <c r="BD51" s="68">
        <v>-14.372930434000001</v>
      </c>
      <c r="BE51" s="68">
        <v>-6.1272698363</v>
      </c>
      <c r="BF51" s="68">
        <v>-5.1344060932</v>
      </c>
      <c r="BG51" s="325">
        <v>-4.5666089999999997</v>
      </c>
      <c r="BH51" s="325">
        <v>-5.159783</v>
      </c>
      <c r="BI51" s="325">
        <v>-4.880293</v>
      </c>
      <c r="BJ51" s="325">
        <v>-4.4659630000000003</v>
      </c>
      <c r="BK51" s="325">
        <v>-5.0006469999999998</v>
      </c>
      <c r="BL51" s="325">
        <v>-3.4943390000000001</v>
      </c>
      <c r="BM51" s="325">
        <v>-0.94315839999999995</v>
      </c>
      <c r="BN51" s="325">
        <v>2.9722309999999998</v>
      </c>
      <c r="BO51" s="325">
        <v>8.0202910000000003</v>
      </c>
      <c r="BP51" s="325">
        <v>14.71299</v>
      </c>
      <c r="BQ51" s="325">
        <v>4.652711</v>
      </c>
      <c r="BR51" s="325">
        <v>3.6853660000000001</v>
      </c>
      <c r="BS51" s="325">
        <v>3.2062550000000001</v>
      </c>
      <c r="BT51" s="325">
        <v>3.7175400000000001</v>
      </c>
      <c r="BU51" s="325">
        <v>3.7840319999999998</v>
      </c>
      <c r="BV51" s="325">
        <v>3.9272079999999998</v>
      </c>
    </row>
    <row r="52" spans="1:74" ht="11.1" customHeight="1" x14ac:dyDescent="0.2">
      <c r="A52" s="19"/>
      <c r="B52" s="22"/>
      <c r="C52" s="216"/>
      <c r="D52" s="216"/>
      <c r="E52" s="216"/>
      <c r="F52" s="216"/>
      <c r="G52" s="216"/>
      <c r="H52" s="216"/>
      <c r="I52" s="216"/>
      <c r="J52" s="216"/>
      <c r="K52" s="216"/>
      <c r="L52" s="216"/>
      <c r="M52" s="216"/>
      <c r="N52" s="216"/>
      <c r="O52" s="216"/>
      <c r="P52" s="216"/>
      <c r="Q52" s="216"/>
      <c r="R52" s="216"/>
      <c r="S52" s="216"/>
      <c r="T52" s="216"/>
      <c r="U52" s="216"/>
      <c r="V52" s="216"/>
      <c r="W52" s="216"/>
      <c r="X52" s="216"/>
      <c r="Y52" s="216"/>
      <c r="Z52" s="216"/>
      <c r="AA52" s="216"/>
      <c r="AB52" s="216"/>
      <c r="AC52" s="216"/>
      <c r="AD52" s="216"/>
      <c r="AE52" s="216"/>
      <c r="AF52" s="216"/>
      <c r="AG52" s="216"/>
      <c r="AH52" s="216"/>
      <c r="AI52" s="216"/>
      <c r="AJ52" s="216"/>
      <c r="AK52" s="216"/>
      <c r="AL52" s="216"/>
      <c r="AM52" s="216"/>
      <c r="AN52" s="216"/>
      <c r="AO52" s="216"/>
      <c r="AP52" s="216"/>
      <c r="AQ52" s="216"/>
      <c r="AR52" s="216"/>
      <c r="AS52" s="216"/>
      <c r="AT52" s="216"/>
      <c r="AU52" s="216"/>
      <c r="AV52" s="216"/>
      <c r="AW52" s="216"/>
      <c r="AX52" s="216"/>
      <c r="AY52" s="216"/>
      <c r="AZ52" s="216"/>
      <c r="BA52" s="216"/>
      <c r="BB52" s="216"/>
      <c r="BC52" s="216"/>
      <c r="BD52" s="216"/>
      <c r="BE52" s="216"/>
      <c r="BF52" s="216"/>
      <c r="BG52" s="324"/>
      <c r="BH52" s="324"/>
      <c r="BI52" s="324"/>
      <c r="BJ52" s="324"/>
      <c r="BK52" s="324"/>
      <c r="BL52" s="324"/>
      <c r="BM52" s="324"/>
      <c r="BN52" s="324"/>
      <c r="BO52" s="324"/>
      <c r="BP52" s="324"/>
      <c r="BQ52" s="324"/>
      <c r="BR52" s="324"/>
      <c r="BS52" s="324"/>
      <c r="BT52" s="324"/>
      <c r="BU52" s="324"/>
      <c r="BV52" s="324"/>
    </row>
    <row r="53" spans="1:74" ht="11.1" customHeight="1" x14ac:dyDescent="0.2">
      <c r="A53" s="35"/>
      <c r="B53" s="36" t="s">
        <v>569</v>
      </c>
      <c r="C53" s="218"/>
      <c r="D53" s="218"/>
      <c r="E53" s="218"/>
      <c r="F53" s="218"/>
      <c r="G53" s="218"/>
      <c r="H53" s="218"/>
      <c r="I53" s="218"/>
      <c r="J53" s="218"/>
      <c r="K53" s="218"/>
      <c r="L53" s="218"/>
      <c r="M53" s="218"/>
      <c r="N53" s="218"/>
      <c r="O53" s="218"/>
      <c r="P53" s="218"/>
      <c r="Q53" s="218"/>
      <c r="R53" s="218"/>
      <c r="S53" s="218"/>
      <c r="T53" s="218"/>
      <c r="U53" s="218"/>
      <c r="V53" s="218"/>
      <c r="W53" s="218"/>
      <c r="X53" s="218"/>
      <c r="Y53" s="218"/>
      <c r="Z53" s="218"/>
      <c r="AA53" s="218"/>
      <c r="AB53" s="218"/>
      <c r="AC53" s="218"/>
      <c r="AD53" s="218"/>
      <c r="AE53" s="218"/>
      <c r="AF53" s="218"/>
      <c r="AG53" s="218"/>
      <c r="AH53" s="218"/>
      <c r="AI53" s="218"/>
      <c r="AJ53" s="218"/>
      <c r="AK53" s="218"/>
      <c r="AL53" s="218"/>
      <c r="AM53" s="218"/>
      <c r="AN53" s="218"/>
      <c r="AO53" s="218"/>
      <c r="AP53" s="218"/>
      <c r="AQ53" s="218"/>
      <c r="AR53" s="218"/>
      <c r="AS53" s="218"/>
      <c r="AT53" s="218"/>
      <c r="AU53" s="218"/>
      <c r="AV53" s="218"/>
      <c r="AW53" s="218"/>
      <c r="AX53" s="218"/>
      <c r="AY53" s="218"/>
      <c r="AZ53" s="218"/>
      <c r="BA53" s="218"/>
      <c r="BB53" s="218"/>
      <c r="BC53" s="218"/>
      <c r="BD53" s="218"/>
      <c r="BE53" s="218"/>
      <c r="BF53" s="218"/>
      <c r="BG53" s="328"/>
      <c r="BH53" s="328"/>
      <c r="BI53" s="328"/>
      <c r="BJ53" s="328"/>
      <c r="BK53" s="328"/>
      <c r="BL53" s="328"/>
      <c r="BM53" s="328"/>
      <c r="BN53" s="328"/>
      <c r="BO53" s="328"/>
      <c r="BP53" s="328"/>
      <c r="BQ53" s="328"/>
      <c r="BR53" s="328"/>
      <c r="BS53" s="328"/>
      <c r="BT53" s="328"/>
      <c r="BU53" s="328"/>
      <c r="BV53" s="328"/>
    </row>
    <row r="54" spans="1:74" ht="11.1" customHeight="1" x14ac:dyDescent="0.2">
      <c r="A54" s="37" t="s">
        <v>570</v>
      </c>
      <c r="B54" s="38" t="s">
        <v>1127</v>
      </c>
      <c r="C54" s="68">
        <v>104.80544444</v>
      </c>
      <c r="D54" s="68">
        <v>104.87511111000001</v>
      </c>
      <c r="E54" s="68">
        <v>105.02544444</v>
      </c>
      <c r="F54" s="68">
        <v>105.41540741</v>
      </c>
      <c r="G54" s="68">
        <v>105.60785185</v>
      </c>
      <c r="H54" s="68">
        <v>105.76174073999999</v>
      </c>
      <c r="I54" s="68">
        <v>105.79322222</v>
      </c>
      <c r="J54" s="68">
        <v>105.93288889</v>
      </c>
      <c r="K54" s="68">
        <v>106.09688889</v>
      </c>
      <c r="L54" s="68">
        <v>106.32359259</v>
      </c>
      <c r="M54" s="68">
        <v>106.50748148</v>
      </c>
      <c r="N54" s="68">
        <v>106.68692593</v>
      </c>
      <c r="O54" s="68">
        <v>106.88385185</v>
      </c>
      <c r="P54" s="68">
        <v>107.03796296</v>
      </c>
      <c r="Q54" s="68">
        <v>107.17118519</v>
      </c>
      <c r="R54" s="68">
        <v>107.2167037</v>
      </c>
      <c r="S54" s="68">
        <v>107.35825926</v>
      </c>
      <c r="T54" s="68">
        <v>107.52903704000001</v>
      </c>
      <c r="U54" s="68">
        <v>107.75777778</v>
      </c>
      <c r="V54" s="68">
        <v>107.96544444</v>
      </c>
      <c r="W54" s="68">
        <v>108.18077778</v>
      </c>
      <c r="X54" s="68">
        <v>108.41607406999999</v>
      </c>
      <c r="Y54" s="68">
        <v>108.63751852</v>
      </c>
      <c r="Z54" s="68">
        <v>108.85740740999999</v>
      </c>
      <c r="AA54" s="68">
        <v>109.04137037</v>
      </c>
      <c r="AB54" s="68">
        <v>109.28392593</v>
      </c>
      <c r="AC54" s="68">
        <v>109.5507037</v>
      </c>
      <c r="AD54" s="68">
        <v>109.92837037</v>
      </c>
      <c r="AE54" s="68">
        <v>110.17859258999999</v>
      </c>
      <c r="AF54" s="68">
        <v>110.38803704</v>
      </c>
      <c r="AG54" s="68">
        <v>110.505</v>
      </c>
      <c r="AH54" s="68">
        <v>110.67166666999999</v>
      </c>
      <c r="AI54" s="68">
        <v>110.83633333</v>
      </c>
      <c r="AJ54" s="68">
        <v>111.01855556</v>
      </c>
      <c r="AK54" s="68">
        <v>111.16455556</v>
      </c>
      <c r="AL54" s="68">
        <v>111.29388889000001</v>
      </c>
      <c r="AM54" s="68">
        <v>111.33307407</v>
      </c>
      <c r="AN54" s="68">
        <v>111.48418519000001</v>
      </c>
      <c r="AO54" s="68">
        <v>111.67374074</v>
      </c>
      <c r="AP54" s="68">
        <v>111.99196296</v>
      </c>
      <c r="AQ54" s="68">
        <v>112.19074074</v>
      </c>
      <c r="AR54" s="68">
        <v>112.3602963</v>
      </c>
      <c r="AS54" s="68">
        <v>112.4667037</v>
      </c>
      <c r="AT54" s="68">
        <v>112.60325926</v>
      </c>
      <c r="AU54" s="68">
        <v>112.73603704</v>
      </c>
      <c r="AV54" s="68">
        <v>112.85940741</v>
      </c>
      <c r="AW54" s="68">
        <v>112.98885185</v>
      </c>
      <c r="AX54" s="68">
        <v>113.11874074000001</v>
      </c>
      <c r="AY54" s="68">
        <v>113.38492592999999</v>
      </c>
      <c r="AZ54" s="68">
        <v>113.41381481000001</v>
      </c>
      <c r="BA54" s="68">
        <v>113.34125926</v>
      </c>
      <c r="BB54" s="68">
        <v>113.16725925999999</v>
      </c>
      <c r="BC54" s="68">
        <v>112.89181481</v>
      </c>
      <c r="BD54" s="68">
        <v>112.51492593</v>
      </c>
      <c r="BE54" s="68">
        <v>113.255</v>
      </c>
      <c r="BF54" s="68">
        <v>113.40433333</v>
      </c>
      <c r="BG54" s="325">
        <v>113.52419999999999</v>
      </c>
      <c r="BH54" s="325">
        <v>113.5575</v>
      </c>
      <c r="BI54" s="325">
        <v>113.6611</v>
      </c>
      <c r="BJ54" s="325">
        <v>113.7779</v>
      </c>
      <c r="BK54" s="325">
        <v>113.9417</v>
      </c>
      <c r="BL54" s="325">
        <v>114.0599</v>
      </c>
      <c r="BM54" s="325">
        <v>114.1661</v>
      </c>
      <c r="BN54" s="325">
        <v>114.2432</v>
      </c>
      <c r="BO54" s="325">
        <v>114.3383</v>
      </c>
      <c r="BP54" s="325">
        <v>114.43429999999999</v>
      </c>
      <c r="BQ54" s="325">
        <v>114.53100000000001</v>
      </c>
      <c r="BR54" s="325">
        <v>114.629</v>
      </c>
      <c r="BS54" s="325">
        <v>114.7281</v>
      </c>
      <c r="BT54" s="325">
        <v>114.8352</v>
      </c>
      <c r="BU54" s="325">
        <v>114.93129999999999</v>
      </c>
      <c r="BV54" s="325">
        <v>115.02330000000001</v>
      </c>
    </row>
    <row r="55" spans="1:74" ht="11.1" customHeight="1" x14ac:dyDescent="0.2">
      <c r="A55" s="37" t="s">
        <v>28</v>
      </c>
      <c r="B55" s="39" t="s">
        <v>11</v>
      </c>
      <c r="C55" s="68">
        <v>0.80296921565000001</v>
      </c>
      <c r="D55" s="68">
        <v>0.81125987551000001</v>
      </c>
      <c r="E55" s="68">
        <v>0.83062887068000002</v>
      </c>
      <c r="F55" s="68">
        <v>0.87913427744999995</v>
      </c>
      <c r="G55" s="68">
        <v>0.90675559993999999</v>
      </c>
      <c r="H55" s="68">
        <v>0.93174551446999998</v>
      </c>
      <c r="I55" s="68">
        <v>0.88302138682999998</v>
      </c>
      <c r="J55" s="68">
        <v>0.95619706766000001</v>
      </c>
      <c r="K55" s="68">
        <v>1.0800608466999999</v>
      </c>
      <c r="L55" s="68">
        <v>1.3212499056</v>
      </c>
      <c r="M55" s="68">
        <v>1.4968095427999999</v>
      </c>
      <c r="N55" s="68">
        <v>1.6733024136000001</v>
      </c>
      <c r="O55" s="68">
        <v>1.9831101508</v>
      </c>
      <c r="P55" s="68">
        <v>2.0623118573000001</v>
      </c>
      <c r="Q55" s="68">
        <v>2.0430675176999999</v>
      </c>
      <c r="R55" s="68">
        <v>1.7087599817000001</v>
      </c>
      <c r="S55" s="68">
        <v>1.6574595323000001</v>
      </c>
      <c r="T55" s="68">
        <v>1.6710166492</v>
      </c>
      <c r="U55" s="68">
        <v>1.8569767649</v>
      </c>
      <c r="V55" s="68">
        <v>1.9187200282000001</v>
      </c>
      <c r="W55" s="68">
        <v>1.9641376017000001</v>
      </c>
      <c r="X55" s="68">
        <v>1.9680312059</v>
      </c>
      <c r="Y55" s="68">
        <v>1.9998942867</v>
      </c>
      <c r="Z55" s="68">
        <v>2.0344399865999998</v>
      </c>
      <c r="AA55" s="68">
        <v>2.0185635914</v>
      </c>
      <c r="AB55" s="68">
        <v>2.0982863470000002</v>
      </c>
      <c r="AC55" s="68">
        <v>2.2202969151</v>
      </c>
      <c r="AD55" s="68">
        <v>2.5291457141999998</v>
      </c>
      <c r="AE55" s="68">
        <v>2.6270296788</v>
      </c>
      <c r="AF55" s="68">
        <v>2.6588167055</v>
      </c>
      <c r="AG55" s="68">
        <v>2.5494421644999998</v>
      </c>
      <c r="AH55" s="68">
        <v>2.5065633140000001</v>
      </c>
      <c r="AI55" s="68">
        <v>2.4547388270999999</v>
      </c>
      <c r="AJ55" s="68">
        <v>2.4004572234000001</v>
      </c>
      <c r="AK55" s="68">
        <v>2.3261181510000002</v>
      </c>
      <c r="AL55" s="68">
        <v>2.2382321419000002</v>
      </c>
      <c r="AM55" s="68">
        <v>2.1016827795999999</v>
      </c>
      <c r="AN55" s="68">
        <v>2.0133420726</v>
      </c>
      <c r="AO55" s="68">
        <v>1.9379492465999999</v>
      </c>
      <c r="AP55" s="68">
        <v>1.8772156684000001</v>
      </c>
      <c r="AQ55" s="68">
        <v>1.8262605292</v>
      </c>
      <c r="AR55" s="68">
        <v>1.7866603232</v>
      </c>
      <c r="AS55" s="68">
        <v>1.7752171428000001</v>
      </c>
      <c r="AT55" s="68">
        <v>1.7453361378000001</v>
      </c>
      <c r="AU55" s="68">
        <v>1.7139719861</v>
      </c>
      <c r="AV55" s="68">
        <v>1.6581479039</v>
      </c>
      <c r="AW55" s="68">
        <v>1.6410773085000001</v>
      </c>
      <c r="AX55" s="68">
        <v>1.6396694105</v>
      </c>
      <c r="AY55" s="68">
        <v>1.8429849970000001</v>
      </c>
      <c r="AZ55" s="68">
        <v>1.7308550324</v>
      </c>
      <c r="BA55" s="68">
        <v>1.4932055714000001</v>
      </c>
      <c r="BB55" s="68">
        <v>1.0494470007000001</v>
      </c>
      <c r="BC55" s="68">
        <v>0.62489477246000003</v>
      </c>
      <c r="BD55" s="68">
        <v>0.13761945698</v>
      </c>
      <c r="BE55" s="68">
        <v>0.70091526677000004</v>
      </c>
      <c r="BF55" s="68">
        <v>0.71141286614999999</v>
      </c>
      <c r="BG55" s="325">
        <v>0.69909290000000002</v>
      </c>
      <c r="BH55" s="325">
        <v>0.61853100000000005</v>
      </c>
      <c r="BI55" s="325">
        <v>0.5949489</v>
      </c>
      <c r="BJ55" s="325">
        <v>0.58275379999999999</v>
      </c>
      <c r="BK55" s="325">
        <v>0.49106729999999998</v>
      </c>
      <c r="BL55" s="325">
        <v>0.56966079999999997</v>
      </c>
      <c r="BM55" s="325">
        <v>0.72774000000000005</v>
      </c>
      <c r="BN55" s="325">
        <v>0.95072319999999999</v>
      </c>
      <c r="BO55" s="325">
        <v>1.2813019999999999</v>
      </c>
      <c r="BP55" s="325">
        <v>1.7059139999999999</v>
      </c>
      <c r="BQ55" s="325">
        <v>1.126687</v>
      </c>
      <c r="BR55" s="325">
        <v>1.0799479999999999</v>
      </c>
      <c r="BS55" s="325">
        <v>1.060535</v>
      </c>
      <c r="BT55" s="325">
        <v>1.125151</v>
      </c>
      <c r="BU55" s="325">
        <v>1.1175170000000001</v>
      </c>
      <c r="BV55" s="325">
        <v>1.0945229999999999</v>
      </c>
    </row>
    <row r="56" spans="1:74" ht="11.1" customHeight="1" x14ac:dyDescent="0.2">
      <c r="A56" s="16"/>
      <c r="B56" s="25"/>
      <c r="C56" s="219"/>
      <c r="D56" s="219"/>
      <c r="E56" s="219"/>
      <c r="F56" s="219"/>
      <c r="G56" s="219"/>
      <c r="H56" s="219"/>
      <c r="I56" s="219"/>
      <c r="J56" s="219"/>
      <c r="K56" s="219"/>
      <c r="L56" s="219"/>
      <c r="M56" s="219"/>
      <c r="N56" s="219"/>
      <c r="O56" s="219"/>
      <c r="P56" s="219"/>
      <c r="Q56" s="219"/>
      <c r="R56" s="219"/>
      <c r="S56" s="219"/>
      <c r="T56" s="219"/>
      <c r="U56" s="219"/>
      <c r="V56" s="219"/>
      <c r="W56" s="219"/>
      <c r="X56" s="219"/>
      <c r="Y56" s="219"/>
      <c r="Z56" s="219"/>
      <c r="AA56" s="219"/>
      <c r="AB56" s="219"/>
      <c r="AC56" s="219"/>
      <c r="AD56" s="219"/>
      <c r="AE56" s="219"/>
      <c r="AF56" s="219"/>
      <c r="AG56" s="219"/>
      <c r="AH56" s="219"/>
      <c r="AI56" s="219"/>
      <c r="AJ56" s="219"/>
      <c r="AK56" s="219"/>
      <c r="AL56" s="219"/>
      <c r="AM56" s="219"/>
      <c r="AN56" s="219"/>
      <c r="AO56" s="219"/>
      <c r="AP56" s="219"/>
      <c r="AQ56" s="219"/>
      <c r="AR56" s="219"/>
      <c r="AS56" s="219"/>
      <c r="AT56" s="219"/>
      <c r="AU56" s="219"/>
      <c r="AV56" s="219"/>
      <c r="AW56" s="219"/>
      <c r="AX56" s="219"/>
      <c r="AY56" s="219"/>
      <c r="AZ56" s="219"/>
      <c r="BA56" s="219"/>
      <c r="BB56" s="219"/>
      <c r="BC56" s="219"/>
      <c r="BD56" s="219"/>
      <c r="BE56" s="219"/>
      <c r="BF56" s="219"/>
      <c r="BG56" s="330"/>
      <c r="BH56" s="330"/>
      <c r="BI56" s="330"/>
      <c r="BJ56" s="330"/>
      <c r="BK56" s="330"/>
      <c r="BL56" s="330"/>
      <c r="BM56" s="330"/>
      <c r="BN56" s="330"/>
      <c r="BO56" s="330"/>
      <c r="BP56" s="330"/>
      <c r="BQ56" s="330"/>
      <c r="BR56" s="330"/>
      <c r="BS56" s="330"/>
      <c r="BT56" s="330"/>
      <c r="BU56" s="330"/>
      <c r="BV56" s="330"/>
    </row>
    <row r="57" spans="1:74" ht="11.1" customHeight="1" x14ac:dyDescent="0.2">
      <c r="A57" s="35"/>
      <c r="B57" s="36" t="s">
        <v>571</v>
      </c>
      <c r="C57" s="218"/>
      <c r="D57" s="218"/>
      <c r="E57" s="218"/>
      <c r="F57" s="218"/>
      <c r="G57" s="218"/>
      <c r="H57" s="218"/>
      <c r="I57" s="218"/>
      <c r="J57" s="218"/>
      <c r="K57" s="218"/>
      <c r="L57" s="218"/>
      <c r="M57" s="218"/>
      <c r="N57" s="218"/>
      <c r="O57" s="218"/>
      <c r="P57" s="218"/>
      <c r="Q57" s="218"/>
      <c r="R57" s="218"/>
      <c r="S57" s="218"/>
      <c r="T57" s="218"/>
      <c r="U57" s="218"/>
      <c r="V57" s="218"/>
      <c r="W57" s="218"/>
      <c r="X57" s="218"/>
      <c r="Y57" s="218"/>
      <c r="Z57" s="218"/>
      <c r="AA57" s="218"/>
      <c r="AB57" s="218"/>
      <c r="AC57" s="218"/>
      <c r="AD57" s="218"/>
      <c r="AE57" s="218"/>
      <c r="AF57" s="218"/>
      <c r="AG57" s="218"/>
      <c r="AH57" s="218"/>
      <c r="AI57" s="218"/>
      <c r="AJ57" s="218"/>
      <c r="AK57" s="218"/>
      <c r="AL57" s="218"/>
      <c r="AM57" s="218"/>
      <c r="AN57" s="218"/>
      <c r="AO57" s="218"/>
      <c r="AP57" s="218"/>
      <c r="AQ57" s="218"/>
      <c r="AR57" s="218"/>
      <c r="AS57" s="218"/>
      <c r="AT57" s="218"/>
      <c r="AU57" s="218"/>
      <c r="AV57" s="218"/>
      <c r="AW57" s="218"/>
      <c r="AX57" s="218"/>
      <c r="AY57" s="218"/>
      <c r="AZ57" s="218"/>
      <c r="BA57" s="218"/>
      <c r="BB57" s="218"/>
      <c r="BC57" s="218"/>
      <c r="BD57" s="218"/>
      <c r="BE57" s="218"/>
      <c r="BF57" s="218"/>
      <c r="BG57" s="328"/>
      <c r="BH57" s="328"/>
      <c r="BI57" s="328"/>
      <c r="BJ57" s="328"/>
      <c r="BK57" s="328"/>
      <c r="BL57" s="328"/>
      <c r="BM57" s="328"/>
      <c r="BN57" s="328"/>
      <c r="BO57" s="328"/>
      <c r="BP57" s="328"/>
      <c r="BQ57" s="328"/>
      <c r="BR57" s="328"/>
      <c r="BS57" s="328"/>
      <c r="BT57" s="328"/>
      <c r="BU57" s="328"/>
      <c r="BV57" s="328"/>
    </row>
    <row r="58" spans="1:74" ht="11.1" customHeight="1" x14ac:dyDescent="0.2">
      <c r="A58" s="37" t="s">
        <v>572</v>
      </c>
      <c r="B58" s="38" t="s">
        <v>1149</v>
      </c>
      <c r="C58" s="238">
        <v>13580.2</v>
      </c>
      <c r="D58" s="238">
        <v>13595.7</v>
      </c>
      <c r="E58" s="238">
        <v>13606.6</v>
      </c>
      <c r="F58" s="238">
        <v>13587.4</v>
      </c>
      <c r="G58" s="238">
        <v>13581</v>
      </c>
      <c r="H58" s="238">
        <v>13587.3</v>
      </c>
      <c r="I58" s="238">
        <v>13630</v>
      </c>
      <c r="J58" s="238">
        <v>13639.6</v>
      </c>
      <c r="K58" s="238">
        <v>13679.8</v>
      </c>
      <c r="L58" s="238">
        <v>13708.5</v>
      </c>
      <c r="M58" s="238">
        <v>13736.1</v>
      </c>
      <c r="N58" s="238">
        <v>13759.9</v>
      </c>
      <c r="O58" s="238">
        <v>13824.9</v>
      </c>
      <c r="P58" s="238">
        <v>13875.1</v>
      </c>
      <c r="Q58" s="238">
        <v>13942.1</v>
      </c>
      <c r="R58" s="238">
        <v>13967</v>
      </c>
      <c r="S58" s="238">
        <v>14059.6</v>
      </c>
      <c r="T58" s="238">
        <v>14063.7</v>
      </c>
      <c r="U58" s="238">
        <v>14103.1</v>
      </c>
      <c r="V58" s="238">
        <v>14122.8</v>
      </c>
      <c r="W58" s="238">
        <v>14150.3</v>
      </c>
      <c r="X58" s="238">
        <v>14187.8</v>
      </c>
      <c r="Y58" s="238">
        <v>14202.8</v>
      </c>
      <c r="Z58" s="238">
        <v>14227</v>
      </c>
      <c r="AA58" s="238">
        <v>14342.7</v>
      </c>
      <c r="AB58" s="238">
        <v>14379.4</v>
      </c>
      <c r="AC58" s="238">
        <v>14437.8</v>
      </c>
      <c r="AD58" s="238">
        <v>14471.5</v>
      </c>
      <c r="AE58" s="238">
        <v>14512.2</v>
      </c>
      <c r="AF58" s="238">
        <v>14557.1</v>
      </c>
      <c r="AG58" s="238">
        <v>14609.9</v>
      </c>
      <c r="AH58" s="238">
        <v>14649.7</v>
      </c>
      <c r="AI58" s="238">
        <v>14638.2</v>
      </c>
      <c r="AJ58" s="238">
        <v>14670.6</v>
      </c>
      <c r="AK58" s="238">
        <v>14688.9</v>
      </c>
      <c r="AL58" s="238">
        <v>14837.3</v>
      </c>
      <c r="AM58" s="238">
        <v>14840.9</v>
      </c>
      <c r="AN58" s="238">
        <v>14864.1</v>
      </c>
      <c r="AO58" s="238">
        <v>14855.7</v>
      </c>
      <c r="AP58" s="238">
        <v>14817.2</v>
      </c>
      <c r="AQ58" s="238">
        <v>14809.6</v>
      </c>
      <c r="AR58" s="238">
        <v>14826.8</v>
      </c>
      <c r="AS58" s="238">
        <v>14840.3</v>
      </c>
      <c r="AT58" s="238">
        <v>14912.4</v>
      </c>
      <c r="AU58" s="238">
        <v>14933.6</v>
      </c>
      <c r="AV58" s="238">
        <v>14936.2</v>
      </c>
      <c r="AW58" s="238">
        <v>14997.2</v>
      </c>
      <c r="AX58" s="238">
        <v>14960.2</v>
      </c>
      <c r="AY58" s="238">
        <v>15072.6</v>
      </c>
      <c r="AZ58" s="238">
        <v>15166</v>
      </c>
      <c r="BA58" s="238">
        <v>14940.3</v>
      </c>
      <c r="BB58" s="238">
        <v>17220.599999999999</v>
      </c>
      <c r="BC58" s="238">
        <v>16321.1</v>
      </c>
      <c r="BD58" s="238">
        <v>16030.5</v>
      </c>
      <c r="BE58" s="238">
        <v>16231.493037</v>
      </c>
      <c r="BF58" s="238">
        <v>16158.203259</v>
      </c>
      <c r="BG58" s="329">
        <v>16128.71</v>
      </c>
      <c r="BH58" s="329">
        <v>16417.48</v>
      </c>
      <c r="BI58" s="329">
        <v>16269.74</v>
      </c>
      <c r="BJ58" s="329">
        <v>15959.96</v>
      </c>
      <c r="BK58" s="329">
        <v>15041.09</v>
      </c>
      <c r="BL58" s="329">
        <v>14742.5</v>
      </c>
      <c r="BM58" s="329">
        <v>14617.15</v>
      </c>
      <c r="BN58" s="329">
        <v>14900.56</v>
      </c>
      <c r="BO58" s="329">
        <v>14945.04</v>
      </c>
      <c r="BP58" s="329">
        <v>14986.11</v>
      </c>
      <c r="BQ58" s="329">
        <v>15025.94</v>
      </c>
      <c r="BR58" s="329">
        <v>15058.56</v>
      </c>
      <c r="BS58" s="329">
        <v>15086.15</v>
      </c>
      <c r="BT58" s="329">
        <v>15090.53</v>
      </c>
      <c r="BU58" s="329">
        <v>15121.67</v>
      </c>
      <c r="BV58" s="329">
        <v>15161.4</v>
      </c>
    </row>
    <row r="59" spans="1:74" ht="11.1" customHeight="1" x14ac:dyDescent="0.2">
      <c r="A59" s="37" t="s">
        <v>29</v>
      </c>
      <c r="B59" s="39" t="s">
        <v>11</v>
      </c>
      <c r="C59" s="68">
        <v>2.3993364499999998</v>
      </c>
      <c r="D59" s="68">
        <v>2.1227212295000002</v>
      </c>
      <c r="E59" s="68">
        <v>2.4956121519000001</v>
      </c>
      <c r="F59" s="68">
        <v>2.1478457640999999</v>
      </c>
      <c r="G59" s="68">
        <v>1.9227305476000001</v>
      </c>
      <c r="H59" s="68">
        <v>1.8706233412</v>
      </c>
      <c r="I59" s="68">
        <v>1.8836896397</v>
      </c>
      <c r="J59" s="68">
        <v>1.6886476653</v>
      </c>
      <c r="K59" s="68">
        <v>1.7085501859000001</v>
      </c>
      <c r="L59" s="68">
        <v>1.7471851319</v>
      </c>
      <c r="M59" s="68">
        <v>1.9921590757000001</v>
      </c>
      <c r="N59" s="68">
        <v>1.6939256653000001</v>
      </c>
      <c r="O59" s="68">
        <v>1.8018880428999999</v>
      </c>
      <c r="P59" s="68">
        <v>2.0550615267999999</v>
      </c>
      <c r="Q59" s="68">
        <v>2.4657151676</v>
      </c>
      <c r="R59" s="68">
        <v>2.7937648115</v>
      </c>
      <c r="S59" s="68">
        <v>3.5240409394999999</v>
      </c>
      <c r="T59" s="68">
        <v>3.5062153628999999</v>
      </c>
      <c r="U59" s="68">
        <v>3.4710198092</v>
      </c>
      <c r="V59" s="68">
        <v>3.5426258835</v>
      </c>
      <c r="W59" s="68">
        <v>3.4393777687</v>
      </c>
      <c r="X59" s="68">
        <v>3.4963708647999998</v>
      </c>
      <c r="Y59" s="68">
        <v>3.3976164995999998</v>
      </c>
      <c r="Z59" s="68">
        <v>3.3946467633999999</v>
      </c>
      <c r="AA59" s="68">
        <v>3.7454158799999999</v>
      </c>
      <c r="AB59" s="68">
        <v>3.6345683995</v>
      </c>
      <c r="AC59" s="68">
        <v>3.5554184807000002</v>
      </c>
      <c r="AD59" s="68">
        <v>3.6120856304000002</v>
      </c>
      <c r="AE59" s="68">
        <v>3.2191527497000001</v>
      </c>
      <c r="AF59" s="68">
        <v>3.5083228452999999</v>
      </c>
      <c r="AG59" s="68">
        <v>3.5935361728999999</v>
      </c>
      <c r="AH59" s="68">
        <v>3.7308465743000001</v>
      </c>
      <c r="AI59" s="68">
        <v>3.4479834349999998</v>
      </c>
      <c r="AJ59" s="68">
        <v>3.4029236385999999</v>
      </c>
      <c r="AK59" s="68">
        <v>3.4225645647</v>
      </c>
      <c r="AL59" s="68">
        <v>4.2897307936000004</v>
      </c>
      <c r="AM59" s="68">
        <v>3.4735440329</v>
      </c>
      <c r="AN59" s="68">
        <v>3.3707943307999999</v>
      </c>
      <c r="AO59" s="68">
        <v>2.8944853093999998</v>
      </c>
      <c r="AP59" s="68">
        <v>2.3888332238999999</v>
      </c>
      <c r="AQ59" s="68">
        <v>2.0493102355000001</v>
      </c>
      <c r="AR59" s="68">
        <v>1.8527041787</v>
      </c>
      <c r="AS59" s="68">
        <v>1.5770128475</v>
      </c>
      <c r="AT59" s="68">
        <v>1.7932107825000001</v>
      </c>
      <c r="AU59" s="68">
        <v>2.0180076785000001</v>
      </c>
      <c r="AV59" s="68">
        <v>1.8104235682000001</v>
      </c>
      <c r="AW59" s="68">
        <v>2.0988637679000002</v>
      </c>
      <c r="AX59" s="68">
        <v>0.82831782063000003</v>
      </c>
      <c r="AY59" s="68">
        <v>1.5612260711999999</v>
      </c>
      <c r="AZ59" s="68">
        <v>2.0310681440999998</v>
      </c>
      <c r="BA59" s="68">
        <v>0.56947838204000001</v>
      </c>
      <c r="BB59" s="68">
        <v>16.220338524999999</v>
      </c>
      <c r="BC59" s="68">
        <v>10.206217589</v>
      </c>
      <c r="BD59" s="68">
        <v>8.1184072086000008</v>
      </c>
      <c r="BE59" s="68">
        <v>9.3744266425999996</v>
      </c>
      <c r="BF59" s="68">
        <v>8.3541432584000006</v>
      </c>
      <c r="BG59" s="325">
        <v>8.0028369999999995</v>
      </c>
      <c r="BH59" s="325">
        <v>9.9173500000000008</v>
      </c>
      <c r="BI59" s="325">
        <v>8.4851670000000006</v>
      </c>
      <c r="BJ59" s="325">
        <v>6.6827670000000001</v>
      </c>
      <c r="BK59" s="325">
        <v>-0.20908379999999999</v>
      </c>
      <c r="BL59" s="325">
        <v>-2.7924519999999999</v>
      </c>
      <c r="BM59" s="325">
        <v>-2.1629710000000002</v>
      </c>
      <c r="BN59" s="325">
        <v>-13.47246</v>
      </c>
      <c r="BO59" s="325">
        <v>-8.4311779999999992</v>
      </c>
      <c r="BP59" s="325">
        <v>-6.5150319999999997</v>
      </c>
      <c r="BQ59" s="325">
        <v>-7.4272580000000001</v>
      </c>
      <c r="BR59" s="325">
        <v>-6.8054699999999997</v>
      </c>
      <c r="BS59" s="325">
        <v>-6.4640219999999999</v>
      </c>
      <c r="BT59" s="325">
        <v>-8.0825209999999998</v>
      </c>
      <c r="BU59" s="325">
        <v>-7.0564640000000001</v>
      </c>
      <c r="BV59" s="325">
        <v>-5.0034970000000003</v>
      </c>
    </row>
    <row r="60" spans="1:74" ht="11.1" customHeight="1" x14ac:dyDescent="0.2">
      <c r="A60" s="26"/>
      <c r="B60" s="34"/>
      <c r="C60" s="216"/>
      <c r="D60" s="216"/>
      <c r="E60" s="216"/>
      <c r="F60" s="216"/>
      <c r="G60" s="216"/>
      <c r="H60" s="216"/>
      <c r="I60" s="216"/>
      <c r="J60" s="216"/>
      <c r="K60" s="216"/>
      <c r="L60" s="216"/>
      <c r="M60" s="216"/>
      <c r="N60" s="216"/>
      <c r="O60" s="216"/>
      <c r="P60" s="216"/>
      <c r="Q60" s="216"/>
      <c r="R60" s="216"/>
      <c r="S60" s="216"/>
      <c r="T60" s="216"/>
      <c r="U60" s="216"/>
      <c r="V60" s="216"/>
      <c r="W60" s="216"/>
      <c r="X60" s="216"/>
      <c r="Y60" s="216"/>
      <c r="Z60" s="216"/>
      <c r="AA60" s="216"/>
      <c r="AB60" s="216"/>
      <c r="AC60" s="216"/>
      <c r="AD60" s="216"/>
      <c r="AE60" s="216"/>
      <c r="AF60" s="216"/>
      <c r="AG60" s="216"/>
      <c r="AH60" s="216"/>
      <c r="AI60" s="216"/>
      <c r="AJ60" s="216"/>
      <c r="AK60" s="216"/>
      <c r="AL60" s="216"/>
      <c r="AM60" s="216"/>
      <c r="AN60" s="216"/>
      <c r="AO60" s="216"/>
      <c r="AP60" s="216"/>
      <c r="AQ60" s="216"/>
      <c r="AR60" s="216"/>
      <c r="AS60" s="216"/>
      <c r="AT60" s="216"/>
      <c r="AU60" s="216"/>
      <c r="AV60" s="216"/>
      <c r="AW60" s="216"/>
      <c r="AX60" s="216"/>
      <c r="AY60" s="216"/>
      <c r="AZ60" s="216"/>
      <c r="BA60" s="216"/>
      <c r="BB60" s="216"/>
      <c r="BC60" s="216"/>
      <c r="BD60" s="216"/>
      <c r="BE60" s="216"/>
      <c r="BF60" s="216"/>
      <c r="BG60" s="324"/>
      <c r="BH60" s="324"/>
      <c r="BI60" s="324"/>
      <c r="BJ60" s="324"/>
      <c r="BK60" s="324"/>
      <c r="BL60" s="324"/>
      <c r="BM60" s="324"/>
      <c r="BN60" s="324"/>
      <c r="BO60" s="324"/>
      <c r="BP60" s="324"/>
      <c r="BQ60" s="324"/>
      <c r="BR60" s="324"/>
      <c r="BS60" s="324"/>
      <c r="BT60" s="324"/>
      <c r="BU60" s="324"/>
      <c r="BV60" s="324"/>
    </row>
    <row r="61" spans="1:74" ht="11.1" customHeight="1" x14ac:dyDescent="0.2">
      <c r="A61" s="35"/>
      <c r="B61" s="36" t="s">
        <v>806</v>
      </c>
      <c r="C61" s="216"/>
      <c r="D61" s="216"/>
      <c r="E61" s="216"/>
      <c r="F61" s="216"/>
      <c r="G61" s="216"/>
      <c r="H61" s="216"/>
      <c r="I61" s="216"/>
      <c r="J61" s="216"/>
      <c r="K61" s="216"/>
      <c r="L61" s="216"/>
      <c r="M61" s="216"/>
      <c r="N61" s="216"/>
      <c r="O61" s="216"/>
      <c r="P61" s="216"/>
      <c r="Q61" s="216"/>
      <c r="R61" s="216"/>
      <c r="S61" s="216"/>
      <c r="T61" s="216"/>
      <c r="U61" s="216"/>
      <c r="V61" s="216"/>
      <c r="W61" s="216"/>
      <c r="X61" s="216"/>
      <c r="Y61" s="216"/>
      <c r="Z61" s="216"/>
      <c r="AA61" s="216"/>
      <c r="AB61" s="216"/>
      <c r="AC61" s="216"/>
      <c r="AD61" s="216"/>
      <c r="AE61" s="216"/>
      <c r="AF61" s="216"/>
      <c r="AG61" s="216"/>
      <c r="AH61" s="216"/>
      <c r="AI61" s="216"/>
      <c r="AJ61" s="216"/>
      <c r="AK61" s="216"/>
      <c r="AL61" s="216"/>
      <c r="AM61" s="216"/>
      <c r="AN61" s="216"/>
      <c r="AO61" s="216"/>
      <c r="AP61" s="216"/>
      <c r="AQ61" s="216"/>
      <c r="AR61" s="216"/>
      <c r="AS61" s="216"/>
      <c r="AT61" s="216"/>
      <c r="AU61" s="216"/>
      <c r="AV61" s="216"/>
      <c r="AW61" s="216"/>
      <c r="AX61" s="216"/>
      <c r="AY61" s="216"/>
      <c r="AZ61" s="216"/>
      <c r="BA61" s="216"/>
      <c r="BB61" s="216"/>
      <c r="BC61" s="216"/>
      <c r="BD61" s="216"/>
      <c r="BE61" s="216"/>
      <c r="BF61" s="216"/>
      <c r="BG61" s="324"/>
      <c r="BH61" s="324"/>
      <c r="BI61" s="324"/>
      <c r="BJ61" s="324"/>
      <c r="BK61" s="324"/>
      <c r="BL61" s="324"/>
      <c r="BM61" s="324"/>
      <c r="BN61" s="324"/>
      <c r="BO61" s="324"/>
      <c r="BP61" s="324"/>
      <c r="BQ61" s="324"/>
      <c r="BR61" s="324"/>
      <c r="BS61" s="324"/>
      <c r="BT61" s="324"/>
      <c r="BU61" s="324"/>
      <c r="BV61" s="324"/>
    </row>
    <row r="62" spans="1:74" ht="11.1" customHeight="1" x14ac:dyDescent="0.2">
      <c r="A62" s="37" t="s">
        <v>573</v>
      </c>
      <c r="B62" s="40" t="s">
        <v>1127</v>
      </c>
      <c r="C62" s="68">
        <v>101.706</v>
      </c>
      <c r="D62" s="68">
        <v>101.11060000000001</v>
      </c>
      <c r="E62" s="68">
        <v>100.95950000000001</v>
      </c>
      <c r="F62" s="68">
        <v>100.5583</v>
      </c>
      <c r="G62" s="68">
        <v>100.5821</v>
      </c>
      <c r="H62" s="68">
        <v>100.8661</v>
      </c>
      <c r="I62" s="68">
        <v>101.1049</v>
      </c>
      <c r="J62" s="68">
        <v>100.73390000000001</v>
      </c>
      <c r="K62" s="68">
        <v>101.12690000000001</v>
      </c>
      <c r="L62" s="68">
        <v>101.43470000000001</v>
      </c>
      <c r="M62" s="68">
        <v>101.51779999999999</v>
      </c>
      <c r="N62" s="68">
        <v>101.88079999999999</v>
      </c>
      <c r="O62" s="68">
        <v>102.4892</v>
      </c>
      <c r="P62" s="68">
        <v>102.4152</v>
      </c>
      <c r="Q62" s="68">
        <v>102.1635</v>
      </c>
      <c r="R62" s="68">
        <v>103.3416</v>
      </c>
      <c r="S62" s="68">
        <v>103.1555</v>
      </c>
      <c r="T62" s="68">
        <v>103.27930000000001</v>
      </c>
      <c r="U62" s="68">
        <v>103.1101</v>
      </c>
      <c r="V62" s="68">
        <v>102.8276</v>
      </c>
      <c r="W62" s="68">
        <v>102.7012</v>
      </c>
      <c r="X62" s="68">
        <v>104.09310000000001</v>
      </c>
      <c r="Y62" s="68">
        <v>104.4259</v>
      </c>
      <c r="Z62" s="68">
        <v>104.4342</v>
      </c>
      <c r="AA62" s="68">
        <v>104.0461</v>
      </c>
      <c r="AB62" s="68">
        <v>105.16670000000001</v>
      </c>
      <c r="AC62" s="68">
        <v>105.22620000000001</v>
      </c>
      <c r="AD62" s="68">
        <v>105.7471</v>
      </c>
      <c r="AE62" s="68">
        <v>104.965</v>
      </c>
      <c r="AF62" s="68">
        <v>105.79130000000001</v>
      </c>
      <c r="AG62" s="68">
        <v>106.24120000000001</v>
      </c>
      <c r="AH62" s="68">
        <v>106.7033</v>
      </c>
      <c r="AI62" s="68">
        <v>106.71</v>
      </c>
      <c r="AJ62" s="68">
        <v>106.6054</v>
      </c>
      <c r="AK62" s="68">
        <v>106.81010000000001</v>
      </c>
      <c r="AL62" s="68">
        <v>107.49630000000001</v>
      </c>
      <c r="AM62" s="68">
        <v>106.879</v>
      </c>
      <c r="AN62" s="68">
        <v>106.32040000000001</v>
      </c>
      <c r="AO62" s="68">
        <v>106.3014</v>
      </c>
      <c r="AP62" s="68">
        <v>105.3737</v>
      </c>
      <c r="AQ62" s="68">
        <v>105.5026</v>
      </c>
      <c r="AR62" s="68">
        <v>106.0976</v>
      </c>
      <c r="AS62" s="68">
        <v>105.6872</v>
      </c>
      <c r="AT62" s="68">
        <v>106.35039999999999</v>
      </c>
      <c r="AU62" s="68">
        <v>105.65560000000001</v>
      </c>
      <c r="AV62" s="68">
        <v>105.059</v>
      </c>
      <c r="AW62" s="68">
        <v>106.1088</v>
      </c>
      <c r="AX62" s="68">
        <v>106.35939999999999</v>
      </c>
      <c r="AY62" s="68">
        <v>106.17529999999999</v>
      </c>
      <c r="AZ62" s="68">
        <v>106.1033</v>
      </c>
      <c r="BA62" s="68">
        <v>100.8546</v>
      </c>
      <c r="BB62" s="68">
        <v>84.659400000000005</v>
      </c>
      <c r="BC62" s="68">
        <v>87.944400000000002</v>
      </c>
      <c r="BD62" s="68">
        <v>94.555000000000007</v>
      </c>
      <c r="BE62" s="68">
        <v>97.782200000000003</v>
      </c>
      <c r="BF62" s="68">
        <v>97.607681235000001</v>
      </c>
      <c r="BG62" s="325">
        <v>98.582729999999998</v>
      </c>
      <c r="BH62" s="325">
        <v>97.439409999999995</v>
      </c>
      <c r="BI62" s="325">
        <v>97.558809999999994</v>
      </c>
      <c r="BJ62" s="325">
        <v>97.711439999999996</v>
      </c>
      <c r="BK62" s="325">
        <v>97.868210000000005</v>
      </c>
      <c r="BL62" s="325">
        <v>98.109110000000001</v>
      </c>
      <c r="BM62" s="325">
        <v>98.40504</v>
      </c>
      <c r="BN62" s="325">
        <v>98.854330000000004</v>
      </c>
      <c r="BO62" s="325">
        <v>99.186610000000002</v>
      </c>
      <c r="BP62" s="325">
        <v>99.500200000000007</v>
      </c>
      <c r="BQ62" s="325">
        <v>99.716729999999998</v>
      </c>
      <c r="BR62" s="325">
        <v>100.0517</v>
      </c>
      <c r="BS62" s="325">
        <v>100.4268</v>
      </c>
      <c r="BT62" s="325">
        <v>100.8369</v>
      </c>
      <c r="BU62" s="325">
        <v>101.2959</v>
      </c>
      <c r="BV62" s="325">
        <v>101.79859999999999</v>
      </c>
    </row>
    <row r="63" spans="1:74" ht="11.1" customHeight="1" x14ac:dyDescent="0.2">
      <c r="A63" s="37" t="s">
        <v>30</v>
      </c>
      <c r="B63" s="39" t="s">
        <v>11</v>
      </c>
      <c r="C63" s="68">
        <v>-0.94568403829000003</v>
      </c>
      <c r="D63" s="68">
        <v>-0.83015388840000004</v>
      </c>
      <c r="E63" s="68">
        <v>-1.2746545671</v>
      </c>
      <c r="F63" s="68">
        <v>-1.5404634804999999</v>
      </c>
      <c r="G63" s="68">
        <v>-1.4730731667999999</v>
      </c>
      <c r="H63" s="68">
        <v>-0.77966765265000004</v>
      </c>
      <c r="I63" s="68">
        <v>-1.1904459408000001</v>
      </c>
      <c r="J63" s="68">
        <v>-1.2618933497</v>
      </c>
      <c r="K63" s="68">
        <v>-0.4856308379</v>
      </c>
      <c r="L63" s="68">
        <v>-0.15689887503</v>
      </c>
      <c r="M63" s="68">
        <v>0.21589530409999999</v>
      </c>
      <c r="N63" s="68">
        <v>0.87277832618999995</v>
      </c>
      <c r="O63" s="68">
        <v>0.77006272983000001</v>
      </c>
      <c r="P63" s="68">
        <v>1.2902702585000001</v>
      </c>
      <c r="Q63" s="68">
        <v>1.1925574116</v>
      </c>
      <c r="R63" s="68">
        <v>2.7678471095999999</v>
      </c>
      <c r="S63" s="68">
        <v>2.5585069312000002</v>
      </c>
      <c r="T63" s="68">
        <v>2.3924787416000002</v>
      </c>
      <c r="U63" s="68">
        <v>1.9832866656000001</v>
      </c>
      <c r="V63" s="68">
        <v>2.0784462826999999</v>
      </c>
      <c r="W63" s="68">
        <v>1.5567569064</v>
      </c>
      <c r="X63" s="68">
        <v>2.6207993910999998</v>
      </c>
      <c r="Y63" s="68">
        <v>2.8646207857000001</v>
      </c>
      <c r="Z63" s="68">
        <v>2.5062622202</v>
      </c>
      <c r="AA63" s="68">
        <v>1.5190868892</v>
      </c>
      <c r="AB63" s="68">
        <v>2.6866129245999999</v>
      </c>
      <c r="AC63" s="68">
        <v>2.9978416949</v>
      </c>
      <c r="AD63" s="68">
        <v>2.3277170084000001</v>
      </c>
      <c r="AE63" s="68">
        <v>1.7541478640999999</v>
      </c>
      <c r="AF63" s="68">
        <v>2.4322395679</v>
      </c>
      <c r="AG63" s="68">
        <v>3.0366569327000001</v>
      </c>
      <c r="AH63" s="68">
        <v>3.7691242428999998</v>
      </c>
      <c r="AI63" s="68">
        <v>3.9033623755</v>
      </c>
      <c r="AJ63" s="68">
        <v>2.4135125191000002</v>
      </c>
      <c r="AK63" s="68">
        <v>2.2831500614000002</v>
      </c>
      <c r="AL63" s="68">
        <v>2.9320854663000002</v>
      </c>
      <c r="AM63" s="68">
        <v>2.7227354029000002</v>
      </c>
      <c r="AN63" s="68">
        <v>1.0970202545000001</v>
      </c>
      <c r="AO63" s="68">
        <v>1.0217987534999999</v>
      </c>
      <c r="AP63" s="68">
        <v>-0.35310661001999999</v>
      </c>
      <c r="AQ63" s="68">
        <v>0.51217072357000004</v>
      </c>
      <c r="AR63" s="68">
        <v>0.28953231503999999</v>
      </c>
      <c r="AS63" s="68">
        <v>-0.52145495345000004</v>
      </c>
      <c r="AT63" s="68">
        <v>-0.33073016486000001</v>
      </c>
      <c r="AU63" s="68">
        <v>-0.98809858495000003</v>
      </c>
      <c r="AV63" s="68">
        <v>-1.4505831787000001</v>
      </c>
      <c r="AW63" s="68">
        <v>-0.65658584722000002</v>
      </c>
      <c r="AX63" s="68">
        <v>-1.0576177971</v>
      </c>
      <c r="AY63" s="68">
        <v>-0.65840810636000002</v>
      </c>
      <c r="AZ63" s="68">
        <v>-0.20419411514999999</v>
      </c>
      <c r="BA63" s="68">
        <v>-5.1239212278000004</v>
      </c>
      <c r="BB63" s="68">
        <v>-19.657941213000001</v>
      </c>
      <c r="BC63" s="68">
        <v>-16.642433456999999</v>
      </c>
      <c r="BD63" s="68">
        <v>-10.879228182</v>
      </c>
      <c r="BE63" s="68">
        <v>-7.4796191024000001</v>
      </c>
      <c r="BF63" s="68">
        <v>-8.2206731384000005</v>
      </c>
      <c r="BG63" s="325">
        <v>-6.694267</v>
      </c>
      <c r="BH63" s="325">
        <v>-7.2526739999999998</v>
      </c>
      <c r="BI63" s="325">
        <v>-8.0577579999999998</v>
      </c>
      <c r="BJ63" s="325">
        <v>-8.1308880000000006</v>
      </c>
      <c r="BK63" s="325">
        <v>-7.8239340000000004</v>
      </c>
      <c r="BL63" s="325">
        <v>-7.5343460000000002</v>
      </c>
      <c r="BM63" s="325">
        <v>-2.4287990000000002</v>
      </c>
      <c r="BN63" s="325">
        <v>16.767099999999999</v>
      </c>
      <c r="BO63" s="325">
        <v>12.78331</v>
      </c>
      <c r="BP63" s="325">
        <v>5.2299680000000004</v>
      </c>
      <c r="BQ63" s="325">
        <v>1.9784090000000001</v>
      </c>
      <c r="BR63" s="325">
        <v>2.5039280000000002</v>
      </c>
      <c r="BS63" s="325">
        <v>1.8705400000000001</v>
      </c>
      <c r="BT63" s="325">
        <v>3.486818</v>
      </c>
      <c r="BU63" s="325">
        <v>3.8305720000000001</v>
      </c>
      <c r="BV63" s="325">
        <v>4.1828729999999998</v>
      </c>
    </row>
    <row r="64" spans="1:74" ht="11.1" customHeight="1" x14ac:dyDescent="0.2">
      <c r="A64" s="26"/>
      <c r="B64" s="29"/>
      <c r="C64" s="216"/>
      <c r="D64" s="216"/>
      <c r="E64" s="216"/>
      <c r="F64" s="216"/>
      <c r="G64" s="216"/>
      <c r="H64" s="216"/>
      <c r="I64" s="216"/>
      <c r="J64" s="216"/>
      <c r="K64" s="216"/>
      <c r="L64" s="216"/>
      <c r="M64" s="216"/>
      <c r="N64" s="216"/>
      <c r="O64" s="216"/>
      <c r="P64" s="216"/>
      <c r="Q64" s="216"/>
      <c r="R64" s="216"/>
      <c r="S64" s="216"/>
      <c r="T64" s="216"/>
      <c r="U64" s="216"/>
      <c r="V64" s="216"/>
      <c r="W64" s="216"/>
      <c r="X64" s="216"/>
      <c r="Y64" s="216"/>
      <c r="Z64" s="216"/>
      <c r="AA64" s="216"/>
      <c r="AB64" s="216"/>
      <c r="AC64" s="216"/>
      <c r="AD64" s="216"/>
      <c r="AE64" s="216"/>
      <c r="AF64" s="216"/>
      <c r="AG64" s="216"/>
      <c r="AH64" s="216"/>
      <c r="AI64" s="216"/>
      <c r="AJ64" s="216"/>
      <c r="AK64" s="216"/>
      <c r="AL64" s="216"/>
      <c r="AM64" s="216"/>
      <c r="AN64" s="216"/>
      <c r="AO64" s="216"/>
      <c r="AP64" s="216"/>
      <c r="AQ64" s="216"/>
      <c r="AR64" s="216"/>
      <c r="AS64" s="216"/>
      <c r="AT64" s="216"/>
      <c r="AU64" s="216"/>
      <c r="AV64" s="216"/>
      <c r="AW64" s="216"/>
      <c r="AX64" s="216"/>
      <c r="AY64" s="216"/>
      <c r="AZ64" s="216"/>
      <c r="BA64" s="216"/>
      <c r="BB64" s="216"/>
      <c r="BC64" s="216"/>
      <c r="BD64" s="216"/>
      <c r="BE64" s="216"/>
      <c r="BF64" s="216"/>
      <c r="BG64" s="324"/>
      <c r="BH64" s="324"/>
      <c r="BI64" s="324"/>
      <c r="BJ64" s="324"/>
      <c r="BK64" s="324"/>
      <c r="BL64" s="324"/>
      <c r="BM64" s="324"/>
      <c r="BN64" s="324"/>
      <c r="BO64" s="324"/>
      <c r="BP64" s="324"/>
      <c r="BQ64" s="324"/>
      <c r="BR64" s="324"/>
      <c r="BS64" s="324"/>
      <c r="BT64" s="324"/>
      <c r="BU64" s="324"/>
      <c r="BV64" s="324"/>
    </row>
    <row r="65" spans="1:74" ht="11.1" customHeight="1" x14ac:dyDescent="0.2">
      <c r="A65" s="19"/>
      <c r="B65" s="20" t="s">
        <v>807</v>
      </c>
      <c r="C65" s="216"/>
      <c r="D65" s="216"/>
      <c r="E65" s="216"/>
      <c r="F65" s="216"/>
      <c r="G65" s="216"/>
      <c r="H65" s="216"/>
      <c r="I65" s="216"/>
      <c r="J65" s="216"/>
      <c r="K65" s="216"/>
      <c r="L65" s="216"/>
      <c r="M65" s="216"/>
      <c r="N65" s="216"/>
      <c r="O65" s="216"/>
      <c r="P65" s="216"/>
      <c r="Q65" s="216"/>
      <c r="R65" s="216"/>
      <c r="S65" s="216"/>
      <c r="T65" s="216"/>
      <c r="U65" s="216"/>
      <c r="V65" s="216"/>
      <c r="W65" s="216"/>
      <c r="X65" s="216"/>
      <c r="Y65" s="216"/>
      <c r="Z65" s="216"/>
      <c r="AA65" s="216"/>
      <c r="AB65" s="216"/>
      <c r="AC65" s="216"/>
      <c r="AD65" s="216"/>
      <c r="AE65" s="216"/>
      <c r="AF65" s="216"/>
      <c r="AG65" s="216"/>
      <c r="AH65" s="216"/>
      <c r="AI65" s="216"/>
      <c r="AJ65" s="216"/>
      <c r="AK65" s="216"/>
      <c r="AL65" s="216"/>
      <c r="AM65" s="216"/>
      <c r="AN65" s="216"/>
      <c r="AO65" s="216"/>
      <c r="AP65" s="216"/>
      <c r="AQ65" s="216"/>
      <c r="AR65" s="216"/>
      <c r="AS65" s="216"/>
      <c r="AT65" s="216"/>
      <c r="AU65" s="216"/>
      <c r="AV65" s="216"/>
      <c r="AW65" s="216"/>
      <c r="AX65" s="216"/>
      <c r="AY65" s="216"/>
      <c r="AZ65" s="216"/>
      <c r="BA65" s="216"/>
      <c r="BB65" s="216"/>
      <c r="BC65" s="216"/>
      <c r="BD65" s="216"/>
      <c r="BE65" s="216"/>
      <c r="BF65" s="216"/>
      <c r="BG65" s="324"/>
      <c r="BH65" s="324"/>
      <c r="BI65" s="324"/>
      <c r="BJ65" s="324"/>
      <c r="BK65" s="324"/>
      <c r="BL65" s="324"/>
      <c r="BM65" s="324"/>
      <c r="BN65" s="324"/>
      <c r="BO65" s="324"/>
      <c r="BP65" s="324"/>
      <c r="BQ65" s="324"/>
      <c r="BR65" s="324"/>
      <c r="BS65" s="324"/>
      <c r="BT65" s="324"/>
      <c r="BU65" s="324"/>
      <c r="BV65" s="324"/>
    </row>
    <row r="66" spans="1:74" ht="11.1" customHeight="1" x14ac:dyDescent="0.2">
      <c r="A66" s="19"/>
      <c r="B66" s="22"/>
      <c r="C66" s="216"/>
      <c r="D66" s="216"/>
      <c r="E66" s="216"/>
      <c r="F66" s="216"/>
      <c r="G66" s="216"/>
      <c r="H66" s="216"/>
      <c r="I66" s="216"/>
      <c r="J66" s="216"/>
      <c r="K66" s="216"/>
      <c r="L66" s="216"/>
      <c r="M66" s="216"/>
      <c r="N66" s="216"/>
      <c r="O66" s="216"/>
      <c r="P66" s="216"/>
      <c r="Q66" s="216"/>
      <c r="R66" s="216"/>
      <c r="S66" s="216"/>
      <c r="T66" s="216"/>
      <c r="U66" s="216"/>
      <c r="V66" s="216"/>
      <c r="W66" s="216"/>
      <c r="X66" s="216"/>
      <c r="Y66" s="216"/>
      <c r="Z66" s="216"/>
      <c r="AA66" s="216"/>
      <c r="AB66" s="216"/>
      <c r="AC66" s="216"/>
      <c r="AD66" s="216"/>
      <c r="AE66" s="216"/>
      <c r="AF66" s="216"/>
      <c r="AG66" s="216"/>
      <c r="AH66" s="216"/>
      <c r="AI66" s="216"/>
      <c r="AJ66" s="216"/>
      <c r="AK66" s="216"/>
      <c r="AL66" s="216"/>
      <c r="AM66" s="216"/>
      <c r="AN66" s="216"/>
      <c r="AO66" s="216"/>
      <c r="AP66" s="216"/>
      <c r="AQ66" s="216"/>
      <c r="AR66" s="216"/>
      <c r="AS66" s="216"/>
      <c r="AT66" s="216"/>
      <c r="AU66" s="216"/>
      <c r="AV66" s="216"/>
      <c r="AW66" s="216"/>
      <c r="AX66" s="216"/>
      <c r="AY66" s="216"/>
      <c r="AZ66" s="216"/>
      <c r="BA66" s="216"/>
      <c r="BB66" s="216"/>
      <c r="BC66" s="216"/>
      <c r="BD66" s="216"/>
      <c r="BE66" s="216"/>
      <c r="BF66" s="216"/>
      <c r="BG66" s="324"/>
      <c r="BH66" s="324"/>
      <c r="BI66" s="324"/>
      <c r="BJ66" s="324"/>
      <c r="BK66" s="324"/>
      <c r="BL66" s="324"/>
      <c r="BM66" s="324"/>
      <c r="BN66" s="324"/>
      <c r="BO66" s="324"/>
      <c r="BP66" s="324"/>
      <c r="BQ66" s="324"/>
      <c r="BR66" s="324"/>
      <c r="BS66" s="324"/>
      <c r="BT66" s="324"/>
      <c r="BU66" s="324"/>
      <c r="BV66" s="324"/>
    </row>
    <row r="67" spans="1:74" ht="11.1" customHeight="1" x14ac:dyDescent="0.2">
      <c r="A67" s="37" t="s">
        <v>574</v>
      </c>
      <c r="B67" s="41" t="s">
        <v>808</v>
      </c>
      <c r="C67" s="238">
        <v>870.78703095000003</v>
      </c>
      <c r="D67" s="238">
        <v>627.93085418999999</v>
      </c>
      <c r="E67" s="238">
        <v>449.74364516000003</v>
      </c>
      <c r="F67" s="238">
        <v>309.40539027</v>
      </c>
      <c r="G67" s="238">
        <v>150.46254603</v>
      </c>
      <c r="H67" s="238">
        <v>20.805959799</v>
      </c>
      <c r="I67" s="238">
        <v>5.6652801715000001</v>
      </c>
      <c r="J67" s="238">
        <v>6.4041284983000004</v>
      </c>
      <c r="K67" s="238">
        <v>38.860550064000002</v>
      </c>
      <c r="L67" s="238">
        <v>197.567927</v>
      </c>
      <c r="M67" s="238">
        <v>418.10447042999999</v>
      </c>
      <c r="N67" s="238">
        <v>782.93742613999996</v>
      </c>
      <c r="O67" s="238">
        <v>766.30428791999998</v>
      </c>
      <c r="P67" s="238">
        <v>547.11643475999995</v>
      </c>
      <c r="Q67" s="238">
        <v>542.55769178000003</v>
      </c>
      <c r="R67" s="238">
        <v>247.84273077</v>
      </c>
      <c r="S67" s="238">
        <v>153.72009127000001</v>
      </c>
      <c r="T67" s="238">
        <v>24.730240924</v>
      </c>
      <c r="U67" s="238">
        <v>5.2161611694000003</v>
      </c>
      <c r="V67" s="238">
        <v>15.1675065</v>
      </c>
      <c r="W67" s="238">
        <v>44.510979347000003</v>
      </c>
      <c r="X67" s="238">
        <v>192.89713144000001</v>
      </c>
      <c r="Y67" s="238">
        <v>490.05555229999999</v>
      </c>
      <c r="Z67" s="238">
        <v>797.79460360999997</v>
      </c>
      <c r="AA67" s="238">
        <v>896.13629879999996</v>
      </c>
      <c r="AB67" s="238">
        <v>624.95230395999999</v>
      </c>
      <c r="AC67" s="238">
        <v>608.65972768999995</v>
      </c>
      <c r="AD67" s="238">
        <v>410.22449158000001</v>
      </c>
      <c r="AE67" s="238">
        <v>85.363732217999996</v>
      </c>
      <c r="AF67" s="238">
        <v>26.391929106999999</v>
      </c>
      <c r="AG67" s="238">
        <v>3.5458233948000002</v>
      </c>
      <c r="AH67" s="238">
        <v>6.9661846958</v>
      </c>
      <c r="AI67" s="238">
        <v>37.672173913000002</v>
      </c>
      <c r="AJ67" s="238">
        <v>253.55277312999999</v>
      </c>
      <c r="AK67" s="238">
        <v>593.56126648999998</v>
      </c>
      <c r="AL67" s="238">
        <v>731.57470525999997</v>
      </c>
      <c r="AM67" s="238">
        <v>859.16315071999998</v>
      </c>
      <c r="AN67" s="238">
        <v>719.17002914</v>
      </c>
      <c r="AO67" s="238">
        <v>631.46329893999996</v>
      </c>
      <c r="AP67" s="238">
        <v>287.82943584999998</v>
      </c>
      <c r="AQ67" s="238">
        <v>158.17594837999999</v>
      </c>
      <c r="AR67" s="238">
        <v>34.007344416000002</v>
      </c>
      <c r="AS67" s="238">
        <v>5.1787769853999999</v>
      </c>
      <c r="AT67" s="238">
        <v>10.189401422</v>
      </c>
      <c r="AU67" s="238">
        <v>41.060854325000001</v>
      </c>
      <c r="AV67" s="238">
        <v>253.36975661</v>
      </c>
      <c r="AW67" s="238">
        <v>588.75535261000005</v>
      </c>
      <c r="AX67" s="238">
        <v>715.38082042999997</v>
      </c>
      <c r="AY67" s="238">
        <v>739.42361827000002</v>
      </c>
      <c r="AZ67" s="238">
        <v>652.38807843999996</v>
      </c>
      <c r="BA67" s="238">
        <v>484.07260337999998</v>
      </c>
      <c r="BB67" s="238">
        <v>358.05317508000002</v>
      </c>
      <c r="BC67" s="238">
        <v>156.11574668</v>
      </c>
      <c r="BD67" s="238">
        <v>25.636986758999999</v>
      </c>
      <c r="BE67" s="238">
        <v>4.6532935302</v>
      </c>
      <c r="BF67" s="238">
        <v>6.4039163367</v>
      </c>
      <c r="BG67" s="329">
        <v>56.084596969000003</v>
      </c>
      <c r="BH67" s="329">
        <v>247.72569014000001</v>
      </c>
      <c r="BI67" s="329">
        <v>492.53709144999999</v>
      </c>
      <c r="BJ67" s="329">
        <v>777.33177597999997</v>
      </c>
      <c r="BK67" s="329">
        <v>851.26994272000002</v>
      </c>
      <c r="BL67" s="329">
        <v>688.79631123000001</v>
      </c>
      <c r="BM67" s="329">
        <v>560.09310756000002</v>
      </c>
      <c r="BN67" s="329">
        <v>313.26004934000002</v>
      </c>
      <c r="BO67" s="329">
        <v>139.37425091</v>
      </c>
      <c r="BP67" s="329">
        <v>30.317934475000001</v>
      </c>
      <c r="BQ67" s="329">
        <v>6.8023295074999997</v>
      </c>
      <c r="BR67" s="329">
        <v>10.243725635000001</v>
      </c>
      <c r="BS67" s="329">
        <v>54.489392283000001</v>
      </c>
      <c r="BT67" s="329">
        <v>240.93337167999999</v>
      </c>
      <c r="BU67" s="329">
        <v>481.19060331999998</v>
      </c>
      <c r="BV67" s="329">
        <v>776.54433122</v>
      </c>
    </row>
    <row r="68" spans="1:74" ht="11.1" customHeight="1" x14ac:dyDescent="0.2">
      <c r="A68" s="19"/>
      <c r="B68" s="22"/>
      <c r="C68" s="216"/>
      <c r="D68" s="216"/>
      <c r="E68" s="216"/>
      <c r="F68" s="216"/>
      <c r="G68" s="216"/>
      <c r="H68" s="216"/>
      <c r="I68" s="216"/>
      <c r="J68" s="216"/>
      <c r="K68" s="216"/>
      <c r="L68" s="216"/>
      <c r="M68" s="216"/>
      <c r="N68" s="216"/>
      <c r="O68" s="216"/>
      <c r="P68" s="216"/>
      <c r="Q68" s="216"/>
      <c r="R68" s="216"/>
      <c r="S68" s="216"/>
      <c r="T68" s="216"/>
      <c r="U68" s="216"/>
      <c r="V68" s="216"/>
      <c r="W68" s="216"/>
      <c r="X68" s="216"/>
      <c r="Y68" s="216"/>
      <c r="Z68" s="216"/>
      <c r="AA68" s="216"/>
      <c r="AB68" s="216"/>
      <c r="AC68" s="216"/>
      <c r="AD68" s="216"/>
      <c r="AE68" s="216"/>
      <c r="AF68" s="216"/>
      <c r="AG68" s="216"/>
      <c r="AH68" s="216"/>
      <c r="AI68" s="216"/>
      <c r="AJ68" s="216"/>
      <c r="AK68" s="216"/>
      <c r="AL68" s="216"/>
      <c r="AM68" s="216"/>
      <c r="AN68" s="216"/>
      <c r="AO68" s="216"/>
      <c r="AP68" s="216"/>
      <c r="AQ68" s="216"/>
      <c r="AR68" s="216"/>
      <c r="AS68" s="216"/>
      <c r="AT68" s="216"/>
      <c r="AU68" s="216"/>
      <c r="AV68" s="216"/>
      <c r="AW68" s="216"/>
      <c r="AX68" s="216"/>
      <c r="AY68" s="216"/>
      <c r="AZ68" s="216"/>
      <c r="BA68" s="216"/>
      <c r="BB68" s="216"/>
      <c r="BC68" s="216"/>
      <c r="BD68" s="216"/>
      <c r="BE68" s="216"/>
      <c r="BF68" s="216"/>
      <c r="BG68" s="324"/>
      <c r="BH68" s="324"/>
      <c r="BI68" s="324"/>
      <c r="BJ68" s="324"/>
      <c r="BK68" s="324"/>
      <c r="BL68" s="324"/>
      <c r="BM68" s="324"/>
      <c r="BN68" s="324"/>
      <c r="BO68" s="324"/>
      <c r="BP68" s="324"/>
      <c r="BQ68" s="324"/>
      <c r="BR68" s="324"/>
      <c r="BS68" s="324"/>
      <c r="BT68" s="324"/>
      <c r="BU68" s="324"/>
      <c r="BV68" s="324"/>
    </row>
    <row r="69" spans="1:74" ht="11.1" customHeight="1" x14ac:dyDescent="0.2">
      <c r="A69" s="37" t="s">
        <v>581</v>
      </c>
      <c r="B69" s="42" t="s">
        <v>5</v>
      </c>
      <c r="C69" s="268">
        <v>7.4405600420000004</v>
      </c>
      <c r="D69" s="268">
        <v>11.159724407000001</v>
      </c>
      <c r="E69" s="268">
        <v>35.216666811000003</v>
      </c>
      <c r="F69" s="268">
        <v>42.495039171999998</v>
      </c>
      <c r="G69" s="268">
        <v>97.534597796</v>
      </c>
      <c r="H69" s="268">
        <v>270.85030499999999</v>
      </c>
      <c r="I69" s="268">
        <v>383.70547388</v>
      </c>
      <c r="J69" s="268">
        <v>361.95328028</v>
      </c>
      <c r="K69" s="268">
        <v>219.27566680999999</v>
      </c>
      <c r="L69" s="268">
        <v>86.479280372999995</v>
      </c>
      <c r="M69" s="268">
        <v>25.543511745</v>
      </c>
      <c r="N69" s="268">
        <v>16.554870723000001</v>
      </c>
      <c r="O69" s="268">
        <v>16.661354357</v>
      </c>
      <c r="P69" s="268">
        <v>21.733911524</v>
      </c>
      <c r="Q69" s="268">
        <v>31.938342560999999</v>
      </c>
      <c r="R69" s="268">
        <v>55.948397116000002</v>
      </c>
      <c r="S69" s="268">
        <v>105.7457019</v>
      </c>
      <c r="T69" s="268">
        <v>241.38829265999999</v>
      </c>
      <c r="U69" s="268">
        <v>363.07942250000002</v>
      </c>
      <c r="V69" s="268">
        <v>292.196528</v>
      </c>
      <c r="W69" s="268">
        <v>184.33663913999999</v>
      </c>
      <c r="X69" s="268">
        <v>77.773442371000002</v>
      </c>
      <c r="Y69" s="268">
        <v>27.420420118999999</v>
      </c>
      <c r="Z69" s="268">
        <v>10.119832095</v>
      </c>
      <c r="AA69" s="268">
        <v>7.5232976449000004</v>
      </c>
      <c r="AB69" s="268">
        <v>22.923752128</v>
      </c>
      <c r="AC69" s="268">
        <v>21.141661171999999</v>
      </c>
      <c r="AD69" s="268">
        <v>32.692720792999999</v>
      </c>
      <c r="AE69" s="268">
        <v>174.30277226000001</v>
      </c>
      <c r="AF69" s="268">
        <v>270.07541722000002</v>
      </c>
      <c r="AG69" s="268">
        <v>376.09655803999999</v>
      </c>
      <c r="AH69" s="268">
        <v>351.07406743000001</v>
      </c>
      <c r="AI69" s="268">
        <v>231.13134208</v>
      </c>
      <c r="AJ69" s="268">
        <v>69.531336924000001</v>
      </c>
      <c r="AK69" s="268">
        <v>17.801906820999999</v>
      </c>
      <c r="AL69" s="268">
        <v>10.704606985</v>
      </c>
      <c r="AM69" s="268">
        <v>8.9885076093999992</v>
      </c>
      <c r="AN69" s="268">
        <v>18.151197108000002</v>
      </c>
      <c r="AO69" s="268">
        <v>18.498611650000001</v>
      </c>
      <c r="AP69" s="268">
        <v>41.807873502</v>
      </c>
      <c r="AQ69" s="268">
        <v>129.27643965999999</v>
      </c>
      <c r="AR69" s="268">
        <v>227.03773785000001</v>
      </c>
      <c r="AS69" s="268">
        <v>372.56494796999999</v>
      </c>
      <c r="AT69" s="268">
        <v>336.10190204999998</v>
      </c>
      <c r="AU69" s="268">
        <v>243.03981112</v>
      </c>
      <c r="AV69" s="268">
        <v>75.159852110000003</v>
      </c>
      <c r="AW69" s="268">
        <v>16.122198795999999</v>
      </c>
      <c r="AX69" s="268">
        <v>13.724772258</v>
      </c>
      <c r="AY69" s="268">
        <v>15.157272925999999</v>
      </c>
      <c r="AZ69" s="268">
        <v>12.583005074000001</v>
      </c>
      <c r="BA69" s="268">
        <v>42.416986381999997</v>
      </c>
      <c r="BB69" s="268">
        <v>42.649979453</v>
      </c>
      <c r="BC69" s="268">
        <v>105.37791278</v>
      </c>
      <c r="BD69" s="268">
        <v>248.01227012999999</v>
      </c>
      <c r="BE69" s="268">
        <v>398.32026069</v>
      </c>
      <c r="BF69" s="268">
        <v>360.96597150000002</v>
      </c>
      <c r="BG69" s="331">
        <v>177.17104039</v>
      </c>
      <c r="BH69" s="331">
        <v>63.426402006000004</v>
      </c>
      <c r="BI69" s="331">
        <v>20.509738758000001</v>
      </c>
      <c r="BJ69" s="331">
        <v>10.07032543</v>
      </c>
      <c r="BK69" s="331">
        <v>10.616309201</v>
      </c>
      <c r="BL69" s="331">
        <v>11.724196554000001</v>
      </c>
      <c r="BM69" s="331">
        <v>23.270559235</v>
      </c>
      <c r="BN69" s="331">
        <v>41.557179972</v>
      </c>
      <c r="BO69" s="331">
        <v>124.05257616</v>
      </c>
      <c r="BP69" s="331">
        <v>243.49336335999999</v>
      </c>
      <c r="BQ69" s="331">
        <v>354.89380750999999</v>
      </c>
      <c r="BR69" s="331">
        <v>330.48507732000002</v>
      </c>
      <c r="BS69" s="331">
        <v>181.77989192000001</v>
      </c>
      <c r="BT69" s="331">
        <v>66.624900819999993</v>
      </c>
      <c r="BU69" s="331">
        <v>22.246198225000001</v>
      </c>
      <c r="BV69" s="331">
        <v>10.105602934</v>
      </c>
    </row>
    <row r="70" spans="1:74" s="274" customFormat="1" ht="11.1" customHeight="1" x14ac:dyDescent="0.2">
      <c r="A70" s="16"/>
      <c r="C70" s="275"/>
      <c r="D70" s="275"/>
      <c r="E70" s="275"/>
      <c r="F70" s="275"/>
      <c r="G70" s="275"/>
      <c r="H70" s="275"/>
      <c r="I70" s="275"/>
      <c r="J70" s="275"/>
      <c r="K70" s="275"/>
      <c r="L70" s="275"/>
      <c r="M70" s="275"/>
      <c r="N70" s="275"/>
      <c r="O70" s="275"/>
      <c r="P70" s="275"/>
      <c r="Q70" s="275"/>
      <c r="R70" s="275"/>
      <c r="S70" s="275"/>
      <c r="T70" s="275"/>
      <c r="U70" s="275"/>
      <c r="V70" s="275"/>
      <c r="W70" s="275"/>
      <c r="X70" s="275"/>
      <c r="Y70" s="275"/>
      <c r="Z70" s="275"/>
      <c r="AA70" s="275"/>
      <c r="AB70" s="275"/>
      <c r="AC70" s="275"/>
      <c r="AD70" s="275"/>
      <c r="AE70" s="275"/>
      <c r="AF70" s="275"/>
      <c r="AG70" s="275"/>
      <c r="AH70" s="275"/>
      <c r="AI70" s="275"/>
      <c r="AJ70" s="275"/>
      <c r="AK70" s="275"/>
      <c r="AL70" s="275"/>
      <c r="AM70" s="275"/>
      <c r="AN70" s="275"/>
      <c r="AO70" s="275"/>
      <c r="AP70" s="275"/>
      <c r="AQ70" s="275"/>
      <c r="AR70" s="275"/>
      <c r="AS70" s="275"/>
      <c r="AT70" s="275"/>
      <c r="AU70" s="275"/>
      <c r="AV70" s="275"/>
      <c r="AW70" s="275"/>
      <c r="AX70" s="275"/>
      <c r="AY70" s="332"/>
      <c r="AZ70" s="332"/>
      <c r="BA70" s="332"/>
      <c r="BB70" s="332"/>
      <c r="BC70" s="332"/>
      <c r="BD70" s="332"/>
      <c r="BE70" s="275"/>
      <c r="BF70" s="275"/>
      <c r="BG70" s="332"/>
      <c r="BH70" s="332"/>
      <c r="BI70" s="332"/>
      <c r="BJ70" s="332"/>
      <c r="BK70" s="332"/>
      <c r="BL70" s="332"/>
      <c r="BM70" s="332"/>
      <c r="BN70" s="332"/>
      <c r="BO70" s="332"/>
      <c r="BP70" s="332"/>
      <c r="BQ70" s="332"/>
      <c r="BR70" s="332"/>
      <c r="BS70" s="332"/>
      <c r="BT70" s="332"/>
      <c r="BU70" s="332"/>
      <c r="BV70" s="332"/>
    </row>
    <row r="71" spans="1:74" s="274" customFormat="1" ht="12" customHeight="1" x14ac:dyDescent="0.25">
      <c r="A71" s="16"/>
      <c r="B71" s="808" t="s">
        <v>826</v>
      </c>
      <c r="C71" s="805"/>
      <c r="D71" s="805"/>
      <c r="E71" s="805"/>
      <c r="F71" s="805"/>
      <c r="G71" s="805"/>
      <c r="H71" s="805"/>
      <c r="I71" s="805"/>
      <c r="J71" s="805"/>
      <c r="K71" s="805"/>
      <c r="L71" s="805"/>
      <c r="M71" s="805"/>
      <c r="N71" s="805"/>
      <c r="O71" s="805"/>
      <c r="P71" s="805"/>
      <c r="Q71" s="805"/>
      <c r="AY71" s="490"/>
      <c r="AZ71" s="490"/>
      <c r="BA71" s="490"/>
      <c r="BB71" s="490"/>
      <c r="BC71" s="490"/>
      <c r="BD71" s="740"/>
      <c r="BE71" s="740"/>
      <c r="BF71" s="740"/>
      <c r="BG71" s="490"/>
      <c r="BH71" s="490"/>
      <c r="BI71" s="490"/>
      <c r="BJ71" s="490"/>
    </row>
    <row r="72" spans="1:74" s="274" customFormat="1" ht="12" customHeight="1" x14ac:dyDescent="0.25">
      <c r="A72" s="16"/>
      <c r="B72" s="810" t="s">
        <v>131</v>
      </c>
      <c r="C72" s="805"/>
      <c r="D72" s="805"/>
      <c r="E72" s="805"/>
      <c r="F72" s="805"/>
      <c r="G72" s="805"/>
      <c r="H72" s="805"/>
      <c r="I72" s="805"/>
      <c r="J72" s="805"/>
      <c r="K72" s="805"/>
      <c r="L72" s="805"/>
      <c r="M72" s="805"/>
      <c r="N72" s="805"/>
      <c r="O72" s="805"/>
      <c r="P72" s="805"/>
      <c r="Q72" s="805"/>
      <c r="AY72" s="490"/>
      <c r="AZ72" s="490"/>
      <c r="BA72" s="490"/>
      <c r="BB72" s="490"/>
      <c r="BC72" s="490"/>
      <c r="BD72" s="740"/>
      <c r="BE72" s="740"/>
      <c r="BF72" s="740"/>
      <c r="BG72" s="490"/>
      <c r="BH72" s="490"/>
      <c r="BI72" s="490"/>
      <c r="BJ72" s="490"/>
    </row>
    <row r="73" spans="1:74" s="425" customFormat="1" ht="12" customHeight="1" x14ac:dyDescent="0.25">
      <c r="A73" s="424"/>
      <c r="B73" s="786" t="s">
        <v>827</v>
      </c>
      <c r="C73" s="809"/>
      <c r="D73" s="809"/>
      <c r="E73" s="809"/>
      <c r="F73" s="809"/>
      <c r="G73" s="809"/>
      <c r="H73" s="809"/>
      <c r="I73" s="809"/>
      <c r="J73" s="809"/>
      <c r="K73" s="809"/>
      <c r="L73" s="809"/>
      <c r="M73" s="809"/>
      <c r="N73" s="809"/>
      <c r="O73" s="809"/>
      <c r="P73" s="809"/>
      <c r="Q73" s="788"/>
      <c r="AY73" s="491"/>
      <c r="AZ73" s="491"/>
      <c r="BA73" s="491"/>
      <c r="BB73" s="491"/>
      <c r="BC73" s="491"/>
      <c r="BD73" s="591"/>
      <c r="BE73" s="591"/>
      <c r="BF73" s="591"/>
      <c r="BG73" s="491"/>
      <c r="BH73" s="491"/>
      <c r="BI73" s="491"/>
      <c r="BJ73" s="491"/>
    </row>
    <row r="74" spans="1:74" s="425" customFormat="1" ht="12" customHeight="1" x14ac:dyDescent="0.25">
      <c r="A74" s="424"/>
      <c r="B74" s="786" t="s">
        <v>828</v>
      </c>
      <c r="C74" s="787"/>
      <c r="D74" s="787"/>
      <c r="E74" s="787"/>
      <c r="F74" s="787"/>
      <c r="G74" s="787"/>
      <c r="H74" s="787"/>
      <c r="I74" s="787"/>
      <c r="J74" s="787"/>
      <c r="K74" s="787"/>
      <c r="L74" s="787"/>
      <c r="M74" s="787"/>
      <c r="N74" s="787"/>
      <c r="O74" s="787"/>
      <c r="P74" s="787"/>
      <c r="Q74" s="788"/>
      <c r="AY74" s="491"/>
      <c r="AZ74" s="491"/>
      <c r="BA74" s="491"/>
      <c r="BB74" s="491"/>
      <c r="BC74" s="491"/>
      <c r="BD74" s="591"/>
      <c r="BE74" s="591"/>
      <c r="BF74" s="591"/>
      <c r="BG74" s="491"/>
      <c r="BH74" s="491"/>
      <c r="BI74" s="491"/>
      <c r="BJ74" s="491"/>
    </row>
    <row r="75" spans="1:74" s="425" customFormat="1" ht="12" customHeight="1" x14ac:dyDescent="0.25">
      <c r="A75" s="424"/>
      <c r="B75" s="786" t="s">
        <v>829</v>
      </c>
      <c r="C75" s="787"/>
      <c r="D75" s="787"/>
      <c r="E75" s="787"/>
      <c r="F75" s="787"/>
      <c r="G75" s="787"/>
      <c r="H75" s="787"/>
      <c r="I75" s="787"/>
      <c r="J75" s="787"/>
      <c r="K75" s="787"/>
      <c r="L75" s="787"/>
      <c r="M75" s="787"/>
      <c r="N75" s="787"/>
      <c r="O75" s="787"/>
      <c r="P75" s="787"/>
      <c r="Q75" s="788"/>
      <c r="AY75" s="491"/>
      <c r="AZ75" s="491"/>
      <c r="BA75" s="491"/>
      <c r="BB75" s="491"/>
      <c r="BC75" s="491"/>
      <c r="BD75" s="591"/>
      <c r="BE75" s="591"/>
      <c r="BF75" s="591"/>
      <c r="BG75" s="491"/>
      <c r="BH75" s="491"/>
      <c r="BI75" s="491"/>
      <c r="BJ75" s="491"/>
    </row>
    <row r="76" spans="1:74" s="425" customFormat="1" ht="12" customHeight="1" x14ac:dyDescent="0.25">
      <c r="A76" s="424"/>
      <c r="B76" s="786" t="s">
        <v>840</v>
      </c>
      <c r="C76" s="788"/>
      <c r="D76" s="788"/>
      <c r="E76" s="788"/>
      <c r="F76" s="788"/>
      <c r="G76" s="788"/>
      <c r="H76" s="788"/>
      <c r="I76" s="788"/>
      <c r="J76" s="788"/>
      <c r="K76" s="788"/>
      <c r="L76" s="788"/>
      <c r="M76" s="788"/>
      <c r="N76" s="788"/>
      <c r="O76" s="788"/>
      <c r="P76" s="788"/>
      <c r="Q76" s="788"/>
      <c r="AY76" s="491"/>
      <c r="AZ76" s="491"/>
      <c r="BA76" s="491"/>
      <c r="BB76" s="491"/>
      <c r="BC76" s="491"/>
      <c r="BD76" s="591"/>
      <c r="BE76" s="591"/>
      <c r="BF76" s="591"/>
      <c r="BG76" s="491"/>
      <c r="BH76" s="491"/>
      <c r="BI76" s="491"/>
      <c r="BJ76" s="491"/>
    </row>
    <row r="77" spans="1:74" s="425" customFormat="1" ht="12" customHeight="1" x14ac:dyDescent="0.25">
      <c r="A77" s="424"/>
      <c r="B77" s="786" t="s">
        <v>843</v>
      </c>
      <c r="C77" s="787"/>
      <c r="D77" s="787"/>
      <c r="E77" s="787"/>
      <c r="F77" s="787"/>
      <c r="G77" s="787"/>
      <c r="H77" s="787"/>
      <c r="I77" s="787"/>
      <c r="J77" s="787"/>
      <c r="K77" s="787"/>
      <c r="L77" s="787"/>
      <c r="M77" s="787"/>
      <c r="N77" s="787"/>
      <c r="O77" s="787"/>
      <c r="P77" s="787"/>
      <c r="Q77" s="788"/>
      <c r="AY77" s="491"/>
      <c r="AZ77" s="491"/>
      <c r="BA77" s="491"/>
      <c r="BB77" s="491"/>
      <c r="BC77" s="491"/>
      <c r="BD77" s="591"/>
      <c r="BE77" s="591"/>
      <c r="BF77" s="591"/>
      <c r="BG77" s="491"/>
      <c r="BH77" s="491"/>
      <c r="BI77" s="491"/>
      <c r="BJ77" s="491"/>
    </row>
    <row r="78" spans="1:74" s="425" customFormat="1" ht="12" customHeight="1" x14ac:dyDescent="0.25">
      <c r="A78" s="424"/>
      <c r="B78" s="786" t="s">
        <v>844</v>
      </c>
      <c r="C78" s="788"/>
      <c r="D78" s="788"/>
      <c r="E78" s="788"/>
      <c r="F78" s="788"/>
      <c r="G78" s="788"/>
      <c r="H78" s="788"/>
      <c r="I78" s="788"/>
      <c r="J78" s="788"/>
      <c r="K78" s="788"/>
      <c r="L78" s="788"/>
      <c r="M78" s="788"/>
      <c r="N78" s="788"/>
      <c r="O78" s="788"/>
      <c r="P78" s="788"/>
      <c r="Q78" s="788"/>
      <c r="AY78" s="491"/>
      <c r="AZ78" s="491"/>
      <c r="BA78" s="491"/>
      <c r="BB78" s="491"/>
      <c r="BC78" s="491"/>
      <c r="BD78" s="591"/>
      <c r="BE78" s="591"/>
      <c r="BF78" s="591"/>
      <c r="BG78" s="491"/>
      <c r="BH78" s="491"/>
      <c r="BI78" s="491"/>
      <c r="BJ78" s="491"/>
    </row>
    <row r="79" spans="1:74" s="425" customFormat="1" ht="12" customHeight="1" x14ac:dyDescent="0.25">
      <c r="A79" s="424"/>
      <c r="B79" s="786" t="s">
        <v>850</v>
      </c>
      <c r="C79" s="787"/>
      <c r="D79" s="787"/>
      <c r="E79" s="787"/>
      <c r="F79" s="787"/>
      <c r="G79" s="787"/>
      <c r="H79" s="787"/>
      <c r="I79" s="787"/>
      <c r="J79" s="787"/>
      <c r="K79" s="787"/>
      <c r="L79" s="787"/>
      <c r="M79" s="787"/>
      <c r="N79" s="787"/>
      <c r="O79" s="787"/>
      <c r="P79" s="787"/>
      <c r="Q79" s="788"/>
      <c r="AY79" s="491"/>
      <c r="AZ79" s="491"/>
      <c r="BA79" s="491"/>
      <c r="BB79" s="491"/>
      <c r="BC79" s="491"/>
      <c r="BD79" s="591"/>
      <c r="BE79" s="591"/>
      <c r="BF79" s="591"/>
      <c r="BG79" s="491"/>
      <c r="BH79" s="491"/>
      <c r="BI79" s="491"/>
      <c r="BJ79" s="491"/>
    </row>
    <row r="80" spans="1:74" s="425" customFormat="1" ht="12" customHeight="1" x14ac:dyDescent="0.25">
      <c r="A80" s="424"/>
      <c r="B80" s="794" t="s">
        <v>370</v>
      </c>
      <c r="C80" s="795"/>
      <c r="D80" s="795"/>
      <c r="E80" s="795"/>
      <c r="F80" s="795"/>
      <c r="G80" s="795"/>
      <c r="H80" s="795"/>
      <c r="I80" s="795"/>
      <c r="J80" s="795"/>
      <c r="K80" s="795"/>
      <c r="L80" s="795"/>
      <c r="M80" s="795"/>
      <c r="N80" s="795"/>
      <c r="O80" s="795"/>
      <c r="P80" s="795"/>
      <c r="Q80" s="791"/>
      <c r="AY80" s="491"/>
      <c r="AZ80" s="491"/>
      <c r="BA80" s="491"/>
      <c r="BB80" s="491"/>
      <c r="BC80" s="491"/>
      <c r="BD80" s="591"/>
      <c r="BE80" s="591"/>
      <c r="BF80" s="591"/>
      <c r="BG80" s="491"/>
      <c r="BH80" s="491"/>
      <c r="BI80" s="491"/>
      <c r="BJ80" s="491"/>
    </row>
    <row r="81" spans="1:74" s="425" customFormat="1" ht="12" customHeight="1" x14ac:dyDescent="0.25">
      <c r="A81" s="424"/>
      <c r="B81" s="794" t="s">
        <v>852</v>
      </c>
      <c r="C81" s="795"/>
      <c r="D81" s="795"/>
      <c r="E81" s="795"/>
      <c r="F81" s="795"/>
      <c r="G81" s="795"/>
      <c r="H81" s="795"/>
      <c r="I81" s="795"/>
      <c r="J81" s="795"/>
      <c r="K81" s="795"/>
      <c r="L81" s="795"/>
      <c r="M81" s="795"/>
      <c r="N81" s="795"/>
      <c r="O81" s="795"/>
      <c r="P81" s="795"/>
      <c r="Q81" s="791"/>
      <c r="AY81" s="491"/>
      <c r="AZ81" s="491"/>
      <c r="BA81" s="491"/>
      <c r="BB81" s="491"/>
      <c r="BC81" s="491"/>
      <c r="BD81" s="591"/>
      <c r="BE81" s="591"/>
      <c r="BF81" s="591"/>
      <c r="BG81" s="491"/>
      <c r="BH81" s="491"/>
      <c r="BI81" s="491"/>
      <c r="BJ81" s="491"/>
    </row>
    <row r="82" spans="1:74" s="425" customFormat="1" ht="12" customHeight="1" x14ac:dyDescent="0.25">
      <c r="A82" s="424"/>
      <c r="B82" s="796" t="s">
        <v>853</v>
      </c>
      <c r="C82" s="791"/>
      <c r="D82" s="791"/>
      <c r="E82" s="791"/>
      <c r="F82" s="791"/>
      <c r="G82" s="791"/>
      <c r="H82" s="791"/>
      <c r="I82" s="791"/>
      <c r="J82" s="791"/>
      <c r="K82" s="791"/>
      <c r="L82" s="791"/>
      <c r="M82" s="791"/>
      <c r="N82" s="791"/>
      <c r="O82" s="791"/>
      <c r="P82" s="791"/>
      <c r="Q82" s="791"/>
      <c r="AY82" s="491"/>
      <c r="AZ82" s="491"/>
      <c r="BA82" s="491"/>
      <c r="BB82" s="491"/>
      <c r="BC82" s="491"/>
      <c r="BD82" s="591"/>
      <c r="BE82" s="591"/>
      <c r="BF82" s="591"/>
      <c r="BG82" s="491"/>
      <c r="BH82" s="491"/>
      <c r="BI82" s="491"/>
      <c r="BJ82" s="491"/>
    </row>
    <row r="83" spans="1:74" s="425" customFormat="1" ht="12" customHeight="1" x14ac:dyDescent="0.25">
      <c r="A83" s="424"/>
      <c r="B83" s="796" t="s">
        <v>854</v>
      </c>
      <c r="C83" s="791"/>
      <c r="D83" s="791"/>
      <c r="E83" s="791"/>
      <c r="F83" s="791"/>
      <c r="G83" s="791"/>
      <c r="H83" s="791"/>
      <c r="I83" s="791"/>
      <c r="J83" s="791"/>
      <c r="K83" s="791"/>
      <c r="L83" s="791"/>
      <c r="M83" s="791"/>
      <c r="N83" s="791"/>
      <c r="O83" s="791"/>
      <c r="P83" s="791"/>
      <c r="Q83" s="791"/>
      <c r="AY83" s="491"/>
      <c r="AZ83" s="491"/>
      <c r="BA83" s="491"/>
      <c r="BB83" s="491"/>
      <c r="BC83" s="491"/>
      <c r="BD83" s="591"/>
      <c r="BE83" s="591"/>
      <c r="BF83" s="591"/>
      <c r="BG83" s="491"/>
      <c r="BH83" s="491"/>
      <c r="BI83" s="491"/>
      <c r="BJ83" s="491"/>
    </row>
    <row r="84" spans="1:74" s="425" customFormat="1" ht="12" customHeight="1" x14ac:dyDescent="0.25">
      <c r="A84" s="424"/>
      <c r="B84" s="789" t="s">
        <v>855</v>
      </c>
      <c r="C84" s="790"/>
      <c r="D84" s="790"/>
      <c r="E84" s="790"/>
      <c r="F84" s="790"/>
      <c r="G84" s="790"/>
      <c r="H84" s="790"/>
      <c r="I84" s="790"/>
      <c r="J84" s="790"/>
      <c r="K84" s="790"/>
      <c r="L84" s="790"/>
      <c r="M84" s="790"/>
      <c r="N84" s="790"/>
      <c r="O84" s="790"/>
      <c r="P84" s="790"/>
      <c r="Q84" s="791"/>
      <c r="AY84" s="491"/>
      <c r="AZ84" s="491"/>
      <c r="BA84" s="491"/>
      <c r="BB84" s="491"/>
      <c r="BC84" s="491"/>
      <c r="BD84" s="591"/>
      <c r="BE84" s="591"/>
      <c r="BF84" s="591"/>
      <c r="BG84" s="491"/>
      <c r="BH84" s="491"/>
      <c r="BI84" s="491"/>
      <c r="BJ84" s="491"/>
    </row>
    <row r="85" spans="1:74" s="426" customFormat="1" ht="12" customHeight="1" x14ac:dyDescent="0.25">
      <c r="A85" s="424"/>
      <c r="B85" s="792" t="s">
        <v>1137</v>
      </c>
      <c r="C85" s="791"/>
      <c r="D85" s="791"/>
      <c r="E85" s="791"/>
      <c r="F85" s="791"/>
      <c r="G85" s="791"/>
      <c r="H85" s="791"/>
      <c r="I85" s="791"/>
      <c r="J85" s="791"/>
      <c r="K85" s="791"/>
      <c r="L85" s="791"/>
      <c r="M85" s="791"/>
      <c r="N85" s="791"/>
      <c r="O85" s="791"/>
      <c r="P85" s="791"/>
      <c r="Q85" s="791"/>
      <c r="AY85" s="492"/>
      <c r="AZ85" s="492"/>
      <c r="BA85" s="492"/>
      <c r="BB85" s="492"/>
      <c r="BC85" s="492"/>
      <c r="BD85" s="741"/>
      <c r="BE85" s="741"/>
      <c r="BF85" s="741"/>
      <c r="BG85" s="492"/>
      <c r="BH85" s="492"/>
      <c r="BI85" s="492"/>
      <c r="BJ85" s="492"/>
    </row>
    <row r="86" spans="1:74" s="426" customFormat="1" ht="12" customHeight="1" x14ac:dyDescent="0.25">
      <c r="A86" s="424"/>
      <c r="B86" s="793" t="s">
        <v>856</v>
      </c>
      <c r="C86" s="791"/>
      <c r="D86" s="791"/>
      <c r="E86" s="791"/>
      <c r="F86" s="791"/>
      <c r="G86" s="791"/>
      <c r="H86" s="791"/>
      <c r="I86" s="791"/>
      <c r="J86" s="791"/>
      <c r="K86" s="791"/>
      <c r="L86" s="791"/>
      <c r="M86" s="791"/>
      <c r="N86" s="791"/>
      <c r="O86" s="791"/>
      <c r="P86" s="791"/>
      <c r="Q86" s="791"/>
      <c r="AY86" s="492"/>
      <c r="AZ86" s="492"/>
      <c r="BA86" s="492"/>
      <c r="BB86" s="492"/>
      <c r="BC86" s="492"/>
      <c r="BD86" s="741"/>
      <c r="BE86" s="741"/>
      <c r="BF86" s="741"/>
      <c r="BG86" s="492"/>
      <c r="BH86" s="492"/>
      <c r="BI86" s="492"/>
      <c r="BJ86" s="492"/>
    </row>
    <row r="87" spans="1:74" x14ac:dyDescent="0.2">
      <c r="BK87" s="333"/>
      <c r="BL87" s="333"/>
      <c r="BM87" s="333"/>
      <c r="BN87" s="333"/>
      <c r="BO87" s="333"/>
      <c r="BP87" s="333"/>
      <c r="BQ87" s="333"/>
      <c r="BR87" s="333"/>
      <c r="BS87" s="333"/>
      <c r="BT87" s="333"/>
      <c r="BU87" s="333"/>
      <c r="BV87" s="333"/>
    </row>
    <row r="88" spans="1:74" x14ac:dyDescent="0.2">
      <c r="BK88" s="333"/>
      <c r="BL88" s="333"/>
      <c r="BM88" s="333"/>
      <c r="BN88" s="333"/>
      <c r="BO88" s="333"/>
      <c r="BP88" s="333"/>
      <c r="BQ88" s="333"/>
      <c r="BR88" s="333"/>
      <c r="BS88" s="333"/>
      <c r="BT88" s="333"/>
      <c r="BU88" s="333"/>
      <c r="BV88" s="333"/>
    </row>
    <row r="89" spans="1:74" x14ac:dyDescent="0.2">
      <c r="BK89" s="333"/>
      <c r="BL89" s="333"/>
      <c r="BM89" s="333"/>
      <c r="BN89" s="333"/>
      <c r="BO89" s="333"/>
      <c r="BP89" s="333"/>
      <c r="BQ89" s="333"/>
      <c r="BR89" s="333"/>
      <c r="BS89" s="333"/>
      <c r="BT89" s="333"/>
      <c r="BU89" s="333"/>
      <c r="BV89" s="333"/>
    </row>
    <row r="90" spans="1:74" x14ac:dyDescent="0.2">
      <c r="BK90" s="333"/>
      <c r="BL90" s="333"/>
      <c r="BM90" s="333"/>
      <c r="BN90" s="333"/>
      <c r="BO90" s="333"/>
      <c r="BP90" s="333"/>
      <c r="BQ90" s="333"/>
      <c r="BR90" s="333"/>
      <c r="BS90" s="333"/>
      <c r="BT90" s="333"/>
      <c r="BU90" s="333"/>
      <c r="BV90" s="333"/>
    </row>
    <row r="91" spans="1:74" x14ac:dyDescent="0.2">
      <c r="BK91" s="333"/>
      <c r="BL91" s="333"/>
      <c r="BM91" s="333"/>
      <c r="BN91" s="333"/>
      <c r="BO91" s="333"/>
      <c r="BP91" s="333"/>
      <c r="BQ91" s="333"/>
      <c r="BR91" s="333"/>
      <c r="BS91" s="333"/>
      <c r="BT91" s="333"/>
      <c r="BU91" s="333"/>
      <c r="BV91" s="333"/>
    </row>
    <row r="92" spans="1:74" x14ac:dyDescent="0.2">
      <c r="BK92" s="333"/>
      <c r="BL92" s="333"/>
      <c r="BM92" s="333"/>
      <c r="BN92" s="333"/>
      <c r="BO92" s="333"/>
      <c r="BP92" s="333"/>
      <c r="BQ92" s="333"/>
      <c r="BR92" s="333"/>
      <c r="BS92" s="333"/>
      <c r="BT92" s="333"/>
      <c r="BU92" s="333"/>
      <c r="BV92" s="333"/>
    </row>
    <row r="93" spans="1:74" x14ac:dyDescent="0.2">
      <c r="BK93" s="333"/>
      <c r="BL93" s="333"/>
      <c r="BM93" s="333"/>
      <c r="BN93" s="333"/>
      <c r="BO93" s="333"/>
      <c r="BP93" s="333"/>
      <c r="BQ93" s="333"/>
      <c r="BR93" s="333"/>
      <c r="BS93" s="333"/>
      <c r="BT93" s="333"/>
      <c r="BU93" s="333"/>
      <c r="BV93" s="333"/>
    </row>
    <row r="94" spans="1:74" x14ac:dyDescent="0.2">
      <c r="BK94" s="333"/>
      <c r="BL94" s="333"/>
      <c r="BM94" s="333"/>
      <c r="BN94" s="333"/>
      <c r="BO94" s="333"/>
      <c r="BP94" s="333"/>
      <c r="BQ94" s="333"/>
      <c r="BR94" s="333"/>
      <c r="BS94" s="333"/>
      <c r="BT94" s="333"/>
      <c r="BU94" s="333"/>
      <c r="BV94" s="333"/>
    </row>
    <row r="95" spans="1:74" x14ac:dyDescent="0.2">
      <c r="BK95" s="333"/>
      <c r="BL95" s="333"/>
      <c r="BM95" s="333"/>
      <c r="BN95" s="333"/>
      <c r="BO95" s="333"/>
      <c r="BP95" s="333"/>
      <c r="BQ95" s="333"/>
      <c r="BR95" s="333"/>
      <c r="BS95" s="333"/>
      <c r="BT95" s="333"/>
      <c r="BU95" s="333"/>
      <c r="BV95" s="333"/>
    </row>
    <row r="96" spans="1:74" x14ac:dyDescent="0.2">
      <c r="BK96" s="333"/>
      <c r="BL96" s="333"/>
      <c r="BM96" s="333"/>
      <c r="BN96" s="333"/>
      <c r="BO96" s="333"/>
      <c r="BP96" s="333"/>
      <c r="BQ96" s="333"/>
      <c r="BR96" s="333"/>
      <c r="BS96" s="333"/>
      <c r="BT96" s="333"/>
      <c r="BU96" s="333"/>
      <c r="BV96" s="333"/>
    </row>
    <row r="97" spans="63:74" x14ac:dyDescent="0.2">
      <c r="BK97" s="333"/>
      <c r="BL97" s="333"/>
      <c r="BM97" s="333"/>
      <c r="BN97" s="333"/>
      <c r="BO97" s="333"/>
      <c r="BP97" s="333"/>
      <c r="BQ97" s="333"/>
      <c r="BR97" s="333"/>
      <c r="BS97" s="333"/>
      <c r="BT97" s="333"/>
      <c r="BU97" s="333"/>
      <c r="BV97" s="333"/>
    </row>
    <row r="98" spans="63:74" x14ac:dyDescent="0.2">
      <c r="BK98" s="333"/>
      <c r="BL98" s="333"/>
      <c r="BM98" s="333"/>
      <c r="BN98" s="333"/>
      <c r="BO98" s="333"/>
      <c r="BP98" s="333"/>
      <c r="BQ98" s="333"/>
      <c r="BR98" s="333"/>
      <c r="BS98" s="333"/>
      <c r="BT98" s="333"/>
      <c r="BU98" s="333"/>
      <c r="BV98" s="333"/>
    </row>
    <row r="99" spans="63:74" x14ac:dyDescent="0.2">
      <c r="BK99" s="333"/>
      <c r="BL99" s="333"/>
      <c r="BM99" s="333"/>
      <c r="BN99" s="333"/>
      <c r="BO99" s="333"/>
      <c r="BP99" s="333"/>
      <c r="BQ99" s="333"/>
      <c r="BR99" s="333"/>
      <c r="BS99" s="333"/>
      <c r="BT99" s="333"/>
      <c r="BU99" s="333"/>
      <c r="BV99" s="333"/>
    </row>
    <row r="100" spans="63:74" x14ac:dyDescent="0.2">
      <c r="BK100" s="333"/>
      <c r="BL100" s="333"/>
      <c r="BM100" s="333"/>
      <c r="BN100" s="333"/>
      <c r="BO100" s="333"/>
      <c r="BP100" s="333"/>
      <c r="BQ100" s="333"/>
      <c r="BR100" s="333"/>
      <c r="BS100" s="333"/>
      <c r="BT100" s="333"/>
      <c r="BU100" s="333"/>
      <c r="BV100" s="333"/>
    </row>
    <row r="101" spans="63:74" x14ac:dyDescent="0.2">
      <c r="BK101" s="333"/>
      <c r="BL101" s="333"/>
      <c r="BM101" s="333"/>
      <c r="BN101" s="333"/>
      <c r="BO101" s="333"/>
      <c r="BP101" s="333"/>
      <c r="BQ101" s="333"/>
      <c r="BR101" s="333"/>
      <c r="BS101" s="333"/>
      <c r="BT101" s="333"/>
      <c r="BU101" s="333"/>
      <c r="BV101" s="333"/>
    </row>
    <row r="102" spans="63:74" x14ac:dyDescent="0.2">
      <c r="BK102" s="333"/>
      <c r="BL102" s="333"/>
      <c r="BM102" s="333"/>
      <c r="BN102" s="333"/>
      <c r="BO102" s="333"/>
      <c r="BP102" s="333"/>
      <c r="BQ102" s="333"/>
      <c r="BR102" s="333"/>
      <c r="BS102" s="333"/>
      <c r="BT102" s="333"/>
      <c r="BU102" s="333"/>
      <c r="BV102" s="333"/>
    </row>
    <row r="103" spans="63:74" x14ac:dyDescent="0.2">
      <c r="BK103" s="333"/>
      <c r="BL103" s="333"/>
      <c r="BM103" s="333"/>
      <c r="BN103" s="333"/>
      <c r="BO103" s="333"/>
      <c r="BP103" s="333"/>
      <c r="BQ103" s="333"/>
      <c r="BR103" s="333"/>
      <c r="BS103" s="333"/>
      <c r="BT103" s="333"/>
      <c r="BU103" s="333"/>
      <c r="BV103" s="333"/>
    </row>
    <row r="104" spans="63:74" x14ac:dyDescent="0.2">
      <c r="BK104" s="333"/>
      <c r="BL104" s="333"/>
      <c r="BM104" s="333"/>
      <c r="BN104" s="333"/>
      <c r="BO104" s="333"/>
      <c r="BP104" s="333"/>
      <c r="BQ104" s="333"/>
      <c r="BR104" s="333"/>
      <c r="BS104" s="333"/>
      <c r="BT104" s="333"/>
      <c r="BU104" s="333"/>
      <c r="BV104" s="333"/>
    </row>
    <row r="105" spans="63:74" x14ac:dyDescent="0.2">
      <c r="BK105" s="333"/>
      <c r="BL105" s="333"/>
      <c r="BM105" s="333"/>
      <c r="BN105" s="333"/>
      <c r="BO105" s="333"/>
      <c r="BP105" s="333"/>
      <c r="BQ105" s="333"/>
      <c r="BR105" s="333"/>
      <c r="BS105" s="333"/>
      <c r="BT105" s="333"/>
      <c r="BU105" s="333"/>
      <c r="BV105" s="333"/>
    </row>
    <row r="106" spans="63:74" x14ac:dyDescent="0.2">
      <c r="BK106" s="333"/>
      <c r="BL106" s="333"/>
      <c r="BM106" s="333"/>
      <c r="BN106" s="333"/>
      <c r="BO106" s="333"/>
      <c r="BP106" s="333"/>
      <c r="BQ106" s="333"/>
      <c r="BR106" s="333"/>
      <c r="BS106" s="333"/>
      <c r="BT106" s="333"/>
      <c r="BU106" s="333"/>
      <c r="BV106" s="333"/>
    </row>
    <row r="107" spans="63:74" x14ac:dyDescent="0.2">
      <c r="BK107" s="333"/>
      <c r="BL107" s="333"/>
      <c r="BM107" s="333"/>
      <c r="BN107" s="333"/>
      <c r="BO107" s="333"/>
      <c r="BP107" s="333"/>
      <c r="BQ107" s="333"/>
      <c r="BR107" s="333"/>
      <c r="BS107" s="333"/>
      <c r="BT107" s="333"/>
      <c r="BU107" s="333"/>
      <c r="BV107" s="333"/>
    </row>
    <row r="108" spans="63:74" x14ac:dyDescent="0.2">
      <c r="BK108" s="333"/>
      <c r="BL108" s="333"/>
      <c r="BM108" s="333"/>
      <c r="BN108" s="333"/>
      <c r="BO108" s="333"/>
      <c r="BP108" s="333"/>
      <c r="BQ108" s="333"/>
      <c r="BR108" s="333"/>
      <c r="BS108" s="333"/>
      <c r="BT108" s="333"/>
      <c r="BU108" s="333"/>
      <c r="BV108" s="333"/>
    </row>
    <row r="109" spans="63:74" x14ac:dyDescent="0.2">
      <c r="BK109" s="333"/>
      <c r="BL109" s="333"/>
      <c r="BM109" s="333"/>
      <c r="BN109" s="333"/>
      <c r="BO109" s="333"/>
      <c r="BP109" s="333"/>
      <c r="BQ109" s="333"/>
      <c r="BR109" s="333"/>
      <c r="BS109" s="333"/>
      <c r="BT109" s="333"/>
      <c r="BU109" s="333"/>
      <c r="BV109" s="333"/>
    </row>
    <row r="110" spans="63:74" x14ac:dyDescent="0.2">
      <c r="BK110" s="333"/>
      <c r="BL110" s="333"/>
      <c r="BM110" s="333"/>
      <c r="BN110" s="333"/>
      <c r="BO110" s="333"/>
      <c r="BP110" s="333"/>
      <c r="BQ110" s="333"/>
      <c r="BR110" s="333"/>
      <c r="BS110" s="333"/>
      <c r="BT110" s="333"/>
      <c r="BU110" s="333"/>
      <c r="BV110" s="333"/>
    </row>
    <row r="111" spans="63:74" x14ac:dyDescent="0.2">
      <c r="BK111" s="333"/>
      <c r="BL111" s="333"/>
      <c r="BM111" s="333"/>
      <c r="BN111" s="333"/>
      <c r="BO111" s="333"/>
      <c r="BP111" s="333"/>
      <c r="BQ111" s="333"/>
      <c r="BR111" s="333"/>
      <c r="BS111" s="333"/>
      <c r="BT111" s="333"/>
      <c r="BU111" s="333"/>
      <c r="BV111" s="333"/>
    </row>
    <row r="112" spans="63:74" x14ac:dyDescent="0.2">
      <c r="BK112" s="333"/>
      <c r="BL112" s="333"/>
      <c r="BM112" s="333"/>
      <c r="BN112" s="333"/>
      <c r="BO112" s="333"/>
      <c r="BP112" s="333"/>
      <c r="BQ112" s="333"/>
      <c r="BR112" s="333"/>
      <c r="BS112" s="333"/>
      <c r="BT112" s="333"/>
      <c r="BU112" s="333"/>
      <c r="BV112" s="333"/>
    </row>
    <row r="113" spans="63:74" x14ac:dyDescent="0.2">
      <c r="BK113" s="333"/>
      <c r="BL113" s="333"/>
      <c r="BM113" s="333"/>
      <c r="BN113" s="333"/>
      <c r="BO113" s="333"/>
      <c r="BP113" s="333"/>
      <c r="BQ113" s="333"/>
      <c r="BR113" s="333"/>
      <c r="BS113" s="333"/>
      <c r="BT113" s="333"/>
      <c r="BU113" s="333"/>
      <c r="BV113" s="333"/>
    </row>
    <row r="114" spans="63:74" x14ac:dyDescent="0.2">
      <c r="BK114" s="333"/>
      <c r="BL114" s="333"/>
      <c r="BM114" s="333"/>
      <c r="BN114" s="333"/>
      <c r="BO114" s="333"/>
      <c r="BP114" s="333"/>
      <c r="BQ114" s="333"/>
      <c r="BR114" s="333"/>
      <c r="BS114" s="333"/>
      <c r="BT114" s="333"/>
      <c r="BU114" s="333"/>
      <c r="BV114" s="333"/>
    </row>
    <row r="115" spans="63:74" x14ac:dyDescent="0.2">
      <c r="BK115" s="333"/>
      <c r="BL115" s="333"/>
      <c r="BM115" s="333"/>
      <c r="BN115" s="333"/>
      <c r="BO115" s="333"/>
      <c r="BP115" s="333"/>
      <c r="BQ115" s="333"/>
      <c r="BR115" s="333"/>
      <c r="BS115" s="333"/>
      <c r="BT115" s="333"/>
      <c r="BU115" s="333"/>
      <c r="BV115" s="333"/>
    </row>
    <row r="116" spans="63:74" x14ac:dyDescent="0.2">
      <c r="BK116" s="333"/>
      <c r="BL116" s="333"/>
      <c r="BM116" s="333"/>
      <c r="BN116" s="333"/>
      <c r="BO116" s="333"/>
      <c r="BP116" s="333"/>
      <c r="BQ116" s="333"/>
      <c r="BR116" s="333"/>
      <c r="BS116" s="333"/>
      <c r="BT116" s="333"/>
      <c r="BU116" s="333"/>
      <c r="BV116" s="333"/>
    </row>
    <row r="117" spans="63:74" x14ac:dyDescent="0.2">
      <c r="BK117" s="333"/>
      <c r="BL117" s="333"/>
      <c r="BM117" s="333"/>
      <c r="BN117" s="333"/>
      <c r="BO117" s="333"/>
      <c r="BP117" s="333"/>
      <c r="BQ117" s="333"/>
      <c r="BR117" s="333"/>
      <c r="BS117" s="333"/>
      <c r="BT117" s="333"/>
      <c r="BU117" s="333"/>
      <c r="BV117" s="333"/>
    </row>
    <row r="118" spans="63:74" x14ac:dyDescent="0.2">
      <c r="BK118" s="333"/>
      <c r="BL118" s="333"/>
      <c r="BM118" s="333"/>
      <c r="BN118" s="333"/>
      <c r="BO118" s="333"/>
      <c r="BP118" s="333"/>
      <c r="BQ118" s="333"/>
      <c r="BR118" s="333"/>
      <c r="BS118" s="333"/>
      <c r="BT118" s="333"/>
      <c r="BU118" s="333"/>
      <c r="BV118" s="333"/>
    </row>
    <row r="119" spans="63:74" x14ac:dyDescent="0.2">
      <c r="BK119" s="333"/>
      <c r="BL119" s="333"/>
      <c r="BM119" s="333"/>
      <c r="BN119" s="333"/>
      <c r="BO119" s="333"/>
      <c r="BP119" s="333"/>
      <c r="BQ119" s="333"/>
      <c r="BR119" s="333"/>
      <c r="BS119" s="333"/>
      <c r="BT119" s="333"/>
      <c r="BU119" s="333"/>
      <c r="BV119" s="333"/>
    </row>
    <row r="120" spans="63:74" x14ac:dyDescent="0.2">
      <c r="BK120" s="333"/>
      <c r="BL120" s="333"/>
      <c r="BM120" s="333"/>
      <c r="BN120" s="333"/>
      <c r="BO120" s="333"/>
      <c r="BP120" s="333"/>
      <c r="BQ120" s="333"/>
      <c r="BR120" s="333"/>
      <c r="BS120" s="333"/>
      <c r="BT120" s="333"/>
      <c r="BU120" s="333"/>
      <c r="BV120" s="333"/>
    </row>
    <row r="121" spans="63:74" x14ac:dyDescent="0.2">
      <c r="BK121" s="333"/>
      <c r="BL121" s="333"/>
      <c r="BM121" s="333"/>
      <c r="BN121" s="333"/>
      <c r="BO121" s="333"/>
      <c r="BP121" s="333"/>
      <c r="BQ121" s="333"/>
      <c r="BR121" s="333"/>
      <c r="BS121" s="333"/>
      <c r="BT121" s="333"/>
      <c r="BU121" s="333"/>
      <c r="BV121" s="333"/>
    </row>
    <row r="122" spans="63:74" x14ac:dyDescent="0.2">
      <c r="BK122" s="333"/>
      <c r="BL122" s="333"/>
      <c r="BM122" s="333"/>
      <c r="BN122" s="333"/>
      <c r="BO122" s="333"/>
      <c r="BP122" s="333"/>
      <c r="BQ122" s="333"/>
      <c r="BR122" s="333"/>
      <c r="BS122" s="333"/>
      <c r="BT122" s="333"/>
      <c r="BU122" s="333"/>
      <c r="BV122" s="333"/>
    </row>
    <row r="123" spans="63:74" x14ac:dyDescent="0.2">
      <c r="BK123" s="333"/>
      <c r="BL123" s="333"/>
      <c r="BM123" s="333"/>
      <c r="BN123" s="333"/>
      <c r="BO123" s="333"/>
      <c r="BP123" s="333"/>
      <c r="BQ123" s="333"/>
      <c r="BR123" s="333"/>
      <c r="BS123" s="333"/>
      <c r="BT123" s="333"/>
      <c r="BU123" s="333"/>
      <c r="BV123" s="333"/>
    </row>
    <row r="124" spans="63:74" x14ac:dyDescent="0.2">
      <c r="BK124" s="333"/>
      <c r="BL124" s="333"/>
      <c r="BM124" s="333"/>
      <c r="BN124" s="333"/>
      <c r="BO124" s="333"/>
      <c r="BP124" s="333"/>
      <c r="BQ124" s="333"/>
      <c r="BR124" s="333"/>
      <c r="BS124" s="333"/>
      <c r="BT124" s="333"/>
      <c r="BU124" s="333"/>
      <c r="BV124" s="333"/>
    </row>
    <row r="125" spans="63:74" x14ac:dyDescent="0.2">
      <c r="BK125" s="333"/>
      <c r="BL125" s="333"/>
      <c r="BM125" s="333"/>
      <c r="BN125" s="333"/>
      <c r="BO125" s="333"/>
      <c r="BP125" s="333"/>
      <c r="BQ125" s="333"/>
      <c r="BR125" s="333"/>
      <c r="BS125" s="333"/>
      <c r="BT125" s="333"/>
      <c r="BU125" s="333"/>
      <c r="BV125" s="333"/>
    </row>
    <row r="126" spans="63:74" x14ac:dyDescent="0.2">
      <c r="BK126" s="333"/>
      <c r="BL126" s="333"/>
      <c r="BM126" s="333"/>
      <c r="BN126" s="333"/>
      <c r="BO126" s="333"/>
      <c r="BP126" s="333"/>
      <c r="BQ126" s="333"/>
      <c r="BR126" s="333"/>
      <c r="BS126" s="333"/>
      <c r="BT126" s="333"/>
      <c r="BU126" s="333"/>
      <c r="BV126" s="333"/>
    </row>
    <row r="127" spans="63:74" x14ac:dyDescent="0.2">
      <c r="BK127" s="333"/>
      <c r="BL127" s="333"/>
      <c r="BM127" s="333"/>
      <c r="BN127" s="333"/>
      <c r="BO127" s="333"/>
      <c r="BP127" s="333"/>
      <c r="BQ127" s="333"/>
      <c r="BR127" s="333"/>
      <c r="BS127" s="333"/>
      <c r="BT127" s="333"/>
      <c r="BU127" s="333"/>
      <c r="BV127" s="333"/>
    </row>
    <row r="128" spans="63:74" x14ac:dyDescent="0.2">
      <c r="BK128" s="333"/>
      <c r="BL128" s="333"/>
      <c r="BM128" s="333"/>
      <c r="BN128" s="333"/>
      <c r="BO128" s="333"/>
      <c r="BP128" s="333"/>
      <c r="BQ128" s="333"/>
      <c r="BR128" s="333"/>
      <c r="BS128" s="333"/>
      <c r="BT128" s="333"/>
      <c r="BU128" s="333"/>
      <c r="BV128" s="333"/>
    </row>
    <row r="129" spans="63:74" x14ac:dyDescent="0.2">
      <c r="BK129" s="333"/>
      <c r="BL129" s="333"/>
      <c r="BM129" s="333"/>
      <c r="BN129" s="333"/>
      <c r="BO129" s="333"/>
      <c r="BP129" s="333"/>
      <c r="BQ129" s="333"/>
      <c r="BR129" s="333"/>
      <c r="BS129" s="333"/>
      <c r="BT129" s="333"/>
      <c r="BU129" s="333"/>
      <c r="BV129" s="333"/>
    </row>
    <row r="130" spans="63:74" x14ac:dyDescent="0.2">
      <c r="BK130" s="333"/>
      <c r="BL130" s="333"/>
      <c r="BM130" s="333"/>
      <c r="BN130" s="333"/>
      <c r="BO130" s="333"/>
      <c r="BP130" s="333"/>
      <c r="BQ130" s="333"/>
      <c r="BR130" s="333"/>
      <c r="BS130" s="333"/>
      <c r="BT130" s="333"/>
      <c r="BU130" s="333"/>
      <c r="BV130" s="333"/>
    </row>
    <row r="131" spans="63:74" x14ac:dyDescent="0.2">
      <c r="BK131" s="333"/>
      <c r="BL131" s="333"/>
      <c r="BM131" s="333"/>
      <c r="BN131" s="333"/>
      <c r="BO131" s="333"/>
      <c r="BP131" s="333"/>
      <c r="BQ131" s="333"/>
      <c r="BR131" s="333"/>
      <c r="BS131" s="333"/>
      <c r="BT131" s="333"/>
      <c r="BU131" s="333"/>
      <c r="BV131" s="333"/>
    </row>
    <row r="132" spans="63:74" x14ac:dyDescent="0.2">
      <c r="BK132" s="333"/>
      <c r="BL132" s="333"/>
      <c r="BM132" s="333"/>
      <c r="BN132" s="333"/>
      <c r="BO132" s="333"/>
      <c r="BP132" s="333"/>
      <c r="BQ132" s="333"/>
      <c r="BR132" s="333"/>
      <c r="BS132" s="333"/>
      <c r="BT132" s="333"/>
      <c r="BU132" s="333"/>
      <c r="BV132" s="333"/>
    </row>
    <row r="133" spans="63:74" x14ac:dyDescent="0.2">
      <c r="BK133" s="333"/>
      <c r="BL133" s="333"/>
      <c r="BM133" s="333"/>
      <c r="BN133" s="333"/>
      <c r="BO133" s="333"/>
      <c r="BP133" s="333"/>
      <c r="BQ133" s="333"/>
      <c r="BR133" s="333"/>
      <c r="BS133" s="333"/>
      <c r="BT133" s="333"/>
      <c r="BU133" s="333"/>
      <c r="BV133" s="333"/>
    </row>
    <row r="134" spans="63:74" x14ac:dyDescent="0.2">
      <c r="BK134" s="333"/>
      <c r="BL134" s="333"/>
      <c r="BM134" s="333"/>
      <c r="BN134" s="333"/>
      <c r="BO134" s="333"/>
      <c r="BP134" s="333"/>
      <c r="BQ134" s="333"/>
      <c r="BR134" s="333"/>
      <c r="BS134" s="333"/>
      <c r="BT134" s="333"/>
      <c r="BU134" s="333"/>
      <c r="BV134" s="333"/>
    </row>
    <row r="135" spans="63:74" x14ac:dyDescent="0.2">
      <c r="BK135" s="333"/>
      <c r="BL135" s="333"/>
      <c r="BM135" s="333"/>
      <c r="BN135" s="333"/>
      <c r="BO135" s="333"/>
      <c r="BP135" s="333"/>
      <c r="BQ135" s="333"/>
      <c r="BR135" s="333"/>
      <c r="BS135" s="333"/>
      <c r="BT135" s="333"/>
      <c r="BU135" s="333"/>
      <c r="BV135" s="333"/>
    </row>
    <row r="136" spans="63:74" x14ac:dyDescent="0.2">
      <c r="BK136" s="333"/>
      <c r="BL136" s="333"/>
      <c r="BM136" s="333"/>
      <c r="BN136" s="333"/>
      <c r="BO136" s="333"/>
      <c r="BP136" s="333"/>
      <c r="BQ136" s="333"/>
      <c r="BR136" s="333"/>
      <c r="BS136" s="333"/>
      <c r="BT136" s="333"/>
      <c r="BU136" s="333"/>
      <c r="BV136" s="333"/>
    </row>
    <row r="137" spans="63:74" x14ac:dyDescent="0.2">
      <c r="BK137" s="333"/>
      <c r="BL137" s="333"/>
      <c r="BM137" s="333"/>
      <c r="BN137" s="333"/>
      <c r="BO137" s="333"/>
      <c r="BP137" s="333"/>
      <c r="BQ137" s="333"/>
      <c r="BR137" s="333"/>
      <c r="BS137" s="333"/>
      <c r="BT137" s="333"/>
      <c r="BU137" s="333"/>
      <c r="BV137" s="333"/>
    </row>
    <row r="138" spans="63:74" x14ac:dyDescent="0.2">
      <c r="BK138" s="333"/>
      <c r="BL138" s="333"/>
      <c r="BM138" s="333"/>
      <c r="BN138" s="333"/>
      <c r="BO138" s="333"/>
      <c r="BP138" s="333"/>
      <c r="BQ138" s="333"/>
      <c r="BR138" s="333"/>
      <c r="BS138" s="333"/>
      <c r="BT138" s="333"/>
      <c r="BU138" s="333"/>
      <c r="BV138" s="333"/>
    </row>
    <row r="139" spans="63:74" x14ac:dyDescent="0.2">
      <c r="BK139" s="333"/>
      <c r="BL139" s="333"/>
      <c r="BM139" s="333"/>
      <c r="BN139" s="333"/>
      <c r="BO139" s="333"/>
      <c r="BP139" s="333"/>
      <c r="BQ139" s="333"/>
      <c r="BR139" s="333"/>
      <c r="BS139" s="333"/>
      <c r="BT139" s="333"/>
      <c r="BU139" s="333"/>
      <c r="BV139" s="333"/>
    </row>
    <row r="140" spans="63:74" x14ac:dyDescent="0.2">
      <c r="BK140" s="333"/>
      <c r="BL140" s="333"/>
      <c r="BM140" s="333"/>
      <c r="BN140" s="333"/>
      <c r="BO140" s="333"/>
      <c r="BP140" s="333"/>
      <c r="BQ140" s="333"/>
      <c r="BR140" s="333"/>
      <c r="BS140" s="333"/>
      <c r="BT140" s="333"/>
      <c r="BU140" s="333"/>
      <c r="BV140" s="333"/>
    </row>
    <row r="141" spans="63:74" x14ac:dyDescent="0.2">
      <c r="BK141" s="333"/>
      <c r="BL141" s="333"/>
      <c r="BM141" s="333"/>
      <c r="BN141" s="333"/>
      <c r="BO141" s="333"/>
      <c r="BP141" s="333"/>
      <c r="BQ141" s="333"/>
      <c r="BR141" s="333"/>
      <c r="BS141" s="333"/>
      <c r="BT141" s="333"/>
      <c r="BU141" s="333"/>
      <c r="BV141" s="333"/>
    </row>
    <row r="142" spans="63:74" x14ac:dyDescent="0.2">
      <c r="BK142" s="333"/>
      <c r="BL142" s="333"/>
      <c r="BM142" s="333"/>
      <c r="BN142" s="333"/>
      <c r="BO142" s="333"/>
      <c r="BP142" s="333"/>
      <c r="BQ142" s="333"/>
      <c r="BR142" s="333"/>
      <c r="BS142" s="333"/>
      <c r="BT142" s="333"/>
      <c r="BU142" s="333"/>
      <c r="BV142" s="333"/>
    </row>
    <row r="143" spans="63:74" x14ac:dyDescent="0.2">
      <c r="BK143" s="333"/>
      <c r="BL143" s="333"/>
      <c r="BM143" s="333"/>
      <c r="BN143" s="333"/>
      <c r="BO143" s="333"/>
      <c r="BP143" s="333"/>
      <c r="BQ143" s="333"/>
      <c r="BR143" s="333"/>
      <c r="BS143" s="333"/>
      <c r="BT143" s="333"/>
      <c r="BU143" s="333"/>
      <c r="BV143" s="333"/>
    </row>
    <row r="144" spans="63:74" x14ac:dyDescent="0.2">
      <c r="BK144" s="333"/>
      <c r="BL144" s="333"/>
      <c r="BM144" s="333"/>
      <c r="BN144" s="333"/>
      <c r="BO144" s="333"/>
      <c r="BP144" s="333"/>
      <c r="BQ144" s="333"/>
      <c r="BR144" s="333"/>
      <c r="BS144" s="333"/>
      <c r="BT144" s="333"/>
      <c r="BU144" s="333"/>
      <c r="BV144" s="333"/>
    </row>
  </sheetData>
  <mergeCells count="24">
    <mergeCell ref="B71:Q71"/>
    <mergeCell ref="B73:Q73"/>
    <mergeCell ref="AA3:AL3"/>
    <mergeCell ref="AM3:AX3"/>
    <mergeCell ref="B77:Q77"/>
    <mergeCell ref="B74:Q74"/>
    <mergeCell ref="B75:Q75"/>
    <mergeCell ref="B72:Q72"/>
    <mergeCell ref="B76:Q76"/>
    <mergeCell ref="A1:A2"/>
    <mergeCell ref="AY3:BJ3"/>
    <mergeCell ref="BK3:BV3"/>
    <mergeCell ref="B1:AL1"/>
    <mergeCell ref="C3:N3"/>
    <mergeCell ref="O3:Z3"/>
    <mergeCell ref="B79:Q79"/>
    <mergeCell ref="B78:Q78"/>
    <mergeCell ref="B84:Q84"/>
    <mergeCell ref="B85:Q85"/>
    <mergeCell ref="B86:Q86"/>
    <mergeCell ref="B80:Q80"/>
    <mergeCell ref="B81:Q81"/>
    <mergeCell ref="B82:Q82"/>
    <mergeCell ref="B83:Q83"/>
  </mergeCells>
  <phoneticPr fontId="6" type="noConversion"/>
  <hyperlinks>
    <hyperlink ref="A1:A2" location="Contents!A1" display="Table of Contents"/>
  </hyperlinks>
  <pageMargins left="0.25" right="0.25" top="0.25" bottom="0.25" header="0.54" footer="0.5"/>
  <pageSetup scale="39"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
    <pageSetUpPr fitToPage="1"/>
  </sheetPr>
  <dimension ref="A1:BV143"/>
  <sheetViews>
    <sheetView showGridLines="0" zoomScaleNormal="100" workbookViewId="0">
      <pane xSplit="2" ySplit="4" topLeftCell="AZ5" activePane="bottomRight" state="frozen"/>
      <selection activeCell="BF63" sqref="BF63"/>
      <selection pane="topRight" activeCell="BF63" sqref="BF63"/>
      <selection pane="bottomLeft" activeCell="BF63" sqref="BF63"/>
      <selection pane="bottomRight" activeCell="B1" sqref="B1:AL1"/>
    </sheetView>
  </sheetViews>
  <sheetFormatPr defaultColWidth="9.5546875" defaultRowHeight="10.199999999999999" x14ac:dyDescent="0.2"/>
  <cols>
    <col min="1" max="1" width="8.5546875" style="13" customWidth="1"/>
    <col min="2" max="2" width="40.21875" style="13" customWidth="1"/>
    <col min="3" max="3" width="8.5546875" style="13" bestFit="1" customWidth="1"/>
    <col min="4" max="50" width="6.5546875" style="13" customWidth="1"/>
    <col min="51" max="55" width="6.5546875" style="409" customWidth="1"/>
    <col min="56" max="58" width="6.5546875" style="630" customWidth="1"/>
    <col min="59" max="62" width="6.5546875" style="409" customWidth="1"/>
    <col min="63" max="74" width="6.5546875" style="13" customWidth="1"/>
    <col min="75" max="16384" width="9.5546875" style="13"/>
  </cols>
  <sheetData>
    <row r="1" spans="1:74" ht="13.35" customHeight="1" x14ac:dyDescent="0.25">
      <c r="A1" s="797" t="s">
        <v>809</v>
      </c>
      <c r="B1" s="813" t="s">
        <v>1012</v>
      </c>
      <c r="C1" s="805"/>
      <c r="D1" s="805"/>
      <c r="E1" s="805"/>
      <c r="F1" s="805"/>
      <c r="G1" s="805"/>
      <c r="H1" s="805"/>
      <c r="I1" s="805"/>
      <c r="J1" s="805"/>
      <c r="K1" s="805"/>
      <c r="L1" s="805"/>
      <c r="M1" s="805"/>
      <c r="N1" s="805"/>
      <c r="O1" s="805"/>
      <c r="P1" s="805"/>
      <c r="Q1" s="805"/>
      <c r="R1" s="805"/>
      <c r="S1" s="805"/>
      <c r="T1" s="805"/>
      <c r="U1" s="805"/>
      <c r="V1" s="805"/>
      <c r="W1" s="805"/>
      <c r="X1" s="805"/>
      <c r="Y1" s="805"/>
      <c r="Z1" s="805"/>
      <c r="AA1" s="805"/>
      <c r="AB1" s="805"/>
      <c r="AC1" s="805"/>
      <c r="AD1" s="805"/>
      <c r="AE1" s="805"/>
      <c r="AF1" s="805"/>
      <c r="AG1" s="805"/>
      <c r="AH1" s="805"/>
      <c r="AI1" s="805"/>
      <c r="AJ1" s="805"/>
      <c r="AK1" s="805"/>
      <c r="AL1" s="805"/>
      <c r="AM1" s="260"/>
    </row>
    <row r="2" spans="1:74" ht="13.2" x14ac:dyDescent="0.25">
      <c r="A2" s="798"/>
      <c r="B2" s="532" t="str">
        <f>"U.S. Energy Information Administration  |  Short-Term Energy Outlook  - "&amp;Dates!D1</f>
        <v>U.S. Energy Information Administration  |  Short-Term Energy Outlook  - September 2020</v>
      </c>
      <c r="C2" s="534"/>
      <c r="D2" s="534"/>
      <c r="E2" s="534"/>
      <c r="F2" s="534"/>
      <c r="G2" s="534"/>
      <c r="H2" s="534"/>
      <c r="I2" s="534"/>
      <c r="J2" s="534"/>
      <c r="K2" s="534"/>
      <c r="L2" s="534"/>
      <c r="M2" s="534"/>
      <c r="N2" s="534"/>
      <c r="O2" s="534"/>
      <c r="P2" s="534"/>
      <c r="Q2" s="534"/>
      <c r="R2" s="534"/>
      <c r="S2" s="534"/>
      <c r="T2" s="534"/>
      <c r="U2" s="534"/>
      <c r="V2" s="534"/>
      <c r="W2" s="534"/>
      <c r="X2" s="534"/>
      <c r="Y2" s="534"/>
      <c r="Z2" s="534"/>
      <c r="AA2" s="534"/>
      <c r="AB2" s="534"/>
      <c r="AC2" s="534"/>
      <c r="AD2" s="534"/>
      <c r="AE2" s="534"/>
      <c r="AF2" s="534"/>
      <c r="AG2" s="534"/>
      <c r="AH2" s="534"/>
      <c r="AI2" s="534"/>
      <c r="AJ2" s="534"/>
      <c r="AK2" s="534"/>
      <c r="AL2" s="534"/>
      <c r="AM2" s="260"/>
    </row>
    <row r="3" spans="1:74" s="12" customFormat="1" ht="13.2" x14ac:dyDescent="0.25">
      <c r="A3" s="14"/>
      <c r="B3" s="15"/>
      <c r="C3" s="806">
        <f>Dates!D3</f>
        <v>2016</v>
      </c>
      <c r="D3" s="802"/>
      <c r="E3" s="802"/>
      <c r="F3" s="802"/>
      <c r="G3" s="802"/>
      <c r="H3" s="802"/>
      <c r="I3" s="802"/>
      <c r="J3" s="802"/>
      <c r="K3" s="802"/>
      <c r="L3" s="802"/>
      <c r="M3" s="802"/>
      <c r="N3" s="803"/>
      <c r="O3" s="806">
        <f>C3+1</f>
        <v>2017</v>
      </c>
      <c r="P3" s="807"/>
      <c r="Q3" s="807"/>
      <c r="R3" s="807"/>
      <c r="S3" s="807"/>
      <c r="T3" s="807"/>
      <c r="U3" s="807"/>
      <c r="V3" s="807"/>
      <c r="W3" s="807"/>
      <c r="X3" s="802"/>
      <c r="Y3" s="802"/>
      <c r="Z3" s="803"/>
      <c r="AA3" s="799">
        <f>O3+1</f>
        <v>2018</v>
      </c>
      <c r="AB3" s="802"/>
      <c r="AC3" s="802"/>
      <c r="AD3" s="802"/>
      <c r="AE3" s="802"/>
      <c r="AF3" s="802"/>
      <c r="AG3" s="802"/>
      <c r="AH3" s="802"/>
      <c r="AI3" s="802"/>
      <c r="AJ3" s="802"/>
      <c r="AK3" s="802"/>
      <c r="AL3" s="803"/>
      <c r="AM3" s="799">
        <f>AA3+1</f>
        <v>2019</v>
      </c>
      <c r="AN3" s="802"/>
      <c r="AO3" s="802"/>
      <c r="AP3" s="802"/>
      <c r="AQ3" s="802"/>
      <c r="AR3" s="802"/>
      <c r="AS3" s="802"/>
      <c r="AT3" s="802"/>
      <c r="AU3" s="802"/>
      <c r="AV3" s="802"/>
      <c r="AW3" s="802"/>
      <c r="AX3" s="803"/>
      <c r="AY3" s="799">
        <f>AM3+1</f>
        <v>2020</v>
      </c>
      <c r="AZ3" s="800"/>
      <c r="BA3" s="800"/>
      <c r="BB3" s="800"/>
      <c r="BC3" s="800"/>
      <c r="BD3" s="800"/>
      <c r="BE3" s="800"/>
      <c r="BF3" s="800"/>
      <c r="BG3" s="800"/>
      <c r="BH3" s="800"/>
      <c r="BI3" s="800"/>
      <c r="BJ3" s="801"/>
      <c r="BK3" s="799">
        <f>AY3+1</f>
        <v>2021</v>
      </c>
      <c r="BL3" s="802"/>
      <c r="BM3" s="802"/>
      <c r="BN3" s="802"/>
      <c r="BO3" s="802"/>
      <c r="BP3" s="802"/>
      <c r="BQ3" s="802"/>
      <c r="BR3" s="802"/>
      <c r="BS3" s="802"/>
      <c r="BT3" s="802"/>
      <c r="BU3" s="802"/>
      <c r="BV3" s="803"/>
    </row>
    <row r="4" spans="1:74" s="12" customFormat="1" x14ac:dyDescent="0.2">
      <c r="A4" s="16"/>
      <c r="B4" s="17"/>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A5" s="49"/>
      <c r="B5" s="50" t="s">
        <v>109</v>
      </c>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51"/>
      <c r="BD5" s="631"/>
      <c r="BE5" s="631"/>
      <c r="BF5" s="631"/>
      <c r="BG5" s="631"/>
      <c r="BH5" s="631"/>
      <c r="BI5" s="631"/>
      <c r="BJ5" s="51"/>
      <c r="BK5" s="51"/>
      <c r="BL5" s="51"/>
      <c r="BM5" s="51"/>
      <c r="BN5" s="51"/>
      <c r="BO5" s="51"/>
      <c r="BP5" s="51"/>
      <c r="BQ5" s="51"/>
      <c r="BR5" s="51"/>
      <c r="BS5" s="51"/>
      <c r="BT5" s="51"/>
      <c r="BU5" s="51"/>
      <c r="BV5" s="51"/>
    </row>
    <row r="6" spans="1:74" ht="11.1" customHeight="1" x14ac:dyDescent="0.2">
      <c r="A6" s="52" t="s">
        <v>532</v>
      </c>
      <c r="B6" s="151" t="s">
        <v>480</v>
      </c>
      <c r="C6" s="215">
        <v>31.683</v>
      </c>
      <c r="D6" s="215">
        <v>30.323</v>
      </c>
      <c r="E6" s="215">
        <v>37.545000000000002</v>
      </c>
      <c r="F6" s="215">
        <v>40.753999999999998</v>
      </c>
      <c r="G6" s="215">
        <v>46.712000000000003</v>
      </c>
      <c r="H6" s="215">
        <v>48.756999999999998</v>
      </c>
      <c r="I6" s="215">
        <v>44.651000000000003</v>
      </c>
      <c r="J6" s="215">
        <v>44.723999999999997</v>
      </c>
      <c r="K6" s="215">
        <v>45.182000000000002</v>
      </c>
      <c r="L6" s="215">
        <v>49.774999999999999</v>
      </c>
      <c r="M6" s="215">
        <v>45.661000000000001</v>
      </c>
      <c r="N6" s="215">
        <v>51.972000000000001</v>
      </c>
      <c r="O6" s="215">
        <v>52.503999999999998</v>
      </c>
      <c r="P6" s="215">
        <v>53.468000000000004</v>
      </c>
      <c r="Q6" s="215">
        <v>49.328000000000003</v>
      </c>
      <c r="R6" s="215">
        <v>51.06</v>
      </c>
      <c r="S6" s="215">
        <v>48.475999999999999</v>
      </c>
      <c r="T6" s="215">
        <v>45.177999999999997</v>
      </c>
      <c r="U6" s="215">
        <v>46.63</v>
      </c>
      <c r="V6" s="215">
        <v>48.036999999999999</v>
      </c>
      <c r="W6" s="215">
        <v>49.822000000000003</v>
      </c>
      <c r="X6" s="215">
        <v>51.578000000000003</v>
      </c>
      <c r="Y6" s="215">
        <v>56.639000000000003</v>
      </c>
      <c r="Z6" s="215">
        <v>57.881</v>
      </c>
      <c r="AA6" s="215">
        <v>63.698</v>
      </c>
      <c r="AB6" s="215">
        <v>62.228999999999999</v>
      </c>
      <c r="AC6" s="215">
        <v>62.725000000000001</v>
      </c>
      <c r="AD6" s="215">
        <v>66.254000000000005</v>
      </c>
      <c r="AE6" s="215">
        <v>69.977999999999994</v>
      </c>
      <c r="AF6" s="215">
        <v>67.873000000000005</v>
      </c>
      <c r="AG6" s="215">
        <v>70.980999999999995</v>
      </c>
      <c r="AH6" s="215">
        <v>68.055000000000007</v>
      </c>
      <c r="AI6" s="215">
        <v>70.230999999999995</v>
      </c>
      <c r="AJ6" s="215">
        <v>70.748999999999995</v>
      </c>
      <c r="AK6" s="215">
        <v>56.963000000000001</v>
      </c>
      <c r="AL6" s="215">
        <v>49.523000000000003</v>
      </c>
      <c r="AM6" s="215">
        <v>51.375999999999998</v>
      </c>
      <c r="AN6" s="215">
        <v>54.954000000000001</v>
      </c>
      <c r="AO6" s="215">
        <v>58.151000000000003</v>
      </c>
      <c r="AP6" s="215">
        <v>63.862000000000002</v>
      </c>
      <c r="AQ6" s="215">
        <v>60.826999999999998</v>
      </c>
      <c r="AR6" s="215">
        <v>54.656999999999996</v>
      </c>
      <c r="AS6" s="215">
        <v>57.353999999999999</v>
      </c>
      <c r="AT6" s="215">
        <v>54.805</v>
      </c>
      <c r="AU6" s="215">
        <v>56.947000000000003</v>
      </c>
      <c r="AV6" s="215">
        <v>53.963000000000001</v>
      </c>
      <c r="AW6" s="215">
        <v>57.027000000000001</v>
      </c>
      <c r="AX6" s="215">
        <v>59.877000000000002</v>
      </c>
      <c r="AY6" s="215">
        <v>57.52</v>
      </c>
      <c r="AZ6" s="215">
        <v>50.54</v>
      </c>
      <c r="BA6" s="215">
        <v>29.21</v>
      </c>
      <c r="BB6" s="215">
        <v>16.55</v>
      </c>
      <c r="BC6" s="215">
        <v>28.56</v>
      </c>
      <c r="BD6" s="215">
        <v>38.31</v>
      </c>
      <c r="BE6" s="215">
        <v>40.71</v>
      </c>
      <c r="BF6" s="215">
        <v>42.34</v>
      </c>
      <c r="BG6" s="323">
        <v>41.5</v>
      </c>
      <c r="BH6" s="323">
        <v>41.5</v>
      </c>
      <c r="BI6" s="323">
        <v>41</v>
      </c>
      <c r="BJ6" s="323">
        <v>41</v>
      </c>
      <c r="BK6" s="323">
        <v>41</v>
      </c>
      <c r="BL6" s="323">
        <v>42</v>
      </c>
      <c r="BM6" s="323">
        <v>43</v>
      </c>
      <c r="BN6" s="323">
        <v>44</v>
      </c>
      <c r="BO6" s="323">
        <v>45</v>
      </c>
      <c r="BP6" s="323">
        <v>46</v>
      </c>
      <c r="BQ6" s="323">
        <v>46</v>
      </c>
      <c r="BR6" s="323">
        <v>46</v>
      </c>
      <c r="BS6" s="323">
        <v>46</v>
      </c>
      <c r="BT6" s="323">
        <v>47</v>
      </c>
      <c r="BU6" s="323">
        <v>47</v>
      </c>
      <c r="BV6" s="323">
        <v>47</v>
      </c>
    </row>
    <row r="7" spans="1:74" ht="11.1" customHeight="1" x14ac:dyDescent="0.2">
      <c r="A7" s="52" t="s">
        <v>98</v>
      </c>
      <c r="B7" s="151" t="s">
        <v>97</v>
      </c>
      <c r="C7" s="215">
        <v>30.7</v>
      </c>
      <c r="D7" s="215">
        <v>32.182000000000002</v>
      </c>
      <c r="E7" s="215">
        <v>38.21</v>
      </c>
      <c r="F7" s="215">
        <v>41.582999999999998</v>
      </c>
      <c r="G7" s="215">
        <v>46.741999999999997</v>
      </c>
      <c r="H7" s="215">
        <v>48.247</v>
      </c>
      <c r="I7" s="215">
        <v>44.951999999999998</v>
      </c>
      <c r="J7" s="215">
        <v>45.843000000000004</v>
      </c>
      <c r="K7" s="215">
        <v>46.567999999999998</v>
      </c>
      <c r="L7" s="215">
        <v>49.521999999999998</v>
      </c>
      <c r="M7" s="215">
        <v>44.734000000000002</v>
      </c>
      <c r="N7" s="215">
        <v>53.289000000000001</v>
      </c>
      <c r="O7" s="215">
        <v>54.576999999999998</v>
      </c>
      <c r="P7" s="215">
        <v>54.87</v>
      </c>
      <c r="Q7" s="215">
        <v>51.588999999999999</v>
      </c>
      <c r="R7" s="215">
        <v>52.308</v>
      </c>
      <c r="S7" s="215">
        <v>50.326999999999998</v>
      </c>
      <c r="T7" s="215">
        <v>46.368000000000002</v>
      </c>
      <c r="U7" s="215">
        <v>48.478999999999999</v>
      </c>
      <c r="V7" s="215">
        <v>51.704000000000001</v>
      </c>
      <c r="W7" s="215">
        <v>56.152999999999999</v>
      </c>
      <c r="X7" s="215">
        <v>57.508000000000003</v>
      </c>
      <c r="Y7" s="215">
        <v>62.713999999999999</v>
      </c>
      <c r="Z7" s="215">
        <v>64.373999999999995</v>
      </c>
      <c r="AA7" s="215">
        <v>69.076999999999998</v>
      </c>
      <c r="AB7" s="215">
        <v>65.317999999999998</v>
      </c>
      <c r="AC7" s="215">
        <v>66.016999999999996</v>
      </c>
      <c r="AD7" s="215">
        <v>72.105999999999995</v>
      </c>
      <c r="AE7" s="215">
        <v>76.974999999999994</v>
      </c>
      <c r="AF7" s="215">
        <v>74.405000000000001</v>
      </c>
      <c r="AG7" s="215">
        <v>74.254000000000005</v>
      </c>
      <c r="AH7" s="215">
        <v>72.528000000000006</v>
      </c>
      <c r="AI7" s="215">
        <v>78.891000000000005</v>
      </c>
      <c r="AJ7" s="215">
        <v>81.031999999999996</v>
      </c>
      <c r="AK7" s="215">
        <v>64.748000000000005</v>
      </c>
      <c r="AL7" s="215">
        <v>57.362000000000002</v>
      </c>
      <c r="AM7" s="215">
        <v>59.41</v>
      </c>
      <c r="AN7" s="215">
        <v>63.960999999999999</v>
      </c>
      <c r="AO7" s="215">
        <v>66.138999999999996</v>
      </c>
      <c r="AP7" s="215">
        <v>71.233000000000004</v>
      </c>
      <c r="AQ7" s="215">
        <v>71.317999999999998</v>
      </c>
      <c r="AR7" s="215">
        <v>64.221000000000004</v>
      </c>
      <c r="AS7" s="215">
        <v>63.918999999999997</v>
      </c>
      <c r="AT7" s="215">
        <v>59.042000000000002</v>
      </c>
      <c r="AU7" s="215">
        <v>62.826999999999998</v>
      </c>
      <c r="AV7" s="215">
        <v>59.713000000000001</v>
      </c>
      <c r="AW7" s="215">
        <v>63.212000000000003</v>
      </c>
      <c r="AX7" s="215">
        <v>67.31</v>
      </c>
      <c r="AY7" s="215">
        <v>63.65</v>
      </c>
      <c r="AZ7" s="215">
        <v>55.66</v>
      </c>
      <c r="BA7" s="215">
        <v>32.01</v>
      </c>
      <c r="BB7" s="215">
        <v>18.38</v>
      </c>
      <c r="BC7" s="215">
        <v>29.38</v>
      </c>
      <c r="BD7" s="215">
        <v>40.270000000000003</v>
      </c>
      <c r="BE7" s="215">
        <v>43.24</v>
      </c>
      <c r="BF7" s="215">
        <v>44.74</v>
      </c>
      <c r="BG7" s="323">
        <v>44</v>
      </c>
      <c r="BH7" s="323">
        <v>44</v>
      </c>
      <c r="BI7" s="323">
        <v>44</v>
      </c>
      <c r="BJ7" s="323">
        <v>44.5</v>
      </c>
      <c r="BK7" s="323">
        <v>45</v>
      </c>
      <c r="BL7" s="323">
        <v>46</v>
      </c>
      <c r="BM7" s="323">
        <v>47</v>
      </c>
      <c r="BN7" s="323">
        <v>48</v>
      </c>
      <c r="BO7" s="323">
        <v>49</v>
      </c>
      <c r="BP7" s="323">
        <v>50</v>
      </c>
      <c r="BQ7" s="323">
        <v>50</v>
      </c>
      <c r="BR7" s="323">
        <v>50</v>
      </c>
      <c r="BS7" s="323">
        <v>50</v>
      </c>
      <c r="BT7" s="323">
        <v>51</v>
      </c>
      <c r="BU7" s="323">
        <v>51</v>
      </c>
      <c r="BV7" s="323">
        <v>51</v>
      </c>
    </row>
    <row r="8" spans="1:74" ht="11.1" customHeight="1" x14ac:dyDescent="0.2">
      <c r="A8" s="52" t="s">
        <v>531</v>
      </c>
      <c r="B8" s="627" t="s">
        <v>1015</v>
      </c>
      <c r="C8" s="215">
        <v>27.48</v>
      </c>
      <c r="D8" s="215">
        <v>26.66</v>
      </c>
      <c r="E8" s="215">
        <v>32.24</v>
      </c>
      <c r="F8" s="215">
        <v>35.9</v>
      </c>
      <c r="G8" s="215">
        <v>40.880000000000003</v>
      </c>
      <c r="H8" s="215">
        <v>44.13</v>
      </c>
      <c r="I8" s="215">
        <v>41.48</v>
      </c>
      <c r="J8" s="215">
        <v>41.21</v>
      </c>
      <c r="K8" s="215">
        <v>40.86</v>
      </c>
      <c r="L8" s="215">
        <v>44.76</v>
      </c>
      <c r="M8" s="215">
        <v>41.8</v>
      </c>
      <c r="N8" s="215">
        <v>46.72</v>
      </c>
      <c r="O8" s="215">
        <v>48.12</v>
      </c>
      <c r="P8" s="215">
        <v>49.38</v>
      </c>
      <c r="Q8" s="215">
        <v>46.53</v>
      </c>
      <c r="R8" s="215">
        <v>47.47</v>
      </c>
      <c r="S8" s="215">
        <v>47.21</v>
      </c>
      <c r="T8" s="215">
        <v>44.03</v>
      </c>
      <c r="U8" s="215">
        <v>44.76</v>
      </c>
      <c r="V8" s="215">
        <v>47.62</v>
      </c>
      <c r="W8" s="215">
        <v>50.46</v>
      </c>
      <c r="X8" s="215">
        <v>51.4</v>
      </c>
      <c r="Y8" s="215">
        <v>56.3</v>
      </c>
      <c r="Z8" s="215">
        <v>57.44</v>
      </c>
      <c r="AA8" s="215">
        <v>59.71</v>
      </c>
      <c r="AB8" s="215">
        <v>58.03</v>
      </c>
      <c r="AC8" s="215">
        <v>56.82</v>
      </c>
      <c r="AD8" s="215">
        <v>61.24</v>
      </c>
      <c r="AE8" s="215">
        <v>65.89</v>
      </c>
      <c r="AF8" s="215">
        <v>66.819999999999993</v>
      </c>
      <c r="AG8" s="215">
        <v>66.62</v>
      </c>
      <c r="AH8" s="215">
        <v>65.48</v>
      </c>
      <c r="AI8" s="215">
        <v>66.7</v>
      </c>
      <c r="AJ8" s="215">
        <v>67.790000000000006</v>
      </c>
      <c r="AK8" s="215">
        <v>54.4</v>
      </c>
      <c r="AL8" s="215">
        <v>42.8</v>
      </c>
      <c r="AM8" s="215">
        <v>49.71</v>
      </c>
      <c r="AN8" s="215">
        <v>56.66</v>
      </c>
      <c r="AO8" s="215">
        <v>61.14</v>
      </c>
      <c r="AP8" s="215">
        <v>65.42</v>
      </c>
      <c r="AQ8" s="215">
        <v>65.03</v>
      </c>
      <c r="AR8" s="215">
        <v>58.16</v>
      </c>
      <c r="AS8" s="215">
        <v>59.18</v>
      </c>
      <c r="AT8" s="215">
        <v>55.41</v>
      </c>
      <c r="AU8" s="215">
        <v>57.31</v>
      </c>
      <c r="AV8" s="215">
        <v>54.44</v>
      </c>
      <c r="AW8" s="215">
        <v>55.27</v>
      </c>
      <c r="AX8" s="215">
        <v>56.85</v>
      </c>
      <c r="AY8" s="215">
        <v>53.96</v>
      </c>
      <c r="AZ8" s="215">
        <v>47.42</v>
      </c>
      <c r="BA8" s="215">
        <v>28.5</v>
      </c>
      <c r="BB8" s="215">
        <v>16.739999999999998</v>
      </c>
      <c r="BC8" s="215">
        <v>22.43</v>
      </c>
      <c r="BD8" s="215">
        <v>37.31</v>
      </c>
      <c r="BE8" s="215">
        <v>39.71</v>
      </c>
      <c r="BF8" s="215">
        <v>40.840000000000003</v>
      </c>
      <c r="BG8" s="323">
        <v>39.75</v>
      </c>
      <c r="BH8" s="323">
        <v>39.5</v>
      </c>
      <c r="BI8" s="323">
        <v>38.85</v>
      </c>
      <c r="BJ8" s="323">
        <v>38.700000000000003</v>
      </c>
      <c r="BK8" s="323">
        <v>38.549999999999997</v>
      </c>
      <c r="BL8" s="323">
        <v>39.549999999999997</v>
      </c>
      <c r="BM8" s="323">
        <v>40.549999999999997</v>
      </c>
      <c r="BN8" s="323">
        <v>41.4</v>
      </c>
      <c r="BO8" s="323">
        <v>42.4</v>
      </c>
      <c r="BP8" s="323">
        <v>43.4</v>
      </c>
      <c r="BQ8" s="323">
        <v>43.25</v>
      </c>
      <c r="BR8" s="323">
        <v>43.25</v>
      </c>
      <c r="BS8" s="323">
        <v>43.25</v>
      </c>
      <c r="BT8" s="323">
        <v>44</v>
      </c>
      <c r="BU8" s="323">
        <v>44</v>
      </c>
      <c r="BV8" s="323">
        <v>44</v>
      </c>
    </row>
    <row r="9" spans="1:74" ht="11.1" customHeight="1" x14ac:dyDescent="0.2">
      <c r="A9" s="52" t="s">
        <v>796</v>
      </c>
      <c r="B9" s="627" t="s">
        <v>1014</v>
      </c>
      <c r="C9" s="215">
        <v>29.99</v>
      </c>
      <c r="D9" s="215">
        <v>28.53</v>
      </c>
      <c r="E9" s="215">
        <v>33.82</v>
      </c>
      <c r="F9" s="215">
        <v>37.71</v>
      </c>
      <c r="G9" s="215">
        <v>42.88</v>
      </c>
      <c r="H9" s="215">
        <v>45.96</v>
      </c>
      <c r="I9" s="215">
        <v>43.26</v>
      </c>
      <c r="J9" s="215">
        <v>42.7</v>
      </c>
      <c r="K9" s="215">
        <v>42.73</v>
      </c>
      <c r="L9" s="215">
        <v>46.85</v>
      </c>
      <c r="M9" s="215">
        <v>44.06</v>
      </c>
      <c r="N9" s="215">
        <v>48.66</v>
      </c>
      <c r="O9" s="215">
        <v>49.99</v>
      </c>
      <c r="P9" s="215">
        <v>51.24</v>
      </c>
      <c r="Q9" s="215">
        <v>48.65</v>
      </c>
      <c r="R9" s="215">
        <v>49.47</v>
      </c>
      <c r="S9" s="215">
        <v>48.47</v>
      </c>
      <c r="T9" s="215">
        <v>45.25</v>
      </c>
      <c r="U9" s="215">
        <v>46.27</v>
      </c>
      <c r="V9" s="215">
        <v>48.22</v>
      </c>
      <c r="W9" s="215">
        <v>50.78</v>
      </c>
      <c r="X9" s="215">
        <v>52.67</v>
      </c>
      <c r="Y9" s="215">
        <v>57.75</v>
      </c>
      <c r="Z9" s="215">
        <v>59.53</v>
      </c>
      <c r="AA9" s="215">
        <v>63.25</v>
      </c>
      <c r="AB9" s="215">
        <v>61.74</v>
      </c>
      <c r="AC9" s="215">
        <v>60.81</v>
      </c>
      <c r="AD9" s="215">
        <v>64.41</v>
      </c>
      <c r="AE9" s="215">
        <v>68.91</v>
      </c>
      <c r="AF9" s="215">
        <v>68.349999999999994</v>
      </c>
      <c r="AG9" s="215">
        <v>70.290000000000006</v>
      </c>
      <c r="AH9" s="215">
        <v>67.680000000000007</v>
      </c>
      <c r="AI9" s="215">
        <v>69.290000000000006</v>
      </c>
      <c r="AJ9" s="215">
        <v>70.989999999999995</v>
      </c>
      <c r="AK9" s="215">
        <v>59.01</v>
      </c>
      <c r="AL9" s="215">
        <v>48.83</v>
      </c>
      <c r="AM9" s="215">
        <v>52.29</v>
      </c>
      <c r="AN9" s="215">
        <v>57.62</v>
      </c>
      <c r="AO9" s="215">
        <v>61.64</v>
      </c>
      <c r="AP9" s="215">
        <v>66.510000000000005</v>
      </c>
      <c r="AQ9" s="215">
        <v>65.11</v>
      </c>
      <c r="AR9" s="215">
        <v>59.16</v>
      </c>
      <c r="AS9" s="215">
        <v>60.53</v>
      </c>
      <c r="AT9" s="215">
        <v>56.9</v>
      </c>
      <c r="AU9" s="215">
        <v>58.6</v>
      </c>
      <c r="AV9" s="215">
        <v>55.85</v>
      </c>
      <c r="AW9" s="215">
        <v>57.88</v>
      </c>
      <c r="AX9" s="215">
        <v>60.27</v>
      </c>
      <c r="AY9" s="215">
        <v>57.94</v>
      </c>
      <c r="AZ9" s="215">
        <v>51.37</v>
      </c>
      <c r="BA9" s="215">
        <v>32.549999999999997</v>
      </c>
      <c r="BB9" s="215">
        <v>19.41</v>
      </c>
      <c r="BC9" s="215">
        <v>23.82</v>
      </c>
      <c r="BD9" s="215">
        <v>42.31</v>
      </c>
      <c r="BE9" s="215">
        <v>44.21</v>
      </c>
      <c r="BF9" s="215">
        <v>44.84</v>
      </c>
      <c r="BG9" s="323">
        <v>43.25</v>
      </c>
      <c r="BH9" s="323">
        <v>42.5</v>
      </c>
      <c r="BI9" s="323">
        <v>41.35</v>
      </c>
      <c r="BJ9" s="323">
        <v>40.700000000000003</v>
      </c>
      <c r="BK9" s="323">
        <v>40.049999999999997</v>
      </c>
      <c r="BL9" s="323">
        <v>41.05</v>
      </c>
      <c r="BM9" s="323">
        <v>42.05</v>
      </c>
      <c r="BN9" s="323">
        <v>42.4</v>
      </c>
      <c r="BO9" s="323">
        <v>43.4</v>
      </c>
      <c r="BP9" s="323">
        <v>44.4</v>
      </c>
      <c r="BQ9" s="323">
        <v>44.25</v>
      </c>
      <c r="BR9" s="323">
        <v>44.25</v>
      </c>
      <c r="BS9" s="323">
        <v>44.25</v>
      </c>
      <c r="BT9" s="323">
        <v>45</v>
      </c>
      <c r="BU9" s="323">
        <v>45</v>
      </c>
      <c r="BV9" s="323">
        <v>45</v>
      </c>
    </row>
    <row r="10" spans="1:74" ht="11.1" customHeight="1" x14ac:dyDescent="0.2">
      <c r="A10" s="49"/>
      <c r="B10" s="50" t="s">
        <v>1016</v>
      </c>
      <c r="C10" s="220"/>
      <c r="D10" s="220"/>
      <c r="E10" s="220"/>
      <c r="F10" s="220"/>
      <c r="G10" s="220"/>
      <c r="H10" s="220"/>
      <c r="I10" s="220"/>
      <c r="J10" s="220"/>
      <c r="K10" s="220"/>
      <c r="L10" s="220"/>
      <c r="M10" s="220"/>
      <c r="N10" s="220"/>
      <c r="O10" s="220"/>
      <c r="P10" s="220"/>
      <c r="Q10" s="220"/>
      <c r="R10" s="220"/>
      <c r="S10" s="220"/>
      <c r="T10" s="220"/>
      <c r="U10" s="220"/>
      <c r="V10" s="220"/>
      <c r="W10" s="220"/>
      <c r="X10" s="220"/>
      <c r="Y10" s="220"/>
      <c r="Z10" s="220"/>
      <c r="AA10" s="220"/>
      <c r="AB10" s="220"/>
      <c r="AC10" s="220"/>
      <c r="AD10" s="220"/>
      <c r="AE10" s="220"/>
      <c r="AF10" s="220"/>
      <c r="AG10" s="220"/>
      <c r="AH10" s="220"/>
      <c r="AI10" s="220"/>
      <c r="AJ10" s="220"/>
      <c r="AK10" s="220"/>
      <c r="AL10" s="220"/>
      <c r="AM10" s="220"/>
      <c r="AN10" s="220"/>
      <c r="AO10" s="220"/>
      <c r="AP10" s="220"/>
      <c r="AQ10" s="220"/>
      <c r="AR10" s="220"/>
      <c r="AS10" s="220"/>
      <c r="AT10" s="220"/>
      <c r="AU10" s="220"/>
      <c r="AV10" s="220"/>
      <c r="AW10" s="220"/>
      <c r="AX10" s="220"/>
      <c r="AY10" s="220"/>
      <c r="AZ10" s="220"/>
      <c r="BA10" s="220"/>
      <c r="BB10" s="220"/>
      <c r="BC10" s="220"/>
      <c r="BD10" s="220"/>
      <c r="BE10" s="220"/>
      <c r="BF10" s="220"/>
      <c r="BG10" s="406"/>
      <c r="BH10" s="406"/>
      <c r="BI10" s="406"/>
      <c r="BJ10" s="406"/>
      <c r="BK10" s="406"/>
      <c r="BL10" s="406"/>
      <c r="BM10" s="406"/>
      <c r="BN10" s="406"/>
      <c r="BO10" s="406"/>
      <c r="BP10" s="406"/>
      <c r="BQ10" s="406"/>
      <c r="BR10" s="406"/>
      <c r="BS10" s="406"/>
      <c r="BT10" s="406"/>
      <c r="BU10" s="406"/>
      <c r="BV10" s="406"/>
    </row>
    <row r="11" spans="1:74" ht="11.1" customHeight="1" x14ac:dyDescent="0.2">
      <c r="A11" s="49"/>
      <c r="B11" s="50" t="s">
        <v>559</v>
      </c>
      <c r="C11" s="220"/>
      <c r="D11" s="220"/>
      <c r="E11" s="220"/>
      <c r="F11" s="220"/>
      <c r="G11" s="220"/>
      <c r="H11" s="220"/>
      <c r="I11" s="220"/>
      <c r="J11" s="220"/>
      <c r="K11" s="220"/>
      <c r="L11" s="220"/>
      <c r="M11" s="220"/>
      <c r="N11" s="220"/>
      <c r="O11" s="220"/>
      <c r="P11" s="220"/>
      <c r="Q11" s="220"/>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c r="AP11" s="220"/>
      <c r="AQ11" s="220"/>
      <c r="AR11" s="220"/>
      <c r="AS11" s="220"/>
      <c r="AT11" s="220"/>
      <c r="AU11" s="220"/>
      <c r="AV11" s="220"/>
      <c r="AW11" s="220"/>
      <c r="AX11" s="220"/>
      <c r="AY11" s="220"/>
      <c r="AZ11" s="220"/>
      <c r="BA11" s="220"/>
      <c r="BB11" s="220"/>
      <c r="BC11" s="220"/>
      <c r="BD11" s="220"/>
      <c r="BE11" s="220"/>
      <c r="BF11" s="220"/>
      <c r="BG11" s="406"/>
      <c r="BH11" s="406"/>
      <c r="BI11" s="406"/>
      <c r="BJ11" s="406"/>
      <c r="BK11" s="406"/>
      <c r="BL11" s="406"/>
      <c r="BM11" s="406"/>
      <c r="BN11" s="406"/>
      <c r="BO11" s="406"/>
      <c r="BP11" s="406"/>
      <c r="BQ11" s="406"/>
      <c r="BR11" s="406"/>
      <c r="BS11" s="406"/>
      <c r="BT11" s="406"/>
      <c r="BU11" s="406"/>
      <c r="BV11" s="406"/>
    </row>
    <row r="12" spans="1:74" ht="11.1" customHeight="1" x14ac:dyDescent="0.2">
      <c r="A12" s="52" t="s">
        <v>781</v>
      </c>
      <c r="B12" s="151" t="s">
        <v>560</v>
      </c>
      <c r="C12" s="238">
        <v>118.7</v>
      </c>
      <c r="D12" s="238">
        <v>104.6</v>
      </c>
      <c r="E12" s="238">
        <v>133.5</v>
      </c>
      <c r="F12" s="238">
        <v>147.6</v>
      </c>
      <c r="G12" s="238">
        <v>161.30000000000001</v>
      </c>
      <c r="H12" s="238">
        <v>164.3</v>
      </c>
      <c r="I12" s="238">
        <v>149</v>
      </c>
      <c r="J12" s="238">
        <v>150.80000000000001</v>
      </c>
      <c r="K12" s="238">
        <v>151.4</v>
      </c>
      <c r="L12" s="238">
        <v>156.80000000000001</v>
      </c>
      <c r="M12" s="238">
        <v>142.69999999999999</v>
      </c>
      <c r="N12" s="238">
        <v>158.5</v>
      </c>
      <c r="O12" s="238">
        <v>162.69999999999999</v>
      </c>
      <c r="P12" s="238">
        <v>162.5</v>
      </c>
      <c r="Q12" s="238">
        <v>163.4</v>
      </c>
      <c r="R12" s="238">
        <v>172.3</v>
      </c>
      <c r="S12" s="238">
        <v>166.8</v>
      </c>
      <c r="T12" s="238">
        <v>157.4</v>
      </c>
      <c r="U12" s="238">
        <v>162.1</v>
      </c>
      <c r="V12" s="238">
        <v>171.1</v>
      </c>
      <c r="W12" s="238">
        <v>182.6</v>
      </c>
      <c r="X12" s="238">
        <v>173</v>
      </c>
      <c r="Y12" s="238">
        <v>180.6</v>
      </c>
      <c r="Z12" s="238">
        <v>172</v>
      </c>
      <c r="AA12" s="238">
        <v>184.9</v>
      </c>
      <c r="AB12" s="238">
        <v>182.3</v>
      </c>
      <c r="AC12" s="238">
        <v>188.9</v>
      </c>
      <c r="AD12" s="238">
        <v>205.4</v>
      </c>
      <c r="AE12" s="238">
        <v>220.5</v>
      </c>
      <c r="AF12" s="238">
        <v>213.5</v>
      </c>
      <c r="AG12" s="238">
        <v>214.8</v>
      </c>
      <c r="AH12" s="238">
        <v>211.8</v>
      </c>
      <c r="AI12" s="238">
        <v>213.6</v>
      </c>
      <c r="AJ12" s="238">
        <v>209</v>
      </c>
      <c r="AK12" s="238">
        <v>173.2</v>
      </c>
      <c r="AL12" s="238">
        <v>151.4</v>
      </c>
      <c r="AM12" s="238">
        <v>148.30000000000001</v>
      </c>
      <c r="AN12" s="238">
        <v>162.4</v>
      </c>
      <c r="AO12" s="238">
        <v>188.1</v>
      </c>
      <c r="AP12" s="238">
        <v>213.8</v>
      </c>
      <c r="AQ12" s="238">
        <v>211</v>
      </c>
      <c r="AR12" s="238">
        <v>190.9</v>
      </c>
      <c r="AS12" s="238">
        <v>198.4</v>
      </c>
      <c r="AT12" s="238">
        <v>182</v>
      </c>
      <c r="AU12" s="238">
        <v>185.4</v>
      </c>
      <c r="AV12" s="238">
        <v>187.1</v>
      </c>
      <c r="AW12" s="238">
        <v>181.9</v>
      </c>
      <c r="AX12" s="238">
        <v>175.7</v>
      </c>
      <c r="AY12" s="238">
        <v>174.3</v>
      </c>
      <c r="AZ12" s="238">
        <v>166.9</v>
      </c>
      <c r="BA12" s="238">
        <v>112.7</v>
      </c>
      <c r="BB12" s="238">
        <v>64.5</v>
      </c>
      <c r="BC12" s="238">
        <v>104.9</v>
      </c>
      <c r="BD12" s="238">
        <v>131.1</v>
      </c>
      <c r="BE12" s="238">
        <v>135.72640000000001</v>
      </c>
      <c r="BF12" s="238">
        <v>135.357</v>
      </c>
      <c r="BG12" s="329">
        <v>134.32079999999999</v>
      </c>
      <c r="BH12" s="329">
        <v>131.01089999999999</v>
      </c>
      <c r="BI12" s="329">
        <v>129.60169999999999</v>
      </c>
      <c r="BJ12" s="329">
        <v>125.6939</v>
      </c>
      <c r="BK12" s="329">
        <v>126.0864</v>
      </c>
      <c r="BL12" s="329">
        <v>134.0299</v>
      </c>
      <c r="BM12" s="329">
        <v>146.3235</v>
      </c>
      <c r="BN12" s="329">
        <v>157.45429999999999</v>
      </c>
      <c r="BO12" s="329">
        <v>162.77289999999999</v>
      </c>
      <c r="BP12" s="329">
        <v>163.93690000000001</v>
      </c>
      <c r="BQ12" s="329">
        <v>161.9385</v>
      </c>
      <c r="BR12" s="329">
        <v>163.65280000000001</v>
      </c>
      <c r="BS12" s="329">
        <v>156.83279999999999</v>
      </c>
      <c r="BT12" s="329">
        <v>154.04679999999999</v>
      </c>
      <c r="BU12" s="329">
        <v>149.63079999999999</v>
      </c>
      <c r="BV12" s="329">
        <v>146.7825</v>
      </c>
    </row>
    <row r="13" spans="1:74" ht="11.1" customHeight="1" x14ac:dyDescent="0.2">
      <c r="A13" s="49" t="s">
        <v>797</v>
      </c>
      <c r="B13" s="151" t="s">
        <v>565</v>
      </c>
      <c r="C13" s="238">
        <v>101.5</v>
      </c>
      <c r="D13" s="238">
        <v>104.3</v>
      </c>
      <c r="E13" s="238">
        <v>118.9</v>
      </c>
      <c r="F13" s="238">
        <v>125.1</v>
      </c>
      <c r="G13" s="238">
        <v>143.19999999999999</v>
      </c>
      <c r="H13" s="238">
        <v>153.1</v>
      </c>
      <c r="I13" s="238">
        <v>142.6</v>
      </c>
      <c r="J13" s="238">
        <v>144</v>
      </c>
      <c r="K13" s="238">
        <v>147.1</v>
      </c>
      <c r="L13" s="238">
        <v>159.19999999999999</v>
      </c>
      <c r="M13" s="238">
        <v>146.9</v>
      </c>
      <c r="N13" s="238">
        <v>160.6</v>
      </c>
      <c r="O13" s="238">
        <v>163.6</v>
      </c>
      <c r="P13" s="238">
        <v>164.1</v>
      </c>
      <c r="Q13" s="238">
        <v>158.1</v>
      </c>
      <c r="R13" s="238">
        <v>162.69999999999999</v>
      </c>
      <c r="S13" s="238">
        <v>155.19999999999999</v>
      </c>
      <c r="T13" s="238">
        <v>146.5</v>
      </c>
      <c r="U13" s="238">
        <v>153.30000000000001</v>
      </c>
      <c r="V13" s="238">
        <v>168.1</v>
      </c>
      <c r="W13" s="238">
        <v>184.7</v>
      </c>
      <c r="X13" s="238">
        <v>185.2</v>
      </c>
      <c r="Y13" s="238">
        <v>193.6</v>
      </c>
      <c r="Z13" s="238">
        <v>191.8</v>
      </c>
      <c r="AA13" s="238">
        <v>204.2</v>
      </c>
      <c r="AB13" s="238">
        <v>197.2</v>
      </c>
      <c r="AC13" s="238">
        <v>195.2</v>
      </c>
      <c r="AD13" s="238">
        <v>209.9</v>
      </c>
      <c r="AE13" s="238">
        <v>225.8</v>
      </c>
      <c r="AF13" s="238">
        <v>220.3</v>
      </c>
      <c r="AG13" s="238">
        <v>219.2</v>
      </c>
      <c r="AH13" s="238">
        <v>220.3</v>
      </c>
      <c r="AI13" s="238">
        <v>228.2</v>
      </c>
      <c r="AJ13" s="238">
        <v>237.9</v>
      </c>
      <c r="AK13" s="238">
        <v>213</v>
      </c>
      <c r="AL13" s="238">
        <v>179.4</v>
      </c>
      <c r="AM13" s="238">
        <v>178.9</v>
      </c>
      <c r="AN13" s="238">
        <v>195</v>
      </c>
      <c r="AO13" s="238">
        <v>202</v>
      </c>
      <c r="AP13" s="238">
        <v>210</v>
      </c>
      <c r="AQ13" s="238">
        <v>210.6</v>
      </c>
      <c r="AR13" s="238">
        <v>187.4</v>
      </c>
      <c r="AS13" s="238">
        <v>193.8</v>
      </c>
      <c r="AT13" s="238">
        <v>186.5</v>
      </c>
      <c r="AU13" s="238">
        <v>195.5</v>
      </c>
      <c r="AV13" s="238">
        <v>198.4</v>
      </c>
      <c r="AW13" s="238">
        <v>197.4</v>
      </c>
      <c r="AX13" s="238">
        <v>194.3</v>
      </c>
      <c r="AY13" s="238">
        <v>185.8</v>
      </c>
      <c r="AZ13" s="238">
        <v>167.1</v>
      </c>
      <c r="BA13" s="238">
        <v>127.8</v>
      </c>
      <c r="BB13" s="238">
        <v>90.8</v>
      </c>
      <c r="BC13" s="238">
        <v>87.8</v>
      </c>
      <c r="BD13" s="238">
        <v>113.5</v>
      </c>
      <c r="BE13" s="238">
        <v>125.7255</v>
      </c>
      <c r="BF13" s="238">
        <v>128.49260000000001</v>
      </c>
      <c r="BG13" s="329">
        <v>129.76519999999999</v>
      </c>
      <c r="BH13" s="329">
        <v>131.94139999999999</v>
      </c>
      <c r="BI13" s="329">
        <v>133.85980000000001</v>
      </c>
      <c r="BJ13" s="329">
        <v>134.98070000000001</v>
      </c>
      <c r="BK13" s="329">
        <v>132.11089999999999</v>
      </c>
      <c r="BL13" s="329">
        <v>138.26070000000001</v>
      </c>
      <c r="BM13" s="329">
        <v>146.7593</v>
      </c>
      <c r="BN13" s="329">
        <v>149.9468</v>
      </c>
      <c r="BO13" s="329">
        <v>152.7527</v>
      </c>
      <c r="BP13" s="329">
        <v>157.53389999999999</v>
      </c>
      <c r="BQ13" s="329">
        <v>156.55709999999999</v>
      </c>
      <c r="BR13" s="329">
        <v>161.44720000000001</v>
      </c>
      <c r="BS13" s="329">
        <v>160.39019999999999</v>
      </c>
      <c r="BT13" s="329">
        <v>164.77350000000001</v>
      </c>
      <c r="BU13" s="329">
        <v>163.5341</v>
      </c>
      <c r="BV13" s="329">
        <v>158.79159999999999</v>
      </c>
    </row>
    <row r="14" spans="1:74" ht="11.1" customHeight="1" x14ac:dyDescent="0.2">
      <c r="A14" s="52" t="s">
        <v>535</v>
      </c>
      <c r="B14" s="151" t="s">
        <v>561</v>
      </c>
      <c r="C14" s="238">
        <v>97.6</v>
      </c>
      <c r="D14" s="238">
        <v>94.8</v>
      </c>
      <c r="E14" s="238">
        <v>107</v>
      </c>
      <c r="F14" s="238">
        <v>111.3</v>
      </c>
      <c r="G14" s="238">
        <v>129.1</v>
      </c>
      <c r="H14" s="238">
        <v>140.4</v>
      </c>
      <c r="I14" s="238">
        <v>130.5</v>
      </c>
      <c r="J14" s="238">
        <v>130.69999999999999</v>
      </c>
      <c r="K14" s="238">
        <v>134.1</v>
      </c>
      <c r="L14" s="238">
        <v>144.30000000000001</v>
      </c>
      <c r="M14" s="238">
        <v>138.6</v>
      </c>
      <c r="N14" s="238">
        <v>150.69999999999999</v>
      </c>
      <c r="O14" s="238">
        <v>156</v>
      </c>
      <c r="P14" s="238">
        <v>155.30000000000001</v>
      </c>
      <c r="Q14" s="238">
        <v>149.5</v>
      </c>
      <c r="R14" s="238">
        <v>149.9</v>
      </c>
      <c r="S14" s="238">
        <v>144.69999999999999</v>
      </c>
      <c r="T14" s="238">
        <v>137.5</v>
      </c>
      <c r="U14" s="238">
        <v>139.19999999999999</v>
      </c>
      <c r="V14" s="238">
        <v>152.19999999999999</v>
      </c>
      <c r="W14" s="238">
        <v>166.8</v>
      </c>
      <c r="X14" s="238">
        <v>169.5</v>
      </c>
      <c r="Y14" s="238">
        <v>178.1</v>
      </c>
      <c r="Z14" s="238">
        <v>184.1</v>
      </c>
      <c r="AA14" s="238">
        <v>199</v>
      </c>
      <c r="AB14" s="238">
        <v>188.9</v>
      </c>
      <c r="AC14" s="238">
        <v>184.8</v>
      </c>
      <c r="AD14" s="238">
        <v>198.2</v>
      </c>
      <c r="AE14" s="238">
        <v>214.3</v>
      </c>
      <c r="AF14" s="238">
        <v>208.9</v>
      </c>
      <c r="AG14" s="238">
        <v>207.9</v>
      </c>
      <c r="AH14" s="238">
        <v>211.4</v>
      </c>
      <c r="AI14" s="238">
        <v>221.4</v>
      </c>
      <c r="AJ14" s="238">
        <v>228.1</v>
      </c>
      <c r="AK14" s="238">
        <v>209.8</v>
      </c>
      <c r="AL14" s="238">
        <v>179.6</v>
      </c>
      <c r="AM14" s="238">
        <v>181.3</v>
      </c>
      <c r="AN14" s="238">
        <v>190.7</v>
      </c>
      <c r="AO14" s="238">
        <v>195.8</v>
      </c>
      <c r="AP14" s="238">
        <v>199.3</v>
      </c>
      <c r="AQ14" s="238">
        <v>198.9</v>
      </c>
      <c r="AR14" s="238">
        <v>182.4</v>
      </c>
      <c r="AS14" s="238">
        <v>184.7</v>
      </c>
      <c r="AT14" s="238">
        <v>179.5</v>
      </c>
      <c r="AU14" s="238">
        <v>190.1</v>
      </c>
      <c r="AV14" s="238">
        <v>192.6</v>
      </c>
      <c r="AW14" s="238">
        <v>188.4</v>
      </c>
      <c r="AX14" s="238">
        <v>191.9</v>
      </c>
      <c r="AY14" s="238">
        <v>186.3</v>
      </c>
      <c r="AZ14" s="238">
        <v>162.69999999999999</v>
      </c>
      <c r="BA14" s="238">
        <v>123.8</v>
      </c>
      <c r="BB14" s="238">
        <v>87.2</v>
      </c>
      <c r="BC14" s="238">
        <v>79.5</v>
      </c>
      <c r="BD14" s="238">
        <v>100.5</v>
      </c>
      <c r="BE14" s="238">
        <v>112.01479999999999</v>
      </c>
      <c r="BF14" s="238">
        <v>113.4807</v>
      </c>
      <c r="BG14" s="329">
        <v>116.324</v>
      </c>
      <c r="BH14" s="329">
        <v>119.35550000000001</v>
      </c>
      <c r="BI14" s="329">
        <v>123.66070000000001</v>
      </c>
      <c r="BJ14" s="329">
        <v>129.60650000000001</v>
      </c>
      <c r="BK14" s="329">
        <v>135.31800000000001</v>
      </c>
      <c r="BL14" s="329">
        <v>141.75579999999999</v>
      </c>
      <c r="BM14" s="329">
        <v>146.06479999999999</v>
      </c>
      <c r="BN14" s="329">
        <v>145.2568</v>
      </c>
      <c r="BO14" s="329">
        <v>150.09350000000001</v>
      </c>
      <c r="BP14" s="329">
        <v>153.9599</v>
      </c>
      <c r="BQ14" s="329">
        <v>153.36609999999999</v>
      </c>
      <c r="BR14" s="329">
        <v>159.38210000000001</v>
      </c>
      <c r="BS14" s="329">
        <v>159.2544</v>
      </c>
      <c r="BT14" s="329">
        <v>161.48060000000001</v>
      </c>
      <c r="BU14" s="329">
        <v>161.59800000000001</v>
      </c>
      <c r="BV14" s="329">
        <v>161.358</v>
      </c>
    </row>
    <row r="15" spans="1:74" ht="11.1" customHeight="1" x14ac:dyDescent="0.2">
      <c r="A15" s="49"/>
      <c r="B15" s="50" t="s">
        <v>12</v>
      </c>
      <c r="C15" s="220"/>
      <c r="D15" s="220"/>
      <c r="E15" s="220"/>
      <c r="F15" s="220"/>
      <c r="G15" s="220"/>
      <c r="H15" s="220"/>
      <c r="I15" s="220"/>
      <c r="J15" s="220"/>
      <c r="K15" s="220"/>
      <c r="L15" s="220"/>
      <c r="M15" s="220"/>
      <c r="N15" s="220"/>
      <c r="O15" s="220"/>
      <c r="P15" s="220"/>
      <c r="Q15" s="220"/>
      <c r="R15" s="220"/>
      <c r="S15" s="220"/>
      <c r="T15" s="220"/>
      <c r="U15" s="220"/>
      <c r="V15" s="220"/>
      <c r="W15" s="220"/>
      <c r="X15" s="220"/>
      <c r="Y15" s="220"/>
      <c r="Z15" s="220"/>
      <c r="AA15" s="220"/>
      <c r="AB15" s="220"/>
      <c r="AC15" s="220"/>
      <c r="AD15" s="220"/>
      <c r="AE15" s="220"/>
      <c r="AF15" s="220"/>
      <c r="AG15" s="220"/>
      <c r="AH15" s="220"/>
      <c r="AI15" s="220"/>
      <c r="AJ15" s="220"/>
      <c r="AK15" s="220"/>
      <c r="AL15" s="220"/>
      <c r="AM15" s="220"/>
      <c r="AN15" s="220"/>
      <c r="AO15" s="220"/>
      <c r="AP15" s="220"/>
      <c r="AQ15" s="220"/>
      <c r="AR15" s="220"/>
      <c r="AS15" s="220"/>
      <c r="AT15" s="220"/>
      <c r="AU15" s="220"/>
      <c r="AV15" s="220"/>
      <c r="AW15" s="220"/>
      <c r="AX15" s="220"/>
      <c r="AY15" s="220"/>
      <c r="AZ15" s="220"/>
      <c r="BA15" s="220"/>
      <c r="BB15" s="220"/>
      <c r="BC15" s="220"/>
      <c r="BD15" s="220"/>
      <c r="BE15" s="220"/>
      <c r="BF15" s="220"/>
      <c r="BG15" s="406"/>
      <c r="BH15" s="406"/>
      <c r="BI15" s="406"/>
      <c r="BJ15" s="406"/>
      <c r="BK15" s="406"/>
      <c r="BL15" s="406"/>
      <c r="BM15" s="406"/>
      <c r="BN15" s="406"/>
      <c r="BO15" s="406"/>
      <c r="BP15" s="406"/>
      <c r="BQ15" s="406"/>
      <c r="BR15" s="406"/>
      <c r="BS15" s="406"/>
      <c r="BT15" s="406"/>
      <c r="BU15" s="406"/>
      <c r="BV15" s="406"/>
    </row>
    <row r="16" spans="1:74" ht="11.1" customHeight="1" x14ac:dyDescent="0.2">
      <c r="A16" s="52" t="s">
        <v>798</v>
      </c>
      <c r="B16" s="151" t="s">
        <v>396</v>
      </c>
      <c r="C16" s="238">
        <v>103.8</v>
      </c>
      <c r="D16" s="238">
        <v>103.2</v>
      </c>
      <c r="E16" s="238">
        <v>113.3</v>
      </c>
      <c r="F16" s="238">
        <v>118.7</v>
      </c>
      <c r="G16" s="238">
        <v>134.19999999999999</v>
      </c>
      <c r="H16" s="238">
        <v>146.4</v>
      </c>
      <c r="I16" s="238">
        <v>139.30000000000001</v>
      </c>
      <c r="J16" s="238">
        <v>133</v>
      </c>
      <c r="K16" s="238">
        <v>139.4</v>
      </c>
      <c r="L16" s="238">
        <v>150.6</v>
      </c>
      <c r="M16" s="238">
        <v>142.6</v>
      </c>
      <c r="N16" s="238">
        <v>153.9</v>
      </c>
      <c r="O16" s="238">
        <v>158.4</v>
      </c>
      <c r="P16" s="238">
        <v>161.5</v>
      </c>
      <c r="Q16" s="238">
        <v>155.4</v>
      </c>
      <c r="R16" s="238">
        <v>159.5</v>
      </c>
      <c r="S16" s="238">
        <v>149.19999999999999</v>
      </c>
      <c r="T16" s="238">
        <v>143.4</v>
      </c>
      <c r="U16" s="238">
        <v>147.80000000000001</v>
      </c>
      <c r="V16" s="238">
        <v>161.30000000000001</v>
      </c>
      <c r="W16" s="238">
        <v>179.5</v>
      </c>
      <c r="X16" s="238">
        <v>174.3</v>
      </c>
      <c r="Y16" s="238">
        <v>183.1</v>
      </c>
      <c r="Z16" s="238">
        <v>186.9</v>
      </c>
      <c r="AA16" s="238">
        <v>201.2</v>
      </c>
      <c r="AB16" s="238">
        <v>197</v>
      </c>
      <c r="AC16" s="238">
        <v>192.4</v>
      </c>
      <c r="AD16" s="238">
        <v>208</v>
      </c>
      <c r="AE16" s="238">
        <v>222.1</v>
      </c>
      <c r="AF16" s="238">
        <v>219.6</v>
      </c>
      <c r="AG16" s="238">
        <v>217.6</v>
      </c>
      <c r="AH16" s="238">
        <v>218.3</v>
      </c>
      <c r="AI16" s="238">
        <v>225.7</v>
      </c>
      <c r="AJ16" s="238">
        <v>234.9</v>
      </c>
      <c r="AK16" s="238">
        <v>216.2</v>
      </c>
      <c r="AL16" s="238">
        <v>185.2</v>
      </c>
      <c r="AM16" s="238">
        <v>182.7</v>
      </c>
      <c r="AN16" s="238">
        <v>195.6</v>
      </c>
      <c r="AO16" s="238">
        <v>200.5</v>
      </c>
      <c r="AP16" s="238">
        <v>206.3</v>
      </c>
      <c r="AQ16" s="238">
        <v>214.1</v>
      </c>
      <c r="AR16" s="238">
        <v>190.7</v>
      </c>
      <c r="AS16" s="238">
        <v>197.3</v>
      </c>
      <c r="AT16" s="238">
        <v>190.1</v>
      </c>
      <c r="AU16" s="238">
        <v>193.7</v>
      </c>
      <c r="AV16" s="238">
        <v>196.5</v>
      </c>
      <c r="AW16" s="238">
        <v>197.9</v>
      </c>
      <c r="AX16" s="238">
        <v>197.9</v>
      </c>
      <c r="AY16" s="238">
        <v>195.8</v>
      </c>
      <c r="AZ16" s="238">
        <v>166.7</v>
      </c>
      <c r="BA16" s="238">
        <v>125.7</v>
      </c>
      <c r="BB16" s="238">
        <v>74</v>
      </c>
      <c r="BC16" s="238">
        <v>72.8</v>
      </c>
      <c r="BD16" s="238">
        <v>104.6</v>
      </c>
      <c r="BE16" s="238">
        <v>115.61579999999999</v>
      </c>
      <c r="BF16" s="238">
        <v>117.24769999999999</v>
      </c>
      <c r="BG16" s="329">
        <v>119.49630000000001</v>
      </c>
      <c r="BH16" s="329">
        <v>119.27290000000001</v>
      </c>
      <c r="BI16" s="329">
        <v>121.6367</v>
      </c>
      <c r="BJ16" s="329">
        <v>123.9251</v>
      </c>
      <c r="BK16" s="329">
        <v>130.48920000000001</v>
      </c>
      <c r="BL16" s="329">
        <v>132.09520000000001</v>
      </c>
      <c r="BM16" s="329">
        <v>134.7895</v>
      </c>
      <c r="BN16" s="329">
        <v>136.9759</v>
      </c>
      <c r="BO16" s="329">
        <v>141.0557</v>
      </c>
      <c r="BP16" s="329">
        <v>145.97540000000001</v>
      </c>
      <c r="BQ16" s="329">
        <v>147.66579999999999</v>
      </c>
      <c r="BR16" s="329">
        <v>149.3801</v>
      </c>
      <c r="BS16" s="329">
        <v>152.1669</v>
      </c>
      <c r="BT16" s="329">
        <v>156.21530000000001</v>
      </c>
      <c r="BU16" s="329">
        <v>155.2175</v>
      </c>
      <c r="BV16" s="329">
        <v>155.94370000000001</v>
      </c>
    </row>
    <row r="17" spans="1:74" ht="11.1" customHeight="1" x14ac:dyDescent="0.2">
      <c r="A17" s="52" t="s">
        <v>536</v>
      </c>
      <c r="B17" s="151" t="s">
        <v>111</v>
      </c>
      <c r="C17" s="238">
        <v>71</v>
      </c>
      <c r="D17" s="238">
        <v>63.2</v>
      </c>
      <c r="E17" s="238">
        <v>69.3</v>
      </c>
      <c r="F17" s="238">
        <v>78.2</v>
      </c>
      <c r="G17" s="238">
        <v>92.2</v>
      </c>
      <c r="H17" s="238">
        <v>98.3</v>
      </c>
      <c r="I17" s="238">
        <v>103</v>
      </c>
      <c r="J17" s="238">
        <v>99</v>
      </c>
      <c r="K17" s="238">
        <v>107.6</v>
      </c>
      <c r="L17" s="238">
        <v>111.5</v>
      </c>
      <c r="M17" s="238">
        <v>110.6</v>
      </c>
      <c r="N17" s="238">
        <v>123</v>
      </c>
      <c r="O17" s="238">
        <v>130.9</v>
      </c>
      <c r="P17" s="238">
        <v>129.1</v>
      </c>
      <c r="Q17" s="238">
        <v>123.9</v>
      </c>
      <c r="R17" s="238">
        <v>120.1</v>
      </c>
      <c r="S17" s="238">
        <v>121.3</v>
      </c>
      <c r="T17" s="238">
        <v>119.5</v>
      </c>
      <c r="U17" s="238">
        <v>121.1</v>
      </c>
      <c r="V17" s="238">
        <v>120.4</v>
      </c>
      <c r="W17" s="238">
        <v>131.4</v>
      </c>
      <c r="X17" s="238">
        <v>130.4</v>
      </c>
      <c r="Y17" s="238">
        <v>141.30000000000001</v>
      </c>
      <c r="Z17" s="238">
        <v>148.4</v>
      </c>
      <c r="AA17" s="238">
        <v>150.69999999999999</v>
      </c>
      <c r="AB17" s="238">
        <v>149</v>
      </c>
      <c r="AC17" s="238">
        <v>145.19999999999999</v>
      </c>
      <c r="AD17" s="238">
        <v>150.4</v>
      </c>
      <c r="AE17" s="238">
        <v>166.7</v>
      </c>
      <c r="AF17" s="238">
        <v>173.1</v>
      </c>
      <c r="AG17" s="238">
        <v>176.7</v>
      </c>
      <c r="AH17" s="238">
        <v>176.4</v>
      </c>
      <c r="AI17" s="238">
        <v>176.1</v>
      </c>
      <c r="AJ17" s="238">
        <v>187.5</v>
      </c>
      <c r="AK17" s="238">
        <v>182.7</v>
      </c>
      <c r="AL17" s="238">
        <v>160.80000000000001</v>
      </c>
      <c r="AM17" s="238">
        <v>142.5</v>
      </c>
      <c r="AN17" s="238">
        <v>156.80000000000001</v>
      </c>
      <c r="AO17" s="238">
        <v>163.9</v>
      </c>
      <c r="AP17" s="238">
        <v>168.5</v>
      </c>
      <c r="AQ17" s="238">
        <v>163.5</v>
      </c>
      <c r="AR17" s="238">
        <v>160.1</v>
      </c>
      <c r="AS17" s="238">
        <v>162.5</v>
      </c>
      <c r="AT17" s="238">
        <v>146.6</v>
      </c>
      <c r="AU17" s="238">
        <v>156</v>
      </c>
      <c r="AV17" s="238">
        <v>154.30000000000001</v>
      </c>
      <c r="AW17" s="238">
        <v>159.4</v>
      </c>
      <c r="AX17" s="238">
        <v>174.5</v>
      </c>
      <c r="AY17" s="238">
        <v>193.9</v>
      </c>
      <c r="AZ17" s="238">
        <v>173.5</v>
      </c>
      <c r="BA17" s="238">
        <v>137.1</v>
      </c>
      <c r="BB17" s="238">
        <v>97.6</v>
      </c>
      <c r="BC17" s="238">
        <v>81.7</v>
      </c>
      <c r="BD17" s="238">
        <v>113.9</v>
      </c>
      <c r="BE17" s="238">
        <v>129.80539999999999</v>
      </c>
      <c r="BF17" s="238">
        <v>135.56180000000001</v>
      </c>
      <c r="BG17" s="329">
        <v>141.4674</v>
      </c>
      <c r="BH17" s="329">
        <v>136.6559</v>
      </c>
      <c r="BI17" s="329">
        <v>134.5692</v>
      </c>
      <c r="BJ17" s="329">
        <v>136.48060000000001</v>
      </c>
      <c r="BK17" s="329">
        <v>101.55970000000001</v>
      </c>
      <c r="BL17" s="329">
        <v>103.9973</v>
      </c>
      <c r="BM17" s="329">
        <v>103.1752</v>
      </c>
      <c r="BN17" s="329">
        <v>101.84180000000001</v>
      </c>
      <c r="BO17" s="329">
        <v>103.72110000000001</v>
      </c>
      <c r="BP17" s="329">
        <v>105.47539999999999</v>
      </c>
      <c r="BQ17" s="329">
        <v>102.9016</v>
      </c>
      <c r="BR17" s="329">
        <v>106.3433</v>
      </c>
      <c r="BS17" s="329">
        <v>105.1741</v>
      </c>
      <c r="BT17" s="329">
        <v>104.2278</v>
      </c>
      <c r="BU17" s="329">
        <v>106.9813</v>
      </c>
      <c r="BV17" s="329">
        <v>107.61669999999999</v>
      </c>
    </row>
    <row r="18" spans="1:74" ht="11.1" customHeight="1" x14ac:dyDescent="0.2">
      <c r="A18" s="52"/>
      <c r="B18" s="53" t="s">
        <v>234</v>
      </c>
      <c r="C18" s="216"/>
      <c r="D18" s="216"/>
      <c r="E18" s="216"/>
      <c r="F18" s="216"/>
      <c r="G18" s="216"/>
      <c r="H18" s="216"/>
      <c r="I18" s="216"/>
      <c r="J18" s="216"/>
      <c r="K18" s="216"/>
      <c r="L18" s="216"/>
      <c r="M18" s="216"/>
      <c r="N18" s="216"/>
      <c r="O18" s="216"/>
      <c r="P18" s="216"/>
      <c r="Q18" s="216"/>
      <c r="R18" s="216"/>
      <c r="S18" s="216"/>
      <c r="T18" s="216"/>
      <c r="U18" s="216"/>
      <c r="V18" s="216"/>
      <c r="W18" s="216"/>
      <c r="X18" s="216"/>
      <c r="Y18" s="216"/>
      <c r="Z18" s="216"/>
      <c r="AA18" s="216"/>
      <c r="AB18" s="216"/>
      <c r="AC18" s="216"/>
      <c r="AD18" s="216"/>
      <c r="AE18" s="216"/>
      <c r="AF18" s="216"/>
      <c r="AG18" s="216"/>
      <c r="AH18" s="216"/>
      <c r="AI18" s="216"/>
      <c r="AJ18" s="216"/>
      <c r="AK18" s="216"/>
      <c r="AL18" s="216"/>
      <c r="AM18" s="216"/>
      <c r="AN18" s="216"/>
      <c r="AO18" s="216"/>
      <c r="AP18" s="216"/>
      <c r="AQ18" s="216"/>
      <c r="AR18" s="216"/>
      <c r="AS18" s="216"/>
      <c r="AT18" s="216"/>
      <c r="AU18" s="216"/>
      <c r="AV18" s="216"/>
      <c r="AW18" s="216"/>
      <c r="AX18" s="216"/>
      <c r="AY18" s="216"/>
      <c r="AZ18" s="216"/>
      <c r="BA18" s="216"/>
      <c r="BB18" s="216"/>
      <c r="BC18" s="216"/>
      <c r="BD18" s="216"/>
      <c r="BE18" s="216"/>
      <c r="BF18" s="216"/>
      <c r="BG18" s="324"/>
      <c r="BH18" s="324"/>
      <c r="BI18" s="324"/>
      <c r="BJ18" s="324"/>
      <c r="BK18" s="324"/>
      <c r="BL18" s="324"/>
      <c r="BM18" s="324"/>
      <c r="BN18" s="324"/>
      <c r="BO18" s="324"/>
      <c r="BP18" s="324"/>
      <c r="BQ18" s="324"/>
      <c r="BR18" s="324"/>
      <c r="BS18" s="324"/>
      <c r="BT18" s="324"/>
      <c r="BU18" s="324"/>
      <c r="BV18" s="324"/>
    </row>
    <row r="19" spans="1:74" ht="11.1" customHeight="1" x14ac:dyDescent="0.2">
      <c r="A19" s="52" t="s">
        <v>510</v>
      </c>
      <c r="B19" s="151" t="s">
        <v>235</v>
      </c>
      <c r="C19" s="238">
        <v>194.85</v>
      </c>
      <c r="D19" s="238">
        <v>176.36</v>
      </c>
      <c r="E19" s="238">
        <v>196.875</v>
      </c>
      <c r="F19" s="238">
        <v>211.27500000000001</v>
      </c>
      <c r="G19" s="238">
        <v>226.82</v>
      </c>
      <c r="H19" s="238">
        <v>236.55</v>
      </c>
      <c r="I19" s="238">
        <v>223.9</v>
      </c>
      <c r="J19" s="238">
        <v>217.76</v>
      </c>
      <c r="K19" s="238">
        <v>221.85</v>
      </c>
      <c r="L19" s="238">
        <v>224.94</v>
      </c>
      <c r="M19" s="238">
        <v>218.15</v>
      </c>
      <c r="N19" s="238">
        <v>225.42500000000001</v>
      </c>
      <c r="O19" s="238">
        <v>234.9</v>
      </c>
      <c r="P19" s="238">
        <v>230.4</v>
      </c>
      <c r="Q19" s="238">
        <v>232.5</v>
      </c>
      <c r="R19" s="238">
        <v>241.72499999999999</v>
      </c>
      <c r="S19" s="238">
        <v>239.14</v>
      </c>
      <c r="T19" s="238">
        <v>234.65</v>
      </c>
      <c r="U19" s="238">
        <v>229.98</v>
      </c>
      <c r="V19" s="238">
        <v>238.02500000000001</v>
      </c>
      <c r="W19" s="238">
        <v>264.52499999999998</v>
      </c>
      <c r="X19" s="238">
        <v>250.5</v>
      </c>
      <c r="Y19" s="238">
        <v>256.35000000000002</v>
      </c>
      <c r="Z19" s="238">
        <v>247.67500000000001</v>
      </c>
      <c r="AA19" s="238">
        <v>255.46</v>
      </c>
      <c r="AB19" s="238">
        <v>258.72500000000002</v>
      </c>
      <c r="AC19" s="238">
        <v>259.125</v>
      </c>
      <c r="AD19" s="238">
        <v>275.7</v>
      </c>
      <c r="AE19" s="238">
        <v>290.07499999999999</v>
      </c>
      <c r="AF19" s="238">
        <v>289.07499999999999</v>
      </c>
      <c r="AG19" s="238">
        <v>284.86</v>
      </c>
      <c r="AH19" s="238">
        <v>283.57499999999999</v>
      </c>
      <c r="AI19" s="238">
        <v>283.55</v>
      </c>
      <c r="AJ19" s="238">
        <v>286</v>
      </c>
      <c r="AK19" s="238">
        <v>264.72500000000002</v>
      </c>
      <c r="AL19" s="238">
        <v>236.56</v>
      </c>
      <c r="AM19" s="238">
        <v>224.77500000000001</v>
      </c>
      <c r="AN19" s="238">
        <v>230.92500000000001</v>
      </c>
      <c r="AO19" s="238">
        <v>251.6</v>
      </c>
      <c r="AP19" s="238">
        <v>279.83999999999997</v>
      </c>
      <c r="AQ19" s="238">
        <v>285.92500000000001</v>
      </c>
      <c r="AR19" s="238">
        <v>271.57499999999999</v>
      </c>
      <c r="AS19" s="238">
        <v>274</v>
      </c>
      <c r="AT19" s="238">
        <v>262.10000000000002</v>
      </c>
      <c r="AU19" s="238">
        <v>259.22000000000003</v>
      </c>
      <c r="AV19" s="238">
        <v>262.7</v>
      </c>
      <c r="AW19" s="238">
        <v>259.77499999999998</v>
      </c>
      <c r="AX19" s="238">
        <v>255.5</v>
      </c>
      <c r="AY19" s="238">
        <v>254.77500000000001</v>
      </c>
      <c r="AZ19" s="238">
        <v>244.2</v>
      </c>
      <c r="BA19" s="238">
        <v>223.42</v>
      </c>
      <c r="BB19" s="238">
        <v>184.05</v>
      </c>
      <c r="BC19" s="238">
        <v>186.95</v>
      </c>
      <c r="BD19" s="238">
        <v>208.22</v>
      </c>
      <c r="BE19" s="238">
        <v>218.32499999999999</v>
      </c>
      <c r="BF19" s="238">
        <v>218.24</v>
      </c>
      <c r="BG19" s="329">
        <v>214.9041</v>
      </c>
      <c r="BH19" s="329">
        <v>209.4726</v>
      </c>
      <c r="BI19" s="329">
        <v>206.6344</v>
      </c>
      <c r="BJ19" s="329">
        <v>202.55699999999999</v>
      </c>
      <c r="BK19" s="329">
        <v>198.50239999999999</v>
      </c>
      <c r="BL19" s="329">
        <v>204.00729999999999</v>
      </c>
      <c r="BM19" s="329">
        <v>216.40629999999999</v>
      </c>
      <c r="BN19" s="329">
        <v>231.14590000000001</v>
      </c>
      <c r="BO19" s="329">
        <v>240.4855</v>
      </c>
      <c r="BP19" s="329">
        <v>242.6891</v>
      </c>
      <c r="BQ19" s="329">
        <v>240.87350000000001</v>
      </c>
      <c r="BR19" s="329">
        <v>242.17850000000001</v>
      </c>
      <c r="BS19" s="329">
        <v>233.2741</v>
      </c>
      <c r="BT19" s="329">
        <v>229.50190000000001</v>
      </c>
      <c r="BU19" s="329">
        <v>227.4434</v>
      </c>
      <c r="BV19" s="329">
        <v>221.54249999999999</v>
      </c>
    </row>
    <row r="20" spans="1:74" ht="11.1" customHeight="1" x14ac:dyDescent="0.2">
      <c r="A20" s="52" t="s">
        <v>533</v>
      </c>
      <c r="B20" s="151" t="s">
        <v>236</v>
      </c>
      <c r="C20" s="238">
        <v>205.65</v>
      </c>
      <c r="D20" s="238">
        <v>187.2</v>
      </c>
      <c r="E20" s="238">
        <v>207.07499999999999</v>
      </c>
      <c r="F20" s="238">
        <v>221.57499999999999</v>
      </c>
      <c r="G20" s="238">
        <v>237.1</v>
      </c>
      <c r="H20" s="238">
        <v>246.7</v>
      </c>
      <c r="I20" s="238">
        <v>234.5</v>
      </c>
      <c r="J20" s="238">
        <v>228.38</v>
      </c>
      <c r="K20" s="238">
        <v>232.65</v>
      </c>
      <c r="L20" s="238">
        <v>235.92</v>
      </c>
      <c r="M20" s="238">
        <v>229.5</v>
      </c>
      <c r="N20" s="238">
        <v>236.55</v>
      </c>
      <c r="O20" s="238">
        <v>245.84</v>
      </c>
      <c r="P20" s="238">
        <v>241.6</v>
      </c>
      <c r="Q20" s="238">
        <v>243.67500000000001</v>
      </c>
      <c r="R20" s="238">
        <v>252.75</v>
      </c>
      <c r="S20" s="238">
        <v>250.26</v>
      </c>
      <c r="T20" s="238">
        <v>246.02500000000001</v>
      </c>
      <c r="U20" s="238">
        <v>241.44</v>
      </c>
      <c r="V20" s="238">
        <v>249.4</v>
      </c>
      <c r="W20" s="238">
        <v>276.125</v>
      </c>
      <c r="X20" s="238">
        <v>262.10000000000002</v>
      </c>
      <c r="Y20" s="238">
        <v>267.75</v>
      </c>
      <c r="Z20" s="238">
        <v>259.375</v>
      </c>
      <c r="AA20" s="238">
        <v>267.12</v>
      </c>
      <c r="AB20" s="238">
        <v>270.47500000000002</v>
      </c>
      <c r="AC20" s="238">
        <v>270.89999999999998</v>
      </c>
      <c r="AD20" s="238">
        <v>287.32</v>
      </c>
      <c r="AE20" s="238">
        <v>298.67500000000001</v>
      </c>
      <c r="AF20" s="238">
        <v>296.95</v>
      </c>
      <c r="AG20" s="238">
        <v>292.77999999999997</v>
      </c>
      <c r="AH20" s="238">
        <v>291.42500000000001</v>
      </c>
      <c r="AI20" s="238">
        <v>291.47500000000002</v>
      </c>
      <c r="AJ20" s="238">
        <v>294.26</v>
      </c>
      <c r="AK20" s="238">
        <v>273.57499999999999</v>
      </c>
      <c r="AL20" s="238">
        <v>245.72</v>
      </c>
      <c r="AM20" s="238">
        <v>233.75</v>
      </c>
      <c r="AN20" s="238">
        <v>239.32499999999999</v>
      </c>
      <c r="AO20" s="238">
        <v>259.42500000000001</v>
      </c>
      <c r="AP20" s="238">
        <v>288.12</v>
      </c>
      <c r="AQ20" s="238">
        <v>294.625</v>
      </c>
      <c r="AR20" s="238">
        <v>280.35000000000002</v>
      </c>
      <c r="AS20" s="238">
        <v>282.32</v>
      </c>
      <c r="AT20" s="238">
        <v>270.67500000000001</v>
      </c>
      <c r="AU20" s="238">
        <v>268.14</v>
      </c>
      <c r="AV20" s="238">
        <v>272.39999999999998</v>
      </c>
      <c r="AW20" s="238">
        <v>269.32499999999999</v>
      </c>
      <c r="AX20" s="238">
        <v>264.5</v>
      </c>
      <c r="AY20" s="238">
        <v>263.55</v>
      </c>
      <c r="AZ20" s="238">
        <v>253.25</v>
      </c>
      <c r="BA20" s="238">
        <v>232.9</v>
      </c>
      <c r="BB20" s="238">
        <v>193.82499999999999</v>
      </c>
      <c r="BC20" s="238">
        <v>196.05</v>
      </c>
      <c r="BD20" s="238">
        <v>216.96</v>
      </c>
      <c r="BE20" s="238">
        <v>227.2</v>
      </c>
      <c r="BF20" s="238">
        <v>227.22</v>
      </c>
      <c r="BG20" s="329">
        <v>225.2929</v>
      </c>
      <c r="BH20" s="329">
        <v>220.90969999999999</v>
      </c>
      <c r="BI20" s="329">
        <v>218.78389999999999</v>
      </c>
      <c r="BJ20" s="329">
        <v>215.2379</v>
      </c>
      <c r="BK20" s="329">
        <v>211.3081</v>
      </c>
      <c r="BL20" s="329">
        <v>216.9778</v>
      </c>
      <c r="BM20" s="329">
        <v>229.25299999999999</v>
      </c>
      <c r="BN20" s="329">
        <v>244.07599999999999</v>
      </c>
      <c r="BO20" s="329">
        <v>253.48179999999999</v>
      </c>
      <c r="BP20" s="329">
        <v>255.5934</v>
      </c>
      <c r="BQ20" s="329">
        <v>253.99170000000001</v>
      </c>
      <c r="BR20" s="329">
        <v>255.36500000000001</v>
      </c>
      <c r="BS20" s="329">
        <v>246.57579999999999</v>
      </c>
      <c r="BT20" s="329">
        <v>243.00299999999999</v>
      </c>
      <c r="BU20" s="329">
        <v>241.10059999999999</v>
      </c>
      <c r="BV20" s="329">
        <v>235.37289999999999</v>
      </c>
    </row>
    <row r="21" spans="1:74" ht="11.1" customHeight="1" x14ac:dyDescent="0.2">
      <c r="A21" s="52" t="s">
        <v>534</v>
      </c>
      <c r="B21" s="151" t="s">
        <v>821</v>
      </c>
      <c r="C21" s="238">
        <v>214.27500000000001</v>
      </c>
      <c r="D21" s="238">
        <v>199.82</v>
      </c>
      <c r="E21" s="238">
        <v>209</v>
      </c>
      <c r="F21" s="238">
        <v>215.15</v>
      </c>
      <c r="G21" s="238">
        <v>231.46</v>
      </c>
      <c r="H21" s="238">
        <v>242.25</v>
      </c>
      <c r="I21" s="238">
        <v>240.45</v>
      </c>
      <c r="J21" s="238">
        <v>235.06</v>
      </c>
      <c r="K21" s="238">
        <v>239.42500000000001</v>
      </c>
      <c r="L21" s="238">
        <v>245.44</v>
      </c>
      <c r="M21" s="238">
        <v>243.85</v>
      </c>
      <c r="N21" s="238">
        <v>251</v>
      </c>
      <c r="O21" s="238">
        <v>257.98</v>
      </c>
      <c r="P21" s="238">
        <v>256.8</v>
      </c>
      <c r="Q21" s="238">
        <v>255.35</v>
      </c>
      <c r="R21" s="238">
        <v>258.25</v>
      </c>
      <c r="S21" s="238">
        <v>256.04000000000002</v>
      </c>
      <c r="T21" s="238">
        <v>251.05</v>
      </c>
      <c r="U21" s="238">
        <v>249.64</v>
      </c>
      <c r="V21" s="238">
        <v>259.5</v>
      </c>
      <c r="W21" s="238">
        <v>278.47500000000002</v>
      </c>
      <c r="X21" s="238">
        <v>279.42</v>
      </c>
      <c r="Y21" s="238">
        <v>290.875</v>
      </c>
      <c r="Z21" s="238">
        <v>290.89999999999998</v>
      </c>
      <c r="AA21" s="238">
        <v>301.83999999999997</v>
      </c>
      <c r="AB21" s="238">
        <v>304.57499999999999</v>
      </c>
      <c r="AC21" s="238">
        <v>298.75</v>
      </c>
      <c r="AD21" s="238">
        <v>309.58</v>
      </c>
      <c r="AE21" s="238">
        <v>324.375</v>
      </c>
      <c r="AF21" s="238">
        <v>325.27499999999998</v>
      </c>
      <c r="AG21" s="238">
        <v>323.27999999999997</v>
      </c>
      <c r="AH21" s="238">
        <v>321.82499999999999</v>
      </c>
      <c r="AI21" s="238">
        <v>326.22500000000002</v>
      </c>
      <c r="AJ21" s="238">
        <v>336.54</v>
      </c>
      <c r="AK21" s="238">
        <v>329.95</v>
      </c>
      <c r="AL21" s="238">
        <v>312.27999999999997</v>
      </c>
      <c r="AM21" s="238">
        <v>297.97500000000002</v>
      </c>
      <c r="AN21" s="238">
        <v>299.64999999999998</v>
      </c>
      <c r="AO21" s="238">
        <v>307.625</v>
      </c>
      <c r="AP21" s="238">
        <v>312.10000000000002</v>
      </c>
      <c r="AQ21" s="238">
        <v>316.125</v>
      </c>
      <c r="AR21" s="238">
        <v>308.85000000000002</v>
      </c>
      <c r="AS21" s="238">
        <v>304.52</v>
      </c>
      <c r="AT21" s="238">
        <v>300.5</v>
      </c>
      <c r="AU21" s="238">
        <v>301.62</v>
      </c>
      <c r="AV21" s="238">
        <v>305.3</v>
      </c>
      <c r="AW21" s="238">
        <v>306.875</v>
      </c>
      <c r="AX21" s="238">
        <v>305.5</v>
      </c>
      <c r="AY21" s="238">
        <v>304.75</v>
      </c>
      <c r="AZ21" s="238">
        <v>290.95</v>
      </c>
      <c r="BA21" s="238">
        <v>272.86</v>
      </c>
      <c r="BB21" s="238">
        <v>249.3</v>
      </c>
      <c r="BC21" s="238">
        <v>239.22499999999999</v>
      </c>
      <c r="BD21" s="238">
        <v>240.8</v>
      </c>
      <c r="BE21" s="238">
        <v>243.375</v>
      </c>
      <c r="BF21" s="238">
        <v>242.92</v>
      </c>
      <c r="BG21" s="329">
        <v>239.41829999999999</v>
      </c>
      <c r="BH21" s="329">
        <v>240.38800000000001</v>
      </c>
      <c r="BI21" s="329">
        <v>243.21379999999999</v>
      </c>
      <c r="BJ21" s="329">
        <v>247.70259999999999</v>
      </c>
      <c r="BK21" s="329">
        <v>245.87110000000001</v>
      </c>
      <c r="BL21" s="329">
        <v>242.53389999999999</v>
      </c>
      <c r="BM21" s="329">
        <v>245.68049999999999</v>
      </c>
      <c r="BN21" s="329">
        <v>249.46379999999999</v>
      </c>
      <c r="BO21" s="329">
        <v>252.57130000000001</v>
      </c>
      <c r="BP21" s="329">
        <v>258.23939999999999</v>
      </c>
      <c r="BQ21" s="329">
        <v>259.32639999999998</v>
      </c>
      <c r="BR21" s="329">
        <v>262.17770000000002</v>
      </c>
      <c r="BS21" s="329">
        <v>262.12939999999998</v>
      </c>
      <c r="BT21" s="329">
        <v>265.18880000000001</v>
      </c>
      <c r="BU21" s="329">
        <v>266.75150000000002</v>
      </c>
      <c r="BV21" s="329">
        <v>267.84280000000001</v>
      </c>
    </row>
    <row r="22" spans="1:74" ht="11.1" customHeight="1" x14ac:dyDescent="0.2">
      <c r="A22" s="52" t="s">
        <v>494</v>
      </c>
      <c r="B22" s="151" t="s">
        <v>561</v>
      </c>
      <c r="C22" s="238">
        <v>197</v>
      </c>
      <c r="D22" s="238">
        <v>192.3</v>
      </c>
      <c r="E22" s="238">
        <v>194.7</v>
      </c>
      <c r="F22" s="238">
        <v>198.9</v>
      </c>
      <c r="G22" s="238">
        <v>209.7</v>
      </c>
      <c r="H22" s="238">
        <v>215.5</v>
      </c>
      <c r="I22" s="238">
        <v>213</v>
      </c>
      <c r="J22" s="238">
        <v>207.3</v>
      </c>
      <c r="K22" s="238">
        <v>212.2</v>
      </c>
      <c r="L22" s="238">
        <v>228.8</v>
      </c>
      <c r="M22" s="238">
        <v>225.6</v>
      </c>
      <c r="N22" s="238">
        <v>239.4</v>
      </c>
      <c r="O22" s="238">
        <v>248.2</v>
      </c>
      <c r="P22" s="238">
        <v>247.4</v>
      </c>
      <c r="Q22" s="238">
        <v>244.9</v>
      </c>
      <c r="R22" s="238">
        <v>243.8</v>
      </c>
      <c r="S22" s="238">
        <v>237.8</v>
      </c>
      <c r="T22" s="238">
        <v>228.4</v>
      </c>
      <c r="U22" s="238">
        <v>221.5</v>
      </c>
      <c r="V22" s="238">
        <v>229.2</v>
      </c>
      <c r="W22" s="238">
        <v>248.1</v>
      </c>
      <c r="X22" s="238">
        <v>252</v>
      </c>
      <c r="Y22" s="238">
        <v>263.3</v>
      </c>
      <c r="Z22" s="238">
        <v>270.3</v>
      </c>
      <c r="AA22" s="238">
        <v>290.2</v>
      </c>
      <c r="AB22" s="238">
        <v>285.60000000000002</v>
      </c>
      <c r="AC22" s="238">
        <v>282.7</v>
      </c>
      <c r="AD22" s="238">
        <v>287.5</v>
      </c>
      <c r="AE22" s="238">
        <v>313.2</v>
      </c>
      <c r="AF22" s="238">
        <v>313.2</v>
      </c>
      <c r="AG22" s="238">
        <v>322</v>
      </c>
      <c r="AH22" s="238">
        <v>322.89999999999998</v>
      </c>
      <c r="AI22" s="238">
        <v>327.9</v>
      </c>
      <c r="AJ22" s="238">
        <v>338.1</v>
      </c>
      <c r="AK22" s="238">
        <v>328.6</v>
      </c>
      <c r="AL22" s="238">
        <v>295.10000000000002</v>
      </c>
      <c r="AM22" s="238">
        <v>293.39999999999998</v>
      </c>
      <c r="AN22" s="238">
        <v>303</v>
      </c>
      <c r="AO22" s="238">
        <v>305</v>
      </c>
      <c r="AP22" s="238">
        <v>310.3</v>
      </c>
      <c r="AQ22" s="238">
        <v>303</v>
      </c>
      <c r="AR22" s="238">
        <v>294.60000000000002</v>
      </c>
      <c r="AS22" s="238">
        <v>293.2</v>
      </c>
      <c r="AT22" s="238">
        <v>287</v>
      </c>
      <c r="AU22" s="238">
        <v>289.39999999999998</v>
      </c>
      <c r="AV22" s="238">
        <v>300.8</v>
      </c>
      <c r="AW22" s="238">
        <v>298.39999999999998</v>
      </c>
      <c r="AX22" s="238">
        <v>303.5</v>
      </c>
      <c r="AY22" s="238">
        <v>305.2</v>
      </c>
      <c r="AZ22" s="238">
        <v>281.2</v>
      </c>
      <c r="BA22" s="238">
        <v>240.5</v>
      </c>
      <c r="BB22" s="238">
        <v>204.4</v>
      </c>
      <c r="BC22" s="238">
        <v>190.5</v>
      </c>
      <c r="BD22" s="238">
        <v>205.7</v>
      </c>
      <c r="BE22" s="238">
        <v>213.4</v>
      </c>
      <c r="BF22" s="238">
        <v>215.34059999999999</v>
      </c>
      <c r="BG22" s="329">
        <v>220.88980000000001</v>
      </c>
      <c r="BH22" s="329">
        <v>227.3887</v>
      </c>
      <c r="BI22" s="329">
        <v>234.6249</v>
      </c>
      <c r="BJ22" s="329">
        <v>243.49619999999999</v>
      </c>
      <c r="BK22" s="329">
        <v>242.0145</v>
      </c>
      <c r="BL22" s="329">
        <v>245.8742</v>
      </c>
      <c r="BM22" s="329">
        <v>248.78530000000001</v>
      </c>
      <c r="BN22" s="329">
        <v>246.24170000000001</v>
      </c>
      <c r="BO22" s="329">
        <v>249.75309999999999</v>
      </c>
      <c r="BP22" s="329">
        <v>251.07570000000001</v>
      </c>
      <c r="BQ22" s="329">
        <v>250.06200000000001</v>
      </c>
      <c r="BR22" s="329">
        <v>255.63130000000001</v>
      </c>
      <c r="BS22" s="329">
        <v>261.12709999999998</v>
      </c>
      <c r="BT22" s="329">
        <v>267.30840000000001</v>
      </c>
      <c r="BU22" s="329">
        <v>270.1148</v>
      </c>
      <c r="BV22" s="329">
        <v>274.22149999999999</v>
      </c>
    </row>
    <row r="23" spans="1:74" ht="11.1" customHeight="1" x14ac:dyDescent="0.2">
      <c r="A23" s="49"/>
      <c r="B23" s="54" t="s">
        <v>134</v>
      </c>
      <c r="C23" s="221"/>
      <c r="D23" s="221"/>
      <c r="E23" s="221"/>
      <c r="F23" s="221"/>
      <c r="G23" s="221"/>
      <c r="H23" s="221"/>
      <c r="I23" s="221"/>
      <c r="J23" s="221"/>
      <c r="K23" s="221"/>
      <c r="L23" s="221"/>
      <c r="M23" s="221"/>
      <c r="N23" s="221"/>
      <c r="O23" s="221"/>
      <c r="P23" s="221"/>
      <c r="Q23" s="221"/>
      <c r="R23" s="221"/>
      <c r="S23" s="221"/>
      <c r="T23" s="221"/>
      <c r="U23" s="221"/>
      <c r="V23" s="221"/>
      <c r="W23" s="221"/>
      <c r="X23" s="221"/>
      <c r="Y23" s="221"/>
      <c r="Z23" s="221"/>
      <c r="AA23" s="221"/>
      <c r="AB23" s="221"/>
      <c r="AC23" s="221"/>
      <c r="AD23" s="221"/>
      <c r="AE23" s="221"/>
      <c r="AF23" s="221"/>
      <c r="AG23" s="221"/>
      <c r="AH23" s="221"/>
      <c r="AI23" s="221"/>
      <c r="AJ23" s="221"/>
      <c r="AK23" s="221"/>
      <c r="AL23" s="221"/>
      <c r="AM23" s="221"/>
      <c r="AN23" s="221"/>
      <c r="AO23" s="221"/>
      <c r="AP23" s="221"/>
      <c r="AQ23" s="221"/>
      <c r="AR23" s="221"/>
      <c r="AS23" s="221"/>
      <c r="AT23" s="221"/>
      <c r="AU23" s="221"/>
      <c r="AV23" s="221"/>
      <c r="AW23" s="221"/>
      <c r="AX23" s="221"/>
      <c r="AY23" s="221"/>
      <c r="AZ23" s="221"/>
      <c r="BA23" s="221"/>
      <c r="BB23" s="221"/>
      <c r="BC23" s="221"/>
      <c r="BD23" s="221"/>
      <c r="BE23" s="221"/>
      <c r="BF23" s="221"/>
      <c r="BG23" s="407"/>
      <c r="BH23" s="407"/>
      <c r="BI23" s="407"/>
      <c r="BJ23" s="407"/>
      <c r="BK23" s="778"/>
      <c r="BL23" s="407"/>
      <c r="BM23" s="407"/>
      <c r="BN23" s="407"/>
      <c r="BO23" s="407"/>
      <c r="BP23" s="407"/>
      <c r="BQ23" s="407"/>
      <c r="BR23" s="407"/>
      <c r="BS23" s="407"/>
      <c r="BT23" s="407"/>
      <c r="BU23" s="407"/>
      <c r="BV23" s="407"/>
    </row>
    <row r="24" spans="1:74" ht="11.1" customHeight="1" x14ac:dyDescent="0.2">
      <c r="A24" s="52" t="s">
        <v>747</v>
      </c>
      <c r="B24" s="151" t="s">
        <v>133</v>
      </c>
      <c r="C24" s="215">
        <v>2.3720370000000002</v>
      </c>
      <c r="D24" s="215">
        <v>2.0665710000000002</v>
      </c>
      <c r="E24" s="215">
        <v>1.7964310000000001</v>
      </c>
      <c r="F24" s="215">
        <v>1.991763</v>
      </c>
      <c r="G24" s="215">
        <v>1.996958</v>
      </c>
      <c r="H24" s="215">
        <v>2.6878929999999999</v>
      </c>
      <c r="I24" s="215">
        <v>2.9320580000000001</v>
      </c>
      <c r="J24" s="215">
        <v>2.9320580000000001</v>
      </c>
      <c r="K24" s="215">
        <v>3.1086879999999999</v>
      </c>
      <c r="L24" s="215">
        <v>3.0931030000000002</v>
      </c>
      <c r="M24" s="215">
        <v>2.6473719999999998</v>
      </c>
      <c r="N24" s="215">
        <v>3.7310490000000001</v>
      </c>
      <c r="O24" s="215">
        <v>3.4262480000000002</v>
      </c>
      <c r="P24" s="215">
        <v>2.9575239999999998</v>
      </c>
      <c r="Q24" s="215">
        <v>2.9865599999999999</v>
      </c>
      <c r="R24" s="215">
        <v>3.2178110000000002</v>
      </c>
      <c r="S24" s="215">
        <v>3.2665500000000001</v>
      </c>
      <c r="T24" s="215">
        <v>3.0850749999999998</v>
      </c>
      <c r="U24" s="215">
        <v>3.094408</v>
      </c>
      <c r="V24" s="215">
        <v>3.0072999999999999</v>
      </c>
      <c r="W24" s="215">
        <v>3.086112</v>
      </c>
      <c r="X24" s="215">
        <v>2.9855230000000001</v>
      </c>
      <c r="Y24" s="215">
        <v>3.125518</v>
      </c>
      <c r="Z24" s="215">
        <v>2.9253770000000001</v>
      </c>
      <c r="AA24" s="215">
        <v>3.8302200000000002</v>
      </c>
      <c r="AB24" s="215">
        <v>2.7714599999999998</v>
      </c>
      <c r="AC24" s="215">
        <v>2.795334</v>
      </c>
      <c r="AD24" s="215">
        <v>2.9022480000000002</v>
      </c>
      <c r="AE24" s="215">
        <v>2.9064000000000001</v>
      </c>
      <c r="AF24" s="215">
        <v>3.0797460000000001</v>
      </c>
      <c r="AG24" s="215">
        <v>2.9406539999999999</v>
      </c>
      <c r="AH24" s="215">
        <v>3.073518</v>
      </c>
      <c r="AI24" s="215">
        <v>3.1088100000000001</v>
      </c>
      <c r="AJ24" s="215">
        <v>3.4004880000000002</v>
      </c>
      <c r="AK24" s="215">
        <v>4.2464579999999996</v>
      </c>
      <c r="AL24" s="215">
        <v>4.1945579999999998</v>
      </c>
      <c r="AM24" s="215">
        <v>3.230251</v>
      </c>
      <c r="AN24" s="215">
        <v>2.7959489999999998</v>
      </c>
      <c r="AO24" s="215">
        <v>3.0629719999999998</v>
      </c>
      <c r="AP24" s="215">
        <v>2.7502330000000001</v>
      </c>
      <c r="AQ24" s="215">
        <v>2.740882</v>
      </c>
      <c r="AR24" s="215">
        <v>2.4925609999999998</v>
      </c>
      <c r="AS24" s="215">
        <v>2.4582739999999998</v>
      </c>
      <c r="AT24" s="215">
        <v>2.3076189999999999</v>
      </c>
      <c r="AU24" s="215">
        <v>2.658801</v>
      </c>
      <c r="AV24" s="215">
        <v>2.4219089999999999</v>
      </c>
      <c r="AW24" s="215">
        <v>2.7564669999999998</v>
      </c>
      <c r="AX24" s="215">
        <v>2.3055409999999998</v>
      </c>
      <c r="AY24" s="215">
        <v>2.0987800000000001</v>
      </c>
      <c r="AZ24" s="215">
        <v>1.9844900000000001</v>
      </c>
      <c r="BA24" s="215">
        <v>1.85981</v>
      </c>
      <c r="BB24" s="215">
        <v>1.80786</v>
      </c>
      <c r="BC24" s="215">
        <v>1.8161719999999999</v>
      </c>
      <c r="BD24" s="215">
        <v>1.694609</v>
      </c>
      <c r="BE24" s="215">
        <v>1.8359129999999999</v>
      </c>
      <c r="BF24" s="215">
        <v>2.3896999999999999</v>
      </c>
      <c r="BG24" s="323">
        <v>2.4017970000000002</v>
      </c>
      <c r="BH24" s="323">
        <v>2.620247</v>
      </c>
      <c r="BI24" s="323">
        <v>3.0352839999999999</v>
      </c>
      <c r="BJ24" s="323">
        <v>3.4193410000000002</v>
      </c>
      <c r="BK24" s="323">
        <v>3.5333380000000001</v>
      </c>
      <c r="BL24" s="323">
        <v>3.460423</v>
      </c>
      <c r="BM24" s="323">
        <v>3.3772259999999998</v>
      </c>
      <c r="BN24" s="323">
        <v>3.1382110000000001</v>
      </c>
      <c r="BO24" s="323">
        <v>3.126557</v>
      </c>
      <c r="BP24" s="323">
        <v>3.218747</v>
      </c>
      <c r="BQ24" s="323">
        <v>3.2077779999999998</v>
      </c>
      <c r="BR24" s="323">
        <v>3.2621699999999998</v>
      </c>
      <c r="BS24" s="323">
        <v>3.3056359999999998</v>
      </c>
      <c r="BT24" s="323">
        <v>3.3278129999999999</v>
      </c>
      <c r="BU24" s="323">
        <v>3.359931</v>
      </c>
      <c r="BV24" s="323">
        <v>3.412445</v>
      </c>
    </row>
    <row r="25" spans="1:74" ht="11.1" customHeight="1" x14ac:dyDescent="0.2">
      <c r="A25" s="52" t="s">
        <v>135</v>
      </c>
      <c r="B25" s="151" t="s">
        <v>128</v>
      </c>
      <c r="C25" s="215">
        <v>2.2829999999999999</v>
      </c>
      <c r="D25" s="215">
        <v>1.9890000000000001</v>
      </c>
      <c r="E25" s="215">
        <v>1.7290000000000001</v>
      </c>
      <c r="F25" s="215">
        <v>1.917</v>
      </c>
      <c r="G25" s="215">
        <v>1.9219999999999999</v>
      </c>
      <c r="H25" s="215">
        <v>2.5870000000000002</v>
      </c>
      <c r="I25" s="215">
        <v>2.8220000000000001</v>
      </c>
      <c r="J25" s="215">
        <v>2.8220000000000001</v>
      </c>
      <c r="K25" s="215">
        <v>2.992</v>
      </c>
      <c r="L25" s="215">
        <v>2.9769999999999999</v>
      </c>
      <c r="M25" s="215">
        <v>2.548</v>
      </c>
      <c r="N25" s="215">
        <v>3.5910000000000002</v>
      </c>
      <c r="O25" s="215">
        <v>3.3039999999999998</v>
      </c>
      <c r="P25" s="215">
        <v>2.8519999999999999</v>
      </c>
      <c r="Q25" s="215">
        <v>2.88</v>
      </c>
      <c r="R25" s="215">
        <v>3.1030000000000002</v>
      </c>
      <c r="S25" s="215">
        <v>3.15</v>
      </c>
      <c r="T25" s="215">
        <v>2.9750000000000001</v>
      </c>
      <c r="U25" s="215">
        <v>2.984</v>
      </c>
      <c r="V25" s="215">
        <v>2.9</v>
      </c>
      <c r="W25" s="215">
        <v>2.976</v>
      </c>
      <c r="X25" s="215">
        <v>2.879</v>
      </c>
      <c r="Y25" s="215">
        <v>3.0139999999999998</v>
      </c>
      <c r="Z25" s="215">
        <v>2.8210000000000002</v>
      </c>
      <c r="AA25" s="215">
        <v>3.69</v>
      </c>
      <c r="AB25" s="215">
        <v>2.67</v>
      </c>
      <c r="AC25" s="215">
        <v>2.6930000000000001</v>
      </c>
      <c r="AD25" s="215">
        <v>2.7959999999999998</v>
      </c>
      <c r="AE25" s="215">
        <v>2.8</v>
      </c>
      <c r="AF25" s="215">
        <v>2.9670000000000001</v>
      </c>
      <c r="AG25" s="215">
        <v>2.8330000000000002</v>
      </c>
      <c r="AH25" s="215">
        <v>2.9609999999999999</v>
      </c>
      <c r="AI25" s="215">
        <v>2.9950000000000001</v>
      </c>
      <c r="AJ25" s="215">
        <v>3.2759999999999998</v>
      </c>
      <c r="AK25" s="215">
        <v>4.0910000000000002</v>
      </c>
      <c r="AL25" s="215">
        <v>4.0410000000000004</v>
      </c>
      <c r="AM25" s="215">
        <v>3.109</v>
      </c>
      <c r="AN25" s="215">
        <v>2.6909999999999998</v>
      </c>
      <c r="AO25" s="215">
        <v>2.948</v>
      </c>
      <c r="AP25" s="215">
        <v>2.6469999999999998</v>
      </c>
      <c r="AQ25" s="215">
        <v>2.6379999999999999</v>
      </c>
      <c r="AR25" s="215">
        <v>2.399</v>
      </c>
      <c r="AS25" s="215">
        <v>2.3660000000000001</v>
      </c>
      <c r="AT25" s="215">
        <v>2.2210000000000001</v>
      </c>
      <c r="AU25" s="215">
        <v>2.5590000000000002</v>
      </c>
      <c r="AV25" s="215">
        <v>2.331</v>
      </c>
      <c r="AW25" s="215">
        <v>2.653</v>
      </c>
      <c r="AX25" s="215">
        <v>2.2189999999999999</v>
      </c>
      <c r="AY25" s="215">
        <v>2.02</v>
      </c>
      <c r="AZ25" s="215">
        <v>1.91</v>
      </c>
      <c r="BA25" s="215">
        <v>1.79</v>
      </c>
      <c r="BB25" s="215">
        <v>1.74</v>
      </c>
      <c r="BC25" s="215">
        <v>1.748</v>
      </c>
      <c r="BD25" s="215">
        <v>1.631</v>
      </c>
      <c r="BE25" s="215">
        <v>1.7669999999999999</v>
      </c>
      <c r="BF25" s="215">
        <v>2.2999999999999998</v>
      </c>
      <c r="BG25" s="323">
        <v>2.3116430000000001</v>
      </c>
      <c r="BH25" s="323">
        <v>2.5218929999999999</v>
      </c>
      <c r="BI25" s="323">
        <v>2.921351</v>
      </c>
      <c r="BJ25" s="323">
        <v>3.2909920000000001</v>
      </c>
      <c r="BK25" s="323">
        <v>3.4007100000000001</v>
      </c>
      <c r="BL25" s="323">
        <v>3.3305319999999998</v>
      </c>
      <c r="BM25" s="323">
        <v>3.2504580000000001</v>
      </c>
      <c r="BN25" s="323">
        <v>3.0204149999999998</v>
      </c>
      <c r="BO25" s="323">
        <v>3.009198</v>
      </c>
      <c r="BP25" s="323">
        <v>3.097928</v>
      </c>
      <c r="BQ25" s="323">
        <v>3.0873710000000001</v>
      </c>
      <c r="BR25" s="323">
        <v>3.1397210000000002</v>
      </c>
      <c r="BS25" s="323">
        <v>3.1815560000000001</v>
      </c>
      <c r="BT25" s="323">
        <v>3.2029000000000001</v>
      </c>
      <c r="BU25" s="323">
        <v>3.233813</v>
      </c>
      <c r="BV25" s="323">
        <v>3.2843550000000001</v>
      </c>
    </row>
    <row r="26" spans="1:74" ht="11.1" customHeight="1" x14ac:dyDescent="0.2">
      <c r="A26" s="52"/>
      <c r="B26" s="53" t="s">
        <v>1039</v>
      </c>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62"/>
      <c r="AG26" s="62"/>
      <c r="AH26" s="62"/>
      <c r="AI26" s="62"/>
      <c r="AJ26" s="62"/>
      <c r="AK26" s="62"/>
      <c r="AL26" s="62"/>
      <c r="AM26" s="62"/>
      <c r="AN26" s="62"/>
      <c r="AO26" s="62"/>
      <c r="AP26" s="62"/>
      <c r="AQ26" s="62"/>
      <c r="AR26" s="62"/>
      <c r="AS26" s="62"/>
      <c r="AT26" s="62"/>
      <c r="AU26" s="62"/>
      <c r="AV26" s="62"/>
      <c r="AW26" s="62"/>
      <c r="AX26" s="62"/>
      <c r="AY26" s="62"/>
      <c r="AZ26" s="62"/>
      <c r="BA26" s="62"/>
      <c r="BB26" s="62"/>
      <c r="BC26" s="62"/>
      <c r="BD26" s="62"/>
      <c r="BE26" s="62"/>
      <c r="BF26" s="62"/>
      <c r="BG26" s="326"/>
      <c r="BH26" s="326"/>
      <c r="BI26" s="326"/>
      <c r="BJ26" s="326"/>
      <c r="BK26" s="326"/>
      <c r="BL26" s="326"/>
      <c r="BM26" s="326"/>
      <c r="BN26" s="326"/>
      <c r="BO26" s="326"/>
      <c r="BP26" s="326"/>
      <c r="BQ26" s="326"/>
      <c r="BR26" s="326"/>
      <c r="BS26" s="326"/>
      <c r="BT26" s="326"/>
      <c r="BU26" s="326"/>
      <c r="BV26" s="326"/>
    </row>
    <row r="27" spans="1:74" ht="11.1" customHeight="1" x14ac:dyDescent="0.2">
      <c r="A27" s="52" t="s">
        <v>690</v>
      </c>
      <c r="B27" s="151" t="s">
        <v>397</v>
      </c>
      <c r="C27" s="215">
        <v>3.62</v>
      </c>
      <c r="D27" s="215">
        <v>3.58</v>
      </c>
      <c r="E27" s="215">
        <v>3.02</v>
      </c>
      <c r="F27" s="215">
        <v>3</v>
      </c>
      <c r="G27" s="215">
        <v>2.9</v>
      </c>
      <c r="H27" s="215">
        <v>2.89</v>
      </c>
      <c r="I27" s="215">
        <v>3.57</v>
      </c>
      <c r="J27" s="215">
        <v>3.59</v>
      </c>
      <c r="K27" s="215">
        <v>3.74</v>
      </c>
      <c r="L27" s="215">
        <v>3.87</v>
      </c>
      <c r="M27" s="215">
        <v>3.86</v>
      </c>
      <c r="N27" s="215">
        <v>4.2699999999999996</v>
      </c>
      <c r="O27" s="215">
        <v>4.8499999999999996</v>
      </c>
      <c r="P27" s="215">
        <v>4.53</v>
      </c>
      <c r="Q27" s="215">
        <v>3.92</v>
      </c>
      <c r="R27" s="215">
        <v>4.1100000000000003</v>
      </c>
      <c r="S27" s="215">
        <v>4.0199999999999996</v>
      </c>
      <c r="T27" s="215">
        <v>4.05</v>
      </c>
      <c r="U27" s="215">
        <v>3.92</v>
      </c>
      <c r="V27" s="215">
        <v>3.78</v>
      </c>
      <c r="W27" s="215">
        <v>3.83</v>
      </c>
      <c r="X27" s="215">
        <v>3.78</v>
      </c>
      <c r="Y27" s="215">
        <v>3.84</v>
      </c>
      <c r="Z27" s="215">
        <v>4.1900000000000004</v>
      </c>
      <c r="AA27" s="215">
        <v>4.4800000000000004</v>
      </c>
      <c r="AB27" s="215">
        <v>4.87</v>
      </c>
      <c r="AC27" s="215">
        <v>4.0199999999999996</v>
      </c>
      <c r="AD27" s="215">
        <v>3.91</v>
      </c>
      <c r="AE27" s="215">
        <v>3.81</v>
      </c>
      <c r="AF27" s="215">
        <v>3.78</v>
      </c>
      <c r="AG27" s="215">
        <v>3.77</v>
      </c>
      <c r="AH27" s="215">
        <v>3.68</v>
      </c>
      <c r="AI27" s="215">
        <v>3.76</v>
      </c>
      <c r="AJ27" s="215">
        <v>4.04</v>
      </c>
      <c r="AK27" s="215">
        <v>4.5199999999999996</v>
      </c>
      <c r="AL27" s="215">
        <v>5.48</v>
      </c>
      <c r="AM27" s="215">
        <v>5.03</v>
      </c>
      <c r="AN27" s="215">
        <v>4.6399999999999997</v>
      </c>
      <c r="AO27" s="215">
        <v>4.32</v>
      </c>
      <c r="AP27" s="215">
        <v>4</v>
      </c>
      <c r="AQ27" s="215">
        <v>3.64</v>
      </c>
      <c r="AR27" s="215">
        <v>3.55</v>
      </c>
      <c r="AS27" s="215">
        <v>3.34</v>
      </c>
      <c r="AT27" s="215">
        <v>3.2</v>
      </c>
      <c r="AU27" s="215">
        <v>3.35</v>
      </c>
      <c r="AV27" s="215">
        <v>3.43</v>
      </c>
      <c r="AW27" s="215">
        <v>3.87</v>
      </c>
      <c r="AX27" s="215">
        <v>3.88</v>
      </c>
      <c r="AY27" s="215">
        <v>3.66</v>
      </c>
      <c r="AZ27" s="215">
        <v>3.54</v>
      </c>
      <c r="BA27" s="215">
        <v>3.35</v>
      </c>
      <c r="BB27" s="215">
        <v>2.97</v>
      </c>
      <c r="BC27" s="215">
        <v>2.87</v>
      </c>
      <c r="BD27" s="215">
        <v>2.72</v>
      </c>
      <c r="BE27" s="215">
        <v>2.6254019999999998</v>
      </c>
      <c r="BF27" s="215">
        <v>2.981341</v>
      </c>
      <c r="BG27" s="323">
        <v>3.2219859999999998</v>
      </c>
      <c r="BH27" s="323">
        <v>3.4732419999999999</v>
      </c>
      <c r="BI27" s="323">
        <v>3.8673120000000001</v>
      </c>
      <c r="BJ27" s="323">
        <v>4.4994360000000002</v>
      </c>
      <c r="BK27" s="323">
        <v>4.8468980000000004</v>
      </c>
      <c r="BL27" s="323">
        <v>4.7828879999999998</v>
      </c>
      <c r="BM27" s="323">
        <v>4.6089370000000001</v>
      </c>
      <c r="BN27" s="323">
        <v>4.2553280000000004</v>
      </c>
      <c r="BO27" s="323">
        <v>4.0533650000000003</v>
      </c>
      <c r="BP27" s="323">
        <v>4.0247219999999997</v>
      </c>
      <c r="BQ27" s="323">
        <v>4.0593659999999998</v>
      </c>
      <c r="BR27" s="323">
        <v>4.1185970000000003</v>
      </c>
      <c r="BS27" s="323">
        <v>4.1251629999999997</v>
      </c>
      <c r="BT27" s="323">
        <v>4.3432329999999997</v>
      </c>
      <c r="BU27" s="323">
        <v>4.482456</v>
      </c>
      <c r="BV27" s="323">
        <v>4.8004410000000002</v>
      </c>
    </row>
    <row r="28" spans="1:74" ht="11.1" customHeight="1" x14ac:dyDescent="0.2">
      <c r="A28" s="52" t="s">
        <v>680</v>
      </c>
      <c r="B28" s="151" t="s">
        <v>398</v>
      </c>
      <c r="C28" s="215">
        <v>6.75</v>
      </c>
      <c r="D28" s="215">
        <v>6.86</v>
      </c>
      <c r="E28" s="215">
        <v>7.08</v>
      </c>
      <c r="F28" s="215">
        <v>6.98</v>
      </c>
      <c r="G28" s="215">
        <v>7.32</v>
      </c>
      <c r="H28" s="215">
        <v>7.72</v>
      </c>
      <c r="I28" s="215">
        <v>8.14</v>
      </c>
      <c r="J28" s="215">
        <v>8.3000000000000007</v>
      </c>
      <c r="K28" s="215">
        <v>8.2799999999999994</v>
      </c>
      <c r="L28" s="215">
        <v>7.96</v>
      </c>
      <c r="M28" s="215">
        <v>7.67</v>
      </c>
      <c r="N28" s="215">
        <v>7.27</v>
      </c>
      <c r="O28" s="215">
        <v>7.58</v>
      </c>
      <c r="P28" s="215">
        <v>7.89</v>
      </c>
      <c r="Q28" s="215">
        <v>7.68</v>
      </c>
      <c r="R28" s="215">
        <v>8.0399999999999991</v>
      </c>
      <c r="S28" s="215">
        <v>8.31</v>
      </c>
      <c r="T28" s="215">
        <v>8.75</v>
      </c>
      <c r="U28" s="215">
        <v>8.81</v>
      </c>
      <c r="V28" s="215">
        <v>8.76</v>
      </c>
      <c r="W28" s="215">
        <v>8.52</v>
      </c>
      <c r="X28" s="215">
        <v>7.97</v>
      </c>
      <c r="Y28" s="215">
        <v>7.51</v>
      </c>
      <c r="Z28" s="215">
        <v>7.42</v>
      </c>
      <c r="AA28" s="215">
        <v>7.39</v>
      </c>
      <c r="AB28" s="215">
        <v>7.74</v>
      </c>
      <c r="AC28" s="215">
        <v>7.71</v>
      </c>
      <c r="AD28" s="215">
        <v>7.65</v>
      </c>
      <c r="AE28" s="215">
        <v>8.34</v>
      </c>
      <c r="AF28" s="215">
        <v>8.58</v>
      </c>
      <c r="AG28" s="215">
        <v>8.84</v>
      </c>
      <c r="AH28" s="215">
        <v>8.69</v>
      </c>
      <c r="AI28" s="215">
        <v>8.57</v>
      </c>
      <c r="AJ28" s="215">
        <v>7.69</v>
      </c>
      <c r="AK28" s="215">
        <v>7.34</v>
      </c>
      <c r="AL28" s="215">
        <v>7.7</v>
      </c>
      <c r="AM28" s="215">
        <v>7.7</v>
      </c>
      <c r="AN28" s="215">
        <v>7.58</v>
      </c>
      <c r="AO28" s="215">
        <v>7.44</v>
      </c>
      <c r="AP28" s="215">
        <v>7.76</v>
      </c>
      <c r="AQ28" s="215">
        <v>8.08</v>
      </c>
      <c r="AR28" s="215">
        <v>8.2200000000000006</v>
      </c>
      <c r="AS28" s="215">
        <v>8.4499999999999993</v>
      </c>
      <c r="AT28" s="215">
        <v>8.41</v>
      </c>
      <c r="AU28" s="215">
        <v>8.33</v>
      </c>
      <c r="AV28" s="215">
        <v>7.63</v>
      </c>
      <c r="AW28" s="215">
        <v>7.03</v>
      </c>
      <c r="AX28" s="215">
        <v>7.21</v>
      </c>
      <c r="AY28" s="215">
        <v>7.26</v>
      </c>
      <c r="AZ28" s="215">
        <v>7.06</v>
      </c>
      <c r="BA28" s="215">
        <v>7.32</v>
      </c>
      <c r="BB28" s="215">
        <v>7.38</v>
      </c>
      <c r="BC28" s="215">
        <v>7.75</v>
      </c>
      <c r="BD28" s="215">
        <v>8.17</v>
      </c>
      <c r="BE28" s="215">
        <v>8.0346899999999994</v>
      </c>
      <c r="BF28" s="215">
        <v>7.9816789999999997</v>
      </c>
      <c r="BG28" s="323">
        <v>7.8494809999999999</v>
      </c>
      <c r="BH28" s="323">
        <v>7.4670319999999997</v>
      </c>
      <c r="BI28" s="323">
        <v>7.2820919999999996</v>
      </c>
      <c r="BJ28" s="323">
        <v>7.3456789999999996</v>
      </c>
      <c r="BK28" s="323">
        <v>7.4724149999999998</v>
      </c>
      <c r="BL28" s="323">
        <v>7.5883159999999998</v>
      </c>
      <c r="BM28" s="323">
        <v>7.8383339999999997</v>
      </c>
      <c r="BN28" s="323">
        <v>7.9982850000000001</v>
      </c>
      <c r="BO28" s="323">
        <v>8.3087610000000005</v>
      </c>
      <c r="BP28" s="323">
        <v>8.6354590000000009</v>
      </c>
      <c r="BQ28" s="323">
        <v>8.725142</v>
      </c>
      <c r="BR28" s="323">
        <v>8.7853130000000004</v>
      </c>
      <c r="BS28" s="323">
        <v>8.6380250000000007</v>
      </c>
      <c r="BT28" s="323">
        <v>8.2584140000000001</v>
      </c>
      <c r="BU28" s="323">
        <v>8.0110709999999994</v>
      </c>
      <c r="BV28" s="323">
        <v>7.9347390000000004</v>
      </c>
    </row>
    <row r="29" spans="1:74" ht="11.1" customHeight="1" x14ac:dyDescent="0.2">
      <c r="A29" s="52" t="s">
        <v>540</v>
      </c>
      <c r="B29" s="151" t="s">
        <v>399</v>
      </c>
      <c r="C29" s="215">
        <v>8.2799999999999994</v>
      </c>
      <c r="D29" s="215">
        <v>8.36</v>
      </c>
      <c r="E29" s="215">
        <v>9.19</v>
      </c>
      <c r="F29" s="215">
        <v>9.65</v>
      </c>
      <c r="G29" s="215">
        <v>11.62</v>
      </c>
      <c r="H29" s="215">
        <v>14.43</v>
      </c>
      <c r="I29" s="215">
        <v>16.559999999999999</v>
      </c>
      <c r="J29" s="215">
        <v>17.600000000000001</v>
      </c>
      <c r="K29" s="215">
        <v>16.78</v>
      </c>
      <c r="L29" s="215">
        <v>13.74</v>
      </c>
      <c r="M29" s="215">
        <v>10.77</v>
      </c>
      <c r="N29" s="215">
        <v>9.06</v>
      </c>
      <c r="O29" s="215">
        <v>9.32</v>
      </c>
      <c r="P29" s="215">
        <v>10.01</v>
      </c>
      <c r="Q29" s="215">
        <v>9.86</v>
      </c>
      <c r="R29" s="215">
        <v>11.34</v>
      </c>
      <c r="S29" s="215">
        <v>13.25</v>
      </c>
      <c r="T29" s="215">
        <v>16.059999999999999</v>
      </c>
      <c r="U29" s="215">
        <v>17.86</v>
      </c>
      <c r="V29" s="215">
        <v>18.22</v>
      </c>
      <c r="W29" s="215">
        <v>16.920000000000002</v>
      </c>
      <c r="X29" s="215">
        <v>13.39</v>
      </c>
      <c r="Y29" s="215">
        <v>10.14</v>
      </c>
      <c r="Z29" s="215">
        <v>9.2899999999999991</v>
      </c>
      <c r="AA29" s="215">
        <v>8.9</v>
      </c>
      <c r="AB29" s="215">
        <v>9.6300000000000008</v>
      </c>
      <c r="AC29" s="215">
        <v>9.76</v>
      </c>
      <c r="AD29" s="215">
        <v>10.050000000000001</v>
      </c>
      <c r="AE29" s="215">
        <v>13.52</v>
      </c>
      <c r="AF29" s="215">
        <v>16.47</v>
      </c>
      <c r="AG29" s="215">
        <v>17.84</v>
      </c>
      <c r="AH29" s="215">
        <v>18.559999999999999</v>
      </c>
      <c r="AI29" s="215">
        <v>17.23</v>
      </c>
      <c r="AJ29" s="215">
        <v>12.23</v>
      </c>
      <c r="AK29" s="215">
        <v>9.41</v>
      </c>
      <c r="AL29" s="215">
        <v>9.61</v>
      </c>
      <c r="AM29" s="215">
        <v>9.4499999999999993</v>
      </c>
      <c r="AN29" s="215">
        <v>9.4700000000000006</v>
      </c>
      <c r="AO29" s="215">
        <v>9.49</v>
      </c>
      <c r="AP29" s="215">
        <v>10.94</v>
      </c>
      <c r="AQ29" s="215">
        <v>12.88</v>
      </c>
      <c r="AR29" s="215">
        <v>15.72</v>
      </c>
      <c r="AS29" s="215">
        <v>17.940000000000001</v>
      </c>
      <c r="AT29" s="215">
        <v>18.579999999999998</v>
      </c>
      <c r="AU29" s="215">
        <v>17.809999999999999</v>
      </c>
      <c r="AV29" s="215">
        <v>12.62</v>
      </c>
      <c r="AW29" s="215">
        <v>9.42</v>
      </c>
      <c r="AX29" s="215">
        <v>9.3800000000000008</v>
      </c>
      <c r="AY29" s="215">
        <v>9.52</v>
      </c>
      <c r="AZ29" s="215">
        <v>9.26</v>
      </c>
      <c r="BA29" s="215">
        <v>9.86</v>
      </c>
      <c r="BB29" s="215">
        <v>10.68</v>
      </c>
      <c r="BC29" s="215">
        <v>11.85</v>
      </c>
      <c r="BD29" s="215">
        <v>15.37</v>
      </c>
      <c r="BE29" s="215">
        <v>16.676960000000001</v>
      </c>
      <c r="BF29" s="215">
        <v>17.191859999999998</v>
      </c>
      <c r="BG29" s="323">
        <v>16.198550000000001</v>
      </c>
      <c r="BH29" s="323">
        <v>12.891450000000001</v>
      </c>
      <c r="BI29" s="323">
        <v>10.25787</v>
      </c>
      <c r="BJ29" s="323">
        <v>9.4655090000000008</v>
      </c>
      <c r="BK29" s="323">
        <v>9.3501189999999994</v>
      </c>
      <c r="BL29" s="323">
        <v>9.6315600000000003</v>
      </c>
      <c r="BM29" s="323">
        <v>10.125030000000001</v>
      </c>
      <c r="BN29" s="323">
        <v>11.155749999999999</v>
      </c>
      <c r="BO29" s="323">
        <v>13.25461</v>
      </c>
      <c r="BP29" s="323">
        <v>15.829879999999999</v>
      </c>
      <c r="BQ29" s="323">
        <v>17.352180000000001</v>
      </c>
      <c r="BR29" s="323">
        <v>17.95393</v>
      </c>
      <c r="BS29" s="323">
        <v>16.935230000000001</v>
      </c>
      <c r="BT29" s="323">
        <v>13.52284</v>
      </c>
      <c r="BU29" s="323">
        <v>10.877459999999999</v>
      </c>
      <c r="BV29" s="323">
        <v>10.00708</v>
      </c>
    </row>
    <row r="30" spans="1:74" ht="11.1" customHeight="1" x14ac:dyDescent="0.2">
      <c r="A30" s="49"/>
      <c r="B30" s="54" t="s">
        <v>1017</v>
      </c>
      <c r="C30" s="221"/>
      <c r="D30" s="221"/>
      <c r="E30" s="221"/>
      <c r="F30" s="221"/>
      <c r="G30" s="221"/>
      <c r="H30" s="221"/>
      <c r="I30" s="221"/>
      <c r="J30" s="221"/>
      <c r="K30" s="221"/>
      <c r="L30" s="221"/>
      <c r="M30" s="221"/>
      <c r="N30" s="221"/>
      <c r="O30" s="221"/>
      <c r="P30" s="221"/>
      <c r="Q30" s="221"/>
      <c r="R30" s="221"/>
      <c r="S30" s="221"/>
      <c r="T30" s="221"/>
      <c r="U30" s="221"/>
      <c r="V30" s="221"/>
      <c r="W30" s="221"/>
      <c r="X30" s="221"/>
      <c r="Y30" s="221"/>
      <c r="Z30" s="221"/>
      <c r="AA30" s="221"/>
      <c r="AB30" s="221"/>
      <c r="AC30" s="221"/>
      <c r="AD30" s="221"/>
      <c r="AE30" s="221"/>
      <c r="AF30" s="221"/>
      <c r="AG30" s="221"/>
      <c r="AH30" s="221"/>
      <c r="AI30" s="221"/>
      <c r="AJ30" s="221"/>
      <c r="AK30" s="221"/>
      <c r="AL30" s="221"/>
      <c r="AM30" s="221"/>
      <c r="AN30" s="221"/>
      <c r="AO30" s="221"/>
      <c r="AP30" s="221"/>
      <c r="AQ30" s="221"/>
      <c r="AR30" s="221"/>
      <c r="AS30" s="221"/>
      <c r="AT30" s="221"/>
      <c r="AU30" s="221"/>
      <c r="AV30" s="221"/>
      <c r="AW30" s="221"/>
      <c r="AX30" s="221"/>
      <c r="AY30" s="221"/>
      <c r="AZ30" s="221"/>
      <c r="BA30" s="221"/>
      <c r="BB30" s="221"/>
      <c r="BC30" s="221"/>
      <c r="BD30" s="221"/>
      <c r="BE30" s="221"/>
      <c r="BF30" s="221"/>
      <c r="BG30" s="407"/>
      <c r="BH30" s="407"/>
      <c r="BI30" s="407"/>
      <c r="BJ30" s="407"/>
      <c r="BK30" s="407"/>
      <c r="BL30" s="407"/>
      <c r="BM30" s="407"/>
      <c r="BN30" s="407"/>
      <c r="BO30" s="407"/>
      <c r="BP30" s="407"/>
      <c r="BQ30" s="407"/>
      <c r="BR30" s="407"/>
      <c r="BS30" s="407"/>
      <c r="BT30" s="407"/>
      <c r="BU30" s="407"/>
      <c r="BV30" s="407"/>
    </row>
    <row r="31" spans="1:74" ht="11.1" customHeight="1" x14ac:dyDescent="0.2">
      <c r="A31" s="49"/>
      <c r="B31" s="55" t="s">
        <v>110</v>
      </c>
      <c r="C31" s="221"/>
      <c r="D31" s="221"/>
      <c r="E31" s="221"/>
      <c r="F31" s="221"/>
      <c r="G31" s="221"/>
      <c r="H31" s="221"/>
      <c r="I31" s="221"/>
      <c r="J31" s="221"/>
      <c r="K31" s="221"/>
      <c r="L31" s="221"/>
      <c r="M31" s="221"/>
      <c r="N31" s="221"/>
      <c r="O31" s="221"/>
      <c r="P31" s="221"/>
      <c r="Q31" s="221"/>
      <c r="R31" s="221"/>
      <c r="S31" s="221"/>
      <c r="T31" s="221"/>
      <c r="U31" s="221"/>
      <c r="V31" s="221"/>
      <c r="W31" s="221"/>
      <c r="X31" s="221"/>
      <c r="Y31" s="221"/>
      <c r="Z31" s="221"/>
      <c r="AA31" s="221"/>
      <c r="AB31" s="221"/>
      <c r="AC31" s="221"/>
      <c r="AD31" s="221"/>
      <c r="AE31" s="221"/>
      <c r="AF31" s="221"/>
      <c r="AG31" s="221"/>
      <c r="AH31" s="221"/>
      <c r="AI31" s="221"/>
      <c r="AJ31" s="221"/>
      <c r="AK31" s="221"/>
      <c r="AL31" s="221"/>
      <c r="AM31" s="221"/>
      <c r="AN31" s="221"/>
      <c r="AO31" s="221"/>
      <c r="AP31" s="221"/>
      <c r="AQ31" s="221"/>
      <c r="AR31" s="221"/>
      <c r="AS31" s="221"/>
      <c r="AT31" s="221"/>
      <c r="AU31" s="221"/>
      <c r="AV31" s="221"/>
      <c r="AW31" s="221"/>
      <c r="AX31" s="221"/>
      <c r="AY31" s="221"/>
      <c r="AZ31" s="221"/>
      <c r="BA31" s="221"/>
      <c r="BB31" s="221"/>
      <c r="BC31" s="221"/>
      <c r="BD31" s="221"/>
      <c r="BE31" s="221"/>
      <c r="BF31" s="221"/>
      <c r="BG31" s="407"/>
      <c r="BH31" s="407"/>
      <c r="BI31" s="407"/>
      <c r="BJ31" s="407"/>
      <c r="BK31" s="407"/>
      <c r="BL31" s="407"/>
      <c r="BM31" s="407"/>
      <c r="BN31" s="407"/>
      <c r="BO31" s="407"/>
      <c r="BP31" s="407"/>
      <c r="BQ31" s="407"/>
      <c r="BR31" s="407"/>
      <c r="BS31" s="407"/>
      <c r="BT31" s="407"/>
      <c r="BU31" s="407"/>
      <c r="BV31" s="407"/>
    </row>
    <row r="32" spans="1:74" ht="11.1" customHeight="1" x14ac:dyDescent="0.2">
      <c r="A32" s="52" t="s">
        <v>537</v>
      </c>
      <c r="B32" s="151" t="s">
        <v>400</v>
      </c>
      <c r="C32" s="215">
        <v>2.12</v>
      </c>
      <c r="D32" s="215">
        <v>2.11</v>
      </c>
      <c r="E32" s="215">
        <v>2.17</v>
      </c>
      <c r="F32" s="215">
        <v>2.16</v>
      </c>
      <c r="G32" s="215">
        <v>2.16</v>
      </c>
      <c r="H32" s="215">
        <v>2.1</v>
      </c>
      <c r="I32" s="215">
        <v>2.11</v>
      </c>
      <c r="J32" s="215">
        <v>2.11</v>
      </c>
      <c r="K32" s="215">
        <v>2.12</v>
      </c>
      <c r="L32" s="215">
        <v>2.0699999999999998</v>
      </c>
      <c r="M32" s="215">
        <v>2.08</v>
      </c>
      <c r="N32" s="215">
        <v>2.08</v>
      </c>
      <c r="O32" s="215">
        <v>2.09</v>
      </c>
      <c r="P32" s="215">
        <v>2.06</v>
      </c>
      <c r="Q32" s="215">
        <v>2.0699999999999998</v>
      </c>
      <c r="R32" s="215">
        <v>2.08</v>
      </c>
      <c r="S32" s="215">
        <v>2.09</v>
      </c>
      <c r="T32" s="215">
        <v>2.0699999999999998</v>
      </c>
      <c r="U32" s="215">
        <v>2.06</v>
      </c>
      <c r="V32" s="215">
        <v>2.0499999999999998</v>
      </c>
      <c r="W32" s="215">
        <v>2.02</v>
      </c>
      <c r="X32" s="215">
        <v>2.0299999999999998</v>
      </c>
      <c r="Y32" s="215">
        <v>2.04</v>
      </c>
      <c r="Z32" s="215">
        <v>2.04</v>
      </c>
      <c r="AA32" s="215">
        <v>2.06</v>
      </c>
      <c r="AB32" s="215">
        <v>2.0699999999999998</v>
      </c>
      <c r="AC32" s="215">
        <v>2.04</v>
      </c>
      <c r="AD32" s="215">
        <v>2.0699999999999998</v>
      </c>
      <c r="AE32" s="215">
        <v>2.04</v>
      </c>
      <c r="AF32" s="215">
        <v>2.04</v>
      </c>
      <c r="AG32" s="215">
        <v>2.0499999999999998</v>
      </c>
      <c r="AH32" s="215">
        <v>2.06</v>
      </c>
      <c r="AI32" s="215">
        <v>2.0499999999999998</v>
      </c>
      <c r="AJ32" s="215">
        <v>2.04</v>
      </c>
      <c r="AK32" s="215">
        <v>2.06</v>
      </c>
      <c r="AL32" s="215">
        <v>2.11</v>
      </c>
      <c r="AM32" s="215">
        <v>2.1</v>
      </c>
      <c r="AN32" s="215">
        <v>2.0699999999999998</v>
      </c>
      <c r="AO32" s="215">
        <v>2.08</v>
      </c>
      <c r="AP32" s="215">
        <v>2.0699999999999998</v>
      </c>
      <c r="AQ32" s="215">
        <v>2.06</v>
      </c>
      <c r="AR32" s="215">
        <v>2.0299999999999998</v>
      </c>
      <c r="AS32" s="215">
        <v>2.02</v>
      </c>
      <c r="AT32" s="215">
        <v>2</v>
      </c>
      <c r="AU32" s="215">
        <v>1.96</v>
      </c>
      <c r="AV32" s="215">
        <v>1.96</v>
      </c>
      <c r="AW32" s="215">
        <v>1.97</v>
      </c>
      <c r="AX32" s="215">
        <v>1.92</v>
      </c>
      <c r="AY32" s="215">
        <v>1.94</v>
      </c>
      <c r="AZ32" s="215">
        <v>1.91</v>
      </c>
      <c r="BA32" s="215">
        <v>1.94</v>
      </c>
      <c r="BB32" s="215">
        <v>1.93</v>
      </c>
      <c r="BC32" s="215">
        <v>1.8865349658999999</v>
      </c>
      <c r="BD32" s="215">
        <v>1.9005932907</v>
      </c>
      <c r="BE32" s="215">
        <v>1.991536</v>
      </c>
      <c r="BF32" s="215">
        <v>1.9997819999999999</v>
      </c>
      <c r="BG32" s="323">
        <v>1.9972559999999999</v>
      </c>
      <c r="BH32" s="323">
        <v>2.0172469999999998</v>
      </c>
      <c r="BI32" s="323">
        <v>2.001649</v>
      </c>
      <c r="BJ32" s="323">
        <v>1.994013</v>
      </c>
      <c r="BK32" s="323">
        <v>2.0515379999999999</v>
      </c>
      <c r="BL32" s="323">
        <v>2.038602</v>
      </c>
      <c r="BM32" s="323">
        <v>2.0440719999999999</v>
      </c>
      <c r="BN32" s="323">
        <v>2.0610339999999998</v>
      </c>
      <c r="BO32" s="323">
        <v>2.0553720000000002</v>
      </c>
      <c r="BP32" s="323">
        <v>2.0300199999999999</v>
      </c>
      <c r="BQ32" s="323">
        <v>2.0172880000000002</v>
      </c>
      <c r="BR32" s="323">
        <v>2.0274450000000002</v>
      </c>
      <c r="BS32" s="323">
        <v>2.0334080000000001</v>
      </c>
      <c r="BT32" s="323">
        <v>2.0294919999999999</v>
      </c>
      <c r="BU32" s="323">
        <v>2.0311189999999999</v>
      </c>
      <c r="BV32" s="323">
        <v>2.0370409999999999</v>
      </c>
    </row>
    <row r="33" spans="1:74" ht="11.1" customHeight="1" x14ac:dyDescent="0.2">
      <c r="A33" s="52" t="s">
        <v>539</v>
      </c>
      <c r="B33" s="151" t="s">
        <v>401</v>
      </c>
      <c r="C33" s="215">
        <v>3.02</v>
      </c>
      <c r="D33" s="215">
        <v>2.7</v>
      </c>
      <c r="E33" s="215">
        <v>2.23</v>
      </c>
      <c r="F33" s="215">
        <v>2.42</v>
      </c>
      <c r="G33" s="215">
        <v>2.39</v>
      </c>
      <c r="H33" s="215">
        <v>2.67</v>
      </c>
      <c r="I33" s="215">
        <v>2.97</v>
      </c>
      <c r="J33" s="215">
        <v>2.95</v>
      </c>
      <c r="K33" s="215">
        <v>3.07</v>
      </c>
      <c r="L33" s="215">
        <v>3.13</v>
      </c>
      <c r="M33" s="215">
        <v>3.02</v>
      </c>
      <c r="N33" s="215">
        <v>3.96</v>
      </c>
      <c r="O33" s="215">
        <v>4.1100000000000003</v>
      </c>
      <c r="P33" s="215">
        <v>3.56</v>
      </c>
      <c r="Q33" s="215">
        <v>3.35</v>
      </c>
      <c r="R33" s="215">
        <v>3.38</v>
      </c>
      <c r="S33" s="215">
        <v>3.48</v>
      </c>
      <c r="T33" s="215">
        <v>3.29</v>
      </c>
      <c r="U33" s="215">
        <v>3.21</v>
      </c>
      <c r="V33" s="215">
        <v>3.13</v>
      </c>
      <c r="W33" s="215">
        <v>3.16</v>
      </c>
      <c r="X33" s="215">
        <v>3.13</v>
      </c>
      <c r="Y33" s="215">
        <v>3.35</v>
      </c>
      <c r="Z33" s="215">
        <v>3.63</v>
      </c>
      <c r="AA33" s="215">
        <v>5.0599999999999996</v>
      </c>
      <c r="AB33" s="215">
        <v>3.61</v>
      </c>
      <c r="AC33" s="215">
        <v>3.18</v>
      </c>
      <c r="AD33" s="215">
        <v>3.14</v>
      </c>
      <c r="AE33" s="215">
        <v>3.06</v>
      </c>
      <c r="AF33" s="215">
        <v>3.13</v>
      </c>
      <c r="AG33" s="215">
        <v>3.23</v>
      </c>
      <c r="AH33" s="215">
        <v>3.28</v>
      </c>
      <c r="AI33" s="215">
        <v>3.12</v>
      </c>
      <c r="AJ33" s="215">
        <v>3.43</v>
      </c>
      <c r="AK33" s="215">
        <v>4.18</v>
      </c>
      <c r="AL33" s="215">
        <v>4.72</v>
      </c>
      <c r="AM33" s="215">
        <v>4.01</v>
      </c>
      <c r="AN33" s="215">
        <v>3.64</v>
      </c>
      <c r="AO33" s="215">
        <v>3.45</v>
      </c>
      <c r="AP33" s="215">
        <v>2.89</v>
      </c>
      <c r="AQ33" s="215">
        <v>2.77</v>
      </c>
      <c r="AR33" s="215">
        <v>2.59</v>
      </c>
      <c r="AS33" s="215">
        <v>2.5299999999999998</v>
      </c>
      <c r="AT33" s="215">
        <v>2.41</v>
      </c>
      <c r="AU33" s="215">
        <v>2.59</v>
      </c>
      <c r="AV33" s="215">
        <v>2.4900000000000002</v>
      </c>
      <c r="AW33" s="215">
        <v>2.96</v>
      </c>
      <c r="AX33" s="215">
        <v>2.92</v>
      </c>
      <c r="AY33" s="215">
        <v>2.62</v>
      </c>
      <c r="AZ33" s="215">
        <v>2.4</v>
      </c>
      <c r="BA33" s="215">
        <v>2.14</v>
      </c>
      <c r="BB33" s="215">
        <v>2.1</v>
      </c>
      <c r="BC33" s="215">
        <v>2.1840616414</v>
      </c>
      <c r="BD33" s="215">
        <v>2.0236667554999999</v>
      </c>
      <c r="BE33" s="215">
        <v>2.020019</v>
      </c>
      <c r="BF33" s="215">
        <v>2.5646140000000002</v>
      </c>
      <c r="BG33" s="323">
        <v>2.5342199999999999</v>
      </c>
      <c r="BH33" s="323">
        <v>2.7554280000000002</v>
      </c>
      <c r="BI33" s="323">
        <v>3.2571859999999999</v>
      </c>
      <c r="BJ33" s="323">
        <v>3.839623</v>
      </c>
      <c r="BK33" s="323">
        <v>4.1511440000000004</v>
      </c>
      <c r="BL33" s="323">
        <v>4.0240619999999998</v>
      </c>
      <c r="BM33" s="323">
        <v>3.7287539999999999</v>
      </c>
      <c r="BN33" s="323">
        <v>3.382997</v>
      </c>
      <c r="BO33" s="323">
        <v>3.312859</v>
      </c>
      <c r="BP33" s="323">
        <v>3.3004739999999999</v>
      </c>
      <c r="BQ33" s="323">
        <v>3.309526</v>
      </c>
      <c r="BR33" s="323">
        <v>3.3708499999999999</v>
      </c>
      <c r="BS33" s="323">
        <v>3.3795989999999998</v>
      </c>
      <c r="BT33" s="323">
        <v>3.467066</v>
      </c>
      <c r="BU33" s="323">
        <v>3.5652509999999999</v>
      </c>
      <c r="BV33" s="323">
        <v>3.8425690000000001</v>
      </c>
    </row>
    <row r="34" spans="1:74" ht="11.1" customHeight="1" x14ac:dyDescent="0.2">
      <c r="A34" s="52" t="s">
        <v>538</v>
      </c>
      <c r="B34" s="627" t="s">
        <v>1018</v>
      </c>
      <c r="C34" s="215">
        <v>7.08</v>
      </c>
      <c r="D34" s="215">
        <v>5.77</v>
      </c>
      <c r="E34" s="215">
        <v>5.63</v>
      </c>
      <c r="F34" s="215">
        <v>7.53</v>
      </c>
      <c r="G34" s="215">
        <v>9.07</v>
      </c>
      <c r="H34" s="215">
        <v>8.93</v>
      </c>
      <c r="I34" s="215">
        <v>11.72</v>
      </c>
      <c r="J34" s="215">
        <v>8.5500000000000007</v>
      </c>
      <c r="K34" s="215">
        <v>8.42</v>
      </c>
      <c r="L34" s="215">
        <v>8.75</v>
      </c>
      <c r="M34" s="215">
        <v>9.0299999999999994</v>
      </c>
      <c r="N34" s="215">
        <v>9.65</v>
      </c>
      <c r="O34" s="215">
        <v>11.25</v>
      </c>
      <c r="P34" s="215">
        <v>10.77</v>
      </c>
      <c r="Q34" s="215">
        <v>11.42</v>
      </c>
      <c r="R34" s="215">
        <v>10.64</v>
      </c>
      <c r="S34" s="215">
        <v>10.69</v>
      </c>
      <c r="T34" s="215">
        <v>10.48</v>
      </c>
      <c r="U34" s="215">
        <v>9.99</v>
      </c>
      <c r="V34" s="215">
        <v>10.029999999999999</v>
      </c>
      <c r="W34" s="215">
        <v>10.06</v>
      </c>
      <c r="X34" s="215">
        <v>10.61</v>
      </c>
      <c r="Y34" s="215">
        <v>10.28</v>
      </c>
      <c r="Z34" s="215">
        <v>13.6</v>
      </c>
      <c r="AA34" s="215">
        <v>11.45</v>
      </c>
      <c r="AB34" s="215">
        <v>11.46</v>
      </c>
      <c r="AC34" s="215">
        <v>12.1</v>
      </c>
      <c r="AD34" s="215">
        <v>12.2</v>
      </c>
      <c r="AE34" s="215">
        <v>12.83</v>
      </c>
      <c r="AF34" s="215">
        <v>13.81</v>
      </c>
      <c r="AG34" s="215">
        <v>13.76</v>
      </c>
      <c r="AH34" s="215">
        <v>14.38</v>
      </c>
      <c r="AI34" s="215">
        <v>13.91</v>
      </c>
      <c r="AJ34" s="215">
        <v>14.52</v>
      </c>
      <c r="AK34" s="215">
        <v>15.25</v>
      </c>
      <c r="AL34" s="215">
        <v>13.56</v>
      </c>
      <c r="AM34" s="215">
        <v>11.29</v>
      </c>
      <c r="AN34" s="215">
        <v>12.27</v>
      </c>
      <c r="AO34" s="215">
        <v>13.68</v>
      </c>
      <c r="AP34" s="215">
        <v>13.89</v>
      </c>
      <c r="AQ34" s="215">
        <v>13.47</v>
      </c>
      <c r="AR34" s="215">
        <v>12.92</v>
      </c>
      <c r="AS34" s="215">
        <v>12.93</v>
      </c>
      <c r="AT34" s="215">
        <v>13.72</v>
      </c>
      <c r="AU34" s="215">
        <v>11.53</v>
      </c>
      <c r="AV34" s="215">
        <v>12.65</v>
      </c>
      <c r="AW34" s="215">
        <v>12.04</v>
      </c>
      <c r="AX34" s="215">
        <v>12.84</v>
      </c>
      <c r="AY34" s="215">
        <v>13.15</v>
      </c>
      <c r="AZ34" s="215">
        <v>12.68</v>
      </c>
      <c r="BA34" s="215">
        <v>10.29</v>
      </c>
      <c r="BB34" s="215">
        <v>8.19</v>
      </c>
      <c r="BC34" s="215">
        <v>5.69</v>
      </c>
      <c r="BD34" s="215">
        <v>6.5164730000000004</v>
      </c>
      <c r="BE34" s="215">
        <v>7.2273019999999999</v>
      </c>
      <c r="BF34" s="215">
        <v>7.5365679999999999</v>
      </c>
      <c r="BG34" s="323">
        <v>7.7576749999999999</v>
      </c>
      <c r="BH34" s="323">
        <v>7.8172290000000002</v>
      </c>
      <c r="BI34" s="323">
        <v>7.9343659999999998</v>
      </c>
      <c r="BJ34" s="323">
        <v>8.5009709999999998</v>
      </c>
      <c r="BK34" s="323">
        <v>8.6648289999999992</v>
      </c>
      <c r="BL34" s="323">
        <v>8.4863549999999996</v>
      </c>
      <c r="BM34" s="323">
        <v>9.0363369999999996</v>
      </c>
      <c r="BN34" s="323">
        <v>9.8839349999999992</v>
      </c>
      <c r="BO34" s="323">
        <v>9.6416909999999998</v>
      </c>
      <c r="BP34" s="323">
        <v>10.20923</v>
      </c>
      <c r="BQ34" s="323">
        <v>9.900563</v>
      </c>
      <c r="BR34" s="323">
        <v>9.6080570000000005</v>
      </c>
      <c r="BS34" s="323">
        <v>9.4146280000000004</v>
      </c>
      <c r="BT34" s="323">
        <v>9.3689099999999996</v>
      </c>
      <c r="BU34" s="323">
        <v>9.451193</v>
      </c>
      <c r="BV34" s="323">
        <v>9.9093579999999992</v>
      </c>
    </row>
    <row r="35" spans="1:74" ht="11.1" customHeight="1" x14ac:dyDescent="0.2">
      <c r="A35" s="52" t="s">
        <v>18</v>
      </c>
      <c r="B35" s="151" t="s">
        <v>408</v>
      </c>
      <c r="C35" s="215">
        <v>8.9</v>
      </c>
      <c r="D35" s="215">
        <v>8.7799999999999994</v>
      </c>
      <c r="E35" s="215">
        <v>9.4600000000000009</v>
      </c>
      <c r="F35" s="215">
        <v>9.9700000000000006</v>
      </c>
      <c r="G35" s="215">
        <v>10.76</v>
      </c>
      <c r="H35" s="215">
        <v>12.22</v>
      </c>
      <c r="I35" s="215">
        <v>12.08</v>
      </c>
      <c r="J35" s="215">
        <v>11.41</v>
      </c>
      <c r="K35" s="215">
        <v>11.29</v>
      </c>
      <c r="L35" s="215">
        <v>12.04</v>
      </c>
      <c r="M35" s="215">
        <v>12.01</v>
      </c>
      <c r="N35" s="215">
        <v>12.22</v>
      </c>
      <c r="O35" s="215">
        <v>13.02</v>
      </c>
      <c r="P35" s="215">
        <v>12.98</v>
      </c>
      <c r="Q35" s="215">
        <v>12.35</v>
      </c>
      <c r="R35" s="215">
        <v>13</v>
      </c>
      <c r="S35" s="215">
        <v>12.22</v>
      </c>
      <c r="T35" s="215">
        <v>11.56</v>
      </c>
      <c r="U35" s="215">
        <v>11.82</v>
      </c>
      <c r="V35" s="215">
        <v>12.95</v>
      </c>
      <c r="W35" s="215">
        <v>14.52</v>
      </c>
      <c r="X35" s="215">
        <v>14.11</v>
      </c>
      <c r="Y35" s="215">
        <v>14.61</v>
      </c>
      <c r="Z35" s="215">
        <v>14.63</v>
      </c>
      <c r="AA35" s="215">
        <v>16.07</v>
      </c>
      <c r="AB35" s="215">
        <v>15.19</v>
      </c>
      <c r="AC35" s="215">
        <v>15.02</v>
      </c>
      <c r="AD35" s="215">
        <v>16.190000000000001</v>
      </c>
      <c r="AE35" s="215">
        <v>16.73</v>
      </c>
      <c r="AF35" s="215">
        <v>16.59</v>
      </c>
      <c r="AG35" s="215">
        <v>16.21</v>
      </c>
      <c r="AH35" s="215">
        <v>16.93</v>
      </c>
      <c r="AI35" s="215">
        <v>17.39</v>
      </c>
      <c r="AJ35" s="215">
        <v>17.760000000000002</v>
      </c>
      <c r="AK35" s="215">
        <v>16.39</v>
      </c>
      <c r="AL35" s="215">
        <v>14.54</v>
      </c>
      <c r="AM35" s="215">
        <v>14.12</v>
      </c>
      <c r="AN35" s="215">
        <v>15.12</v>
      </c>
      <c r="AO35" s="215">
        <v>15.7</v>
      </c>
      <c r="AP35" s="215">
        <v>16.38</v>
      </c>
      <c r="AQ35" s="215">
        <v>16.18</v>
      </c>
      <c r="AR35" s="215">
        <v>14.87</v>
      </c>
      <c r="AS35" s="215">
        <v>15.1</v>
      </c>
      <c r="AT35" s="215">
        <v>14.83</v>
      </c>
      <c r="AU35" s="215">
        <v>15.11</v>
      </c>
      <c r="AV35" s="215">
        <v>15.38</v>
      </c>
      <c r="AW35" s="215">
        <v>15.29</v>
      </c>
      <c r="AX35" s="215">
        <v>14.63</v>
      </c>
      <c r="AY35" s="215">
        <v>14.57</v>
      </c>
      <c r="AZ35" s="215">
        <v>13.81</v>
      </c>
      <c r="BA35" s="215">
        <v>10.81</v>
      </c>
      <c r="BB35" s="215">
        <v>8.86</v>
      </c>
      <c r="BC35" s="215">
        <v>7.38</v>
      </c>
      <c r="BD35" s="215">
        <v>8.8415789999999994</v>
      </c>
      <c r="BE35" s="215">
        <v>9.9759200000000003</v>
      </c>
      <c r="BF35" s="215">
        <v>10.02393</v>
      </c>
      <c r="BG35" s="323">
        <v>10.068910000000001</v>
      </c>
      <c r="BH35" s="323">
        <v>10.292160000000001</v>
      </c>
      <c r="BI35" s="323">
        <v>10.85788</v>
      </c>
      <c r="BJ35" s="323">
        <v>10.80814</v>
      </c>
      <c r="BK35" s="323">
        <v>10.61384</v>
      </c>
      <c r="BL35" s="323">
        <v>10.98766</v>
      </c>
      <c r="BM35" s="323">
        <v>11.7483</v>
      </c>
      <c r="BN35" s="323">
        <v>11.848240000000001</v>
      </c>
      <c r="BO35" s="323">
        <v>11.88585</v>
      </c>
      <c r="BP35" s="323">
        <v>12.406180000000001</v>
      </c>
      <c r="BQ35" s="323">
        <v>12.555770000000001</v>
      </c>
      <c r="BR35" s="323">
        <v>12.503360000000001</v>
      </c>
      <c r="BS35" s="323">
        <v>12.381919999999999</v>
      </c>
      <c r="BT35" s="323">
        <v>12.6899</v>
      </c>
      <c r="BU35" s="323">
        <v>13.09456</v>
      </c>
      <c r="BV35" s="323">
        <v>12.67188</v>
      </c>
    </row>
    <row r="36" spans="1:74" ht="11.1" customHeight="1" x14ac:dyDescent="0.2">
      <c r="A36" s="52"/>
      <c r="B36" s="55" t="s">
        <v>1040</v>
      </c>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62"/>
      <c r="AG36" s="62"/>
      <c r="AH36" s="62"/>
      <c r="AI36" s="62"/>
      <c r="AJ36" s="62"/>
      <c r="AK36" s="62"/>
      <c r="AL36" s="62"/>
      <c r="AM36" s="62"/>
      <c r="AN36" s="62"/>
      <c r="AO36" s="62"/>
      <c r="AP36" s="62"/>
      <c r="AQ36" s="62"/>
      <c r="AR36" s="62"/>
      <c r="AS36" s="62"/>
      <c r="AT36" s="62"/>
      <c r="AU36" s="62"/>
      <c r="AV36" s="62"/>
      <c r="AW36" s="62"/>
      <c r="AX36" s="62"/>
      <c r="AY36" s="62"/>
      <c r="AZ36" s="62"/>
      <c r="BA36" s="62"/>
      <c r="BB36" s="62"/>
      <c r="BC36" s="62"/>
      <c r="BD36" s="62"/>
      <c r="BE36" s="62"/>
      <c r="BF36" s="62"/>
      <c r="BG36" s="326"/>
      <c r="BH36" s="326"/>
      <c r="BI36" s="326"/>
      <c r="BJ36" s="326"/>
      <c r="BK36" s="326"/>
      <c r="BL36" s="326"/>
      <c r="BM36" s="326"/>
      <c r="BN36" s="326"/>
      <c r="BO36" s="326"/>
      <c r="BP36" s="326"/>
      <c r="BQ36" s="326"/>
      <c r="BR36" s="326"/>
      <c r="BS36" s="326"/>
      <c r="BT36" s="326"/>
      <c r="BU36" s="326"/>
      <c r="BV36" s="326"/>
    </row>
    <row r="37" spans="1:74" ht="11.1" customHeight="1" x14ac:dyDescent="0.2">
      <c r="A37" s="56" t="s">
        <v>6</v>
      </c>
      <c r="B37" s="152" t="s">
        <v>397</v>
      </c>
      <c r="C37" s="479">
        <v>6.44</v>
      </c>
      <c r="D37" s="479">
        <v>6.42</v>
      </c>
      <c r="E37" s="479">
        <v>6.46</v>
      </c>
      <c r="F37" s="479">
        <v>6.44</v>
      </c>
      <c r="G37" s="479">
        <v>6.57</v>
      </c>
      <c r="H37" s="479">
        <v>7.03</v>
      </c>
      <c r="I37" s="479">
        <v>7.23</v>
      </c>
      <c r="J37" s="479">
        <v>7.23</v>
      </c>
      <c r="K37" s="479">
        <v>7.14</v>
      </c>
      <c r="L37" s="479">
        <v>6.73</v>
      </c>
      <c r="M37" s="479">
        <v>6.66</v>
      </c>
      <c r="N37" s="479">
        <v>6.67</v>
      </c>
      <c r="O37" s="479">
        <v>6.59</v>
      </c>
      <c r="P37" s="479">
        <v>6.63</v>
      </c>
      <c r="Q37" s="479">
        <v>6.71</v>
      </c>
      <c r="R37" s="479">
        <v>6.6</v>
      </c>
      <c r="S37" s="479">
        <v>6.78</v>
      </c>
      <c r="T37" s="479">
        <v>7.19</v>
      </c>
      <c r="U37" s="479">
        <v>7.31</v>
      </c>
      <c r="V37" s="479">
        <v>7.22</v>
      </c>
      <c r="W37" s="479">
        <v>7.17</v>
      </c>
      <c r="X37" s="479">
        <v>6.91</v>
      </c>
      <c r="Y37" s="479">
        <v>6.73</v>
      </c>
      <c r="Z37" s="479">
        <v>6.54</v>
      </c>
      <c r="AA37" s="479">
        <v>6.94</v>
      </c>
      <c r="AB37" s="479">
        <v>6.78</v>
      </c>
      <c r="AC37" s="479">
        <v>6.63</v>
      </c>
      <c r="AD37" s="479">
        <v>6.57</v>
      </c>
      <c r="AE37" s="479">
        <v>6.79</v>
      </c>
      <c r="AF37" s="479">
        <v>7.17</v>
      </c>
      <c r="AG37" s="479">
        <v>7.32</v>
      </c>
      <c r="AH37" s="479">
        <v>7.25</v>
      </c>
      <c r="AI37" s="479">
        <v>7.05</v>
      </c>
      <c r="AJ37" s="479">
        <v>6.87</v>
      </c>
      <c r="AK37" s="479">
        <v>6.85</v>
      </c>
      <c r="AL37" s="479">
        <v>6.67</v>
      </c>
      <c r="AM37" s="479">
        <v>6.58</v>
      </c>
      <c r="AN37" s="479">
        <v>6.69</v>
      </c>
      <c r="AO37" s="479">
        <v>6.72</v>
      </c>
      <c r="AP37" s="479">
        <v>6.52</v>
      </c>
      <c r="AQ37" s="479">
        <v>6.7</v>
      </c>
      <c r="AR37" s="479">
        <v>6.91</v>
      </c>
      <c r="AS37" s="479">
        <v>7.19</v>
      </c>
      <c r="AT37" s="479">
        <v>7.45</v>
      </c>
      <c r="AU37" s="479">
        <v>7.1</v>
      </c>
      <c r="AV37" s="479">
        <v>6.86</v>
      </c>
      <c r="AW37" s="479">
        <v>6.73</v>
      </c>
      <c r="AX37" s="479">
        <v>6.37</v>
      </c>
      <c r="AY37" s="479">
        <v>6.33</v>
      </c>
      <c r="AZ37" s="479">
        <v>6.42</v>
      </c>
      <c r="BA37" s="479">
        <v>6.4</v>
      </c>
      <c r="BB37" s="479">
        <v>6.41</v>
      </c>
      <c r="BC37" s="479">
        <v>6.48</v>
      </c>
      <c r="BD37" s="479">
        <v>6.95</v>
      </c>
      <c r="BE37" s="479">
        <v>7.2121120000000003</v>
      </c>
      <c r="BF37" s="479">
        <v>7.482901</v>
      </c>
      <c r="BG37" s="480">
        <v>7.0373830000000002</v>
      </c>
      <c r="BH37" s="480">
        <v>6.884271</v>
      </c>
      <c r="BI37" s="480">
        <v>6.7493020000000001</v>
      </c>
      <c r="BJ37" s="480">
        <v>6.4317840000000004</v>
      </c>
      <c r="BK37" s="480">
        <v>6.4288970000000001</v>
      </c>
      <c r="BL37" s="480">
        <v>6.5308799999999998</v>
      </c>
      <c r="BM37" s="480">
        <v>6.5051310000000004</v>
      </c>
      <c r="BN37" s="480">
        <v>6.5065119999999999</v>
      </c>
      <c r="BO37" s="480">
        <v>6.6021599999999996</v>
      </c>
      <c r="BP37" s="480">
        <v>7.078125</v>
      </c>
      <c r="BQ37" s="480">
        <v>7.2805689999999998</v>
      </c>
      <c r="BR37" s="480">
        <v>7.4260710000000003</v>
      </c>
      <c r="BS37" s="480">
        <v>7.0710470000000001</v>
      </c>
      <c r="BT37" s="480">
        <v>6.9030149999999999</v>
      </c>
      <c r="BU37" s="480">
        <v>6.744802</v>
      </c>
      <c r="BV37" s="480">
        <v>6.4430800000000001</v>
      </c>
    </row>
    <row r="38" spans="1:74" ht="11.1" customHeight="1" x14ac:dyDescent="0.2">
      <c r="A38" s="56" t="s">
        <v>7</v>
      </c>
      <c r="B38" s="152" t="s">
        <v>398</v>
      </c>
      <c r="C38" s="479">
        <v>10.08</v>
      </c>
      <c r="D38" s="479">
        <v>10.25</v>
      </c>
      <c r="E38" s="479">
        <v>10.23</v>
      </c>
      <c r="F38" s="479">
        <v>10.19</v>
      </c>
      <c r="G38" s="479">
        <v>10.31</v>
      </c>
      <c r="H38" s="479">
        <v>10.66</v>
      </c>
      <c r="I38" s="479">
        <v>10.68</v>
      </c>
      <c r="J38" s="479">
        <v>10.76</v>
      </c>
      <c r="K38" s="479">
        <v>10.77</v>
      </c>
      <c r="L38" s="479">
        <v>10.55</v>
      </c>
      <c r="M38" s="479">
        <v>10.32</v>
      </c>
      <c r="N38" s="479">
        <v>10.17</v>
      </c>
      <c r="O38" s="479">
        <v>10.210000000000001</v>
      </c>
      <c r="P38" s="479">
        <v>10.48</v>
      </c>
      <c r="Q38" s="479">
        <v>10.46</v>
      </c>
      <c r="R38" s="479">
        <v>10.4</v>
      </c>
      <c r="S38" s="479">
        <v>10.59</v>
      </c>
      <c r="T38" s="479">
        <v>11.01</v>
      </c>
      <c r="U38" s="479">
        <v>10.97</v>
      </c>
      <c r="V38" s="479">
        <v>11.01</v>
      </c>
      <c r="W38" s="479">
        <v>11.03</v>
      </c>
      <c r="X38" s="479">
        <v>10.78</v>
      </c>
      <c r="Y38" s="479">
        <v>10.49</v>
      </c>
      <c r="Z38" s="479">
        <v>10.28</v>
      </c>
      <c r="AA38" s="479">
        <v>10.49</v>
      </c>
      <c r="AB38" s="479">
        <v>10.65</v>
      </c>
      <c r="AC38" s="479">
        <v>10.51</v>
      </c>
      <c r="AD38" s="479">
        <v>10.46</v>
      </c>
      <c r="AE38" s="479">
        <v>10.51</v>
      </c>
      <c r="AF38" s="479">
        <v>10.84</v>
      </c>
      <c r="AG38" s="479">
        <v>11</v>
      </c>
      <c r="AH38" s="479">
        <v>11.03</v>
      </c>
      <c r="AI38" s="479">
        <v>10.72</v>
      </c>
      <c r="AJ38" s="479">
        <v>10.77</v>
      </c>
      <c r="AK38" s="479">
        <v>10.54</v>
      </c>
      <c r="AL38" s="479">
        <v>10.33</v>
      </c>
      <c r="AM38" s="479">
        <v>10.3</v>
      </c>
      <c r="AN38" s="479">
        <v>10.54</v>
      </c>
      <c r="AO38" s="479">
        <v>10.45</v>
      </c>
      <c r="AP38" s="479">
        <v>10.51</v>
      </c>
      <c r="AQ38" s="479">
        <v>10.51</v>
      </c>
      <c r="AR38" s="479">
        <v>10.88</v>
      </c>
      <c r="AS38" s="479">
        <v>11.01</v>
      </c>
      <c r="AT38" s="479">
        <v>11.01</v>
      </c>
      <c r="AU38" s="479">
        <v>10.97</v>
      </c>
      <c r="AV38" s="479">
        <v>10.74</v>
      </c>
      <c r="AW38" s="479">
        <v>10.52</v>
      </c>
      <c r="AX38" s="479">
        <v>10.31</v>
      </c>
      <c r="AY38" s="479">
        <v>10.28</v>
      </c>
      <c r="AZ38" s="479">
        <v>10.36</v>
      </c>
      <c r="BA38" s="479">
        <v>10.41</v>
      </c>
      <c r="BB38" s="479">
        <v>10.42</v>
      </c>
      <c r="BC38" s="479">
        <v>10.44</v>
      </c>
      <c r="BD38" s="479">
        <v>10.96</v>
      </c>
      <c r="BE38" s="479">
        <v>10.803050000000001</v>
      </c>
      <c r="BF38" s="479">
        <v>10.761380000000001</v>
      </c>
      <c r="BG38" s="480">
        <v>10.80964</v>
      </c>
      <c r="BH38" s="480">
        <v>10.5908</v>
      </c>
      <c r="BI38" s="480">
        <v>10.38025</v>
      </c>
      <c r="BJ38" s="480">
        <v>10.178879999999999</v>
      </c>
      <c r="BK38" s="480">
        <v>10.1845</v>
      </c>
      <c r="BL38" s="480">
        <v>10.3124</v>
      </c>
      <c r="BM38" s="480">
        <v>10.415760000000001</v>
      </c>
      <c r="BN38" s="480">
        <v>10.5344</v>
      </c>
      <c r="BO38" s="480">
        <v>10.574249999999999</v>
      </c>
      <c r="BP38" s="480">
        <v>11.13115</v>
      </c>
      <c r="BQ38" s="480">
        <v>11.02619</v>
      </c>
      <c r="BR38" s="480">
        <v>10.99741</v>
      </c>
      <c r="BS38" s="480">
        <v>11.037750000000001</v>
      </c>
      <c r="BT38" s="480">
        <v>10.802149999999999</v>
      </c>
      <c r="BU38" s="480">
        <v>10.571210000000001</v>
      </c>
      <c r="BV38" s="480">
        <v>10.33799</v>
      </c>
    </row>
    <row r="39" spans="1:74" ht="11.1" customHeight="1" x14ac:dyDescent="0.2">
      <c r="A39" s="56" t="s">
        <v>541</v>
      </c>
      <c r="B39" s="262" t="s">
        <v>399</v>
      </c>
      <c r="C39" s="481">
        <v>11.99</v>
      </c>
      <c r="D39" s="481">
        <v>12.14</v>
      </c>
      <c r="E39" s="481">
        <v>12.56</v>
      </c>
      <c r="F39" s="481">
        <v>12.43</v>
      </c>
      <c r="G39" s="481">
        <v>12.79</v>
      </c>
      <c r="H39" s="481">
        <v>12.73</v>
      </c>
      <c r="I39" s="481">
        <v>12.68</v>
      </c>
      <c r="J39" s="481">
        <v>12.88</v>
      </c>
      <c r="K39" s="481">
        <v>12.87</v>
      </c>
      <c r="L39" s="481">
        <v>12.46</v>
      </c>
      <c r="M39" s="481">
        <v>12.75</v>
      </c>
      <c r="N39" s="481">
        <v>12.23</v>
      </c>
      <c r="O39" s="481">
        <v>12.21</v>
      </c>
      <c r="P39" s="481">
        <v>12.79</v>
      </c>
      <c r="Q39" s="481">
        <v>12.89</v>
      </c>
      <c r="R39" s="481">
        <v>12.72</v>
      </c>
      <c r="S39" s="481">
        <v>13.07</v>
      </c>
      <c r="T39" s="481">
        <v>13.2</v>
      </c>
      <c r="U39" s="481">
        <v>13.08</v>
      </c>
      <c r="V39" s="481">
        <v>13.15</v>
      </c>
      <c r="W39" s="481">
        <v>13.28</v>
      </c>
      <c r="X39" s="481">
        <v>12.8</v>
      </c>
      <c r="Y39" s="481">
        <v>12.94</v>
      </c>
      <c r="Z39" s="481">
        <v>12.45</v>
      </c>
      <c r="AA39" s="481">
        <v>12.22</v>
      </c>
      <c r="AB39" s="481">
        <v>12.63</v>
      </c>
      <c r="AC39" s="481">
        <v>12.97</v>
      </c>
      <c r="AD39" s="481">
        <v>12.88</v>
      </c>
      <c r="AE39" s="481">
        <v>13.12</v>
      </c>
      <c r="AF39" s="481">
        <v>13.03</v>
      </c>
      <c r="AG39" s="481">
        <v>13.13</v>
      </c>
      <c r="AH39" s="481">
        <v>13.26</v>
      </c>
      <c r="AI39" s="481">
        <v>13.01</v>
      </c>
      <c r="AJ39" s="481">
        <v>12.85</v>
      </c>
      <c r="AK39" s="481">
        <v>12.9</v>
      </c>
      <c r="AL39" s="481">
        <v>12.43</v>
      </c>
      <c r="AM39" s="481">
        <v>12.48</v>
      </c>
      <c r="AN39" s="481">
        <v>12.73</v>
      </c>
      <c r="AO39" s="481">
        <v>12.86</v>
      </c>
      <c r="AP39" s="481">
        <v>13.29</v>
      </c>
      <c r="AQ39" s="481">
        <v>13.34</v>
      </c>
      <c r="AR39" s="481">
        <v>13.36</v>
      </c>
      <c r="AS39" s="481">
        <v>13.29</v>
      </c>
      <c r="AT39" s="481">
        <v>13.33</v>
      </c>
      <c r="AU39" s="481">
        <v>13.18</v>
      </c>
      <c r="AV39" s="481">
        <v>12.84</v>
      </c>
      <c r="AW39" s="481">
        <v>13.04</v>
      </c>
      <c r="AX39" s="481">
        <v>12.69</v>
      </c>
      <c r="AY39" s="481">
        <v>12.79</v>
      </c>
      <c r="AZ39" s="481">
        <v>12.85</v>
      </c>
      <c r="BA39" s="481">
        <v>13.08</v>
      </c>
      <c r="BB39" s="481">
        <v>13.28</v>
      </c>
      <c r="BC39" s="481">
        <v>13.14</v>
      </c>
      <c r="BD39" s="481">
        <v>13.28</v>
      </c>
      <c r="BE39" s="481">
        <v>13.18318</v>
      </c>
      <c r="BF39" s="481">
        <v>13.26825</v>
      </c>
      <c r="BG39" s="482">
        <v>13.363340000000001</v>
      </c>
      <c r="BH39" s="482">
        <v>12.818809999999999</v>
      </c>
      <c r="BI39" s="482">
        <v>13.07624</v>
      </c>
      <c r="BJ39" s="482">
        <v>12.66483</v>
      </c>
      <c r="BK39" s="482">
        <v>12.66208</v>
      </c>
      <c r="BL39" s="482">
        <v>12.810890000000001</v>
      </c>
      <c r="BM39" s="482">
        <v>13.11731</v>
      </c>
      <c r="BN39" s="482">
        <v>13.478820000000001</v>
      </c>
      <c r="BO39" s="482">
        <v>13.245089999999999</v>
      </c>
      <c r="BP39" s="482">
        <v>13.36896</v>
      </c>
      <c r="BQ39" s="482">
        <v>13.391489999999999</v>
      </c>
      <c r="BR39" s="482">
        <v>13.492649999999999</v>
      </c>
      <c r="BS39" s="482">
        <v>13.61229</v>
      </c>
      <c r="BT39" s="482">
        <v>13.06284</v>
      </c>
      <c r="BU39" s="482">
        <v>13.409319999999999</v>
      </c>
      <c r="BV39" s="482">
        <v>12.98724</v>
      </c>
    </row>
    <row r="40" spans="1:74" s="261" customFormat="1" ht="9.6" customHeight="1" x14ac:dyDescent="0.2">
      <c r="A40" s="56"/>
      <c r="B40" s="817"/>
      <c r="C40" s="818"/>
      <c r="D40" s="818"/>
      <c r="E40" s="818"/>
      <c r="F40" s="818"/>
      <c r="G40" s="818"/>
      <c r="H40" s="818"/>
      <c r="I40" s="818"/>
      <c r="J40" s="818"/>
      <c r="K40" s="818"/>
      <c r="L40" s="818"/>
      <c r="M40" s="818"/>
      <c r="N40" s="818"/>
      <c r="O40" s="818"/>
      <c r="P40" s="818"/>
      <c r="Q40" s="818"/>
      <c r="R40" s="818"/>
      <c r="S40" s="818"/>
      <c r="T40" s="818"/>
      <c r="U40" s="818"/>
      <c r="V40" s="818"/>
      <c r="W40" s="818"/>
      <c r="X40" s="818"/>
      <c r="Y40" s="818"/>
      <c r="Z40" s="818"/>
      <c r="AA40" s="818"/>
      <c r="AB40" s="818"/>
      <c r="AC40" s="818"/>
      <c r="AD40" s="818"/>
      <c r="AE40" s="818"/>
      <c r="AF40" s="818"/>
      <c r="AG40" s="818"/>
      <c r="AH40" s="818"/>
      <c r="AI40" s="818"/>
      <c r="AJ40" s="818"/>
      <c r="AK40" s="818"/>
      <c r="AL40" s="818"/>
      <c r="AM40" s="305"/>
      <c r="AY40" s="408"/>
      <c r="AZ40" s="408"/>
      <c r="BA40" s="408"/>
      <c r="BB40" s="408"/>
      <c r="BC40" s="408"/>
      <c r="BD40" s="408"/>
      <c r="BE40" s="408"/>
      <c r="BF40" s="408"/>
      <c r="BG40" s="408"/>
      <c r="BH40" s="408"/>
      <c r="BI40" s="408"/>
      <c r="BJ40" s="408"/>
      <c r="BK40" s="408"/>
      <c r="BL40" s="408"/>
      <c r="BM40" s="408"/>
      <c r="BN40" s="408"/>
      <c r="BO40" s="408"/>
      <c r="BP40" s="408"/>
      <c r="BQ40" s="408"/>
      <c r="BR40" s="408"/>
      <c r="BS40" s="408"/>
      <c r="BT40" s="408"/>
      <c r="BU40" s="408"/>
      <c r="BV40" s="408"/>
    </row>
    <row r="41" spans="1:74" s="261" customFormat="1" ht="12" customHeight="1" x14ac:dyDescent="0.25">
      <c r="A41" s="56"/>
      <c r="B41" s="808" t="s">
        <v>826</v>
      </c>
      <c r="C41" s="805"/>
      <c r="D41" s="805"/>
      <c r="E41" s="805"/>
      <c r="F41" s="805"/>
      <c r="G41" s="805"/>
      <c r="H41" s="805"/>
      <c r="I41" s="805"/>
      <c r="J41" s="805"/>
      <c r="K41" s="805"/>
      <c r="L41" s="805"/>
      <c r="M41" s="805"/>
      <c r="N41" s="805"/>
      <c r="O41" s="805"/>
      <c r="P41" s="805"/>
      <c r="Q41" s="805"/>
      <c r="AY41" s="494"/>
      <c r="AZ41" s="494"/>
      <c r="BA41" s="494"/>
      <c r="BB41" s="494"/>
      <c r="BC41" s="494"/>
      <c r="BD41" s="632"/>
      <c r="BE41" s="632"/>
      <c r="BF41" s="632"/>
      <c r="BG41" s="494"/>
      <c r="BH41" s="494"/>
      <c r="BI41" s="494"/>
      <c r="BJ41" s="494"/>
      <c r="BK41" s="476"/>
    </row>
    <row r="42" spans="1:74" s="261" customFormat="1" ht="12" customHeight="1" x14ac:dyDescent="0.25">
      <c r="A42" s="56"/>
      <c r="B42" s="810" t="s">
        <v>131</v>
      </c>
      <c r="C42" s="805"/>
      <c r="D42" s="805"/>
      <c r="E42" s="805"/>
      <c r="F42" s="805"/>
      <c r="G42" s="805"/>
      <c r="H42" s="805"/>
      <c r="I42" s="805"/>
      <c r="J42" s="805"/>
      <c r="K42" s="805"/>
      <c r="L42" s="805"/>
      <c r="M42" s="805"/>
      <c r="N42" s="805"/>
      <c r="O42" s="805"/>
      <c r="P42" s="805"/>
      <c r="Q42" s="805"/>
      <c r="AY42" s="494"/>
      <c r="AZ42" s="494"/>
      <c r="BA42" s="494"/>
      <c r="BB42" s="494"/>
      <c r="BC42" s="494"/>
      <c r="BD42" s="632"/>
      <c r="BE42" s="632"/>
      <c r="BF42" s="632"/>
      <c r="BG42" s="738"/>
      <c r="BH42" s="494"/>
      <c r="BI42" s="494"/>
      <c r="BJ42" s="494"/>
      <c r="BK42" s="476"/>
    </row>
    <row r="43" spans="1:74" s="428" customFormat="1" ht="12" customHeight="1" x14ac:dyDescent="0.25">
      <c r="A43" s="427"/>
      <c r="B43" s="816" t="s">
        <v>857</v>
      </c>
      <c r="C43" s="795"/>
      <c r="D43" s="795"/>
      <c r="E43" s="795"/>
      <c r="F43" s="795"/>
      <c r="G43" s="795"/>
      <c r="H43" s="795"/>
      <c r="I43" s="795"/>
      <c r="J43" s="795"/>
      <c r="K43" s="795"/>
      <c r="L43" s="795"/>
      <c r="M43" s="795"/>
      <c r="N43" s="795"/>
      <c r="O43" s="795"/>
      <c r="P43" s="795"/>
      <c r="Q43" s="791"/>
      <c r="AY43" s="495"/>
      <c r="AZ43" s="495"/>
      <c r="BA43" s="495"/>
      <c r="BB43" s="495"/>
      <c r="BC43" s="495"/>
      <c r="BD43" s="633"/>
      <c r="BE43" s="633"/>
      <c r="BF43" s="633"/>
      <c r="BG43" s="495"/>
      <c r="BH43" s="495"/>
      <c r="BI43" s="495"/>
      <c r="BJ43" s="495"/>
    </row>
    <row r="44" spans="1:74" s="428" customFormat="1" ht="12" customHeight="1" x14ac:dyDescent="0.25">
      <c r="A44" s="427"/>
      <c r="B44" s="816" t="s">
        <v>858</v>
      </c>
      <c r="C44" s="795"/>
      <c r="D44" s="795"/>
      <c r="E44" s="795"/>
      <c r="F44" s="795"/>
      <c r="G44" s="795"/>
      <c r="H44" s="795"/>
      <c r="I44" s="795"/>
      <c r="J44" s="795"/>
      <c r="K44" s="795"/>
      <c r="L44" s="795"/>
      <c r="M44" s="795"/>
      <c r="N44" s="795"/>
      <c r="O44" s="795"/>
      <c r="P44" s="795"/>
      <c r="Q44" s="791"/>
      <c r="AY44" s="495"/>
      <c r="AZ44" s="495"/>
      <c r="BA44" s="495"/>
      <c r="BB44" s="495"/>
      <c r="BC44" s="495"/>
      <c r="BD44" s="633"/>
      <c r="BE44" s="633"/>
      <c r="BF44" s="633"/>
      <c r="BG44" s="495"/>
      <c r="BH44" s="495"/>
      <c r="BI44" s="495"/>
      <c r="BJ44" s="495"/>
    </row>
    <row r="45" spans="1:74" s="428" customFormat="1" ht="12" customHeight="1" x14ac:dyDescent="0.25">
      <c r="A45" s="427"/>
      <c r="B45" s="815" t="s">
        <v>1019</v>
      </c>
      <c r="C45" s="795"/>
      <c r="D45" s="795"/>
      <c r="E45" s="795"/>
      <c r="F45" s="795"/>
      <c r="G45" s="795"/>
      <c r="H45" s="795"/>
      <c r="I45" s="795"/>
      <c r="J45" s="795"/>
      <c r="K45" s="795"/>
      <c r="L45" s="795"/>
      <c r="M45" s="795"/>
      <c r="N45" s="795"/>
      <c r="O45" s="795"/>
      <c r="P45" s="795"/>
      <c r="Q45" s="791"/>
      <c r="AY45" s="495"/>
      <c r="AZ45" s="495"/>
      <c r="BA45" s="495"/>
      <c r="BB45" s="495"/>
      <c r="BC45" s="495"/>
      <c r="BD45" s="633"/>
      <c r="BE45" s="633"/>
      <c r="BF45" s="633"/>
      <c r="BG45" s="495"/>
      <c r="BH45" s="495"/>
      <c r="BI45" s="495"/>
      <c r="BJ45" s="495"/>
    </row>
    <row r="46" spans="1:74" s="428" customFormat="1" ht="12" customHeight="1" x14ac:dyDescent="0.25">
      <c r="A46" s="427"/>
      <c r="B46" s="794" t="s">
        <v>851</v>
      </c>
      <c r="C46" s="795"/>
      <c r="D46" s="795"/>
      <c r="E46" s="795"/>
      <c r="F46" s="795"/>
      <c r="G46" s="795"/>
      <c r="H46" s="795"/>
      <c r="I46" s="795"/>
      <c r="J46" s="795"/>
      <c r="K46" s="795"/>
      <c r="L46" s="795"/>
      <c r="M46" s="795"/>
      <c r="N46" s="795"/>
      <c r="O46" s="795"/>
      <c r="P46" s="795"/>
      <c r="Q46" s="791"/>
      <c r="AY46" s="495"/>
      <c r="AZ46" s="495"/>
      <c r="BA46" s="495"/>
      <c r="BB46" s="495"/>
      <c r="BC46" s="495"/>
      <c r="BD46" s="633"/>
      <c r="BE46" s="633"/>
      <c r="BF46" s="633"/>
      <c r="BG46" s="495"/>
      <c r="BH46" s="495"/>
      <c r="BI46" s="495"/>
      <c r="BJ46" s="495"/>
    </row>
    <row r="47" spans="1:74" s="428" customFormat="1" ht="12" customHeight="1" x14ac:dyDescent="0.25">
      <c r="A47" s="427"/>
      <c r="B47" s="789" t="s">
        <v>859</v>
      </c>
      <c r="C47" s="790"/>
      <c r="D47" s="790"/>
      <c r="E47" s="790"/>
      <c r="F47" s="790"/>
      <c r="G47" s="790"/>
      <c r="H47" s="790"/>
      <c r="I47" s="790"/>
      <c r="J47" s="790"/>
      <c r="K47" s="790"/>
      <c r="L47" s="790"/>
      <c r="M47" s="790"/>
      <c r="N47" s="790"/>
      <c r="O47" s="790"/>
      <c r="P47" s="790"/>
      <c r="Q47" s="790"/>
      <c r="AY47" s="495"/>
      <c r="AZ47" s="495"/>
      <c r="BA47" s="495"/>
      <c r="BB47" s="495"/>
      <c r="BC47" s="495"/>
      <c r="BD47" s="633"/>
      <c r="BE47" s="633"/>
      <c r="BF47" s="633"/>
      <c r="BG47" s="495"/>
      <c r="BH47" s="495"/>
      <c r="BI47" s="495"/>
      <c r="BJ47" s="495"/>
    </row>
    <row r="48" spans="1:74" s="428" customFormat="1" ht="12" customHeight="1" x14ac:dyDescent="0.25">
      <c r="A48" s="427"/>
      <c r="B48" s="794" t="s">
        <v>860</v>
      </c>
      <c r="C48" s="795"/>
      <c r="D48" s="795"/>
      <c r="E48" s="795"/>
      <c r="F48" s="795"/>
      <c r="G48" s="795"/>
      <c r="H48" s="795"/>
      <c r="I48" s="795"/>
      <c r="J48" s="795"/>
      <c r="K48" s="795"/>
      <c r="L48" s="795"/>
      <c r="M48" s="795"/>
      <c r="N48" s="795"/>
      <c r="O48" s="795"/>
      <c r="P48" s="795"/>
      <c r="Q48" s="791"/>
      <c r="AY48" s="495"/>
      <c r="AZ48" s="495"/>
      <c r="BA48" s="495"/>
      <c r="BB48" s="495"/>
      <c r="BC48" s="495"/>
      <c r="BD48" s="633"/>
      <c r="BE48" s="633"/>
      <c r="BF48" s="633"/>
      <c r="BG48" s="495"/>
      <c r="BH48" s="495"/>
      <c r="BI48" s="495"/>
      <c r="BJ48" s="495"/>
    </row>
    <row r="49" spans="1:74" s="428" customFormat="1" ht="12" customHeight="1" x14ac:dyDescent="0.25">
      <c r="A49" s="427"/>
      <c r="B49" s="812" t="s">
        <v>861</v>
      </c>
      <c r="C49" s="791"/>
      <c r="D49" s="791"/>
      <c r="E49" s="791"/>
      <c r="F49" s="791"/>
      <c r="G49" s="791"/>
      <c r="H49" s="791"/>
      <c r="I49" s="791"/>
      <c r="J49" s="791"/>
      <c r="K49" s="791"/>
      <c r="L49" s="791"/>
      <c r="M49" s="791"/>
      <c r="N49" s="791"/>
      <c r="O49" s="791"/>
      <c r="P49" s="791"/>
      <c r="Q49" s="791"/>
      <c r="AY49" s="495"/>
      <c r="AZ49" s="495"/>
      <c r="BA49" s="495"/>
      <c r="BB49" s="495"/>
      <c r="BC49" s="495"/>
      <c r="BD49" s="633"/>
      <c r="BE49" s="633"/>
      <c r="BF49" s="633"/>
      <c r="BG49" s="495"/>
      <c r="BH49" s="495"/>
      <c r="BI49" s="495"/>
      <c r="BJ49" s="495"/>
    </row>
    <row r="50" spans="1:74" s="428" customFormat="1" ht="12" customHeight="1" x14ac:dyDescent="0.25">
      <c r="A50" s="427"/>
      <c r="B50" s="814" t="s">
        <v>691</v>
      </c>
      <c r="C50" s="791"/>
      <c r="D50" s="791"/>
      <c r="E50" s="791"/>
      <c r="F50" s="791"/>
      <c r="G50" s="791"/>
      <c r="H50" s="791"/>
      <c r="I50" s="791"/>
      <c r="J50" s="791"/>
      <c r="K50" s="791"/>
      <c r="L50" s="791"/>
      <c r="M50" s="791"/>
      <c r="N50" s="791"/>
      <c r="O50" s="791"/>
      <c r="P50" s="791"/>
      <c r="Q50" s="791"/>
      <c r="AY50" s="495"/>
      <c r="AZ50" s="495"/>
      <c r="BA50" s="495"/>
      <c r="BB50" s="495"/>
      <c r="BC50" s="495"/>
      <c r="BD50" s="633"/>
      <c r="BE50" s="633"/>
      <c r="BF50" s="633"/>
      <c r="BG50" s="495"/>
      <c r="BH50" s="495"/>
      <c r="BI50" s="495"/>
      <c r="BJ50" s="495"/>
    </row>
    <row r="51" spans="1:74" s="428" customFormat="1" ht="12" customHeight="1" x14ac:dyDescent="0.25">
      <c r="A51" s="427"/>
      <c r="B51" s="789" t="s">
        <v>855</v>
      </c>
      <c r="C51" s="790"/>
      <c r="D51" s="790"/>
      <c r="E51" s="790"/>
      <c r="F51" s="790"/>
      <c r="G51" s="790"/>
      <c r="H51" s="790"/>
      <c r="I51" s="790"/>
      <c r="J51" s="790"/>
      <c r="K51" s="790"/>
      <c r="L51" s="790"/>
      <c r="M51" s="790"/>
      <c r="N51" s="790"/>
      <c r="O51" s="790"/>
      <c r="P51" s="790"/>
      <c r="Q51" s="791"/>
      <c r="AY51" s="495"/>
      <c r="AZ51" s="495"/>
      <c r="BA51" s="495"/>
      <c r="BB51" s="495"/>
      <c r="BC51" s="495"/>
      <c r="BD51" s="633"/>
      <c r="BE51" s="633"/>
      <c r="BF51" s="633"/>
      <c r="BG51" s="495"/>
      <c r="BH51" s="495"/>
      <c r="BI51" s="495"/>
      <c r="BJ51" s="495"/>
    </row>
    <row r="52" spans="1:74" s="430" customFormat="1" ht="12" customHeight="1" x14ac:dyDescent="0.25">
      <c r="A52" s="429"/>
      <c r="B52" s="811" t="s">
        <v>949</v>
      </c>
      <c r="C52" s="791"/>
      <c r="D52" s="791"/>
      <c r="E52" s="791"/>
      <c r="F52" s="791"/>
      <c r="G52" s="791"/>
      <c r="H52" s="791"/>
      <c r="I52" s="791"/>
      <c r="J52" s="791"/>
      <c r="K52" s="791"/>
      <c r="L52" s="791"/>
      <c r="M52" s="791"/>
      <c r="N52" s="791"/>
      <c r="O52" s="791"/>
      <c r="P52" s="791"/>
      <c r="Q52" s="791"/>
      <c r="AY52" s="496"/>
      <c r="AZ52" s="496"/>
      <c r="BA52" s="496"/>
      <c r="BB52" s="496"/>
      <c r="BC52" s="496"/>
      <c r="BD52" s="634"/>
      <c r="BE52" s="634"/>
      <c r="BF52" s="634"/>
      <c r="BG52" s="496"/>
      <c r="BH52" s="496"/>
      <c r="BI52" s="496"/>
      <c r="BJ52" s="496"/>
    </row>
    <row r="53" spans="1:74" x14ac:dyDescent="0.2">
      <c r="BK53" s="409"/>
      <c r="BL53" s="409"/>
      <c r="BM53" s="409"/>
      <c r="BN53" s="409"/>
      <c r="BO53" s="409"/>
      <c r="BP53" s="409"/>
      <c r="BQ53" s="409"/>
      <c r="BR53" s="409"/>
      <c r="BS53" s="409"/>
      <c r="BT53" s="409"/>
      <c r="BU53" s="409"/>
      <c r="BV53" s="409"/>
    </row>
    <row r="54" spans="1:74" x14ac:dyDescent="0.2">
      <c r="BK54" s="409"/>
      <c r="BL54" s="409"/>
      <c r="BM54" s="409"/>
      <c r="BN54" s="409"/>
      <c r="BO54" s="409"/>
      <c r="BP54" s="409"/>
      <c r="BQ54" s="409"/>
      <c r="BR54" s="409"/>
      <c r="BS54" s="409"/>
      <c r="BT54" s="409"/>
      <c r="BU54" s="409"/>
      <c r="BV54" s="409"/>
    </row>
    <row r="55" spans="1:74" x14ac:dyDescent="0.2">
      <c r="BK55" s="409"/>
      <c r="BL55" s="409"/>
      <c r="BM55" s="409"/>
      <c r="BN55" s="409"/>
      <c r="BO55" s="409"/>
      <c r="BP55" s="409"/>
      <c r="BQ55" s="409"/>
      <c r="BR55" s="409"/>
      <c r="BS55" s="409"/>
      <c r="BT55" s="409"/>
      <c r="BU55" s="409"/>
      <c r="BV55" s="409"/>
    </row>
    <row r="56" spans="1:74" x14ac:dyDescent="0.2">
      <c r="BK56" s="409"/>
      <c r="BL56" s="409"/>
      <c r="BM56" s="409"/>
      <c r="BN56" s="409"/>
      <c r="BO56" s="409"/>
      <c r="BP56" s="409"/>
      <c r="BQ56" s="409"/>
      <c r="BR56" s="409"/>
      <c r="BS56" s="409"/>
      <c r="BT56" s="409"/>
      <c r="BU56" s="409"/>
      <c r="BV56" s="409"/>
    </row>
    <row r="57" spans="1:74" x14ac:dyDescent="0.2">
      <c r="BK57" s="409"/>
      <c r="BL57" s="409"/>
      <c r="BM57" s="409"/>
      <c r="BN57" s="409"/>
      <c r="BO57" s="409"/>
      <c r="BP57" s="409"/>
      <c r="BQ57" s="409"/>
      <c r="BR57" s="409"/>
      <c r="BS57" s="409"/>
      <c r="BT57" s="409"/>
      <c r="BU57" s="409"/>
      <c r="BV57" s="409"/>
    </row>
    <row r="58" spans="1:74" x14ac:dyDescent="0.2">
      <c r="BK58" s="409"/>
      <c r="BL58" s="409"/>
      <c r="BM58" s="409"/>
      <c r="BN58" s="409"/>
      <c r="BO58" s="409"/>
      <c r="BP58" s="409"/>
      <c r="BQ58" s="409"/>
      <c r="BR58" s="409"/>
      <c r="BS58" s="409"/>
      <c r="BT58" s="409"/>
      <c r="BU58" s="409"/>
      <c r="BV58" s="409"/>
    </row>
    <row r="59" spans="1:74" x14ac:dyDescent="0.2">
      <c r="BK59" s="409"/>
      <c r="BL59" s="409"/>
      <c r="BM59" s="409"/>
      <c r="BN59" s="409"/>
      <c r="BO59" s="409"/>
      <c r="BP59" s="409"/>
      <c r="BQ59" s="409"/>
      <c r="BR59" s="409"/>
      <c r="BS59" s="409"/>
      <c r="BT59" s="409"/>
      <c r="BU59" s="409"/>
      <c r="BV59" s="409"/>
    </row>
    <row r="60" spans="1:74" x14ac:dyDescent="0.2">
      <c r="BK60" s="409"/>
      <c r="BL60" s="409"/>
      <c r="BM60" s="409"/>
      <c r="BN60" s="409"/>
      <c r="BO60" s="409"/>
      <c r="BP60" s="409"/>
      <c r="BQ60" s="409"/>
      <c r="BR60" s="409"/>
      <c r="BS60" s="409"/>
      <c r="BT60" s="409"/>
      <c r="BU60" s="409"/>
      <c r="BV60" s="409"/>
    </row>
    <row r="61" spans="1:74" x14ac:dyDescent="0.2">
      <c r="BK61" s="409"/>
      <c r="BL61" s="409"/>
      <c r="BM61" s="409"/>
      <c r="BN61" s="409"/>
      <c r="BO61" s="409"/>
      <c r="BP61" s="409"/>
      <c r="BQ61" s="409"/>
      <c r="BR61" s="409"/>
      <c r="BS61" s="409"/>
      <c r="BT61" s="409"/>
      <c r="BU61" s="409"/>
      <c r="BV61" s="409"/>
    </row>
    <row r="62" spans="1:74" x14ac:dyDescent="0.2">
      <c r="BK62" s="409"/>
      <c r="BL62" s="409"/>
      <c r="BM62" s="409"/>
      <c r="BN62" s="409"/>
      <c r="BO62" s="409"/>
      <c r="BP62" s="409"/>
      <c r="BQ62" s="409"/>
      <c r="BR62" s="409"/>
      <c r="BS62" s="409"/>
      <c r="BT62" s="409"/>
      <c r="BU62" s="409"/>
      <c r="BV62" s="409"/>
    </row>
    <row r="63" spans="1:74" x14ac:dyDescent="0.2">
      <c r="BK63" s="409"/>
      <c r="BL63" s="409"/>
      <c r="BM63" s="409"/>
      <c r="BN63" s="409"/>
      <c r="BO63" s="409"/>
      <c r="BP63" s="409"/>
      <c r="BQ63" s="409"/>
      <c r="BR63" s="409"/>
      <c r="BS63" s="409"/>
      <c r="BT63" s="409"/>
      <c r="BU63" s="409"/>
      <c r="BV63" s="409"/>
    </row>
    <row r="64" spans="1:74" x14ac:dyDescent="0.2">
      <c r="BK64" s="409"/>
      <c r="BL64" s="409"/>
      <c r="BM64" s="409"/>
      <c r="BN64" s="409"/>
      <c r="BO64" s="409"/>
      <c r="BP64" s="409"/>
      <c r="BQ64" s="409"/>
      <c r="BR64" s="409"/>
      <c r="BS64" s="409"/>
      <c r="BT64" s="409"/>
      <c r="BU64" s="409"/>
      <c r="BV64" s="409"/>
    </row>
    <row r="65" spans="63:74" x14ac:dyDescent="0.2">
      <c r="BK65" s="409"/>
      <c r="BL65" s="409"/>
      <c r="BM65" s="409"/>
      <c r="BN65" s="409"/>
      <c r="BO65" s="409"/>
      <c r="BP65" s="409"/>
      <c r="BQ65" s="409"/>
      <c r="BR65" s="409"/>
      <c r="BS65" s="409"/>
      <c r="BT65" s="409"/>
      <c r="BU65" s="409"/>
      <c r="BV65" s="409"/>
    </row>
    <row r="66" spans="63:74" x14ac:dyDescent="0.2">
      <c r="BK66" s="409"/>
      <c r="BL66" s="409"/>
      <c r="BM66" s="409"/>
      <c r="BN66" s="409"/>
      <c r="BO66" s="409"/>
      <c r="BP66" s="409"/>
      <c r="BQ66" s="409"/>
      <c r="BR66" s="409"/>
      <c r="BS66" s="409"/>
      <c r="BT66" s="409"/>
      <c r="BU66" s="409"/>
      <c r="BV66" s="409"/>
    </row>
    <row r="67" spans="63:74" x14ac:dyDescent="0.2">
      <c r="BK67" s="409"/>
      <c r="BL67" s="409"/>
      <c r="BM67" s="409"/>
      <c r="BN67" s="409"/>
      <c r="BO67" s="409"/>
      <c r="BP67" s="409"/>
      <c r="BQ67" s="409"/>
      <c r="BR67" s="409"/>
      <c r="BS67" s="409"/>
      <c r="BT67" s="409"/>
      <c r="BU67" s="409"/>
      <c r="BV67" s="409"/>
    </row>
    <row r="68" spans="63:74" x14ac:dyDescent="0.2">
      <c r="BK68" s="409"/>
      <c r="BL68" s="409"/>
      <c r="BM68" s="409"/>
      <c r="BN68" s="409"/>
      <c r="BO68" s="409"/>
      <c r="BP68" s="409"/>
      <c r="BQ68" s="409"/>
      <c r="BR68" s="409"/>
      <c r="BS68" s="409"/>
      <c r="BT68" s="409"/>
      <c r="BU68" s="409"/>
      <c r="BV68" s="409"/>
    </row>
    <row r="69" spans="63:74" x14ac:dyDescent="0.2">
      <c r="BK69" s="409"/>
      <c r="BL69" s="409"/>
      <c r="BM69" s="409"/>
      <c r="BN69" s="409"/>
      <c r="BO69" s="409"/>
      <c r="BP69" s="409"/>
      <c r="BQ69" s="409"/>
      <c r="BR69" s="409"/>
      <c r="BS69" s="409"/>
      <c r="BT69" s="409"/>
      <c r="BU69" s="409"/>
      <c r="BV69" s="409"/>
    </row>
    <row r="70" spans="63:74" x14ac:dyDescent="0.2">
      <c r="BK70" s="409"/>
      <c r="BL70" s="409"/>
      <c r="BM70" s="409"/>
      <c r="BN70" s="409"/>
      <c r="BO70" s="409"/>
      <c r="BP70" s="409"/>
      <c r="BQ70" s="409"/>
      <c r="BR70" s="409"/>
      <c r="BS70" s="409"/>
      <c r="BT70" s="409"/>
      <c r="BU70" s="409"/>
      <c r="BV70" s="409"/>
    </row>
    <row r="71" spans="63:74" x14ac:dyDescent="0.2">
      <c r="BK71" s="409"/>
      <c r="BL71" s="409"/>
      <c r="BM71" s="409"/>
      <c r="BN71" s="409"/>
      <c r="BO71" s="409"/>
      <c r="BP71" s="409"/>
      <c r="BQ71" s="409"/>
      <c r="BR71" s="409"/>
      <c r="BS71" s="409"/>
      <c r="BT71" s="409"/>
      <c r="BU71" s="409"/>
      <c r="BV71" s="409"/>
    </row>
    <row r="72" spans="63:74" x14ac:dyDescent="0.2">
      <c r="BK72" s="409"/>
      <c r="BL72" s="409"/>
      <c r="BM72" s="409"/>
      <c r="BN72" s="409"/>
      <c r="BO72" s="409"/>
      <c r="BP72" s="409"/>
      <c r="BQ72" s="409"/>
      <c r="BR72" s="409"/>
      <c r="BS72" s="409"/>
      <c r="BT72" s="409"/>
      <c r="BU72" s="409"/>
      <c r="BV72" s="409"/>
    </row>
    <row r="73" spans="63:74" x14ac:dyDescent="0.2">
      <c r="BK73" s="409"/>
      <c r="BL73" s="409"/>
      <c r="BM73" s="409"/>
      <c r="BN73" s="409"/>
      <c r="BO73" s="409"/>
      <c r="BP73" s="409"/>
      <c r="BQ73" s="409"/>
      <c r="BR73" s="409"/>
      <c r="BS73" s="409"/>
      <c r="BT73" s="409"/>
      <c r="BU73" s="409"/>
      <c r="BV73" s="409"/>
    </row>
    <row r="74" spans="63:74" x14ac:dyDescent="0.2">
      <c r="BK74" s="409"/>
      <c r="BL74" s="409"/>
      <c r="BM74" s="409"/>
      <c r="BN74" s="409"/>
      <c r="BO74" s="409"/>
      <c r="BP74" s="409"/>
      <c r="BQ74" s="409"/>
      <c r="BR74" s="409"/>
      <c r="BS74" s="409"/>
      <c r="BT74" s="409"/>
      <c r="BU74" s="409"/>
      <c r="BV74" s="409"/>
    </row>
    <row r="75" spans="63:74" x14ac:dyDescent="0.2">
      <c r="BK75" s="409"/>
      <c r="BL75" s="409"/>
      <c r="BM75" s="409"/>
      <c r="BN75" s="409"/>
      <c r="BO75" s="409"/>
      <c r="BP75" s="409"/>
      <c r="BQ75" s="409"/>
      <c r="BR75" s="409"/>
      <c r="BS75" s="409"/>
      <c r="BT75" s="409"/>
      <c r="BU75" s="409"/>
      <c r="BV75" s="409"/>
    </row>
    <row r="76" spans="63:74" x14ac:dyDescent="0.2">
      <c r="BK76" s="409"/>
      <c r="BL76" s="409"/>
      <c r="BM76" s="409"/>
      <c r="BN76" s="409"/>
      <c r="BO76" s="409"/>
      <c r="BP76" s="409"/>
      <c r="BQ76" s="409"/>
      <c r="BR76" s="409"/>
      <c r="BS76" s="409"/>
      <c r="BT76" s="409"/>
      <c r="BU76" s="409"/>
      <c r="BV76" s="409"/>
    </row>
    <row r="77" spans="63:74" x14ac:dyDescent="0.2">
      <c r="BK77" s="409"/>
      <c r="BL77" s="409"/>
      <c r="BM77" s="409"/>
      <c r="BN77" s="409"/>
      <c r="BO77" s="409"/>
      <c r="BP77" s="409"/>
      <c r="BQ77" s="409"/>
      <c r="BR77" s="409"/>
      <c r="BS77" s="409"/>
      <c r="BT77" s="409"/>
      <c r="BU77" s="409"/>
      <c r="BV77" s="409"/>
    </row>
    <row r="78" spans="63:74" x14ac:dyDescent="0.2">
      <c r="BK78" s="409"/>
      <c r="BL78" s="409"/>
      <c r="BM78" s="409"/>
      <c r="BN78" s="409"/>
      <c r="BO78" s="409"/>
      <c r="BP78" s="409"/>
      <c r="BQ78" s="409"/>
      <c r="BR78" s="409"/>
      <c r="BS78" s="409"/>
      <c r="BT78" s="409"/>
      <c r="BU78" s="409"/>
      <c r="BV78" s="409"/>
    </row>
    <row r="79" spans="63:74" x14ac:dyDescent="0.2">
      <c r="BK79" s="409"/>
      <c r="BL79" s="409"/>
      <c r="BM79" s="409"/>
      <c r="BN79" s="409"/>
      <c r="BO79" s="409"/>
      <c r="BP79" s="409"/>
      <c r="BQ79" s="409"/>
      <c r="BR79" s="409"/>
      <c r="BS79" s="409"/>
      <c r="BT79" s="409"/>
      <c r="BU79" s="409"/>
      <c r="BV79" s="409"/>
    </row>
    <row r="80" spans="63:74" x14ac:dyDescent="0.2">
      <c r="BK80" s="409"/>
      <c r="BL80" s="409"/>
      <c r="BM80" s="409"/>
      <c r="BN80" s="409"/>
      <c r="BO80" s="409"/>
      <c r="BP80" s="409"/>
      <c r="BQ80" s="409"/>
      <c r="BR80" s="409"/>
      <c r="BS80" s="409"/>
      <c r="BT80" s="409"/>
      <c r="BU80" s="409"/>
      <c r="BV80" s="409"/>
    </row>
    <row r="81" spans="63:74" x14ac:dyDescent="0.2">
      <c r="BK81" s="409"/>
      <c r="BL81" s="409"/>
      <c r="BM81" s="409"/>
      <c r="BN81" s="409"/>
      <c r="BO81" s="409"/>
      <c r="BP81" s="409"/>
      <c r="BQ81" s="409"/>
      <c r="BR81" s="409"/>
      <c r="BS81" s="409"/>
      <c r="BT81" s="409"/>
      <c r="BU81" s="409"/>
      <c r="BV81" s="409"/>
    </row>
    <row r="82" spans="63:74" x14ac:dyDescent="0.2">
      <c r="BK82" s="409"/>
      <c r="BL82" s="409"/>
      <c r="BM82" s="409"/>
      <c r="BN82" s="409"/>
      <c r="BO82" s="409"/>
      <c r="BP82" s="409"/>
      <c r="BQ82" s="409"/>
      <c r="BR82" s="409"/>
      <c r="BS82" s="409"/>
      <c r="BT82" s="409"/>
      <c r="BU82" s="409"/>
      <c r="BV82" s="409"/>
    </row>
    <row r="83" spans="63:74" x14ac:dyDescent="0.2">
      <c r="BK83" s="409"/>
      <c r="BL83" s="409"/>
      <c r="BM83" s="409"/>
      <c r="BN83" s="409"/>
      <c r="BO83" s="409"/>
      <c r="BP83" s="409"/>
      <c r="BQ83" s="409"/>
      <c r="BR83" s="409"/>
      <c r="BS83" s="409"/>
      <c r="BT83" s="409"/>
      <c r="BU83" s="409"/>
      <c r="BV83" s="409"/>
    </row>
    <row r="84" spans="63:74" x14ac:dyDescent="0.2">
      <c r="BK84" s="409"/>
      <c r="BL84" s="409"/>
      <c r="BM84" s="409"/>
      <c r="BN84" s="409"/>
      <c r="BO84" s="409"/>
      <c r="BP84" s="409"/>
      <c r="BQ84" s="409"/>
      <c r="BR84" s="409"/>
      <c r="BS84" s="409"/>
      <c r="BT84" s="409"/>
      <c r="BU84" s="409"/>
      <c r="BV84" s="409"/>
    </row>
    <row r="85" spans="63:74" x14ac:dyDescent="0.2">
      <c r="BK85" s="409"/>
      <c r="BL85" s="409"/>
      <c r="BM85" s="409"/>
      <c r="BN85" s="409"/>
      <c r="BO85" s="409"/>
      <c r="BP85" s="409"/>
      <c r="BQ85" s="409"/>
      <c r="BR85" s="409"/>
      <c r="BS85" s="409"/>
      <c r="BT85" s="409"/>
      <c r="BU85" s="409"/>
      <c r="BV85" s="409"/>
    </row>
    <row r="86" spans="63:74" x14ac:dyDescent="0.2">
      <c r="BK86" s="409"/>
      <c r="BL86" s="409"/>
      <c r="BM86" s="409"/>
      <c r="BN86" s="409"/>
      <c r="BO86" s="409"/>
      <c r="BP86" s="409"/>
      <c r="BQ86" s="409"/>
      <c r="BR86" s="409"/>
      <c r="BS86" s="409"/>
      <c r="BT86" s="409"/>
      <c r="BU86" s="409"/>
      <c r="BV86" s="409"/>
    </row>
    <row r="87" spans="63:74" x14ac:dyDescent="0.2">
      <c r="BK87" s="409"/>
      <c r="BL87" s="409"/>
      <c r="BM87" s="409"/>
      <c r="BN87" s="409"/>
      <c r="BO87" s="409"/>
      <c r="BP87" s="409"/>
      <c r="BQ87" s="409"/>
      <c r="BR87" s="409"/>
      <c r="BS87" s="409"/>
      <c r="BT87" s="409"/>
      <c r="BU87" s="409"/>
      <c r="BV87" s="409"/>
    </row>
    <row r="88" spans="63:74" x14ac:dyDescent="0.2">
      <c r="BK88" s="409"/>
      <c r="BL88" s="409"/>
      <c r="BM88" s="409"/>
      <c r="BN88" s="409"/>
      <c r="BO88" s="409"/>
      <c r="BP88" s="409"/>
      <c r="BQ88" s="409"/>
      <c r="BR88" s="409"/>
      <c r="BS88" s="409"/>
      <c r="BT88" s="409"/>
      <c r="BU88" s="409"/>
      <c r="BV88" s="409"/>
    </row>
    <row r="89" spans="63:74" x14ac:dyDescent="0.2">
      <c r="BK89" s="409"/>
      <c r="BL89" s="409"/>
      <c r="BM89" s="409"/>
      <c r="BN89" s="409"/>
      <c r="BO89" s="409"/>
      <c r="BP89" s="409"/>
      <c r="BQ89" s="409"/>
      <c r="BR89" s="409"/>
      <c r="BS89" s="409"/>
      <c r="BT89" s="409"/>
      <c r="BU89" s="409"/>
      <c r="BV89" s="409"/>
    </row>
    <row r="90" spans="63:74" x14ac:dyDescent="0.2">
      <c r="BK90" s="409"/>
      <c r="BL90" s="409"/>
      <c r="BM90" s="409"/>
      <c r="BN90" s="409"/>
      <c r="BO90" s="409"/>
      <c r="BP90" s="409"/>
      <c r="BQ90" s="409"/>
      <c r="BR90" s="409"/>
      <c r="BS90" s="409"/>
      <c r="BT90" s="409"/>
      <c r="BU90" s="409"/>
      <c r="BV90" s="409"/>
    </row>
    <row r="91" spans="63:74" x14ac:dyDescent="0.2">
      <c r="BK91" s="409"/>
      <c r="BL91" s="409"/>
      <c r="BM91" s="409"/>
      <c r="BN91" s="409"/>
      <c r="BO91" s="409"/>
      <c r="BP91" s="409"/>
      <c r="BQ91" s="409"/>
      <c r="BR91" s="409"/>
      <c r="BS91" s="409"/>
      <c r="BT91" s="409"/>
      <c r="BU91" s="409"/>
      <c r="BV91" s="409"/>
    </row>
    <row r="92" spans="63:74" x14ac:dyDescent="0.2">
      <c r="BK92" s="409"/>
      <c r="BL92" s="409"/>
      <c r="BM92" s="409"/>
      <c r="BN92" s="409"/>
      <c r="BO92" s="409"/>
      <c r="BP92" s="409"/>
      <c r="BQ92" s="409"/>
      <c r="BR92" s="409"/>
      <c r="BS92" s="409"/>
      <c r="BT92" s="409"/>
      <c r="BU92" s="409"/>
      <c r="BV92" s="409"/>
    </row>
    <row r="93" spans="63:74" x14ac:dyDescent="0.2">
      <c r="BK93" s="409"/>
      <c r="BL93" s="409"/>
      <c r="BM93" s="409"/>
      <c r="BN93" s="409"/>
      <c r="BO93" s="409"/>
      <c r="BP93" s="409"/>
      <c r="BQ93" s="409"/>
      <c r="BR93" s="409"/>
      <c r="BS93" s="409"/>
      <c r="BT93" s="409"/>
      <c r="BU93" s="409"/>
      <c r="BV93" s="409"/>
    </row>
    <row r="94" spans="63:74" x14ac:dyDescent="0.2">
      <c r="BK94" s="409"/>
      <c r="BL94" s="409"/>
      <c r="BM94" s="409"/>
      <c r="BN94" s="409"/>
      <c r="BO94" s="409"/>
      <c r="BP94" s="409"/>
      <c r="BQ94" s="409"/>
      <c r="BR94" s="409"/>
      <c r="BS94" s="409"/>
      <c r="BT94" s="409"/>
      <c r="BU94" s="409"/>
      <c r="BV94" s="409"/>
    </row>
    <row r="95" spans="63:74" x14ac:dyDescent="0.2">
      <c r="BK95" s="409"/>
      <c r="BL95" s="409"/>
      <c r="BM95" s="409"/>
      <c r="BN95" s="409"/>
      <c r="BO95" s="409"/>
      <c r="BP95" s="409"/>
      <c r="BQ95" s="409"/>
      <c r="BR95" s="409"/>
      <c r="BS95" s="409"/>
      <c r="BT95" s="409"/>
      <c r="BU95" s="409"/>
      <c r="BV95" s="409"/>
    </row>
    <row r="96" spans="63:74" x14ac:dyDescent="0.2">
      <c r="BK96" s="409"/>
      <c r="BL96" s="409"/>
      <c r="BM96" s="409"/>
      <c r="BN96" s="409"/>
      <c r="BO96" s="409"/>
      <c r="BP96" s="409"/>
      <c r="BQ96" s="409"/>
      <c r="BR96" s="409"/>
      <c r="BS96" s="409"/>
      <c r="BT96" s="409"/>
      <c r="BU96" s="409"/>
      <c r="BV96" s="409"/>
    </row>
    <row r="97" spans="63:74" x14ac:dyDescent="0.2">
      <c r="BK97" s="409"/>
      <c r="BL97" s="409"/>
      <c r="BM97" s="409"/>
      <c r="BN97" s="409"/>
      <c r="BO97" s="409"/>
      <c r="BP97" s="409"/>
      <c r="BQ97" s="409"/>
      <c r="BR97" s="409"/>
      <c r="BS97" s="409"/>
      <c r="BT97" s="409"/>
      <c r="BU97" s="409"/>
      <c r="BV97" s="409"/>
    </row>
    <row r="98" spans="63:74" x14ac:dyDescent="0.2">
      <c r="BK98" s="409"/>
      <c r="BL98" s="409"/>
      <c r="BM98" s="409"/>
      <c r="BN98" s="409"/>
      <c r="BO98" s="409"/>
      <c r="BP98" s="409"/>
      <c r="BQ98" s="409"/>
      <c r="BR98" s="409"/>
      <c r="BS98" s="409"/>
      <c r="BT98" s="409"/>
      <c r="BU98" s="409"/>
      <c r="BV98" s="409"/>
    </row>
    <row r="99" spans="63:74" x14ac:dyDescent="0.2">
      <c r="BK99" s="409"/>
      <c r="BL99" s="409"/>
      <c r="BM99" s="409"/>
      <c r="BN99" s="409"/>
      <c r="BO99" s="409"/>
      <c r="BP99" s="409"/>
      <c r="BQ99" s="409"/>
      <c r="BR99" s="409"/>
      <c r="BS99" s="409"/>
      <c r="BT99" s="409"/>
      <c r="BU99" s="409"/>
      <c r="BV99" s="409"/>
    </row>
    <row r="100" spans="63:74" x14ac:dyDescent="0.2">
      <c r="BK100" s="409"/>
      <c r="BL100" s="409"/>
      <c r="BM100" s="409"/>
      <c r="BN100" s="409"/>
      <c r="BO100" s="409"/>
      <c r="BP100" s="409"/>
      <c r="BQ100" s="409"/>
      <c r="BR100" s="409"/>
      <c r="BS100" s="409"/>
      <c r="BT100" s="409"/>
      <c r="BU100" s="409"/>
      <c r="BV100" s="409"/>
    </row>
    <row r="101" spans="63:74" x14ac:dyDescent="0.2">
      <c r="BK101" s="409"/>
      <c r="BL101" s="409"/>
      <c r="BM101" s="409"/>
      <c r="BN101" s="409"/>
      <c r="BO101" s="409"/>
      <c r="BP101" s="409"/>
      <c r="BQ101" s="409"/>
      <c r="BR101" s="409"/>
      <c r="BS101" s="409"/>
      <c r="BT101" s="409"/>
      <c r="BU101" s="409"/>
      <c r="BV101" s="409"/>
    </row>
    <row r="102" spans="63:74" x14ac:dyDescent="0.2">
      <c r="BK102" s="409"/>
      <c r="BL102" s="409"/>
      <c r="BM102" s="409"/>
      <c r="BN102" s="409"/>
      <c r="BO102" s="409"/>
      <c r="BP102" s="409"/>
      <c r="BQ102" s="409"/>
      <c r="BR102" s="409"/>
      <c r="BS102" s="409"/>
      <c r="BT102" s="409"/>
      <c r="BU102" s="409"/>
      <c r="BV102" s="409"/>
    </row>
    <row r="103" spans="63:74" x14ac:dyDescent="0.2">
      <c r="BK103" s="409"/>
      <c r="BL103" s="409"/>
      <c r="BM103" s="409"/>
      <c r="BN103" s="409"/>
      <c r="BO103" s="409"/>
      <c r="BP103" s="409"/>
      <c r="BQ103" s="409"/>
      <c r="BR103" s="409"/>
      <c r="BS103" s="409"/>
      <c r="BT103" s="409"/>
      <c r="BU103" s="409"/>
      <c r="BV103" s="409"/>
    </row>
    <row r="104" spans="63:74" x14ac:dyDescent="0.2">
      <c r="BK104" s="409"/>
      <c r="BL104" s="409"/>
      <c r="BM104" s="409"/>
      <c r="BN104" s="409"/>
      <c r="BO104" s="409"/>
      <c r="BP104" s="409"/>
      <c r="BQ104" s="409"/>
      <c r="BR104" s="409"/>
      <c r="BS104" s="409"/>
      <c r="BT104" s="409"/>
      <c r="BU104" s="409"/>
      <c r="BV104" s="409"/>
    </row>
    <row r="105" spans="63:74" x14ac:dyDescent="0.2">
      <c r="BK105" s="409"/>
      <c r="BL105" s="409"/>
      <c r="BM105" s="409"/>
      <c r="BN105" s="409"/>
      <c r="BO105" s="409"/>
      <c r="BP105" s="409"/>
      <c r="BQ105" s="409"/>
      <c r="BR105" s="409"/>
      <c r="BS105" s="409"/>
      <c r="BT105" s="409"/>
      <c r="BU105" s="409"/>
      <c r="BV105" s="409"/>
    </row>
    <row r="106" spans="63:74" x14ac:dyDescent="0.2">
      <c r="BK106" s="409"/>
      <c r="BL106" s="409"/>
      <c r="BM106" s="409"/>
      <c r="BN106" s="409"/>
      <c r="BO106" s="409"/>
      <c r="BP106" s="409"/>
      <c r="BQ106" s="409"/>
      <c r="BR106" s="409"/>
      <c r="BS106" s="409"/>
      <c r="BT106" s="409"/>
      <c r="BU106" s="409"/>
      <c r="BV106" s="409"/>
    </row>
    <row r="107" spans="63:74" x14ac:dyDescent="0.2">
      <c r="BK107" s="409"/>
      <c r="BL107" s="409"/>
      <c r="BM107" s="409"/>
      <c r="BN107" s="409"/>
      <c r="BO107" s="409"/>
      <c r="BP107" s="409"/>
      <c r="BQ107" s="409"/>
      <c r="BR107" s="409"/>
      <c r="BS107" s="409"/>
      <c r="BT107" s="409"/>
      <c r="BU107" s="409"/>
      <c r="BV107" s="409"/>
    </row>
    <row r="108" spans="63:74" x14ac:dyDescent="0.2">
      <c r="BK108" s="409"/>
      <c r="BL108" s="409"/>
      <c r="BM108" s="409"/>
      <c r="BN108" s="409"/>
      <c r="BO108" s="409"/>
      <c r="BP108" s="409"/>
      <c r="BQ108" s="409"/>
      <c r="BR108" s="409"/>
      <c r="BS108" s="409"/>
      <c r="BT108" s="409"/>
      <c r="BU108" s="409"/>
      <c r="BV108" s="409"/>
    </row>
    <row r="109" spans="63:74" x14ac:dyDescent="0.2">
      <c r="BK109" s="409"/>
      <c r="BL109" s="409"/>
      <c r="BM109" s="409"/>
      <c r="BN109" s="409"/>
      <c r="BO109" s="409"/>
      <c r="BP109" s="409"/>
      <c r="BQ109" s="409"/>
      <c r="BR109" s="409"/>
      <c r="BS109" s="409"/>
      <c r="BT109" s="409"/>
      <c r="BU109" s="409"/>
      <c r="BV109" s="409"/>
    </row>
    <row r="110" spans="63:74" x14ac:dyDescent="0.2">
      <c r="BK110" s="409"/>
      <c r="BL110" s="409"/>
      <c r="BM110" s="409"/>
      <c r="BN110" s="409"/>
      <c r="BO110" s="409"/>
      <c r="BP110" s="409"/>
      <c r="BQ110" s="409"/>
      <c r="BR110" s="409"/>
      <c r="BS110" s="409"/>
      <c r="BT110" s="409"/>
      <c r="BU110" s="409"/>
      <c r="BV110" s="409"/>
    </row>
    <row r="111" spans="63:74" x14ac:dyDescent="0.2">
      <c r="BK111" s="409"/>
      <c r="BL111" s="409"/>
      <c r="BM111" s="409"/>
      <c r="BN111" s="409"/>
      <c r="BO111" s="409"/>
      <c r="BP111" s="409"/>
      <c r="BQ111" s="409"/>
      <c r="BR111" s="409"/>
      <c r="BS111" s="409"/>
      <c r="BT111" s="409"/>
      <c r="BU111" s="409"/>
      <c r="BV111" s="409"/>
    </row>
    <row r="112" spans="63:74" x14ac:dyDescent="0.2">
      <c r="BK112" s="409"/>
      <c r="BL112" s="409"/>
      <c r="BM112" s="409"/>
      <c r="BN112" s="409"/>
      <c r="BO112" s="409"/>
      <c r="BP112" s="409"/>
      <c r="BQ112" s="409"/>
      <c r="BR112" s="409"/>
      <c r="BS112" s="409"/>
      <c r="BT112" s="409"/>
      <c r="BU112" s="409"/>
      <c r="BV112" s="409"/>
    </row>
    <row r="113" spans="63:74" x14ac:dyDescent="0.2">
      <c r="BK113" s="409"/>
      <c r="BL113" s="409"/>
      <c r="BM113" s="409"/>
      <c r="BN113" s="409"/>
      <c r="BO113" s="409"/>
      <c r="BP113" s="409"/>
      <c r="BQ113" s="409"/>
      <c r="BR113" s="409"/>
      <c r="BS113" s="409"/>
      <c r="BT113" s="409"/>
      <c r="BU113" s="409"/>
      <c r="BV113" s="409"/>
    </row>
    <row r="114" spans="63:74" x14ac:dyDescent="0.2">
      <c r="BK114" s="409"/>
      <c r="BL114" s="409"/>
      <c r="BM114" s="409"/>
      <c r="BN114" s="409"/>
      <c r="BO114" s="409"/>
      <c r="BP114" s="409"/>
      <c r="BQ114" s="409"/>
      <c r="BR114" s="409"/>
      <c r="BS114" s="409"/>
      <c r="BT114" s="409"/>
      <c r="BU114" s="409"/>
      <c r="BV114" s="409"/>
    </row>
    <row r="115" spans="63:74" x14ac:dyDescent="0.2">
      <c r="BK115" s="409"/>
      <c r="BL115" s="409"/>
      <c r="BM115" s="409"/>
      <c r="BN115" s="409"/>
      <c r="BO115" s="409"/>
      <c r="BP115" s="409"/>
      <c r="BQ115" s="409"/>
      <c r="BR115" s="409"/>
      <c r="BS115" s="409"/>
      <c r="BT115" s="409"/>
      <c r="BU115" s="409"/>
      <c r="BV115" s="409"/>
    </row>
    <row r="116" spans="63:74" x14ac:dyDescent="0.2">
      <c r="BK116" s="409"/>
      <c r="BL116" s="409"/>
      <c r="BM116" s="409"/>
      <c r="BN116" s="409"/>
      <c r="BO116" s="409"/>
      <c r="BP116" s="409"/>
      <c r="BQ116" s="409"/>
      <c r="BR116" s="409"/>
      <c r="BS116" s="409"/>
      <c r="BT116" s="409"/>
      <c r="BU116" s="409"/>
      <c r="BV116" s="409"/>
    </row>
    <row r="117" spans="63:74" x14ac:dyDescent="0.2">
      <c r="BK117" s="409"/>
      <c r="BL117" s="409"/>
      <c r="BM117" s="409"/>
      <c r="BN117" s="409"/>
      <c r="BO117" s="409"/>
      <c r="BP117" s="409"/>
      <c r="BQ117" s="409"/>
      <c r="BR117" s="409"/>
      <c r="BS117" s="409"/>
      <c r="BT117" s="409"/>
      <c r="BU117" s="409"/>
      <c r="BV117" s="409"/>
    </row>
    <row r="118" spans="63:74" x14ac:dyDescent="0.2">
      <c r="BK118" s="409"/>
      <c r="BL118" s="409"/>
      <c r="BM118" s="409"/>
      <c r="BN118" s="409"/>
      <c r="BO118" s="409"/>
      <c r="BP118" s="409"/>
      <c r="BQ118" s="409"/>
      <c r="BR118" s="409"/>
      <c r="BS118" s="409"/>
      <c r="BT118" s="409"/>
      <c r="BU118" s="409"/>
      <c r="BV118" s="409"/>
    </row>
    <row r="119" spans="63:74" x14ac:dyDescent="0.2">
      <c r="BK119" s="409"/>
      <c r="BL119" s="409"/>
      <c r="BM119" s="409"/>
      <c r="BN119" s="409"/>
      <c r="BO119" s="409"/>
      <c r="BP119" s="409"/>
      <c r="BQ119" s="409"/>
      <c r="BR119" s="409"/>
      <c r="BS119" s="409"/>
      <c r="BT119" s="409"/>
      <c r="BU119" s="409"/>
      <c r="BV119" s="409"/>
    </row>
    <row r="120" spans="63:74" x14ac:dyDescent="0.2">
      <c r="BK120" s="409"/>
      <c r="BL120" s="409"/>
      <c r="BM120" s="409"/>
      <c r="BN120" s="409"/>
      <c r="BO120" s="409"/>
      <c r="BP120" s="409"/>
      <c r="BQ120" s="409"/>
      <c r="BR120" s="409"/>
      <c r="BS120" s="409"/>
      <c r="BT120" s="409"/>
      <c r="BU120" s="409"/>
      <c r="BV120" s="409"/>
    </row>
    <row r="121" spans="63:74" x14ac:dyDescent="0.2">
      <c r="BK121" s="409"/>
      <c r="BL121" s="409"/>
      <c r="BM121" s="409"/>
      <c r="BN121" s="409"/>
      <c r="BO121" s="409"/>
      <c r="BP121" s="409"/>
      <c r="BQ121" s="409"/>
      <c r="BR121" s="409"/>
      <c r="BS121" s="409"/>
      <c r="BT121" s="409"/>
      <c r="BU121" s="409"/>
      <c r="BV121" s="409"/>
    </row>
    <row r="122" spans="63:74" x14ac:dyDescent="0.2">
      <c r="BK122" s="409"/>
      <c r="BL122" s="409"/>
      <c r="BM122" s="409"/>
      <c r="BN122" s="409"/>
      <c r="BO122" s="409"/>
      <c r="BP122" s="409"/>
      <c r="BQ122" s="409"/>
      <c r="BR122" s="409"/>
      <c r="BS122" s="409"/>
      <c r="BT122" s="409"/>
      <c r="BU122" s="409"/>
      <c r="BV122" s="409"/>
    </row>
    <row r="123" spans="63:74" x14ac:dyDescent="0.2">
      <c r="BK123" s="409"/>
      <c r="BL123" s="409"/>
      <c r="BM123" s="409"/>
      <c r="BN123" s="409"/>
      <c r="BO123" s="409"/>
      <c r="BP123" s="409"/>
      <c r="BQ123" s="409"/>
      <c r="BR123" s="409"/>
      <c r="BS123" s="409"/>
      <c r="BT123" s="409"/>
      <c r="BU123" s="409"/>
      <c r="BV123" s="409"/>
    </row>
    <row r="124" spans="63:74" x14ac:dyDescent="0.2">
      <c r="BK124" s="409"/>
      <c r="BL124" s="409"/>
      <c r="BM124" s="409"/>
      <c r="BN124" s="409"/>
      <c r="BO124" s="409"/>
      <c r="BP124" s="409"/>
      <c r="BQ124" s="409"/>
      <c r="BR124" s="409"/>
      <c r="BS124" s="409"/>
      <c r="BT124" s="409"/>
      <c r="BU124" s="409"/>
      <c r="BV124" s="409"/>
    </row>
    <row r="125" spans="63:74" x14ac:dyDescent="0.2">
      <c r="BK125" s="409"/>
      <c r="BL125" s="409"/>
      <c r="BM125" s="409"/>
      <c r="BN125" s="409"/>
      <c r="BO125" s="409"/>
      <c r="BP125" s="409"/>
      <c r="BQ125" s="409"/>
      <c r="BR125" s="409"/>
      <c r="BS125" s="409"/>
      <c r="BT125" s="409"/>
      <c r="BU125" s="409"/>
      <c r="BV125" s="409"/>
    </row>
    <row r="126" spans="63:74" x14ac:dyDescent="0.2">
      <c r="BK126" s="409"/>
      <c r="BL126" s="409"/>
      <c r="BM126" s="409"/>
      <c r="BN126" s="409"/>
      <c r="BO126" s="409"/>
      <c r="BP126" s="409"/>
      <c r="BQ126" s="409"/>
      <c r="BR126" s="409"/>
      <c r="BS126" s="409"/>
      <c r="BT126" s="409"/>
      <c r="BU126" s="409"/>
      <c r="BV126" s="409"/>
    </row>
    <row r="127" spans="63:74" x14ac:dyDescent="0.2">
      <c r="BK127" s="409"/>
      <c r="BL127" s="409"/>
      <c r="BM127" s="409"/>
      <c r="BN127" s="409"/>
      <c r="BO127" s="409"/>
      <c r="BP127" s="409"/>
      <c r="BQ127" s="409"/>
      <c r="BR127" s="409"/>
      <c r="BS127" s="409"/>
      <c r="BT127" s="409"/>
      <c r="BU127" s="409"/>
      <c r="BV127" s="409"/>
    </row>
    <row r="128" spans="63:74" x14ac:dyDescent="0.2">
      <c r="BK128" s="409"/>
      <c r="BL128" s="409"/>
      <c r="BM128" s="409"/>
      <c r="BN128" s="409"/>
      <c r="BO128" s="409"/>
      <c r="BP128" s="409"/>
      <c r="BQ128" s="409"/>
      <c r="BR128" s="409"/>
      <c r="BS128" s="409"/>
      <c r="BT128" s="409"/>
      <c r="BU128" s="409"/>
      <c r="BV128" s="409"/>
    </row>
    <row r="129" spans="63:74" x14ac:dyDescent="0.2">
      <c r="BK129" s="409"/>
      <c r="BL129" s="409"/>
      <c r="BM129" s="409"/>
      <c r="BN129" s="409"/>
      <c r="BO129" s="409"/>
      <c r="BP129" s="409"/>
      <c r="BQ129" s="409"/>
      <c r="BR129" s="409"/>
      <c r="BS129" s="409"/>
      <c r="BT129" s="409"/>
      <c r="BU129" s="409"/>
      <c r="BV129" s="409"/>
    </row>
    <row r="130" spans="63:74" x14ac:dyDescent="0.2">
      <c r="BK130" s="409"/>
      <c r="BL130" s="409"/>
      <c r="BM130" s="409"/>
      <c r="BN130" s="409"/>
      <c r="BO130" s="409"/>
      <c r="BP130" s="409"/>
      <c r="BQ130" s="409"/>
      <c r="BR130" s="409"/>
      <c r="BS130" s="409"/>
      <c r="BT130" s="409"/>
      <c r="BU130" s="409"/>
      <c r="BV130" s="409"/>
    </row>
    <row r="131" spans="63:74" x14ac:dyDescent="0.2">
      <c r="BK131" s="409"/>
      <c r="BL131" s="409"/>
      <c r="BM131" s="409"/>
      <c r="BN131" s="409"/>
      <c r="BO131" s="409"/>
      <c r="BP131" s="409"/>
      <c r="BQ131" s="409"/>
      <c r="BR131" s="409"/>
      <c r="BS131" s="409"/>
      <c r="BT131" s="409"/>
      <c r="BU131" s="409"/>
      <c r="BV131" s="409"/>
    </row>
    <row r="132" spans="63:74" x14ac:dyDescent="0.2">
      <c r="BK132" s="409"/>
      <c r="BL132" s="409"/>
      <c r="BM132" s="409"/>
      <c r="BN132" s="409"/>
      <c r="BO132" s="409"/>
      <c r="BP132" s="409"/>
      <c r="BQ132" s="409"/>
      <c r="BR132" s="409"/>
      <c r="BS132" s="409"/>
      <c r="BT132" s="409"/>
      <c r="BU132" s="409"/>
      <c r="BV132" s="409"/>
    </row>
    <row r="133" spans="63:74" x14ac:dyDescent="0.2">
      <c r="BK133" s="409"/>
      <c r="BL133" s="409"/>
      <c r="BM133" s="409"/>
      <c r="BN133" s="409"/>
      <c r="BO133" s="409"/>
      <c r="BP133" s="409"/>
      <c r="BQ133" s="409"/>
      <c r="BR133" s="409"/>
      <c r="BS133" s="409"/>
      <c r="BT133" s="409"/>
      <c r="BU133" s="409"/>
      <c r="BV133" s="409"/>
    </row>
    <row r="134" spans="63:74" x14ac:dyDescent="0.2">
      <c r="BK134" s="409"/>
      <c r="BL134" s="409"/>
      <c r="BM134" s="409"/>
      <c r="BN134" s="409"/>
      <c r="BO134" s="409"/>
      <c r="BP134" s="409"/>
      <c r="BQ134" s="409"/>
      <c r="BR134" s="409"/>
      <c r="BS134" s="409"/>
      <c r="BT134" s="409"/>
      <c r="BU134" s="409"/>
      <c r="BV134" s="409"/>
    </row>
    <row r="135" spans="63:74" x14ac:dyDescent="0.2">
      <c r="BK135" s="409"/>
      <c r="BL135" s="409"/>
      <c r="BM135" s="409"/>
      <c r="BN135" s="409"/>
      <c r="BO135" s="409"/>
      <c r="BP135" s="409"/>
      <c r="BQ135" s="409"/>
      <c r="BR135" s="409"/>
      <c r="BS135" s="409"/>
      <c r="BT135" s="409"/>
      <c r="BU135" s="409"/>
      <c r="BV135" s="409"/>
    </row>
    <row r="136" spans="63:74" x14ac:dyDescent="0.2">
      <c r="BK136" s="409"/>
      <c r="BL136" s="409"/>
      <c r="BM136" s="409"/>
      <c r="BN136" s="409"/>
      <c r="BO136" s="409"/>
      <c r="BP136" s="409"/>
      <c r="BQ136" s="409"/>
      <c r="BR136" s="409"/>
      <c r="BS136" s="409"/>
      <c r="BT136" s="409"/>
      <c r="BU136" s="409"/>
      <c r="BV136" s="409"/>
    </row>
    <row r="137" spans="63:74" x14ac:dyDescent="0.2">
      <c r="BK137" s="409"/>
      <c r="BL137" s="409"/>
      <c r="BM137" s="409"/>
      <c r="BN137" s="409"/>
      <c r="BO137" s="409"/>
      <c r="BP137" s="409"/>
      <c r="BQ137" s="409"/>
      <c r="BR137" s="409"/>
      <c r="BS137" s="409"/>
      <c r="BT137" s="409"/>
      <c r="BU137" s="409"/>
      <c r="BV137" s="409"/>
    </row>
    <row r="138" spans="63:74" x14ac:dyDescent="0.2">
      <c r="BK138" s="409"/>
      <c r="BL138" s="409"/>
      <c r="BM138" s="409"/>
      <c r="BN138" s="409"/>
      <c r="BO138" s="409"/>
      <c r="BP138" s="409"/>
      <c r="BQ138" s="409"/>
      <c r="BR138" s="409"/>
      <c r="BS138" s="409"/>
      <c r="BT138" s="409"/>
      <c r="BU138" s="409"/>
      <c r="BV138" s="409"/>
    </row>
    <row r="139" spans="63:74" x14ac:dyDescent="0.2">
      <c r="BK139" s="409"/>
      <c r="BL139" s="409"/>
      <c r="BM139" s="409"/>
      <c r="BN139" s="409"/>
      <c r="BO139" s="409"/>
      <c r="BP139" s="409"/>
      <c r="BQ139" s="409"/>
      <c r="BR139" s="409"/>
      <c r="BS139" s="409"/>
      <c r="BT139" s="409"/>
      <c r="BU139" s="409"/>
      <c r="BV139" s="409"/>
    </row>
    <row r="140" spans="63:74" x14ac:dyDescent="0.2">
      <c r="BK140" s="409"/>
      <c r="BL140" s="409"/>
      <c r="BM140" s="409"/>
      <c r="BN140" s="409"/>
      <c r="BO140" s="409"/>
      <c r="BP140" s="409"/>
      <c r="BQ140" s="409"/>
      <c r="BR140" s="409"/>
      <c r="BS140" s="409"/>
      <c r="BT140" s="409"/>
      <c r="BU140" s="409"/>
      <c r="BV140" s="409"/>
    </row>
    <row r="141" spans="63:74" x14ac:dyDescent="0.2">
      <c r="BK141" s="409"/>
      <c r="BL141" s="409"/>
      <c r="BM141" s="409"/>
      <c r="BN141" s="409"/>
      <c r="BO141" s="409"/>
      <c r="BP141" s="409"/>
      <c r="BQ141" s="409"/>
      <c r="BR141" s="409"/>
      <c r="BS141" s="409"/>
      <c r="BT141" s="409"/>
      <c r="BU141" s="409"/>
      <c r="BV141" s="409"/>
    </row>
    <row r="142" spans="63:74" x14ac:dyDescent="0.2">
      <c r="BK142" s="409"/>
      <c r="BL142" s="409"/>
      <c r="BM142" s="409"/>
      <c r="BN142" s="409"/>
      <c r="BO142" s="409"/>
      <c r="BP142" s="409"/>
      <c r="BQ142" s="409"/>
      <c r="BR142" s="409"/>
      <c r="BS142" s="409"/>
      <c r="BT142" s="409"/>
      <c r="BU142" s="409"/>
      <c r="BV142" s="409"/>
    </row>
    <row r="143" spans="63:74" x14ac:dyDescent="0.2">
      <c r="BK143" s="409"/>
      <c r="BL143" s="409"/>
      <c r="BM143" s="409"/>
      <c r="BN143" s="409"/>
      <c r="BO143" s="409"/>
      <c r="BP143" s="409"/>
      <c r="BQ143" s="409"/>
      <c r="BR143" s="409"/>
      <c r="BS143" s="409"/>
      <c r="BT143" s="409"/>
      <c r="BU143" s="409"/>
      <c r="BV143" s="409"/>
    </row>
  </sheetData>
  <mergeCells count="21">
    <mergeCell ref="AM3:AX3"/>
    <mergeCell ref="AY3:BJ3"/>
    <mergeCell ref="BK3:BV3"/>
    <mergeCell ref="B40:AL40"/>
    <mergeCell ref="C3:N3"/>
    <mergeCell ref="O3:Z3"/>
    <mergeCell ref="AA3:AL3"/>
    <mergeCell ref="A1:A2"/>
    <mergeCell ref="B1:AL1"/>
    <mergeCell ref="B50:Q50"/>
    <mergeCell ref="B45:Q45"/>
    <mergeCell ref="B42:Q42"/>
    <mergeCell ref="B41:Q41"/>
    <mergeCell ref="B43:Q43"/>
    <mergeCell ref="B44:Q44"/>
    <mergeCell ref="B51:Q51"/>
    <mergeCell ref="B52:Q52"/>
    <mergeCell ref="B46:Q46"/>
    <mergeCell ref="B47:Q47"/>
    <mergeCell ref="B48:Q48"/>
    <mergeCell ref="B49:Q49"/>
  </mergeCells>
  <phoneticPr fontId="6" type="noConversion"/>
  <hyperlinks>
    <hyperlink ref="A1:A2" location="Contents!A1" display="Table of Contents"/>
  </hyperlinks>
  <pageMargins left="0.25" right="0.25" top="0.25" bottom="0.25" header="0.5" footer="0.5"/>
  <pageSetup scale="20"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BV135"/>
  <sheetViews>
    <sheetView workbookViewId="0">
      <pane xSplit="2" ySplit="4" topLeftCell="AZ5" activePane="bottomRight" state="frozen"/>
      <selection activeCell="BF63" sqref="BF63"/>
      <selection pane="topRight" activeCell="BF63" sqref="BF63"/>
      <selection pane="bottomLeft" activeCell="BF63" sqref="BF63"/>
      <selection pane="bottomRight" activeCell="B1" sqref="B1:AL1"/>
    </sheetView>
  </sheetViews>
  <sheetFormatPr defaultColWidth="8.5546875" defaultRowHeight="10.199999999999999" x14ac:dyDescent="0.2"/>
  <cols>
    <col min="1" max="1" width="17.44140625" style="162" customWidth="1"/>
    <col min="2" max="2" width="25.44140625" style="153" customWidth="1"/>
    <col min="3" max="50" width="6.5546875" style="153" customWidth="1"/>
    <col min="51" max="55" width="6.5546875" style="487" customWidth="1"/>
    <col min="56" max="58" width="6.5546875" style="623" customWidth="1"/>
    <col min="59" max="62" width="6.5546875" style="487" customWidth="1"/>
    <col min="63" max="74" width="6.5546875" style="153" customWidth="1"/>
    <col min="75" max="16384" width="8.5546875" style="153"/>
  </cols>
  <sheetData>
    <row r="1" spans="1:74" ht="13.2" x14ac:dyDescent="0.25">
      <c r="A1" s="797" t="s">
        <v>809</v>
      </c>
      <c r="B1" s="825" t="s">
        <v>1415</v>
      </c>
      <c r="C1" s="805"/>
      <c r="D1" s="805"/>
      <c r="E1" s="805"/>
      <c r="F1" s="805"/>
      <c r="G1" s="805"/>
      <c r="H1" s="805"/>
      <c r="I1" s="805"/>
      <c r="J1" s="805"/>
      <c r="K1" s="805"/>
      <c r="L1" s="805"/>
      <c r="M1" s="805"/>
      <c r="N1" s="805"/>
      <c r="O1" s="805"/>
      <c r="P1" s="805"/>
      <c r="Q1" s="805"/>
      <c r="R1" s="805"/>
      <c r="S1" s="805"/>
      <c r="T1" s="805"/>
      <c r="U1" s="805"/>
      <c r="V1" s="805"/>
      <c r="W1" s="805"/>
      <c r="X1" s="805"/>
      <c r="Y1" s="805"/>
      <c r="Z1" s="805"/>
      <c r="AA1" s="805"/>
      <c r="AB1" s="805"/>
      <c r="AC1" s="805"/>
      <c r="AD1" s="805"/>
      <c r="AE1" s="805"/>
      <c r="AF1" s="805"/>
      <c r="AG1" s="805"/>
      <c r="AH1" s="805"/>
      <c r="AI1" s="805"/>
      <c r="AJ1" s="805"/>
      <c r="AK1" s="805"/>
      <c r="AL1" s="805"/>
    </row>
    <row r="2" spans="1:74" ht="13.2" x14ac:dyDescent="0.25">
      <c r="A2" s="798"/>
      <c r="B2" s="532" t="str">
        <f>"U.S. Energy Information Administration  |  Short-Term Energy Outlook  - "&amp;Dates!D1</f>
        <v>U.S. Energy Information Administration  |  Short-Term Energy Outlook  - September 2020</v>
      </c>
      <c r="C2" s="535"/>
      <c r="D2" s="535"/>
      <c r="E2" s="535"/>
      <c r="F2" s="535"/>
      <c r="G2" s="535"/>
      <c r="H2" s="535"/>
      <c r="I2" s="535"/>
      <c r="J2" s="785"/>
    </row>
    <row r="3" spans="1:74" s="12" customFormat="1" ht="13.2" x14ac:dyDescent="0.25">
      <c r="A3" s="14"/>
      <c r="B3" s="784"/>
      <c r="C3" s="806">
        <f>Dates!D3</f>
        <v>2016</v>
      </c>
      <c r="D3" s="802"/>
      <c r="E3" s="802"/>
      <c r="F3" s="802"/>
      <c r="G3" s="802"/>
      <c r="H3" s="802"/>
      <c r="I3" s="802"/>
      <c r="J3" s="802"/>
      <c r="K3" s="802"/>
      <c r="L3" s="802"/>
      <c r="M3" s="802"/>
      <c r="N3" s="803"/>
      <c r="O3" s="806">
        <f>C3+1</f>
        <v>2017</v>
      </c>
      <c r="P3" s="807"/>
      <c r="Q3" s="807"/>
      <c r="R3" s="807"/>
      <c r="S3" s="807"/>
      <c r="T3" s="807"/>
      <c r="U3" s="807"/>
      <c r="V3" s="807"/>
      <c r="W3" s="807"/>
      <c r="X3" s="802"/>
      <c r="Y3" s="802"/>
      <c r="Z3" s="803"/>
      <c r="AA3" s="799">
        <f>O3+1</f>
        <v>2018</v>
      </c>
      <c r="AB3" s="802"/>
      <c r="AC3" s="802"/>
      <c r="AD3" s="802"/>
      <c r="AE3" s="802"/>
      <c r="AF3" s="802"/>
      <c r="AG3" s="802"/>
      <c r="AH3" s="802"/>
      <c r="AI3" s="802"/>
      <c r="AJ3" s="802"/>
      <c r="AK3" s="802"/>
      <c r="AL3" s="803"/>
      <c r="AM3" s="799">
        <f>AA3+1</f>
        <v>2019</v>
      </c>
      <c r="AN3" s="802"/>
      <c r="AO3" s="802"/>
      <c r="AP3" s="802"/>
      <c r="AQ3" s="802"/>
      <c r="AR3" s="802"/>
      <c r="AS3" s="802"/>
      <c r="AT3" s="802"/>
      <c r="AU3" s="802"/>
      <c r="AV3" s="802"/>
      <c r="AW3" s="802"/>
      <c r="AX3" s="803"/>
      <c r="AY3" s="799">
        <f>AM3+1</f>
        <v>2020</v>
      </c>
      <c r="AZ3" s="800"/>
      <c r="BA3" s="800"/>
      <c r="BB3" s="800"/>
      <c r="BC3" s="800"/>
      <c r="BD3" s="800"/>
      <c r="BE3" s="800"/>
      <c r="BF3" s="800"/>
      <c r="BG3" s="800"/>
      <c r="BH3" s="800"/>
      <c r="BI3" s="800"/>
      <c r="BJ3" s="801"/>
      <c r="BK3" s="799">
        <f>AY3+1</f>
        <v>2021</v>
      </c>
      <c r="BL3" s="802"/>
      <c r="BM3" s="802"/>
      <c r="BN3" s="802"/>
      <c r="BO3" s="802"/>
      <c r="BP3" s="802"/>
      <c r="BQ3" s="802"/>
      <c r="BR3" s="802"/>
      <c r="BS3" s="802"/>
      <c r="BT3" s="802"/>
      <c r="BU3" s="802"/>
      <c r="BV3" s="803"/>
    </row>
    <row r="4" spans="1:74" s="12" customFormat="1" x14ac:dyDescent="0.2">
      <c r="A4" s="16"/>
      <c r="B4" s="17"/>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B5" s="252" t="s">
        <v>818</v>
      </c>
      <c r="C5" s="250"/>
      <c r="D5" s="250"/>
      <c r="E5" s="250"/>
      <c r="F5" s="250"/>
      <c r="G5" s="250"/>
      <c r="H5" s="250"/>
      <c r="I5" s="250"/>
      <c r="J5" s="250"/>
      <c r="K5" s="250"/>
      <c r="L5" s="250"/>
      <c r="M5" s="250"/>
      <c r="N5" s="250"/>
      <c r="O5" s="250"/>
      <c r="P5" s="250"/>
      <c r="Q5" s="250"/>
      <c r="R5" s="250"/>
      <c r="S5" s="250"/>
      <c r="T5" s="250"/>
      <c r="U5" s="250"/>
      <c r="V5" s="250"/>
      <c r="W5" s="250"/>
      <c r="X5" s="250"/>
      <c r="Y5" s="250"/>
      <c r="Z5" s="250"/>
      <c r="AA5" s="250"/>
      <c r="AB5" s="250"/>
      <c r="AC5" s="250"/>
      <c r="AD5" s="250"/>
      <c r="AE5" s="250"/>
      <c r="AF5" s="250"/>
      <c r="AG5" s="250"/>
      <c r="AH5" s="250"/>
      <c r="AI5" s="250"/>
      <c r="AJ5" s="250"/>
      <c r="AK5" s="250"/>
      <c r="AL5" s="250"/>
      <c r="AM5" s="250"/>
      <c r="AN5" s="250"/>
      <c r="AO5" s="250"/>
      <c r="AP5" s="250"/>
      <c r="AQ5" s="250"/>
      <c r="AR5" s="250"/>
      <c r="AS5" s="250"/>
      <c r="AT5" s="250"/>
      <c r="AU5" s="250"/>
      <c r="AV5" s="250"/>
      <c r="AW5" s="250"/>
      <c r="AX5" s="250"/>
      <c r="AY5" s="403"/>
      <c r="AZ5" s="403"/>
      <c r="BA5" s="403"/>
      <c r="BB5" s="403"/>
      <c r="BC5" s="403"/>
      <c r="BD5" s="250"/>
      <c r="BE5" s="250"/>
      <c r="BF5" s="250"/>
      <c r="BG5" s="250"/>
      <c r="BH5" s="250"/>
      <c r="BI5" s="250"/>
      <c r="BJ5" s="403"/>
      <c r="BK5" s="403"/>
      <c r="BL5" s="403"/>
      <c r="BM5" s="403"/>
      <c r="BN5" s="403"/>
      <c r="BO5" s="403"/>
      <c r="BP5" s="403"/>
      <c r="BQ5" s="403"/>
      <c r="BR5" s="403"/>
      <c r="BS5" s="403"/>
      <c r="BT5" s="403"/>
      <c r="BU5" s="403"/>
      <c r="BV5" s="403"/>
    </row>
    <row r="6" spans="1:74" ht="11.1" customHeight="1" x14ac:dyDescent="0.2">
      <c r="A6" s="162" t="s">
        <v>302</v>
      </c>
      <c r="B6" s="173" t="s">
        <v>251</v>
      </c>
      <c r="C6" s="250">
        <v>27.54358671</v>
      </c>
      <c r="D6" s="250">
        <v>27.212896379</v>
      </c>
      <c r="E6" s="250">
        <v>27.285907129000002</v>
      </c>
      <c r="F6" s="250">
        <v>26.696974666999999</v>
      </c>
      <c r="G6" s="250">
        <v>26.131313097</v>
      </c>
      <c r="H6" s="250">
        <v>26.015339000000001</v>
      </c>
      <c r="I6" s="250">
        <v>27.074128548000001</v>
      </c>
      <c r="J6" s="250">
        <v>26.703111676999999</v>
      </c>
      <c r="K6" s="250">
        <v>26.119818333000001</v>
      </c>
      <c r="L6" s="250">
        <v>26.996458903000001</v>
      </c>
      <c r="M6" s="250">
        <v>27.699167332999998</v>
      </c>
      <c r="N6" s="250">
        <v>27.046255386999999</v>
      </c>
      <c r="O6" s="250">
        <v>27.143190419</v>
      </c>
      <c r="P6" s="250">
        <v>27.612180286000001</v>
      </c>
      <c r="Q6" s="250">
        <v>27.63872671</v>
      </c>
      <c r="R6" s="250">
        <v>27.045681999999999</v>
      </c>
      <c r="S6" s="250">
        <v>27.238509387000001</v>
      </c>
      <c r="T6" s="250">
        <v>27.200005333</v>
      </c>
      <c r="U6" s="250">
        <v>27.656535677000001</v>
      </c>
      <c r="V6" s="250">
        <v>27.576236290000001</v>
      </c>
      <c r="W6" s="250">
        <v>27.143803999999999</v>
      </c>
      <c r="X6" s="250">
        <v>28.127776355000002</v>
      </c>
      <c r="Y6" s="250">
        <v>28.987050332999999</v>
      </c>
      <c r="Z6" s="250">
        <v>28.553756387</v>
      </c>
      <c r="AA6" s="250">
        <v>28.835358097</v>
      </c>
      <c r="AB6" s="250">
        <v>29.283587142999998</v>
      </c>
      <c r="AC6" s="250">
        <v>29.587888129</v>
      </c>
      <c r="AD6" s="250">
        <v>29.425530667</v>
      </c>
      <c r="AE6" s="250">
        <v>29.246746870999999</v>
      </c>
      <c r="AF6" s="250">
        <v>29.542648</v>
      </c>
      <c r="AG6" s="250">
        <v>30.284109161</v>
      </c>
      <c r="AH6" s="250">
        <v>31.023603419000001</v>
      </c>
      <c r="AI6" s="250">
        <v>30.450237000000001</v>
      </c>
      <c r="AJ6" s="250">
        <v>31.118159128999999</v>
      </c>
      <c r="AK6" s="250">
        <v>31.624211667000001</v>
      </c>
      <c r="AL6" s="250">
        <v>31.735353903</v>
      </c>
      <c r="AM6" s="250">
        <v>30.947443676999999</v>
      </c>
      <c r="AN6" s="250">
        <v>30.953019142999999</v>
      </c>
      <c r="AO6" s="250">
        <v>31.276847064999998</v>
      </c>
      <c r="AP6" s="250">
        <v>31.557327333</v>
      </c>
      <c r="AQ6" s="250">
        <v>31.290250258</v>
      </c>
      <c r="AR6" s="250">
        <v>31.124839000000001</v>
      </c>
      <c r="AS6" s="250">
        <v>31.066044677000001</v>
      </c>
      <c r="AT6" s="250">
        <v>31.648050419</v>
      </c>
      <c r="AU6" s="250">
        <v>31.730906333</v>
      </c>
      <c r="AV6" s="250">
        <v>32.150029355000001</v>
      </c>
      <c r="AW6" s="250">
        <v>32.967588333000002</v>
      </c>
      <c r="AX6" s="250">
        <v>33.154992194000002</v>
      </c>
      <c r="AY6" s="250">
        <v>33.029911452</v>
      </c>
      <c r="AZ6" s="250">
        <v>32.809306896999999</v>
      </c>
      <c r="BA6" s="250">
        <v>32.879804839000002</v>
      </c>
      <c r="BB6" s="250">
        <v>30.760904666999998</v>
      </c>
      <c r="BC6" s="250">
        <v>28.203263968000002</v>
      </c>
      <c r="BD6" s="250">
        <v>29.028286054999999</v>
      </c>
      <c r="BE6" s="250">
        <v>29.644885763000001</v>
      </c>
      <c r="BF6" s="250">
        <v>29.671164832999999</v>
      </c>
      <c r="BG6" s="403">
        <v>29.785756663000001</v>
      </c>
      <c r="BH6" s="403">
        <v>30.373456353000002</v>
      </c>
      <c r="BI6" s="403">
        <v>30.793182926</v>
      </c>
      <c r="BJ6" s="403">
        <v>30.805767365000001</v>
      </c>
      <c r="BK6" s="403">
        <v>30.525431056999999</v>
      </c>
      <c r="BL6" s="403">
        <v>30.531600735000001</v>
      </c>
      <c r="BM6" s="403">
        <v>30.848331568999999</v>
      </c>
      <c r="BN6" s="403">
        <v>30.711949438000001</v>
      </c>
      <c r="BO6" s="403">
        <v>30.815099638</v>
      </c>
      <c r="BP6" s="403">
        <v>30.926322459000001</v>
      </c>
      <c r="BQ6" s="403">
        <v>30.956762940000001</v>
      </c>
      <c r="BR6" s="403">
        <v>31.129286319999999</v>
      </c>
      <c r="BS6" s="403">
        <v>31.136406713</v>
      </c>
      <c r="BT6" s="403">
        <v>31.573287431000001</v>
      </c>
      <c r="BU6" s="403">
        <v>31.919022742999999</v>
      </c>
      <c r="BV6" s="403">
        <v>31.858859644999999</v>
      </c>
    </row>
    <row r="7" spans="1:74" ht="11.1" customHeight="1" x14ac:dyDescent="0.2">
      <c r="A7" s="162" t="s">
        <v>298</v>
      </c>
      <c r="B7" s="173" t="s">
        <v>252</v>
      </c>
      <c r="C7" s="250">
        <v>14.997485709999999</v>
      </c>
      <c r="D7" s="250">
        <v>14.832426378999999</v>
      </c>
      <c r="E7" s="250">
        <v>15.039595129</v>
      </c>
      <c r="F7" s="250">
        <v>14.860722666999999</v>
      </c>
      <c r="G7" s="250">
        <v>15.026268097000001</v>
      </c>
      <c r="H7" s="250">
        <v>14.810833000000001</v>
      </c>
      <c r="I7" s="250">
        <v>14.843714547999999</v>
      </c>
      <c r="J7" s="250">
        <v>14.641617676999999</v>
      </c>
      <c r="K7" s="250">
        <v>14.456935333000001</v>
      </c>
      <c r="L7" s="250">
        <v>14.807327902999999</v>
      </c>
      <c r="M7" s="250">
        <v>14.994869333</v>
      </c>
      <c r="N7" s="250">
        <v>14.733833387000001</v>
      </c>
      <c r="O7" s="250">
        <v>14.764672419</v>
      </c>
      <c r="P7" s="250">
        <v>15.174662286</v>
      </c>
      <c r="Q7" s="250">
        <v>15.359208710000001</v>
      </c>
      <c r="R7" s="250">
        <v>15.271164000000001</v>
      </c>
      <c r="S7" s="250">
        <v>15.478991387000001</v>
      </c>
      <c r="T7" s="250">
        <v>15.497487333</v>
      </c>
      <c r="U7" s="250">
        <v>15.559017677</v>
      </c>
      <c r="V7" s="250">
        <v>15.57371829</v>
      </c>
      <c r="W7" s="250">
        <v>15.626286</v>
      </c>
      <c r="X7" s="250">
        <v>16.177258354999999</v>
      </c>
      <c r="Y7" s="250">
        <v>16.818532333</v>
      </c>
      <c r="Z7" s="250">
        <v>16.519238387000001</v>
      </c>
      <c r="AA7" s="250">
        <v>16.397915096999998</v>
      </c>
      <c r="AB7" s="250">
        <v>16.826144143</v>
      </c>
      <c r="AC7" s="250">
        <v>17.243445129000001</v>
      </c>
      <c r="AD7" s="250">
        <v>17.319087667000002</v>
      </c>
      <c r="AE7" s="250">
        <v>17.368303870999998</v>
      </c>
      <c r="AF7" s="250">
        <v>17.591204999999999</v>
      </c>
      <c r="AG7" s="250">
        <v>17.967666161</v>
      </c>
      <c r="AH7" s="250">
        <v>18.642160419</v>
      </c>
      <c r="AI7" s="250">
        <v>18.702794000000001</v>
      </c>
      <c r="AJ7" s="250">
        <v>18.739716129000001</v>
      </c>
      <c r="AK7" s="250">
        <v>19.160768666999999</v>
      </c>
      <c r="AL7" s="250">
        <v>19.201910903000002</v>
      </c>
      <c r="AM7" s="250">
        <v>18.864000677</v>
      </c>
      <c r="AN7" s="250">
        <v>18.727576143</v>
      </c>
      <c r="AO7" s="250">
        <v>18.996404065</v>
      </c>
      <c r="AP7" s="250">
        <v>19.321884333</v>
      </c>
      <c r="AQ7" s="250">
        <v>19.408767258000001</v>
      </c>
      <c r="AR7" s="250">
        <v>19.328355999999999</v>
      </c>
      <c r="AS7" s="250">
        <v>18.957561677000001</v>
      </c>
      <c r="AT7" s="250">
        <v>19.625607419000001</v>
      </c>
      <c r="AU7" s="250">
        <v>19.764463332999998</v>
      </c>
      <c r="AV7" s="250">
        <v>19.989586355</v>
      </c>
      <c r="AW7" s="250">
        <v>20.328145332999998</v>
      </c>
      <c r="AX7" s="250">
        <v>20.299549194000001</v>
      </c>
      <c r="AY7" s="250">
        <v>20.417558452000002</v>
      </c>
      <c r="AZ7" s="250">
        <v>19.997953896999999</v>
      </c>
      <c r="BA7" s="250">
        <v>20.233451839000001</v>
      </c>
      <c r="BB7" s="250">
        <v>18.574151666999999</v>
      </c>
      <c r="BC7" s="250">
        <v>16.548510967999999</v>
      </c>
      <c r="BD7" s="250">
        <v>17.654889333</v>
      </c>
      <c r="BE7" s="250">
        <v>17.999049053</v>
      </c>
      <c r="BF7" s="250">
        <v>18.156162818999999</v>
      </c>
      <c r="BG7" s="403">
        <v>18.572030699999999</v>
      </c>
      <c r="BH7" s="403">
        <v>18.502948199999999</v>
      </c>
      <c r="BI7" s="403">
        <v>18.734051099999999</v>
      </c>
      <c r="BJ7" s="403">
        <v>18.639565699999999</v>
      </c>
      <c r="BK7" s="403">
        <v>18.383303099999999</v>
      </c>
      <c r="BL7" s="403">
        <v>18.349143000000002</v>
      </c>
      <c r="BM7" s="403">
        <v>18.6000947</v>
      </c>
      <c r="BN7" s="403">
        <v>18.675494499999999</v>
      </c>
      <c r="BO7" s="403">
        <v>18.772113399999999</v>
      </c>
      <c r="BP7" s="403">
        <v>18.720137000000001</v>
      </c>
      <c r="BQ7" s="403">
        <v>18.718821800000001</v>
      </c>
      <c r="BR7" s="403">
        <v>18.895344999999999</v>
      </c>
      <c r="BS7" s="403">
        <v>19.0379416</v>
      </c>
      <c r="BT7" s="403">
        <v>18.9786261</v>
      </c>
      <c r="BU7" s="403">
        <v>19.295058699999998</v>
      </c>
      <c r="BV7" s="403">
        <v>19.275113600000001</v>
      </c>
    </row>
    <row r="8" spans="1:74" ht="11.1" customHeight="1" x14ac:dyDescent="0.2">
      <c r="A8" s="162" t="s">
        <v>299</v>
      </c>
      <c r="B8" s="173" t="s">
        <v>273</v>
      </c>
      <c r="C8" s="250">
        <v>4.8172740000000003</v>
      </c>
      <c r="D8" s="250">
        <v>4.7372740000000002</v>
      </c>
      <c r="E8" s="250">
        <v>4.6572740000000001</v>
      </c>
      <c r="F8" s="250">
        <v>4.3192740000000001</v>
      </c>
      <c r="G8" s="250">
        <v>3.6812740000000002</v>
      </c>
      <c r="H8" s="250">
        <v>3.9822739999999999</v>
      </c>
      <c r="I8" s="250">
        <v>4.6072740000000003</v>
      </c>
      <c r="J8" s="250">
        <v>4.7452740000000002</v>
      </c>
      <c r="K8" s="250">
        <v>4.7492739999999998</v>
      </c>
      <c r="L8" s="250">
        <v>4.8132739999999998</v>
      </c>
      <c r="M8" s="250">
        <v>5.1352739999999999</v>
      </c>
      <c r="N8" s="250">
        <v>4.9182740000000003</v>
      </c>
      <c r="O8" s="250">
        <v>5.120139</v>
      </c>
      <c r="P8" s="250">
        <v>5.1401389999999996</v>
      </c>
      <c r="Q8" s="250">
        <v>4.910139</v>
      </c>
      <c r="R8" s="250">
        <v>4.5001389999999999</v>
      </c>
      <c r="S8" s="250">
        <v>4.6331389999999999</v>
      </c>
      <c r="T8" s="250">
        <v>4.6861389999999998</v>
      </c>
      <c r="U8" s="250">
        <v>4.963139</v>
      </c>
      <c r="V8" s="250">
        <v>5.1171389999999999</v>
      </c>
      <c r="W8" s="250">
        <v>4.9331389999999997</v>
      </c>
      <c r="X8" s="250">
        <v>4.9451390000000002</v>
      </c>
      <c r="Y8" s="250">
        <v>5.2731389999999996</v>
      </c>
      <c r="Z8" s="250">
        <v>5.3501390000000004</v>
      </c>
      <c r="AA8" s="250">
        <v>5.2341389999999999</v>
      </c>
      <c r="AB8" s="250">
        <v>5.3951390000000004</v>
      </c>
      <c r="AC8" s="250">
        <v>5.4341390000000001</v>
      </c>
      <c r="AD8" s="250">
        <v>5.0681390000000004</v>
      </c>
      <c r="AE8" s="250">
        <v>5.2191390000000002</v>
      </c>
      <c r="AF8" s="250">
        <v>5.1471390000000001</v>
      </c>
      <c r="AG8" s="250">
        <v>5.3611389999999997</v>
      </c>
      <c r="AH8" s="250">
        <v>5.6471390000000001</v>
      </c>
      <c r="AI8" s="250">
        <v>5.2241390000000001</v>
      </c>
      <c r="AJ8" s="250">
        <v>5.5401389999999999</v>
      </c>
      <c r="AK8" s="250">
        <v>5.6371390000000003</v>
      </c>
      <c r="AL8" s="250">
        <v>5.6671389999999997</v>
      </c>
      <c r="AM8" s="250">
        <v>5.3921390000000002</v>
      </c>
      <c r="AN8" s="250">
        <v>5.4131390000000001</v>
      </c>
      <c r="AO8" s="250">
        <v>5.4981390000000001</v>
      </c>
      <c r="AP8" s="250">
        <v>5.5421389999999997</v>
      </c>
      <c r="AQ8" s="250">
        <v>5.3671389999999999</v>
      </c>
      <c r="AR8" s="250">
        <v>5.5041390000000003</v>
      </c>
      <c r="AS8" s="250">
        <v>5.5001389999999999</v>
      </c>
      <c r="AT8" s="250">
        <v>5.527139</v>
      </c>
      <c r="AU8" s="250">
        <v>5.3841390000000002</v>
      </c>
      <c r="AV8" s="250">
        <v>5.455139</v>
      </c>
      <c r="AW8" s="250">
        <v>5.6481389999999996</v>
      </c>
      <c r="AX8" s="250">
        <v>5.793139</v>
      </c>
      <c r="AY8" s="250">
        <v>5.6011389999999999</v>
      </c>
      <c r="AZ8" s="250">
        <v>5.7171390000000004</v>
      </c>
      <c r="BA8" s="250">
        <v>5.636139</v>
      </c>
      <c r="BB8" s="250">
        <v>5.0151389999999996</v>
      </c>
      <c r="BC8" s="250">
        <v>4.7471389999999998</v>
      </c>
      <c r="BD8" s="250">
        <v>4.7390909382000004</v>
      </c>
      <c r="BE8" s="250">
        <v>4.8247232217000002</v>
      </c>
      <c r="BF8" s="250">
        <v>4.8536774399000002</v>
      </c>
      <c r="BG8" s="403">
        <v>4.7766991138000003</v>
      </c>
      <c r="BH8" s="403">
        <v>5.1081233804000004</v>
      </c>
      <c r="BI8" s="403">
        <v>5.3160278971999997</v>
      </c>
      <c r="BJ8" s="403">
        <v>5.4329925655000002</v>
      </c>
      <c r="BK8" s="403">
        <v>5.3785151527000004</v>
      </c>
      <c r="BL8" s="403">
        <v>5.3582219110000002</v>
      </c>
      <c r="BM8" s="403">
        <v>5.4187207052000002</v>
      </c>
      <c r="BN8" s="403">
        <v>5.4215614693000003</v>
      </c>
      <c r="BO8" s="403">
        <v>5.4917305147000004</v>
      </c>
      <c r="BP8" s="403">
        <v>5.5085195629000001</v>
      </c>
      <c r="BQ8" s="403">
        <v>5.4798529690000004</v>
      </c>
      <c r="BR8" s="403">
        <v>5.5167075131000001</v>
      </c>
      <c r="BS8" s="403">
        <v>5.5521593129999998</v>
      </c>
      <c r="BT8" s="403">
        <v>5.7488300612999996</v>
      </c>
      <c r="BU8" s="403">
        <v>5.7598749532999998</v>
      </c>
      <c r="BV8" s="403">
        <v>5.7069471802000002</v>
      </c>
    </row>
    <row r="9" spans="1:74" ht="11.1" customHeight="1" x14ac:dyDescent="0.2">
      <c r="A9" s="162" t="s">
        <v>300</v>
      </c>
      <c r="B9" s="173" t="s">
        <v>282</v>
      </c>
      <c r="C9" s="250">
        <v>2.6042209999999999</v>
      </c>
      <c r="D9" s="250">
        <v>2.5412210000000002</v>
      </c>
      <c r="E9" s="250">
        <v>2.5332210000000002</v>
      </c>
      <c r="F9" s="250">
        <v>2.5042209999999998</v>
      </c>
      <c r="G9" s="250">
        <v>2.502221</v>
      </c>
      <c r="H9" s="250">
        <v>2.526221</v>
      </c>
      <c r="I9" s="250">
        <v>2.502221</v>
      </c>
      <c r="J9" s="250">
        <v>2.490221</v>
      </c>
      <c r="K9" s="250">
        <v>2.4412210000000001</v>
      </c>
      <c r="L9" s="250">
        <v>2.418221</v>
      </c>
      <c r="M9" s="250">
        <v>2.3952209999999998</v>
      </c>
      <c r="N9" s="250">
        <v>2.3552209999999998</v>
      </c>
      <c r="O9" s="250">
        <v>2.341504</v>
      </c>
      <c r="P9" s="250">
        <v>2.3485040000000001</v>
      </c>
      <c r="Q9" s="250">
        <v>2.3445040000000001</v>
      </c>
      <c r="R9" s="250">
        <v>2.329504</v>
      </c>
      <c r="S9" s="250">
        <v>2.3345039999999999</v>
      </c>
      <c r="T9" s="250">
        <v>2.3235039999999998</v>
      </c>
      <c r="U9" s="250">
        <v>2.2955040000000002</v>
      </c>
      <c r="V9" s="250">
        <v>2.220504</v>
      </c>
      <c r="W9" s="250">
        <v>2.0165039999999999</v>
      </c>
      <c r="X9" s="250">
        <v>2.1875040000000001</v>
      </c>
      <c r="Y9" s="250">
        <v>2.1335039999999998</v>
      </c>
      <c r="Z9" s="250">
        <v>2.1345040000000002</v>
      </c>
      <c r="AA9" s="250">
        <v>2.2035040000000001</v>
      </c>
      <c r="AB9" s="250">
        <v>2.1665040000000002</v>
      </c>
      <c r="AC9" s="250">
        <v>2.1295039999999998</v>
      </c>
      <c r="AD9" s="250">
        <v>2.1625040000000002</v>
      </c>
      <c r="AE9" s="250">
        <v>2.1275040000000001</v>
      </c>
      <c r="AF9" s="250">
        <v>2.1095039999999998</v>
      </c>
      <c r="AG9" s="250">
        <v>2.1065040000000002</v>
      </c>
      <c r="AH9" s="250">
        <v>2.0725039999999999</v>
      </c>
      <c r="AI9" s="250">
        <v>2.0815039999999998</v>
      </c>
      <c r="AJ9" s="250">
        <v>1.9835039999999999</v>
      </c>
      <c r="AK9" s="250">
        <v>1.932504</v>
      </c>
      <c r="AL9" s="250">
        <v>1.944504</v>
      </c>
      <c r="AM9" s="250">
        <v>1.861504</v>
      </c>
      <c r="AN9" s="250">
        <v>1.942504</v>
      </c>
      <c r="AO9" s="250">
        <v>1.9355039999999999</v>
      </c>
      <c r="AP9" s="250">
        <v>1.9155040000000001</v>
      </c>
      <c r="AQ9" s="250">
        <v>1.8995040000000001</v>
      </c>
      <c r="AR9" s="250">
        <v>1.9035040000000001</v>
      </c>
      <c r="AS9" s="250">
        <v>1.900504</v>
      </c>
      <c r="AT9" s="250">
        <v>1.928504</v>
      </c>
      <c r="AU9" s="250">
        <v>1.956504</v>
      </c>
      <c r="AV9" s="250">
        <v>1.902504</v>
      </c>
      <c r="AW9" s="250">
        <v>1.9395039999999999</v>
      </c>
      <c r="AX9" s="250">
        <v>1.9555039999999999</v>
      </c>
      <c r="AY9" s="250">
        <v>1.9955039999999999</v>
      </c>
      <c r="AZ9" s="250">
        <v>1.9975039999999999</v>
      </c>
      <c r="BA9" s="250">
        <v>2.0145040000000001</v>
      </c>
      <c r="BB9" s="250">
        <v>2.0005039999999998</v>
      </c>
      <c r="BC9" s="250">
        <v>1.914504</v>
      </c>
      <c r="BD9" s="250">
        <v>1.9058496492000001</v>
      </c>
      <c r="BE9" s="250">
        <v>1.8793639685000001</v>
      </c>
      <c r="BF9" s="250">
        <v>1.8016117021</v>
      </c>
      <c r="BG9" s="403">
        <v>1.7898139056</v>
      </c>
      <c r="BH9" s="403">
        <v>1.7783907903</v>
      </c>
      <c r="BI9" s="403">
        <v>1.7720594444</v>
      </c>
      <c r="BJ9" s="403">
        <v>1.7723079603</v>
      </c>
      <c r="BK9" s="403">
        <v>1.7831599627000001</v>
      </c>
      <c r="BL9" s="403">
        <v>1.8008988341000001</v>
      </c>
      <c r="BM9" s="403">
        <v>1.8121055598</v>
      </c>
      <c r="BN9" s="403">
        <v>1.8120406524999999</v>
      </c>
      <c r="BO9" s="403">
        <v>1.8121131463</v>
      </c>
      <c r="BP9" s="403">
        <v>1.7839839514</v>
      </c>
      <c r="BQ9" s="403">
        <v>1.7726501621999999</v>
      </c>
      <c r="BR9" s="403">
        <v>1.7613026199999999</v>
      </c>
      <c r="BS9" s="403">
        <v>1.7500115089999999</v>
      </c>
      <c r="BT9" s="403">
        <v>1.7498423582</v>
      </c>
      <c r="BU9" s="403">
        <v>1.7500484133</v>
      </c>
      <c r="BV9" s="403">
        <v>1.7501337597</v>
      </c>
    </row>
    <row r="10" spans="1:74" ht="11.1" customHeight="1" x14ac:dyDescent="0.2">
      <c r="A10" s="162" t="s">
        <v>301</v>
      </c>
      <c r="B10" s="173" t="s">
        <v>276</v>
      </c>
      <c r="C10" s="250">
        <v>5.124606</v>
      </c>
      <c r="D10" s="250">
        <v>5.1019750000000004</v>
      </c>
      <c r="E10" s="250">
        <v>5.0558170000000002</v>
      </c>
      <c r="F10" s="250">
        <v>5.0127569999999997</v>
      </c>
      <c r="G10" s="250">
        <v>4.9215499999999999</v>
      </c>
      <c r="H10" s="250">
        <v>4.6960110000000004</v>
      </c>
      <c r="I10" s="250">
        <v>5.1209189999999998</v>
      </c>
      <c r="J10" s="250">
        <v>4.8259990000000004</v>
      </c>
      <c r="K10" s="250">
        <v>4.4723879999999996</v>
      </c>
      <c r="L10" s="250">
        <v>4.9576359999999999</v>
      </c>
      <c r="M10" s="250">
        <v>5.1738030000000004</v>
      </c>
      <c r="N10" s="250">
        <v>5.0389270000000002</v>
      </c>
      <c r="O10" s="250">
        <v>4.9168750000000001</v>
      </c>
      <c r="P10" s="250">
        <v>4.9488750000000001</v>
      </c>
      <c r="Q10" s="250">
        <v>5.0248749999999998</v>
      </c>
      <c r="R10" s="250">
        <v>4.9448749999999997</v>
      </c>
      <c r="S10" s="250">
        <v>4.7918750000000001</v>
      </c>
      <c r="T10" s="250">
        <v>4.6928749999999999</v>
      </c>
      <c r="U10" s="250">
        <v>4.8388749999999998</v>
      </c>
      <c r="V10" s="250">
        <v>4.6648750000000003</v>
      </c>
      <c r="W10" s="250">
        <v>4.5678749999999999</v>
      </c>
      <c r="X10" s="250">
        <v>4.8178749999999999</v>
      </c>
      <c r="Y10" s="250">
        <v>4.7618749999999999</v>
      </c>
      <c r="Z10" s="250">
        <v>4.5498750000000001</v>
      </c>
      <c r="AA10" s="250">
        <v>4.9997999999999996</v>
      </c>
      <c r="AB10" s="250">
        <v>4.8958000000000004</v>
      </c>
      <c r="AC10" s="250">
        <v>4.7808000000000002</v>
      </c>
      <c r="AD10" s="250">
        <v>4.8757999999999999</v>
      </c>
      <c r="AE10" s="250">
        <v>4.5317999999999996</v>
      </c>
      <c r="AF10" s="250">
        <v>4.6947999999999999</v>
      </c>
      <c r="AG10" s="250">
        <v>4.8487999999999998</v>
      </c>
      <c r="AH10" s="250">
        <v>4.6618000000000004</v>
      </c>
      <c r="AI10" s="250">
        <v>4.4417999999999997</v>
      </c>
      <c r="AJ10" s="250">
        <v>4.8548</v>
      </c>
      <c r="AK10" s="250">
        <v>4.8937999999999997</v>
      </c>
      <c r="AL10" s="250">
        <v>4.9218000000000002</v>
      </c>
      <c r="AM10" s="250">
        <v>4.8297999999999996</v>
      </c>
      <c r="AN10" s="250">
        <v>4.8697999999999997</v>
      </c>
      <c r="AO10" s="250">
        <v>4.8468</v>
      </c>
      <c r="AP10" s="250">
        <v>4.7778</v>
      </c>
      <c r="AQ10" s="250">
        <v>4.6148400000000001</v>
      </c>
      <c r="AR10" s="250">
        <v>4.3888400000000001</v>
      </c>
      <c r="AS10" s="250">
        <v>4.70784</v>
      </c>
      <c r="AT10" s="250">
        <v>4.5667999999999997</v>
      </c>
      <c r="AU10" s="250">
        <v>4.6257999999999999</v>
      </c>
      <c r="AV10" s="250">
        <v>4.8028000000000004</v>
      </c>
      <c r="AW10" s="250">
        <v>5.0518000000000001</v>
      </c>
      <c r="AX10" s="250">
        <v>5.1067999999999998</v>
      </c>
      <c r="AY10" s="250">
        <v>5.0157100000000003</v>
      </c>
      <c r="AZ10" s="250">
        <v>5.0967099999999999</v>
      </c>
      <c r="BA10" s="250">
        <v>4.9957099999999999</v>
      </c>
      <c r="BB10" s="250">
        <v>5.1711099999999997</v>
      </c>
      <c r="BC10" s="250">
        <v>4.9931099999999997</v>
      </c>
      <c r="BD10" s="250">
        <v>4.7284561346</v>
      </c>
      <c r="BE10" s="250">
        <v>4.9417495200000001</v>
      </c>
      <c r="BF10" s="250">
        <v>4.8597128722000003</v>
      </c>
      <c r="BG10" s="403">
        <v>4.6472129438999996</v>
      </c>
      <c r="BH10" s="403">
        <v>4.9839939826000004</v>
      </c>
      <c r="BI10" s="403">
        <v>4.9710444843000001</v>
      </c>
      <c r="BJ10" s="403">
        <v>4.9609011392999998</v>
      </c>
      <c r="BK10" s="403">
        <v>4.9804528416</v>
      </c>
      <c r="BL10" s="403">
        <v>5.0233369896999998</v>
      </c>
      <c r="BM10" s="403">
        <v>5.0174106040000002</v>
      </c>
      <c r="BN10" s="403">
        <v>4.8028528158999997</v>
      </c>
      <c r="BO10" s="403">
        <v>4.739142577</v>
      </c>
      <c r="BP10" s="403">
        <v>4.9136819448000004</v>
      </c>
      <c r="BQ10" s="403">
        <v>4.9854380092000001</v>
      </c>
      <c r="BR10" s="403">
        <v>4.9559311873</v>
      </c>
      <c r="BS10" s="403">
        <v>4.7962942905999997</v>
      </c>
      <c r="BT10" s="403">
        <v>5.0959889114000001</v>
      </c>
      <c r="BU10" s="403">
        <v>5.1140406767000002</v>
      </c>
      <c r="BV10" s="403">
        <v>5.1266651054999999</v>
      </c>
    </row>
    <row r="11" spans="1:74" ht="11.1" customHeight="1" x14ac:dyDescent="0.2">
      <c r="A11" s="162" t="s">
        <v>308</v>
      </c>
      <c r="B11" s="173" t="s">
        <v>277</v>
      </c>
      <c r="C11" s="250">
        <v>70.384902929000006</v>
      </c>
      <c r="D11" s="250">
        <v>69.856311223000006</v>
      </c>
      <c r="E11" s="250">
        <v>69.912313791000003</v>
      </c>
      <c r="F11" s="250">
        <v>70.223213829000002</v>
      </c>
      <c r="G11" s="250">
        <v>70.306249472999994</v>
      </c>
      <c r="H11" s="250">
        <v>70.927372367000004</v>
      </c>
      <c r="I11" s="250">
        <v>70.948178282000001</v>
      </c>
      <c r="J11" s="250">
        <v>70.309075758000006</v>
      </c>
      <c r="K11" s="250">
        <v>71.031942846000007</v>
      </c>
      <c r="L11" s="250">
        <v>71.389118752000002</v>
      </c>
      <c r="M11" s="250">
        <v>71.853474094000006</v>
      </c>
      <c r="N11" s="250">
        <v>71.397651338000003</v>
      </c>
      <c r="O11" s="250">
        <v>70.270381373000006</v>
      </c>
      <c r="P11" s="250">
        <v>69.950011861999997</v>
      </c>
      <c r="Q11" s="250">
        <v>69.274856358999997</v>
      </c>
      <c r="R11" s="250">
        <v>69.678323343000002</v>
      </c>
      <c r="S11" s="250">
        <v>70.424410777999995</v>
      </c>
      <c r="T11" s="250">
        <v>71.207780928000005</v>
      </c>
      <c r="U11" s="250">
        <v>71.451495102999999</v>
      </c>
      <c r="V11" s="250">
        <v>70.775725223999999</v>
      </c>
      <c r="W11" s="250">
        <v>71.311714488999996</v>
      </c>
      <c r="X11" s="250">
        <v>70.842893020999995</v>
      </c>
      <c r="Y11" s="250">
        <v>70.580754596999995</v>
      </c>
      <c r="Z11" s="250">
        <v>70.257718847999996</v>
      </c>
      <c r="AA11" s="250">
        <v>70.370365135</v>
      </c>
      <c r="AB11" s="250">
        <v>70.180130366</v>
      </c>
      <c r="AC11" s="250">
        <v>70.031776371000007</v>
      </c>
      <c r="AD11" s="250">
        <v>70.261180316999997</v>
      </c>
      <c r="AE11" s="250">
        <v>70.379179241000003</v>
      </c>
      <c r="AF11" s="250">
        <v>70.922949555000002</v>
      </c>
      <c r="AG11" s="250">
        <v>70.946337318000005</v>
      </c>
      <c r="AH11" s="250">
        <v>70.787748867999994</v>
      </c>
      <c r="AI11" s="250">
        <v>71.219571985000002</v>
      </c>
      <c r="AJ11" s="250">
        <v>71.436399944000001</v>
      </c>
      <c r="AK11" s="250">
        <v>71.063683828999999</v>
      </c>
      <c r="AL11" s="250">
        <v>70.281569142999999</v>
      </c>
      <c r="AM11" s="250">
        <v>69.509985864000001</v>
      </c>
      <c r="AN11" s="250">
        <v>69.276060845000003</v>
      </c>
      <c r="AO11" s="250">
        <v>69.057860551999994</v>
      </c>
      <c r="AP11" s="250">
        <v>68.965931455000003</v>
      </c>
      <c r="AQ11" s="250">
        <v>69.016220207000003</v>
      </c>
      <c r="AR11" s="250">
        <v>69.512573931999995</v>
      </c>
      <c r="AS11" s="250">
        <v>69.018966215999995</v>
      </c>
      <c r="AT11" s="250">
        <v>69.613472443000006</v>
      </c>
      <c r="AU11" s="250">
        <v>67.423137604000004</v>
      </c>
      <c r="AV11" s="250">
        <v>69.266535157999996</v>
      </c>
      <c r="AW11" s="250">
        <v>69.052649853000005</v>
      </c>
      <c r="AX11" s="250">
        <v>68.608842999999993</v>
      </c>
      <c r="AY11" s="250">
        <v>68.389610000000005</v>
      </c>
      <c r="AZ11" s="250">
        <v>67.499917999999994</v>
      </c>
      <c r="BA11" s="250">
        <v>67.711282999999995</v>
      </c>
      <c r="BB11" s="250">
        <v>69.547445999999994</v>
      </c>
      <c r="BC11" s="250">
        <v>60.336939000000001</v>
      </c>
      <c r="BD11" s="250">
        <v>59.102774519</v>
      </c>
      <c r="BE11" s="250">
        <v>60.066969049000001</v>
      </c>
      <c r="BF11" s="250">
        <v>61.877743772999999</v>
      </c>
      <c r="BG11" s="403">
        <v>62.050984024999998</v>
      </c>
      <c r="BH11" s="403">
        <v>62.747353201999999</v>
      </c>
      <c r="BI11" s="403">
        <v>63.758237395000002</v>
      </c>
      <c r="BJ11" s="403">
        <v>64.579221047000004</v>
      </c>
      <c r="BK11" s="403">
        <v>66.210548865999996</v>
      </c>
      <c r="BL11" s="403">
        <v>66.333374552999999</v>
      </c>
      <c r="BM11" s="403">
        <v>66.547283766999996</v>
      </c>
      <c r="BN11" s="403">
        <v>68.177073514</v>
      </c>
      <c r="BO11" s="403">
        <v>68.499992449000004</v>
      </c>
      <c r="BP11" s="403">
        <v>68.735877032999994</v>
      </c>
      <c r="BQ11" s="403">
        <v>68.972998961000002</v>
      </c>
      <c r="BR11" s="403">
        <v>69.072833908999996</v>
      </c>
      <c r="BS11" s="403">
        <v>69.502637480000004</v>
      </c>
      <c r="BT11" s="403">
        <v>69.312635749999998</v>
      </c>
      <c r="BU11" s="403">
        <v>69.051616801999998</v>
      </c>
      <c r="BV11" s="403">
        <v>68.634682751</v>
      </c>
    </row>
    <row r="12" spans="1:74" ht="11.1" customHeight="1" x14ac:dyDescent="0.2">
      <c r="A12" s="162" t="s">
        <v>303</v>
      </c>
      <c r="B12" s="173" t="s">
        <v>906</v>
      </c>
      <c r="C12" s="250">
        <v>36.721809929000003</v>
      </c>
      <c r="D12" s="250">
        <v>36.246824222999997</v>
      </c>
      <c r="E12" s="250">
        <v>36.486632790999998</v>
      </c>
      <c r="F12" s="250">
        <v>36.574193829000002</v>
      </c>
      <c r="G12" s="250">
        <v>36.447247472999997</v>
      </c>
      <c r="H12" s="250">
        <v>36.879920366999997</v>
      </c>
      <c r="I12" s="250">
        <v>37.083430282000002</v>
      </c>
      <c r="J12" s="250">
        <v>36.954797757999998</v>
      </c>
      <c r="K12" s="250">
        <v>36.958142846000001</v>
      </c>
      <c r="L12" s="250">
        <v>37.285419752000003</v>
      </c>
      <c r="M12" s="250">
        <v>37.763553094000002</v>
      </c>
      <c r="N12" s="250">
        <v>37.505038337999999</v>
      </c>
      <c r="O12" s="250">
        <v>36.725666373000003</v>
      </c>
      <c r="P12" s="250">
        <v>36.525747862000003</v>
      </c>
      <c r="Q12" s="250">
        <v>36.038834358999999</v>
      </c>
      <c r="R12" s="250">
        <v>36.252785342999999</v>
      </c>
      <c r="S12" s="250">
        <v>36.730958778000002</v>
      </c>
      <c r="T12" s="250">
        <v>37.119953928000001</v>
      </c>
      <c r="U12" s="250">
        <v>37.354404103</v>
      </c>
      <c r="V12" s="250">
        <v>37.152245223999998</v>
      </c>
      <c r="W12" s="250">
        <v>37.319086489</v>
      </c>
      <c r="X12" s="250">
        <v>37.056149021000003</v>
      </c>
      <c r="Y12" s="250">
        <v>36.900952597</v>
      </c>
      <c r="Z12" s="250">
        <v>36.826440847999997</v>
      </c>
      <c r="AA12" s="250">
        <v>37.118514677999997</v>
      </c>
      <c r="AB12" s="250">
        <v>36.960571043000002</v>
      </c>
      <c r="AC12" s="250">
        <v>36.713938104999997</v>
      </c>
      <c r="AD12" s="250">
        <v>36.607613669000003</v>
      </c>
      <c r="AE12" s="250">
        <v>36.478132500000001</v>
      </c>
      <c r="AF12" s="250">
        <v>36.528450100999997</v>
      </c>
      <c r="AG12" s="250">
        <v>36.575284267999997</v>
      </c>
      <c r="AH12" s="250">
        <v>36.832812867999998</v>
      </c>
      <c r="AI12" s="250">
        <v>37.021510999999997</v>
      </c>
      <c r="AJ12" s="250">
        <v>37.163511</v>
      </c>
      <c r="AK12" s="250">
        <v>36.928511</v>
      </c>
      <c r="AL12" s="250">
        <v>36.133510999999999</v>
      </c>
      <c r="AM12" s="250">
        <v>35.604509999999998</v>
      </c>
      <c r="AN12" s="250">
        <v>35.560510000000001</v>
      </c>
      <c r="AO12" s="250">
        <v>35.092509999999997</v>
      </c>
      <c r="AP12" s="250">
        <v>35.135509999999996</v>
      </c>
      <c r="AQ12" s="250">
        <v>34.768509999999999</v>
      </c>
      <c r="AR12" s="250">
        <v>34.919510000000002</v>
      </c>
      <c r="AS12" s="250">
        <v>34.410510000000002</v>
      </c>
      <c r="AT12" s="250">
        <v>34.61551</v>
      </c>
      <c r="AU12" s="250">
        <v>32.632510000000003</v>
      </c>
      <c r="AV12" s="250">
        <v>34.473509999999997</v>
      </c>
      <c r="AW12" s="250">
        <v>34.314509999999999</v>
      </c>
      <c r="AX12" s="250">
        <v>34.287509999999997</v>
      </c>
      <c r="AY12" s="250">
        <v>33.943510000000003</v>
      </c>
      <c r="AZ12" s="250">
        <v>33.303510000000003</v>
      </c>
      <c r="BA12" s="250">
        <v>33.41451</v>
      </c>
      <c r="BB12" s="250">
        <v>35.541510000000002</v>
      </c>
      <c r="BC12" s="250">
        <v>28.912510000000001</v>
      </c>
      <c r="BD12" s="250">
        <v>27.163211638</v>
      </c>
      <c r="BE12" s="250">
        <v>27.812088757000001</v>
      </c>
      <c r="BF12" s="250">
        <v>28.818927780999999</v>
      </c>
      <c r="BG12" s="403">
        <v>28.810194161999998</v>
      </c>
      <c r="BH12" s="403">
        <v>29.415557213</v>
      </c>
      <c r="BI12" s="403">
        <v>30.581847801999999</v>
      </c>
      <c r="BJ12" s="403">
        <v>31.491578338</v>
      </c>
      <c r="BK12" s="403">
        <v>32.929351121000003</v>
      </c>
      <c r="BL12" s="403">
        <v>33.201256094999998</v>
      </c>
      <c r="BM12" s="403">
        <v>33.271191096000003</v>
      </c>
      <c r="BN12" s="403">
        <v>34.156280033000002</v>
      </c>
      <c r="BO12" s="403">
        <v>34.22360647</v>
      </c>
      <c r="BP12" s="403">
        <v>34.213307309999998</v>
      </c>
      <c r="BQ12" s="403">
        <v>34.262438811999999</v>
      </c>
      <c r="BR12" s="403">
        <v>34.271320222999996</v>
      </c>
      <c r="BS12" s="403">
        <v>34.280327976000002</v>
      </c>
      <c r="BT12" s="403">
        <v>34.288756812999999</v>
      </c>
      <c r="BU12" s="403">
        <v>34.298422473999999</v>
      </c>
      <c r="BV12" s="403">
        <v>34.287828001000001</v>
      </c>
    </row>
    <row r="13" spans="1:74" ht="11.1" customHeight="1" x14ac:dyDescent="0.2">
      <c r="A13" s="162" t="s">
        <v>304</v>
      </c>
      <c r="B13" s="173" t="s">
        <v>283</v>
      </c>
      <c r="C13" s="250">
        <v>31.489542</v>
      </c>
      <c r="D13" s="250">
        <v>31.065529999999999</v>
      </c>
      <c r="E13" s="250">
        <v>31.159545000000001</v>
      </c>
      <c r="F13" s="250">
        <v>31.266058000000001</v>
      </c>
      <c r="G13" s="250">
        <v>31.291350999999999</v>
      </c>
      <c r="H13" s="250">
        <v>31.725463000000001</v>
      </c>
      <c r="I13" s="250">
        <v>31.809995000000001</v>
      </c>
      <c r="J13" s="250">
        <v>31.683743</v>
      </c>
      <c r="K13" s="250">
        <v>31.735520000000001</v>
      </c>
      <c r="L13" s="250">
        <v>31.999327000000001</v>
      </c>
      <c r="M13" s="250">
        <v>32.391314999999999</v>
      </c>
      <c r="N13" s="250">
        <v>32.249707999999998</v>
      </c>
      <c r="O13" s="250">
        <v>31.31</v>
      </c>
      <c r="P13" s="250">
        <v>31.192</v>
      </c>
      <c r="Q13" s="250">
        <v>30.815000000000001</v>
      </c>
      <c r="R13" s="250">
        <v>30.896000000000001</v>
      </c>
      <c r="S13" s="250">
        <v>31.399000000000001</v>
      </c>
      <c r="T13" s="250">
        <v>31.83</v>
      </c>
      <c r="U13" s="250">
        <v>32.049999999999997</v>
      </c>
      <c r="V13" s="250">
        <v>31.917000000000002</v>
      </c>
      <c r="W13" s="250">
        <v>32.064999999999998</v>
      </c>
      <c r="X13" s="250">
        <v>31.87</v>
      </c>
      <c r="Y13" s="250">
        <v>31.611000000000001</v>
      </c>
      <c r="Z13" s="250">
        <v>31.477</v>
      </c>
      <c r="AA13" s="250">
        <v>31.756</v>
      </c>
      <c r="AB13" s="250">
        <v>31.585999999999999</v>
      </c>
      <c r="AC13" s="250">
        <v>31.408999999999999</v>
      </c>
      <c r="AD13" s="250">
        <v>31.343</v>
      </c>
      <c r="AE13" s="250">
        <v>31.228000000000002</v>
      </c>
      <c r="AF13" s="250">
        <v>31.228999999999999</v>
      </c>
      <c r="AG13" s="250">
        <v>31.286000000000001</v>
      </c>
      <c r="AH13" s="250">
        <v>31.53</v>
      </c>
      <c r="AI13" s="250">
        <v>31.666</v>
      </c>
      <c r="AJ13" s="250">
        <v>31.841000000000001</v>
      </c>
      <c r="AK13" s="250">
        <v>31.596</v>
      </c>
      <c r="AL13" s="250">
        <v>30.815999999999999</v>
      </c>
      <c r="AM13" s="250">
        <v>30.155999999999999</v>
      </c>
      <c r="AN13" s="250">
        <v>30.091000000000001</v>
      </c>
      <c r="AO13" s="250">
        <v>29.594999999999999</v>
      </c>
      <c r="AP13" s="250">
        <v>29.655000000000001</v>
      </c>
      <c r="AQ13" s="250">
        <v>29.335000000000001</v>
      </c>
      <c r="AR13" s="250">
        <v>29.425000000000001</v>
      </c>
      <c r="AS13" s="250">
        <v>29.004999999999999</v>
      </c>
      <c r="AT13" s="250">
        <v>29.245000000000001</v>
      </c>
      <c r="AU13" s="250">
        <v>27.684999999999999</v>
      </c>
      <c r="AV13" s="250">
        <v>29.145</v>
      </c>
      <c r="AW13" s="250">
        <v>29.004999999999999</v>
      </c>
      <c r="AX13" s="250">
        <v>28.905000000000001</v>
      </c>
      <c r="AY13" s="250">
        <v>28.67</v>
      </c>
      <c r="AZ13" s="250">
        <v>28.02</v>
      </c>
      <c r="BA13" s="250">
        <v>28.14</v>
      </c>
      <c r="BB13" s="250">
        <v>30.324999999999999</v>
      </c>
      <c r="BC13" s="250">
        <v>24.28</v>
      </c>
      <c r="BD13" s="250">
        <v>22.35</v>
      </c>
      <c r="BE13" s="250">
        <v>23.024999999999999</v>
      </c>
      <c r="BF13" s="250">
        <v>23.98</v>
      </c>
      <c r="BG13" s="403">
        <v>23.95</v>
      </c>
      <c r="BH13" s="403">
        <v>24.59</v>
      </c>
      <c r="BI13" s="403">
        <v>25.69</v>
      </c>
      <c r="BJ13" s="403">
        <v>26.504999999999999</v>
      </c>
      <c r="BK13" s="403">
        <v>27.86</v>
      </c>
      <c r="BL13" s="403">
        <v>28.16</v>
      </c>
      <c r="BM13" s="403">
        <v>28.26</v>
      </c>
      <c r="BN13" s="403">
        <v>29.175000000000001</v>
      </c>
      <c r="BO13" s="403">
        <v>29.261825999999999</v>
      </c>
      <c r="BP13" s="403">
        <v>29.250485999999999</v>
      </c>
      <c r="BQ13" s="403">
        <v>29.299146</v>
      </c>
      <c r="BR13" s="403">
        <v>29.307805999999999</v>
      </c>
      <c r="BS13" s="403">
        <v>29.316465000000001</v>
      </c>
      <c r="BT13" s="403">
        <v>29.325125</v>
      </c>
      <c r="BU13" s="403">
        <v>29.333784999999999</v>
      </c>
      <c r="BV13" s="403">
        <v>29.322444000000001</v>
      </c>
    </row>
    <row r="14" spans="1:74" ht="11.1" customHeight="1" x14ac:dyDescent="0.2">
      <c r="A14" s="162" t="s">
        <v>385</v>
      </c>
      <c r="B14" s="173" t="s">
        <v>1052</v>
      </c>
      <c r="C14" s="250">
        <v>5.2322679292999998</v>
      </c>
      <c r="D14" s="250">
        <v>5.1812942231000001</v>
      </c>
      <c r="E14" s="250">
        <v>5.3270877905000003</v>
      </c>
      <c r="F14" s="250">
        <v>5.3081358289000002</v>
      </c>
      <c r="G14" s="250">
        <v>5.1558964726000003</v>
      </c>
      <c r="H14" s="250">
        <v>5.1544573673</v>
      </c>
      <c r="I14" s="250">
        <v>5.2734352818000003</v>
      </c>
      <c r="J14" s="250">
        <v>5.2710547582</v>
      </c>
      <c r="K14" s="250">
        <v>5.2226228460000002</v>
      </c>
      <c r="L14" s="250">
        <v>5.2860927522000001</v>
      </c>
      <c r="M14" s="250">
        <v>5.3722380945000001</v>
      </c>
      <c r="N14" s="250">
        <v>5.2553303384000003</v>
      </c>
      <c r="O14" s="250">
        <v>5.4156663730999997</v>
      </c>
      <c r="P14" s="250">
        <v>5.3337478620000001</v>
      </c>
      <c r="Q14" s="250">
        <v>5.2238343589999996</v>
      </c>
      <c r="R14" s="250">
        <v>5.3567853429000003</v>
      </c>
      <c r="S14" s="250">
        <v>5.3319587780999997</v>
      </c>
      <c r="T14" s="250">
        <v>5.2899539275</v>
      </c>
      <c r="U14" s="250">
        <v>5.3044041030000004</v>
      </c>
      <c r="V14" s="250">
        <v>5.2352452238999998</v>
      </c>
      <c r="W14" s="250">
        <v>5.2540864887999996</v>
      </c>
      <c r="X14" s="250">
        <v>5.1861490206000003</v>
      </c>
      <c r="Y14" s="250">
        <v>5.2899525972000001</v>
      </c>
      <c r="Z14" s="250">
        <v>5.3494408478000004</v>
      </c>
      <c r="AA14" s="250">
        <v>5.3625146775000001</v>
      </c>
      <c r="AB14" s="250">
        <v>5.3745710431999996</v>
      </c>
      <c r="AC14" s="250">
        <v>5.3049381048999997</v>
      </c>
      <c r="AD14" s="250">
        <v>5.2646136694000001</v>
      </c>
      <c r="AE14" s="250">
        <v>5.2501324999000003</v>
      </c>
      <c r="AF14" s="250">
        <v>5.2994501010999997</v>
      </c>
      <c r="AG14" s="250">
        <v>5.2892842677000003</v>
      </c>
      <c r="AH14" s="250">
        <v>5.3028128678000002</v>
      </c>
      <c r="AI14" s="250">
        <v>5.3555109999999999</v>
      </c>
      <c r="AJ14" s="250">
        <v>5.3225110000000004</v>
      </c>
      <c r="AK14" s="250">
        <v>5.3325110000000002</v>
      </c>
      <c r="AL14" s="250">
        <v>5.3175109999999997</v>
      </c>
      <c r="AM14" s="250">
        <v>5.4485099999999997</v>
      </c>
      <c r="AN14" s="250">
        <v>5.4695099999999996</v>
      </c>
      <c r="AO14" s="250">
        <v>5.4975100000000001</v>
      </c>
      <c r="AP14" s="250">
        <v>5.4805099999999998</v>
      </c>
      <c r="AQ14" s="250">
        <v>5.4335100000000001</v>
      </c>
      <c r="AR14" s="250">
        <v>5.49451</v>
      </c>
      <c r="AS14" s="250">
        <v>5.4055099999999996</v>
      </c>
      <c r="AT14" s="250">
        <v>5.3705100000000003</v>
      </c>
      <c r="AU14" s="250">
        <v>4.9475100000000003</v>
      </c>
      <c r="AV14" s="250">
        <v>5.3285099999999996</v>
      </c>
      <c r="AW14" s="250">
        <v>5.3095100000000004</v>
      </c>
      <c r="AX14" s="250">
        <v>5.3825099999999999</v>
      </c>
      <c r="AY14" s="250">
        <v>5.2735099999999999</v>
      </c>
      <c r="AZ14" s="250">
        <v>5.2835099999999997</v>
      </c>
      <c r="BA14" s="250">
        <v>5.2745100000000003</v>
      </c>
      <c r="BB14" s="250">
        <v>5.2165100000000004</v>
      </c>
      <c r="BC14" s="250">
        <v>4.6325099999999999</v>
      </c>
      <c r="BD14" s="250">
        <v>4.8132116382000003</v>
      </c>
      <c r="BE14" s="250">
        <v>4.7870887569000002</v>
      </c>
      <c r="BF14" s="250">
        <v>4.8389277804999997</v>
      </c>
      <c r="BG14" s="403">
        <v>4.8601941619</v>
      </c>
      <c r="BH14" s="403">
        <v>4.8255572129999997</v>
      </c>
      <c r="BI14" s="403">
        <v>4.8918478023</v>
      </c>
      <c r="BJ14" s="403">
        <v>4.9865783377000001</v>
      </c>
      <c r="BK14" s="403">
        <v>5.0693511205000004</v>
      </c>
      <c r="BL14" s="403">
        <v>5.0412560950999996</v>
      </c>
      <c r="BM14" s="403">
        <v>5.0111910955000001</v>
      </c>
      <c r="BN14" s="403">
        <v>4.9812800328</v>
      </c>
      <c r="BO14" s="403">
        <v>4.9617804698999999</v>
      </c>
      <c r="BP14" s="403">
        <v>4.9628213095999998</v>
      </c>
      <c r="BQ14" s="403">
        <v>4.9632928115999997</v>
      </c>
      <c r="BR14" s="403">
        <v>4.9635142228999998</v>
      </c>
      <c r="BS14" s="403">
        <v>4.9638629761999997</v>
      </c>
      <c r="BT14" s="403">
        <v>4.9636318126000001</v>
      </c>
      <c r="BU14" s="403">
        <v>4.9646374743999999</v>
      </c>
      <c r="BV14" s="403">
        <v>4.9653840007000003</v>
      </c>
    </row>
    <row r="15" spans="1:74" ht="11.1" customHeight="1" x14ac:dyDescent="0.2">
      <c r="A15" s="162" t="s">
        <v>305</v>
      </c>
      <c r="B15" s="173" t="s">
        <v>278</v>
      </c>
      <c r="C15" s="250">
        <v>14.325063</v>
      </c>
      <c r="D15" s="250">
        <v>14.342063</v>
      </c>
      <c r="E15" s="250">
        <v>14.385063000000001</v>
      </c>
      <c r="F15" s="250">
        <v>14.138063000000001</v>
      </c>
      <c r="G15" s="250">
        <v>14.031063</v>
      </c>
      <c r="H15" s="250">
        <v>14.173063000000001</v>
      </c>
      <c r="I15" s="250">
        <v>13.946063000000001</v>
      </c>
      <c r="J15" s="250">
        <v>13.623063</v>
      </c>
      <c r="K15" s="250">
        <v>14.230062999999999</v>
      </c>
      <c r="L15" s="250">
        <v>14.525062999999999</v>
      </c>
      <c r="M15" s="250">
        <v>14.506062999999999</v>
      </c>
      <c r="N15" s="250">
        <v>14.575063</v>
      </c>
      <c r="O15" s="250">
        <v>14.474062999999999</v>
      </c>
      <c r="P15" s="250">
        <v>14.464062999999999</v>
      </c>
      <c r="Q15" s="250">
        <v>14.398063</v>
      </c>
      <c r="R15" s="250">
        <v>14.366063</v>
      </c>
      <c r="S15" s="250">
        <v>14.278063</v>
      </c>
      <c r="T15" s="250">
        <v>14.310063</v>
      </c>
      <c r="U15" s="250">
        <v>14.328063</v>
      </c>
      <c r="V15" s="250">
        <v>14.144062999999999</v>
      </c>
      <c r="W15" s="250">
        <v>14.246062999999999</v>
      </c>
      <c r="X15" s="250">
        <v>14.239063</v>
      </c>
      <c r="Y15" s="250">
        <v>14.375063000000001</v>
      </c>
      <c r="Z15" s="250">
        <v>14.402063</v>
      </c>
      <c r="AA15" s="250">
        <v>14.401063000000001</v>
      </c>
      <c r="AB15" s="250">
        <v>14.437063</v>
      </c>
      <c r="AC15" s="250">
        <v>14.460063</v>
      </c>
      <c r="AD15" s="250">
        <v>14.350063</v>
      </c>
      <c r="AE15" s="250">
        <v>14.374063</v>
      </c>
      <c r="AF15" s="250">
        <v>14.581063</v>
      </c>
      <c r="AG15" s="250">
        <v>14.666062999999999</v>
      </c>
      <c r="AH15" s="250">
        <v>14.452063000000001</v>
      </c>
      <c r="AI15" s="250">
        <v>14.767063</v>
      </c>
      <c r="AJ15" s="250">
        <v>14.818063</v>
      </c>
      <c r="AK15" s="250">
        <v>14.867063</v>
      </c>
      <c r="AL15" s="250">
        <v>14.962063000000001</v>
      </c>
      <c r="AM15" s="250">
        <v>14.897062999999999</v>
      </c>
      <c r="AN15" s="250">
        <v>14.883063</v>
      </c>
      <c r="AO15" s="250">
        <v>14.785062999999999</v>
      </c>
      <c r="AP15" s="250">
        <v>14.387062999999999</v>
      </c>
      <c r="AQ15" s="250">
        <v>14.290063</v>
      </c>
      <c r="AR15" s="250">
        <v>14.595063</v>
      </c>
      <c r="AS15" s="250">
        <v>14.594063</v>
      </c>
      <c r="AT15" s="250">
        <v>14.607063</v>
      </c>
      <c r="AU15" s="250">
        <v>14.541062999999999</v>
      </c>
      <c r="AV15" s="250">
        <v>14.559063</v>
      </c>
      <c r="AW15" s="250">
        <v>14.701063</v>
      </c>
      <c r="AX15" s="250">
        <v>14.728063000000001</v>
      </c>
      <c r="AY15" s="250">
        <v>14.769062999999999</v>
      </c>
      <c r="AZ15" s="250">
        <v>14.764063</v>
      </c>
      <c r="BA15" s="250">
        <v>14.739063</v>
      </c>
      <c r="BB15" s="250">
        <v>14.787063</v>
      </c>
      <c r="BC15" s="250">
        <v>12.521063</v>
      </c>
      <c r="BD15" s="250">
        <v>12.310032677000001</v>
      </c>
      <c r="BE15" s="250">
        <v>12.35136262</v>
      </c>
      <c r="BF15" s="250">
        <v>12.926143507000001</v>
      </c>
      <c r="BG15" s="403">
        <v>12.958067569000001</v>
      </c>
      <c r="BH15" s="403">
        <v>13.046032823999999</v>
      </c>
      <c r="BI15" s="403">
        <v>13.187615374</v>
      </c>
      <c r="BJ15" s="403">
        <v>13.365692062000001</v>
      </c>
      <c r="BK15" s="403">
        <v>13.636439677</v>
      </c>
      <c r="BL15" s="403">
        <v>13.704897421</v>
      </c>
      <c r="BM15" s="403">
        <v>13.857412619</v>
      </c>
      <c r="BN15" s="403">
        <v>14.075286500000001</v>
      </c>
      <c r="BO15" s="403">
        <v>14.152409188</v>
      </c>
      <c r="BP15" s="403">
        <v>14.157007950000001</v>
      </c>
      <c r="BQ15" s="403">
        <v>14.259106694</v>
      </c>
      <c r="BR15" s="403">
        <v>14.267513801</v>
      </c>
      <c r="BS15" s="403">
        <v>14.382873085</v>
      </c>
      <c r="BT15" s="403">
        <v>14.449601391</v>
      </c>
      <c r="BU15" s="403">
        <v>14.440720293</v>
      </c>
      <c r="BV15" s="403">
        <v>14.431227106</v>
      </c>
    </row>
    <row r="16" spans="1:74" ht="11.1" customHeight="1" x14ac:dyDescent="0.2">
      <c r="A16" s="162" t="s">
        <v>306</v>
      </c>
      <c r="B16" s="173" t="s">
        <v>279</v>
      </c>
      <c r="C16" s="250">
        <v>5.0825899999999997</v>
      </c>
      <c r="D16" s="250">
        <v>5.0665899999999997</v>
      </c>
      <c r="E16" s="250">
        <v>5.0075900000000004</v>
      </c>
      <c r="F16" s="250">
        <v>4.9555899999999999</v>
      </c>
      <c r="G16" s="250">
        <v>4.8935899999999997</v>
      </c>
      <c r="H16" s="250">
        <v>4.9545899999999996</v>
      </c>
      <c r="I16" s="250">
        <v>4.8575900000000001</v>
      </c>
      <c r="J16" s="250">
        <v>4.7945900000000004</v>
      </c>
      <c r="K16" s="250">
        <v>4.8085899999999997</v>
      </c>
      <c r="L16" s="250">
        <v>4.70059</v>
      </c>
      <c r="M16" s="250">
        <v>4.8345900000000004</v>
      </c>
      <c r="N16" s="250">
        <v>4.8535899999999996</v>
      </c>
      <c r="O16" s="250">
        <v>4.7995900000000002</v>
      </c>
      <c r="P16" s="250">
        <v>4.7505899999999999</v>
      </c>
      <c r="Q16" s="250">
        <v>4.79359</v>
      </c>
      <c r="R16" s="250">
        <v>4.8165899999999997</v>
      </c>
      <c r="S16" s="250">
        <v>4.7785900000000003</v>
      </c>
      <c r="T16" s="250">
        <v>4.9065899999999996</v>
      </c>
      <c r="U16" s="250">
        <v>4.7945900000000004</v>
      </c>
      <c r="V16" s="250">
        <v>4.7255900000000004</v>
      </c>
      <c r="W16" s="250">
        <v>4.7475899999999998</v>
      </c>
      <c r="X16" s="250">
        <v>4.7405900000000001</v>
      </c>
      <c r="Y16" s="250">
        <v>4.7945900000000004</v>
      </c>
      <c r="Z16" s="250">
        <v>4.7415900000000004</v>
      </c>
      <c r="AA16" s="250">
        <v>4.7595900000000002</v>
      </c>
      <c r="AB16" s="250">
        <v>4.7505899999999999</v>
      </c>
      <c r="AC16" s="250">
        <v>4.7565900000000001</v>
      </c>
      <c r="AD16" s="250">
        <v>4.7735900000000004</v>
      </c>
      <c r="AE16" s="250">
        <v>4.76159</v>
      </c>
      <c r="AF16" s="250">
        <v>4.8585900000000004</v>
      </c>
      <c r="AG16" s="250">
        <v>4.7345899999999999</v>
      </c>
      <c r="AH16" s="250">
        <v>4.7715899999999998</v>
      </c>
      <c r="AI16" s="250">
        <v>4.6985900000000003</v>
      </c>
      <c r="AJ16" s="250">
        <v>4.7945900000000004</v>
      </c>
      <c r="AK16" s="250">
        <v>4.78559</v>
      </c>
      <c r="AL16" s="250">
        <v>4.8525900000000002</v>
      </c>
      <c r="AM16" s="250">
        <v>4.87</v>
      </c>
      <c r="AN16" s="250">
        <v>4.84</v>
      </c>
      <c r="AO16" s="250">
        <v>4.9569999999999999</v>
      </c>
      <c r="AP16" s="250">
        <v>4.8869999999999996</v>
      </c>
      <c r="AQ16" s="250">
        <v>4.8879999999999999</v>
      </c>
      <c r="AR16" s="250">
        <v>4.9859999999999998</v>
      </c>
      <c r="AS16" s="250">
        <v>4.9050000000000002</v>
      </c>
      <c r="AT16" s="250">
        <v>4.883</v>
      </c>
      <c r="AU16" s="250">
        <v>4.88</v>
      </c>
      <c r="AV16" s="250">
        <v>4.87</v>
      </c>
      <c r="AW16" s="250">
        <v>4.8979999999999997</v>
      </c>
      <c r="AX16" s="250">
        <v>4.8620000000000001</v>
      </c>
      <c r="AY16" s="250">
        <v>4.9720000000000004</v>
      </c>
      <c r="AZ16" s="250">
        <v>4.9119999999999999</v>
      </c>
      <c r="BA16" s="250">
        <v>4.9240000000000004</v>
      </c>
      <c r="BB16" s="250">
        <v>4.8499999999999996</v>
      </c>
      <c r="BC16" s="250">
        <v>4.8789999999999996</v>
      </c>
      <c r="BD16" s="250">
        <v>4.9814191236000003</v>
      </c>
      <c r="BE16" s="250">
        <v>4.9182050656999996</v>
      </c>
      <c r="BF16" s="250">
        <v>4.9046976982999997</v>
      </c>
      <c r="BG16" s="403">
        <v>4.9334727751000003</v>
      </c>
      <c r="BH16" s="403">
        <v>4.9542480643999998</v>
      </c>
      <c r="BI16" s="403">
        <v>4.9734695242000004</v>
      </c>
      <c r="BJ16" s="403">
        <v>4.9340890740000001</v>
      </c>
      <c r="BK16" s="403">
        <v>4.9174171476000001</v>
      </c>
      <c r="BL16" s="403">
        <v>4.9161679434999996</v>
      </c>
      <c r="BM16" s="403">
        <v>4.9142548226000002</v>
      </c>
      <c r="BN16" s="403">
        <v>4.9236584441</v>
      </c>
      <c r="BO16" s="403">
        <v>4.9485657152</v>
      </c>
      <c r="BP16" s="403">
        <v>4.9846164060999998</v>
      </c>
      <c r="BQ16" s="403">
        <v>4.9274446560999996</v>
      </c>
      <c r="BR16" s="403">
        <v>4.9639247896000001</v>
      </c>
      <c r="BS16" s="403">
        <v>4.9877016263999998</v>
      </c>
      <c r="BT16" s="403">
        <v>5.0070736823999997</v>
      </c>
      <c r="BU16" s="403">
        <v>5.0283646812000002</v>
      </c>
      <c r="BV16" s="403">
        <v>4.9875185105000002</v>
      </c>
    </row>
    <row r="17" spans="1:74" ht="11.1" customHeight="1" x14ac:dyDescent="0.2">
      <c r="A17" s="162" t="s">
        <v>307</v>
      </c>
      <c r="B17" s="173" t="s">
        <v>281</v>
      </c>
      <c r="C17" s="250">
        <v>14.25544</v>
      </c>
      <c r="D17" s="250">
        <v>14.200834</v>
      </c>
      <c r="E17" s="250">
        <v>14.033028</v>
      </c>
      <c r="F17" s="250">
        <v>14.555367</v>
      </c>
      <c r="G17" s="250">
        <v>14.934348999999999</v>
      </c>
      <c r="H17" s="250">
        <v>14.919798999999999</v>
      </c>
      <c r="I17" s="250">
        <v>15.061095</v>
      </c>
      <c r="J17" s="250">
        <v>14.936624999999999</v>
      </c>
      <c r="K17" s="250">
        <v>15.035147</v>
      </c>
      <c r="L17" s="250">
        <v>14.878045999999999</v>
      </c>
      <c r="M17" s="250">
        <v>14.749268000000001</v>
      </c>
      <c r="N17" s="250">
        <v>14.46396</v>
      </c>
      <c r="O17" s="250">
        <v>14.271062000000001</v>
      </c>
      <c r="P17" s="250">
        <v>14.209611000000001</v>
      </c>
      <c r="Q17" s="250">
        <v>14.044369</v>
      </c>
      <c r="R17" s="250">
        <v>14.242884999999999</v>
      </c>
      <c r="S17" s="250">
        <v>14.636799</v>
      </c>
      <c r="T17" s="250">
        <v>14.871174</v>
      </c>
      <c r="U17" s="250">
        <v>14.974437999999999</v>
      </c>
      <c r="V17" s="250">
        <v>14.753826999999999</v>
      </c>
      <c r="W17" s="250">
        <v>14.998975</v>
      </c>
      <c r="X17" s="250">
        <v>14.807091</v>
      </c>
      <c r="Y17" s="250">
        <v>14.510149</v>
      </c>
      <c r="Z17" s="250">
        <v>14.287625</v>
      </c>
      <c r="AA17" s="250">
        <v>14.091197457</v>
      </c>
      <c r="AB17" s="250">
        <v>14.031906322999999</v>
      </c>
      <c r="AC17" s="250">
        <v>14.101185266</v>
      </c>
      <c r="AD17" s="250">
        <v>14.529913648000001</v>
      </c>
      <c r="AE17" s="250">
        <v>14.765393741</v>
      </c>
      <c r="AF17" s="250">
        <v>14.954846454</v>
      </c>
      <c r="AG17" s="250">
        <v>14.97040005</v>
      </c>
      <c r="AH17" s="250">
        <v>14.731282999999999</v>
      </c>
      <c r="AI17" s="250">
        <v>14.732407985</v>
      </c>
      <c r="AJ17" s="250">
        <v>14.660235944</v>
      </c>
      <c r="AK17" s="250">
        <v>14.482519828999999</v>
      </c>
      <c r="AL17" s="250">
        <v>14.333405143</v>
      </c>
      <c r="AM17" s="250">
        <v>14.138412863999999</v>
      </c>
      <c r="AN17" s="250">
        <v>13.992487844999999</v>
      </c>
      <c r="AO17" s="250">
        <v>14.223287552</v>
      </c>
      <c r="AP17" s="250">
        <v>14.556358455</v>
      </c>
      <c r="AQ17" s="250">
        <v>15.069647206999999</v>
      </c>
      <c r="AR17" s="250">
        <v>15.012000931999999</v>
      </c>
      <c r="AS17" s="250">
        <v>15.109393216000001</v>
      </c>
      <c r="AT17" s="250">
        <v>15.507899442999999</v>
      </c>
      <c r="AU17" s="250">
        <v>15.369564604000001</v>
      </c>
      <c r="AV17" s="250">
        <v>15.363962158</v>
      </c>
      <c r="AW17" s="250">
        <v>15.139076853000001</v>
      </c>
      <c r="AX17" s="250">
        <v>14.73127</v>
      </c>
      <c r="AY17" s="250">
        <v>14.705037000000001</v>
      </c>
      <c r="AZ17" s="250">
        <v>14.520345000000001</v>
      </c>
      <c r="BA17" s="250">
        <v>14.633710000000001</v>
      </c>
      <c r="BB17" s="250">
        <v>14.368873000000001</v>
      </c>
      <c r="BC17" s="250">
        <v>14.024366000000001</v>
      </c>
      <c r="BD17" s="250">
        <v>14.64811108</v>
      </c>
      <c r="BE17" s="250">
        <v>14.985312606999999</v>
      </c>
      <c r="BF17" s="250">
        <v>15.227974787000001</v>
      </c>
      <c r="BG17" s="403">
        <v>15.349249520000001</v>
      </c>
      <c r="BH17" s="403">
        <v>15.331515100000001</v>
      </c>
      <c r="BI17" s="403">
        <v>15.015304693999999</v>
      </c>
      <c r="BJ17" s="403">
        <v>14.787861573000001</v>
      </c>
      <c r="BK17" s="403">
        <v>14.727340921</v>
      </c>
      <c r="BL17" s="403">
        <v>14.511053092999999</v>
      </c>
      <c r="BM17" s="403">
        <v>14.504425230000001</v>
      </c>
      <c r="BN17" s="403">
        <v>15.021848537</v>
      </c>
      <c r="BO17" s="403">
        <v>15.175411075</v>
      </c>
      <c r="BP17" s="403">
        <v>15.380945368000001</v>
      </c>
      <c r="BQ17" s="403">
        <v>15.524008800000001</v>
      </c>
      <c r="BR17" s="403">
        <v>15.570075095</v>
      </c>
      <c r="BS17" s="403">
        <v>15.851734792</v>
      </c>
      <c r="BT17" s="403">
        <v>15.567203864</v>
      </c>
      <c r="BU17" s="403">
        <v>15.284109354</v>
      </c>
      <c r="BV17" s="403">
        <v>14.928109134</v>
      </c>
    </row>
    <row r="18" spans="1:74" ht="11.1" customHeight="1" x14ac:dyDescent="0.2">
      <c r="A18" s="162" t="s">
        <v>309</v>
      </c>
      <c r="B18" s="173" t="s">
        <v>503</v>
      </c>
      <c r="C18" s="250">
        <v>97.928489639000006</v>
      </c>
      <c r="D18" s="250">
        <v>97.069207602000006</v>
      </c>
      <c r="E18" s="250">
        <v>97.198220919999997</v>
      </c>
      <c r="F18" s="250">
        <v>96.920188495999994</v>
      </c>
      <c r="G18" s="250">
        <v>96.437562568999994</v>
      </c>
      <c r="H18" s="250">
        <v>96.942711367000001</v>
      </c>
      <c r="I18" s="250">
        <v>98.022306830000005</v>
      </c>
      <c r="J18" s="250">
        <v>97.012187436000005</v>
      </c>
      <c r="K18" s="250">
        <v>97.151761179000005</v>
      </c>
      <c r="L18" s="250">
        <v>98.385577655000006</v>
      </c>
      <c r="M18" s="250">
        <v>99.552641428000001</v>
      </c>
      <c r="N18" s="250">
        <v>98.443906725000005</v>
      </c>
      <c r="O18" s="250">
        <v>97.413571791999999</v>
      </c>
      <c r="P18" s="250">
        <v>97.562192147999994</v>
      </c>
      <c r="Q18" s="250">
        <v>96.913583068999998</v>
      </c>
      <c r="R18" s="250">
        <v>96.724005343000002</v>
      </c>
      <c r="S18" s="250">
        <v>97.662920165000003</v>
      </c>
      <c r="T18" s="250">
        <v>98.407786260999998</v>
      </c>
      <c r="U18" s="250">
        <v>99.108030780000007</v>
      </c>
      <c r="V18" s="250">
        <v>98.351961513999996</v>
      </c>
      <c r="W18" s="250">
        <v>98.455518488999999</v>
      </c>
      <c r="X18" s="250">
        <v>98.970669375</v>
      </c>
      <c r="Y18" s="250">
        <v>99.567804930999998</v>
      </c>
      <c r="Z18" s="250">
        <v>98.811475235000003</v>
      </c>
      <c r="AA18" s="250">
        <v>99.205723230999993</v>
      </c>
      <c r="AB18" s="250">
        <v>99.463717509000006</v>
      </c>
      <c r="AC18" s="250">
        <v>99.619664499999999</v>
      </c>
      <c r="AD18" s="250">
        <v>99.686710984000001</v>
      </c>
      <c r="AE18" s="250">
        <v>99.625926112000002</v>
      </c>
      <c r="AF18" s="250">
        <v>100.46559756000001</v>
      </c>
      <c r="AG18" s="250">
        <v>101.23044648</v>
      </c>
      <c r="AH18" s="250">
        <v>101.81135229</v>
      </c>
      <c r="AI18" s="250">
        <v>101.66980899000001</v>
      </c>
      <c r="AJ18" s="250">
        <v>102.55455907</v>
      </c>
      <c r="AK18" s="250">
        <v>102.6878955</v>
      </c>
      <c r="AL18" s="250">
        <v>102.01692305</v>
      </c>
      <c r="AM18" s="250">
        <v>100.45742954000001</v>
      </c>
      <c r="AN18" s="250">
        <v>100.22907999</v>
      </c>
      <c r="AO18" s="250">
        <v>100.33470762</v>
      </c>
      <c r="AP18" s="250">
        <v>100.52325879</v>
      </c>
      <c r="AQ18" s="250">
        <v>100.30647046999999</v>
      </c>
      <c r="AR18" s="250">
        <v>100.63741293</v>
      </c>
      <c r="AS18" s="250">
        <v>100.08501089000001</v>
      </c>
      <c r="AT18" s="250">
        <v>101.26152286</v>
      </c>
      <c r="AU18" s="250">
        <v>99.154043938000001</v>
      </c>
      <c r="AV18" s="250">
        <v>101.41656451</v>
      </c>
      <c r="AW18" s="250">
        <v>102.02023819</v>
      </c>
      <c r="AX18" s="250">
        <v>101.76383518999999</v>
      </c>
      <c r="AY18" s="250">
        <v>101.41952145</v>
      </c>
      <c r="AZ18" s="250">
        <v>100.3092249</v>
      </c>
      <c r="BA18" s="250">
        <v>100.59108784</v>
      </c>
      <c r="BB18" s="250">
        <v>100.30835067</v>
      </c>
      <c r="BC18" s="250">
        <v>88.540202968000003</v>
      </c>
      <c r="BD18" s="250">
        <v>88.131060575000006</v>
      </c>
      <c r="BE18" s="250">
        <v>89.711854811999999</v>
      </c>
      <c r="BF18" s="250">
        <v>91.548908605999998</v>
      </c>
      <c r="BG18" s="403">
        <v>91.836740688000006</v>
      </c>
      <c r="BH18" s="403">
        <v>93.120809554999994</v>
      </c>
      <c r="BI18" s="403">
        <v>94.551420320999995</v>
      </c>
      <c r="BJ18" s="403">
        <v>95.384988411999998</v>
      </c>
      <c r="BK18" s="403">
        <v>96.735979923000002</v>
      </c>
      <c r="BL18" s="403">
        <v>96.864975287999997</v>
      </c>
      <c r="BM18" s="403">
        <v>97.395615336000006</v>
      </c>
      <c r="BN18" s="403">
        <v>98.889022951000001</v>
      </c>
      <c r="BO18" s="403">
        <v>99.315092086999996</v>
      </c>
      <c r="BP18" s="403">
        <v>99.662199491999999</v>
      </c>
      <c r="BQ18" s="403">
        <v>99.929761901999996</v>
      </c>
      <c r="BR18" s="403">
        <v>100.20212023000001</v>
      </c>
      <c r="BS18" s="403">
        <v>100.63904419000001</v>
      </c>
      <c r="BT18" s="403">
        <v>100.88592318000001</v>
      </c>
      <c r="BU18" s="403">
        <v>100.97063955</v>
      </c>
      <c r="BV18" s="403">
        <v>100.4935424</v>
      </c>
    </row>
    <row r="19" spans="1:74" ht="11.1" customHeight="1" x14ac:dyDescent="0.2">
      <c r="B19" s="173"/>
      <c r="C19" s="250"/>
      <c r="D19" s="250"/>
      <c r="E19" s="250"/>
      <c r="F19" s="250"/>
      <c r="G19" s="250"/>
      <c r="H19" s="250"/>
      <c r="I19" s="250"/>
      <c r="J19" s="250"/>
      <c r="K19" s="250"/>
      <c r="L19" s="250"/>
      <c r="M19" s="250"/>
      <c r="N19" s="250"/>
      <c r="O19" s="250"/>
      <c r="P19" s="250"/>
      <c r="Q19" s="250"/>
      <c r="R19" s="250"/>
      <c r="S19" s="250"/>
      <c r="T19" s="250"/>
      <c r="U19" s="250"/>
      <c r="V19" s="250"/>
      <c r="W19" s="250"/>
      <c r="X19" s="250"/>
      <c r="Y19" s="250"/>
      <c r="Z19" s="250"/>
      <c r="AA19" s="250"/>
      <c r="AB19" s="250"/>
      <c r="AC19" s="250"/>
      <c r="AD19" s="250"/>
      <c r="AE19" s="250"/>
      <c r="AF19" s="250"/>
      <c r="AG19" s="250"/>
      <c r="AH19" s="250"/>
      <c r="AI19" s="250"/>
      <c r="AJ19" s="250"/>
      <c r="AK19" s="250"/>
      <c r="AL19" s="250"/>
      <c r="AM19" s="250"/>
      <c r="AN19" s="250"/>
      <c r="AO19" s="250"/>
      <c r="AP19" s="250"/>
      <c r="AQ19" s="250"/>
      <c r="AR19" s="250"/>
      <c r="AS19" s="250"/>
      <c r="AT19" s="250"/>
      <c r="AU19" s="250"/>
      <c r="AV19" s="250"/>
      <c r="AW19" s="250"/>
      <c r="AX19" s="250"/>
      <c r="AY19" s="250"/>
      <c r="AZ19" s="250"/>
      <c r="BA19" s="250"/>
      <c r="BB19" s="250"/>
      <c r="BC19" s="250"/>
      <c r="BD19" s="250"/>
      <c r="BE19" s="250"/>
      <c r="BF19" s="250"/>
      <c r="BG19" s="403"/>
      <c r="BH19" s="403"/>
      <c r="BI19" s="403"/>
      <c r="BJ19" s="403"/>
      <c r="BK19" s="403"/>
      <c r="BL19" s="403"/>
      <c r="BM19" s="403"/>
      <c r="BN19" s="403"/>
      <c r="BO19" s="403"/>
      <c r="BP19" s="403"/>
      <c r="BQ19" s="403"/>
      <c r="BR19" s="403"/>
      <c r="BS19" s="403"/>
      <c r="BT19" s="403"/>
      <c r="BU19" s="403"/>
      <c r="BV19" s="403"/>
    </row>
    <row r="20" spans="1:74" ht="11.1" customHeight="1" x14ac:dyDescent="0.2">
      <c r="A20" s="162" t="s">
        <v>386</v>
      </c>
      <c r="B20" s="173" t="s">
        <v>504</v>
      </c>
      <c r="C20" s="250">
        <v>61.206679710000003</v>
      </c>
      <c r="D20" s="250">
        <v>60.822383379000001</v>
      </c>
      <c r="E20" s="250">
        <v>60.711588128999999</v>
      </c>
      <c r="F20" s="250">
        <v>60.345994666999999</v>
      </c>
      <c r="G20" s="250">
        <v>59.990315097</v>
      </c>
      <c r="H20" s="250">
        <v>60.062790999999997</v>
      </c>
      <c r="I20" s="250">
        <v>60.938876548000003</v>
      </c>
      <c r="J20" s="250">
        <v>60.057389677000003</v>
      </c>
      <c r="K20" s="250">
        <v>60.193618333000003</v>
      </c>
      <c r="L20" s="250">
        <v>61.100157903000003</v>
      </c>
      <c r="M20" s="250">
        <v>61.789088333000002</v>
      </c>
      <c r="N20" s="250">
        <v>60.938868386999999</v>
      </c>
      <c r="O20" s="250">
        <v>60.687905419000003</v>
      </c>
      <c r="P20" s="250">
        <v>61.036444285999998</v>
      </c>
      <c r="Q20" s="250">
        <v>60.874748709999999</v>
      </c>
      <c r="R20" s="250">
        <v>60.471220000000002</v>
      </c>
      <c r="S20" s="250">
        <v>60.931961387000001</v>
      </c>
      <c r="T20" s="250">
        <v>61.287832332999997</v>
      </c>
      <c r="U20" s="250">
        <v>61.753626677</v>
      </c>
      <c r="V20" s="250">
        <v>61.199716289999998</v>
      </c>
      <c r="W20" s="250">
        <v>61.136431999999999</v>
      </c>
      <c r="X20" s="250">
        <v>61.914520355000001</v>
      </c>
      <c r="Y20" s="250">
        <v>62.666852333000001</v>
      </c>
      <c r="Z20" s="250">
        <v>61.985034386999999</v>
      </c>
      <c r="AA20" s="250">
        <v>62.087208554</v>
      </c>
      <c r="AB20" s="250">
        <v>62.503146465999997</v>
      </c>
      <c r="AC20" s="250">
        <v>62.905726395000002</v>
      </c>
      <c r="AD20" s="250">
        <v>63.079097314999999</v>
      </c>
      <c r="AE20" s="250">
        <v>63.147793612000001</v>
      </c>
      <c r="AF20" s="250">
        <v>63.937147453999998</v>
      </c>
      <c r="AG20" s="250">
        <v>64.655162211999993</v>
      </c>
      <c r="AH20" s="250">
        <v>64.978539419000001</v>
      </c>
      <c r="AI20" s="250">
        <v>64.648297984999999</v>
      </c>
      <c r="AJ20" s="250">
        <v>65.391048072999993</v>
      </c>
      <c r="AK20" s="250">
        <v>65.759384495999996</v>
      </c>
      <c r="AL20" s="250">
        <v>65.883412046000004</v>
      </c>
      <c r="AM20" s="250">
        <v>64.852919541000006</v>
      </c>
      <c r="AN20" s="250">
        <v>64.668569988000002</v>
      </c>
      <c r="AO20" s="250">
        <v>65.242197617000002</v>
      </c>
      <c r="AP20" s="250">
        <v>65.387748787999996</v>
      </c>
      <c r="AQ20" s="250">
        <v>65.537960464999998</v>
      </c>
      <c r="AR20" s="250">
        <v>65.717902932000001</v>
      </c>
      <c r="AS20" s="250">
        <v>65.674500894000005</v>
      </c>
      <c r="AT20" s="250">
        <v>66.646012862000006</v>
      </c>
      <c r="AU20" s="250">
        <v>66.521533938000005</v>
      </c>
      <c r="AV20" s="250">
        <v>66.943054512000003</v>
      </c>
      <c r="AW20" s="250">
        <v>67.705728186000002</v>
      </c>
      <c r="AX20" s="250">
        <v>67.476325193999998</v>
      </c>
      <c r="AY20" s="250">
        <v>67.476011451999995</v>
      </c>
      <c r="AZ20" s="250">
        <v>67.005714897000004</v>
      </c>
      <c r="BA20" s="250">
        <v>67.176577839000004</v>
      </c>
      <c r="BB20" s="250">
        <v>64.766840666999997</v>
      </c>
      <c r="BC20" s="250">
        <v>59.627692967999998</v>
      </c>
      <c r="BD20" s="250">
        <v>60.967848936000003</v>
      </c>
      <c r="BE20" s="250">
        <v>61.899766055000001</v>
      </c>
      <c r="BF20" s="250">
        <v>62.729980826000002</v>
      </c>
      <c r="BG20" s="403">
        <v>63.026546527000001</v>
      </c>
      <c r="BH20" s="403">
        <v>63.705252342000001</v>
      </c>
      <c r="BI20" s="403">
        <v>63.969572519000003</v>
      </c>
      <c r="BJ20" s="403">
        <v>63.893410074999998</v>
      </c>
      <c r="BK20" s="403">
        <v>63.806628803000002</v>
      </c>
      <c r="BL20" s="403">
        <v>63.663719192999999</v>
      </c>
      <c r="BM20" s="403">
        <v>64.124424239999996</v>
      </c>
      <c r="BN20" s="403">
        <v>64.732742919000003</v>
      </c>
      <c r="BO20" s="403">
        <v>65.091485617000004</v>
      </c>
      <c r="BP20" s="403">
        <v>65.448892182999998</v>
      </c>
      <c r="BQ20" s="403">
        <v>65.667323089999996</v>
      </c>
      <c r="BR20" s="403">
        <v>65.930800005999998</v>
      </c>
      <c r="BS20" s="403">
        <v>66.358716216000005</v>
      </c>
      <c r="BT20" s="403">
        <v>66.597166368000003</v>
      </c>
      <c r="BU20" s="403">
        <v>66.672217071000006</v>
      </c>
      <c r="BV20" s="403">
        <v>66.205714396000005</v>
      </c>
    </row>
    <row r="21" spans="1:74" ht="11.1" customHeight="1" x14ac:dyDescent="0.2">
      <c r="C21" s="222"/>
      <c r="D21" s="222"/>
      <c r="E21" s="222"/>
      <c r="F21" s="222"/>
      <c r="G21" s="222"/>
      <c r="H21" s="222"/>
      <c r="I21" s="222"/>
      <c r="J21" s="222"/>
      <c r="K21" s="222"/>
      <c r="L21" s="222"/>
      <c r="M21" s="222"/>
      <c r="N21" s="222"/>
      <c r="O21" s="222"/>
      <c r="P21" s="222"/>
      <c r="Q21" s="222"/>
      <c r="R21" s="222"/>
      <c r="S21" s="222"/>
      <c r="T21" s="222"/>
      <c r="U21" s="222"/>
      <c r="V21" s="222"/>
      <c r="W21" s="222"/>
      <c r="X21" s="222"/>
      <c r="Y21" s="222"/>
      <c r="Z21" s="222"/>
      <c r="AA21" s="222"/>
      <c r="AB21" s="222"/>
      <c r="AC21" s="222"/>
      <c r="AD21" s="222"/>
      <c r="AE21" s="222"/>
      <c r="AF21" s="222"/>
      <c r="AG21" s="222"/>
      <c r="AH21" s="222"/>
      <c r="AI21" s="222"/>
      <c r="AJ21" s="222"/>
      <c r="AK21" s="222"/>
      <c r="AL21" s="222"/>
      <c r="AM21" s="222"/>
      <c r="AN21" s="222"/>
      <c r="AO21" s="222"/>
      <c r="AP21" s="222"/>
      <c r="AQ21" s="222"/>
      <c r="AR21" s="222"/>
      <c r="AS21" s="222"/>
      <c r="AT21" s="222"/>
      <c r="AU21" s="222"/>
      <c r="AV21" s="222"/>
      <c r="AW21" s="222"/>
      <c r="AX21" s="222"/>
      <c r="AY21" s="222"/>
      <c r="AZ21" s="222"/>
      <c r="BA21" s="222"/>
      <c r="BB21" s="222"/>
      <c r="BC21" s="222"/>
      <c r="BD21" s="222"/>
      <c r="BE21" s="222"/>
      <c r="BF21" s="222"/>
      <c r="BG21" s="404"/>
      <c r="BH21" s="404"/>
      <c r="BI21" s="404"/>
      <c r="BJ21" s="404"/>
      <c r="BK21" s="404"/>
      <c r="BL21" s="404"/>
      <c r="BM21" s="404"/>
      <c r="BN21" s="404"/>
      <c r="BO21" s="404"/>
      <c r="BP21" s="404"/>
      <c r="BQ21" s="404"/>
      <c r="BR21" s="404"/>
      <c r="BS21" s="404"/>
      <c r="BT21" s="404"/>
      <c r="BU21" s="404"/>
      <c r="BV21" s="404"/>
    </row>
    <row r="22" spans="1:74" ht="11.1" customHeight="1" x14ac:dyDescent="0.2">
      <c r="B22" s="252" t="s">
        <v>1053</v>
      </c>
      <c r="C22" s="250"/>
      <c r="D22" s="250"/>
      <c r="E22" s="250"/>
      <c r="F22" s="250"/>
      <c r="G22" s="250"/>
      <c r="H22" s="250"/>
      <c r="I22" s="250"/>
      <c r="J22" s="250"/>
      <c r="K22" s="250"/>
      <c r="L22" s="250"/>
      <c r="M22" s="250"/>
      <c r="N22" s="250"/>
      <c r="O22" s="250"/>
      <c r="P22" s="250"/>
      <c r="Q22" s="250"/>
      <c r="R22" s="250"/>
      <c r="S22" s="250"/>
      <c r="T22" s="250"/>
      <c r="U22" s="250"/>
      <c r="V22" s="250"/>
      <c r="W22" s="250"/>
      <c r="X22" s="250"/>
      <c r="Y22" s="250"/>
      <c r="Z22" s="250"/>
      <c r="AA22" s="250"/>
      <c r="AB22" s="250"/>
      <c r="AC22" s="250"/>
      <c r="AD22" s="250"/>
      <c r="AE22" s="250"/>
      <c r="AF22" s="250"/>
      <c r="AG22" s="250"/>
      <c r="AH22" s="250"/>
      <c r="AI22" s="250"/>
      <c r="AJ22" s="250"/>
      <c r="AK22" s="250"/>
      <c r="AL22" s="250"/>
      <c r="AM22" s="250"/>
      <c r="AN22" s="250"/>
      <c r="AO22" s="250"/>
      <c r="AP22" s="250"/>
      <c r="AQ22" s="250"/>
      <c r="AR22" s="250"/>
      <c r="AS22" s="250"/>
      <c r="AT22" s="250"/>
      <c r="AU22" s="250"/>
      <c r="AV22" s="250"/>
      <c r="AW22" s="250"/>
      <c r="AX22" s="250"/>
      <c r="AY22" s="250"/>
      <c r="AZ22" s="250"/>
      <c r="BA22" s="250"/>
      <c r="BB22" s="250"/>
      <c r="BC22" s="250"/>
      <c r="BD22" s="250"/>
      <c r="BE22" s="250"/>
      <c r="BF22" s="250"/>
      <c r="BG22" s="403"/>
      <c r="BH22" s="403"/>
      <c r="BI22" s="403"/>
      <c r="BJ22" s="403"/>
      <c r="BK22" s="403"/>
      <c r="BL22" s="403"/>
      <c r="BM22" s="403"/>
      <c r="BN22" s="403"/>
      <c r="BO22" s="403"/>
      <c r="BP22" s="403"/>
      <c r="BQ22" s="403"/>
      <c r="BR22" s="403"/>
      <c r="BS22" s="403"/>
      <c r="BT22" s="403"/>
      <c r="BU22" s="403"/>
      <c r="BV22" s="403"/>
    </row>
    <row r="23" spans="1:74" ht="11.1" customHeight="1" x14ac:dyDescent="0.2">
      <c r="A23" s="162" t="s">
        <v>290</v>
      </c>
      <c r="B23" s="173" t="s">
        <v>251</v>
      </c>
      <c r="C23" s="250">
        <v>45.492290635000003</v>
      </c>
      <c r="D23" s="250">
        <v>47.746612669999998</v>
      </c>
      <c r="E23" s="250">
        <v>47.121533739</v>
      </c>
      <c r="F23" s="250">
        <v>46.180529225999997</v>
      </c>
      <c r="G23" s="250">
        <v>45.519270442</v>
      </c>
      <c r="H23" s="250">
        <v>46.584080843999999</v>
      </c>
      <c r="I23" s="250">
        <v>46.571396696000001</v>
      </c>
      <c r="J23" s="250">
        <v>48.143860042</v>
      </c>
      <c r="K23" s="250">
        <v>47.210110614000001</v>
      </c>
      <c r="L23" s="250">
        <v>46.677975402000001</v>
      </c>
      <c r="M23" s="250">
        <v>47.240968352000003</v>
      </c>
      <c r="N23" s="250">
        <v>48.212240876000003</v>
      </c>
      <c r="O23" s="250">
        <v>46.053602542</v>
      </c>
      <c r="P23" s="250">
        <v>47.046389800999997</v>
      </c>
      <c r="Q23" s="250">
        <v>47.773191064000002</v>
      </c>
      <c r="R23" s="250">
        <v>46.127153178999997</v>
      </c>
      <c r="S23" s="250">
        <v>47.183507612</v>
      </c>
      <c r="T23" s="250">
        <v>48.165281444000001</v>
      </c>
      <c r="U23" s="250">
        <v>47.677179867</v>
      </c>
      <c r="V23" s="250">
        <v>47.942219940000001</v>
      </c>
      <c r="W23" s="250">
        <v>47.621159915</v>
      </c>
      <c r="X23" s="250">
        <v>47.359435417999997</v>
      </c>
      <c r="Y23" s="250">
        <v>48.522506241999999</v>
      </c>
      <c r="Z23" s="250">
        <v>48.457495436000002</v>
      </c>
      <c r="AA23" s="250">
        <v>47.492146171000002</v>
      </c>
      <c r="AB23" s="250">
        <v>48.348281610000001</v>
      </c>
      <c r="AC23" s="250">
        <v>48.309862682000002</v>
      </c>
      <c r="AD23" s="250">
        <v>46.984361200999999</v>
      </c>
      <c r="AE23" s="250">
        <v>47.098787563999998</v>
      </c>
      <c r="AF23" s="250">
        <v>47.731927282000001</v>
      </c>
      <c r="AG23" s="250">
        <v>48.357383992000003</v>
      </c>
      <c r="AH23" s="250">
        <v>49.009525603999997</v>
      </c>
      <c r="AI23" s="250">
        <v>47.319708550999998</v>
      </c>
      <c r="AJ23" s="250">
        <v>48.149430156000001</v>
      </c>
      <c r="AK23" s="250">
        <v>48.072916220000003</v>
      </c>
      <c r="AL23" s="250">
        <v>47.086095567999998</v>
      </c>
      <c r="AM23" s="250">
        <v>47.745805703000002</v>
      </c>
      <c r="AN23" s="250">
        <v>48.189516476999998</v>
      </c>
      <c r="AO23" s="250">
        <v>46.799529771000003</v>
      </c>
      <c r="AP23" s="250">
        <v>47.373235211000001</v>
      </c>
      <c r="AQ23" s="250">
        <v>46.449368466999999</v>
      </c>
      <c r="AR23" s="250">
        <v>47.095593420999997</v>
      </c>
      <c r="AS23" s="250">
        <v>48.297211089999998</v>
      </c>
      <c r="AT23" s="250">
        <v>48.674119435000001</v>
      </c>
      <c r="AU23" s="250">
        <v>47.254316615</v>
      </c>
      <c r="AV23" s="250">
        <v>47.696165596</v>
      </c>
      <c r="AW23" s="250">
        <v>47.773157615999999</v>
      </c>
      <c r="AX23" s="250">
        <v>47.683673935000002</v>
      </c>
      <c r="AY23" s="250">
        <v>46.000480441000001</v>
      </c>
      <c r="AZ23" s="250">
        <v>46.841563252</v>
      </c>
      <c r="BA23" s="250">
        <v>42.999335041999998</v>
      </c>
      <c r="BB23" s="250">
        <v>35.042109230000001</v>
      </c>
      <c r="BC23" s="250">
        <v>36.957289533000001</v>
      </c>
      <c r="BD23" s="250">
        <v>40.239256429999998</v>
      </c>
      <c r="BE23" s="250">
        <v>42.237941284999998</v>
      </c>
      <c r="BF23" s="250">
        <v>42.887110243000002</v>
      </c>
      <c r="BG23" s="403">
        <v>43.948809834000002</v>
      </c>
      <c r="BH23" s="403">
        <v>44.410106454000001</v>
      </c>
      <c r="BI23" s="403">
        <v>44.528118395</v>
      </c>
      <c r="BJ23" s="403">
        <v>45.074049113999997</v>
      </c>
      <c r="BK23" s="403">
        <v>44.150605868</v>
      </c>
      <c r="BL23" s="403">
        <v>45.920521452000003</v>
      </c>
      <c r="BM23" s="403">
        <v>45.294156543</v>
      </c>
      <c r="BN23" s="403">
        <v>44.473682975999999</v>
      </c>
      <c r="BO23" s="403">
        <v>44.491907585</v>
      </c>
      <c r="BP23" s="403">
        <v>45.496470567999999</v>
      </c>
      <c r="BQ23" s="403">
        <v>45.960616469000001</v>
      </c>
      <c r="BR23" s="403">
        <v>46.492072931000003</v>
      </c>
      <c r="BS23" s="403">
        <v>46.140101659999999</v>
      </c>
      <c r="BT23" s="403">
        <v>46.364556835000002</v>
      </c>
      <c r="BU23" s="403">
        <v>46.565086530999999</v>
      </c>
      <c r="BV23" s="403">
        <v>46.316453766999999</v>
      </c>
    </row>
    <row r="24" spans="1:74" ht="11.1" customHeight="1" x14ac:dyDescent="0.2">
      <c r="A24" s="162" t="s">
        <v>284</v>
      </c>
      <c r="B24" s="173" t="s">
        <v>252</v>
      </c>
      <c r="C24" s="250">
        <v>19.062802999999999</v>
      </c>
      <c r="D24" s="250">
        <v>19.846603999999999</v>
      </c>
      <c r="E24" s="250">
        <v>19.728204000000002</v>
      </c>
      <c r="F24" s="250">
        <v>19.340226999999999</v>
      </c>
      <c r="G24" s="250">
        <v>19.328156</v>
      </c>
      <c r="H24" s="250">
        <v>19.846174000000001</v>
      </c>
      <c r="I24" s="250">
        <v>19.775659999999998</v>
      </c>
      <c r="J24" s="250">
        <v>20.274784</v>
      </c>
      <c r="K24" s="250">
        <v>19.756827000000001</v>
      </c>
      <c r="L24" s="250">
        <v>19.650106999999998</v>
      </c>
      <c r="M24" s="250">
        <v>19.658868999999999</v>
      </c>
      <c r="N24" s="250">
        <v>19.983958999999999</v>
      </c>
      <c r="O24" s="250">
        <v>19.322845999999998</v>
      </c>
      <c r="P24" s="250">
        <v>19.190404000000001</v>
      </c>
      <c r="Q24" s="250">
        <v>20.060123999999998</v>
      </c>
      <c r="R24" s="250">
        <v>19.595324999999999</v>
      </c>
      <c r="S24" s="250">
        <v>20.066244999999999</v>
      </c>
      <c r="T24" s="250">
        <v>20.561246000000001</v>
      </c>
      <c r="U24" s="250">
        <v>20.118924</v>
      </c>
      <c r="V24" s="250">
        <v>20.251193000000001</v>
      </c>
      <c r="W24" s="250">
        <v>19.640611</v>
      </c>
      <c r="X24" s="250">
        <v>19.989650999999999</v>
      </c>
      <c r="Y24" s="250">
        <v>20.307238000000002</v>
      </c>
      <c r="Z24" s="250">
        <v>20.323454999999999</v>
      </c>
      <c r="AA24" s="250">
        <v>20.54514</v>
      </c>
      <c r="AB24" s="250">
        <v>19.678705000000001</v>
      </c>
      <c r="AC24" s="250">
        <v>20.756359</v>
      </c>
      <c r="AD24" s="250">
        <v>20.036519999999999</v>
      </c>
      <c r="AE24" s="250">
        <v>20.247366</v>
      </c>
      <c r="AF24" s="250">
        <v>20.790268999999999</v>
      </c>
      <c r="AG24" s="250">
        <v>20.682276000000002</v>
      </c>
      <c r="AH24" s="250">
        <v>21.358391000000001</v>
      </c>
      <c r="AI24" s="250">
        <v>20.082809000000001</v>
      </c>
      <c r="AJ24" s="250">
        <v>20.734404999999999</v>
      </c>
      <c r="AK24" s="250">
        <v>20.746511999999999</v>
      </c>
      <c r="AL24" s="250">
        <v>20.303446999999998</v>
      </c>
      <c r="AM24" s="250">
        <v>20.614982999999999</v>
      </c>
      <c r="AN24" s="250">
        <v>20.283868999999999</v>
      </c>
      <c r="AO24" s="250">
        <v>20.176247</v>
      </c>
      <c r="AP24" s="250">
        <v>20.332599999999999</v>
      </c>
      <c r="AQ24" s="250">
        <v>20.387089</v>
      </c>
      <c r="AR24" s="250">
        <v>20.653979</v>
      </c>
      <c r="AS24" s="250">
        <v>20.734573999999999</v>
      </c>
      <c r="AT24" s="250">
        <v>21.157914000000002</v>
      </c>
      <c r="AU24" s="250">
        <v>20.248484000000001</v>
      </c>
      <c r="AV24" s="250">
        <v>20.713986999999999</v>
      </c>
      <c r="AW24" s="250">
        <v>20.736152000000001</v>
      </c>
      <c r="AX24" s="250">
        <v>20.442869000000002</v>
      </c>
      <c r="AY24" s="250">
        <v>19.905342999999998</v>
      </c>
      <c r="AZ24" s="250">
        <v>19.83887</v>
      </c>
      <c r="BA24" s="250">
        <v>18.283773</v>
      </c>
      <c r="BB24" s="250">
        <v>14.690989</v>
      </c>
      <c r="BC24" s="250">
        <v>16.103228000000001</v>
      </c>
      <c r="BD24" s="250">
        <v>17.435207999999999</v>
      </c>
      <c r="BE24" s="250">
        <v>18.376965835</v>
      </c>
      <c r="BF24" s="250">
        <v>18.654037078999998</v>
      </c>
      <c r="BG24" s="403">
        <v>19.087050000000001</v>
      </c>
      <c r="BH24" s="403">
        <v>19.535630000000001</v>
      </c>
      <c r="BI24" s="403">
        <v>19.515910000000002</v>
      </c>
      <c r="BJ24" s="403">
        <v>19.62895</v>
      </c>
      <c r="BK24" s="403">
        <v>19.363969999999998</v>
      </c>
      <c r="BL24" s="403">
        <v>19.68637</v>
      </c>
      <c r="BM24" s="403">
        <v>19.761099999999999</v>
      </c>
      <c r="BN24" s="403">
        <v>19.49877</v>
      </c>
      <c r="BO24" s="403">
        <v>19.799720000000001</v>
      </c>
      <c r="BP24" s="403">
        <v>20.160910000000001</v>
      </c>
      <c r="BQ24" s="403">
        <v>20.277799999999999</v>
      </c>
      <c r="BR24" s="403">
        <v>20.711980000000001</v>
      </c>
      <c r="BS24" s="403">
        <v>20.137440000000002</v>
      </c>
      <c r="BT24" s="403">
        <v>20.492930000000001</v>
      </c>
      <c r="BU24" s="403">
        <v>20.61759</v>
      </c>
      <c r="BV24" s="403">
        <v>20.202069999999999</v>
      </c>
    </row>
    <row r="25" spans="1:74" ht="11.1" customHeight="1" x14ac:dyDescent="0.2">
      <c r="A25" s="162" t="s">
        <v>285</v>
      </c>
      <c r="B25" s="173" t="s">
        <v>272</v>
      </c>
      <c r="C25" s="250">
        <v>0.13256930751000001</v>
      </c>
      <c r="D25" s="250">
        <v>0.13174754950000001</v>
      </c>
      <c r="E25" s="250">
        <v>0.17488984538999999</v>
      </c>
      <c r="F25" s="250">
        <v>0.107916567</v>
      </c>
      <c r="G25" s="250">
        <v>0.14736095182</v>
      </c>
      <c r="H25" s="250">
        <v>0.13873249264000001</v>
      </c>
      <c r="I25" s="250">
        <v>0.13380194454</v>
      </c>
      <c r="J25" s="250">
        <v>0.14777183083000001</v>
      </c>
      <c r="K25" s="250">
        <v>0.12558436437000001</v>
      </c>
      <c r="L25" s="250">
        <v>0.16831578124999999</v>
      </c>
      <c r="M25" s="250">
        <v>0.14653919379999999</v>
      </c>
      <c r="N25" s="250">
        <v>0.11654502618</v>
      </c>
      <c r="O25" s="250">
        <v>0.12742751764999999</v>
      </c>
      <c r="P25" s="250">
        <v>0.12479060123999999</v>
      </c>
      <c r="Q25" s="250">
        <v>0.13249439841999999</v>
      </c>
      <c r="R25" s="250">
        <v>0.13215899412000001</v>
      </c>
      <c r="S25" s="250">
        <v>0.13781358226000001</v>
      </c>
      <c r="T25" s="250">
        <v>0.14056586160000001</v>
      </c>
      <c r="U25" s="250">
        <v>0.15214746559</v>
      </c>
      <c r="V25" s="250">
        <v>0.15234206792999999</v>
      </c>
      <c r="W25" s="250">
        <v>0.15418164016999999</v>
      </c>
      <c r="X25" s="250">
        <v>0.14394157933000001</v>
      </c>
      <c r="Y25" s="250">
        <v>0.14295081468000001</v>
      </c>
      <c r="Z25" s="250">
        <v>0.14496821508999999</v>
      </c>
      <c r="AA25" s="250">
        <v>0.14826388200000001</v>
      </c>
      <c r="AB25" s="250">
        <v>0.152343537</v>
      </c>
      <c r="AC25" s="250">
        <v>0.19540655400000001</v>
      </c>
      <c r="AD25" s="250">
        <v>0.12061289</v>
      </c>
      <c r="AE25" s="250">
        <v>0.16458250099999999</v>
      </c>
      <c r="AF25" s="250">
        <v>0.15506330500000001</v>
      </c>
      <c r="AG25" s="250">
        <v>0.14962376699999999</v>
      </c>
      <c r="AH25" s="250">
        <v>0.16548908900000001</v>
      </c>
      <c r="AI25" s="250">
        <v>0.14010457400000001</v>
      </c>
      <c r="AJ25" s="250">
        <v>0.18815383499999999</v>
      </c>
      <c r="AK25" s="250">
        <v>0.16367590900000001</v>
      </c>
      <c r="AL25" s="250">
        <v>0.13013208500000001</v>
      </c>
      <c r="AM25" s="250">
        <v>0.17101496899999999</v>
      </c>
      <c r="AN25" s="250">
        <v>0.169978517</v>
      </c>
      <c r="AO25" s="250">
        <v>0.225946972</v>
      </c>
      <c r="AP25" s="250">
        <v>0.13733025099999999</v>
      </c>
      <c r="AQ25" s="250">
        <v>0.18811644199999999</v>
      </c>
      <c r="AR25" s="250">
        <v>0.17671546099999999</v>
      </c>
      <c r="AS25" s="250">
        <v>0.17049674300000001</v>
      </c>
      <c r="AT25" s="250">
        <v>0.188634669</v>
      </c>
      <c r="AU25" s="250">
        <v>0.15961398800000001</v>
      </c>
      <c r="AV25" s="250">
        <v>0.215064217</v>
      </c>
      <c r="AW25" s="250">
        <v>0.187079989</v>
      </c>
      <c r="AX25" s="250">
        <v>0.14873123299999999</v>
      </c>
      <c r="AY25" s="250">
        <v>0.15156297199999999</v>
      </c>
      <c r="AZ25" s="250">
        <v>0.15025371700000001</v>
      </c>
      <c r="BA25" s="250">
        <v>0.19931902100000001</v>
      </c>
      <c r="BB25" s="250">
        <v>0.117980389</v>
      </c>
      <c r="BC25" s="250">
        <v>0.162776636</v>
      </c>
      <c r="BD25" s="250">
        <v>0.15556946599999999</v>
      </c>
      <c r="BE25" s="250">
        <v>0.15034218499999999</v>
      </c>
      <c r="BF25" s="250">
        <v>0.16633590700000001</v>
      </c>
      <c r="BG25" s="403">
        <v>0.14143296399999999</v>
      </c>
      <c r="BH25" s="403">
        <v>0.19023220399999999</v>
      </c>
      <c r="BI25" s="403">
        <v>0.16564074000000001</v>
      </c>
      <c r="BJ25" s="403">
        <v>0.13193114</v>
      </c>
      <c r="BK25" s="403">
        <v>0.15671016300000001</v>
      </c>
      <c r="BL25" s="403">
        <v>0.155806994</v>
      </c>
      <c r="BM25" s="403">
        <v>0.20675605</v>
      </c>
      <c r="BN25" s="403">
        <v>0.12616544199999999</v>
      </c>
      <c r="BO25" s="403">
        <v>0.17237991699999999</v>
      </c>
      <c r="BP25" s="403">
        <v>0.16204052199999999</v>
      </c>
      <c r="BQ25" s="403">
        <v>0.15639040800000001</v>
      </c>
      <c r="BR25" s="403">
        <v>0.17289838299999999</v>
      </c>
      <c r="BS25" s="403">
        <v>0.14650386300000001</v>
      </c>
      <c r="BT25" s="403">
        <v>0.19695222800000001</v>
      </c>
      <c r="BU25" s="403">
        <v>0.17149519599999999</v>
      </c>
      <c r="BV25" s="403">
        <v>0.136615082</v>
      </c>
    </row>
    <row r="26" spans="1:74" ht="11.1" customHeight="1" x14ac:dyDescent="0.2">
      <c r="A26" s="162" t="s">
        <v>286</v>
      </c>
      <c r="B26" s="173" t="s">
        <v>273</v>
      </c>
      <c r="C26" s="250">
        <v>2.4557419354999999</v>
      </c>
      <c r="D26" s="250">
        <v>2.4195517241000002</v>
      </c>
      <c r="E26" s="250">
        <v>2.3890322580999999</v>
      </c>
      <c r="F26" s="250">
        <v>2.3460000000000001</v>
      </c>
      <c r="G26" s="250">
        <v>2.3898709676999998</v>
      </c>
      <c r="H26" s="250">
        <v>2.4773666667000001</v>
      </c>
      <c r="I26" s="250">
        <v>2.4866774193999999</v>
      </c>
      <c r="J26" s="250">
        <v>2.6171290322999998</v>
      </c>
      <c r="K26" s="250">
        <v>2.5428333332999999</v>
      </c>
      <c r="L26" s="250">
        <v>2.4322903226000001</v>
      </c>
      <c r="M26" s="250">
        <v>2.4744666667000002</v>
      </c>
      <c r="N26" s="250">
        <v>2.5523548386999999</v>
      </c>
      <c r="O26" s="250">
        <v>2.3911935484</v>
      </c>
      <c r="P26" s="250">
        <v>2.3696428571000001</v>
      </c>
      <c r="Q26" s="250">
        <v>2.4168387096999999</v>
      </c>
      <c r="R26" s="250">
        <v>2.2014333332999998</v>
      </c>
      <c r="S26" s="250">
        <v>2.4533870968000002</v>
      </c>
      <c r="T26" s="250">
        <v>2.4792333332999998</v>
      </c>
      <c r="U26" s="250">
        <v>2.505483871</v>
      </c>
      <c r="V26" s="250">
        <v>2.6016129031999999</v>
      </c>
      <c r="W26" s="250">
        <v>2.5175666667000001</v>
      </c>
      <c r="X26" s="250">
        <v>2.5226451612999998</v>
      </c>
      <c r="Y26" s="250">
        <v>2.6053000000000002</v>
      </c>
      <c r="Z26" s="250">
        <v>2.4930645161</v>
      </c>
      <c r="AA26" s="250">
        <v>2.4542580644999998</v>
      </c>
      <c r="AB26" s="250">
        <v>2.4815</v>
      </c>
      <c r="AC26" s="250">
        <v>2.3306129032</v>
      </c>
      <c r="AD26" s="250">
        <v>2.3505666666999998</v>
      </c>
      <c r="AE26" s="250">
        <v>2.5031612903</v>
      </c>
      <c r="AF26" s="250">
        <v>2.4690333333000001</v>
      </c>
      <c r="AG26" s="250">
        <v>2.6423225806000001</v>
      </c>
      <c r="AH26" s="250">
        <v>2.6325806452</v>
      </c>
      <c r="AI26" s="250">
        <v>2.6878666667000002</v>
      </c>
      <c r="AJ26" s="250">
        <v>2.7310645161</v>
      </c>
      <c r="AK26" s="250">
        <v>2.6126333332999998</v>
      </c>
      <c r="AL26" s="250">
        <v>2.4032903226000002</v>
      </c>
      <c r="AM26" s="250">
        <v>2.3195000000000001</v>
      </c>
      <c r="AN26" s="250">
        <v>2.3733</v>
      </c>
      <c r="AO26" s="250">
        <v>2.2361</v>
      </c>
      <c r="AP26" s="250">
        <v>2.3388</v>
      </c>
      <c r="AQ26" s="250">
        <v>2.2124000000000001</v>
      </c>
      <c r="AR26" s="250">
        <v>2.4077999999999999</v>
      </c>
      <c r="AS26" s="250">
        <v>2.4636999999999998</v>
      </c>
      <c r="AT26" s="250">
        <v>2.6970999999999998</v>
      </c>
      <c r="AU26" s="250">
        <v>2.5428999999999999</v>
      </c>
      <c r="AV26" s="250">
        <v>2.4941</v>
      </c>
      <c r="AW26" s="250">
        <v>2.4531000000000001</v>
      </c>
      <c r="AX26" s="250">
        <v>2.5122</v>
      </c>
      <c r="AY26" s="250">
        <v>2.2984</v>
      </c>
      <c r="AZ26" s="250">
        <v>2.5021</v>
      </c>
      <c r="BA26" s="250">
        <v>2.1934</v>
      </c>
      <c r="BB26" s="250">
        <v>1.6600999999999999</v>
      </c>
      <c r="BC26" s="250">
        <v>1.7859</v>
      </c>
      <c r="BD26" s="250">
        <v>2.0216789899999998</v>
      </c>
      <c r="BE26" s="250">
        <v>2.0962158369999999</v>
      </c>
      <c r="BF26" s="250">
        <v>2.2679395000000002</v>
      </c>
      <c r="BG26" s="403">
        <v>2.275390003</v>
      </c>
      <c r="BH26" s="403">
        <v>2.2730413519999999</v>
      </c>
      <c r="BI26" s="403">
        <v>2.295566193</v>
      </c>
      <c r="BJ26" s="403">
        <v>2.3020360129999999</v>
      </c>
      <c r="BK26" s="403">
        <v>2.3660078160000002</v>
      </c>
      <c r="BL26" s="403">
        <v>2.4151802130000002</v>
      </c>
      <c r="BM26" s="403">
        <v>2.3116850289999999</v>
      </c>
      <c r="BN26" s="403">
        <v>2.256830227</v>
      </c>
      <c r="BO26" s="403">
        <v>2.3181063430000002</v>
      </c>
      <c r="BP26" s="403">
        <v>2.3794110590000002</v>
      </c>
      <c r="BQ26" s="403">
        <v>2.4017128310000002</v>
      </c>
      <c r="BR26" s="403">
        <v>2.4598727249999999</v>
      </c>
      <c r="BS26" s="403">
        <v>2.4134348929999998</v>
      </c>
      <c r="BT26" s="403">
        <v>2.388887671</v>
      </c>
      <c r="BU26" s="403">
        <v>2.4077753940000002</v>
      </c>
      <c r="BV26" s="403">
        <v>2.4123112309999999</v>
      </c>
    </row>
    <row r="27" spans="1:74" ht="11.1" customHeight="1" x14ac:dyDescent="0.2">
      <c r="A27" s="162" t="s">
        <v>287</v>
      </c>
      <c r="B27" s="173" t="s">
        <v>274</v>
      </c>
      <c r="C27" s="250">
        <v>12.946111876</v>
      </c>
      <c r="D27" s="250">
        <v>13.911674913000001</v>
      </c>
      <c r="E27" s="250">
        <v>13.967020539</v>
      </c>
      <c r="F27" s="250">
        <v>14.047018993</v>
      </c>
      <c r="G27" s="250">
        <v>13.685430909999999</v>
      </c>
      <c r="H27" s="250">
        <v>14.098474352</v>
      </c>
      <c r="I27" s="250">
        <v>14.113031526</v>
      </c>
      <c r="J27" s="250">
        <v>14.654078405</v>
      </c>
      <c r="K27" s="250">
        <v>14.61129925</v>
      </c>
      <c r="L27" s="250">
        <v>14.352971975999999</v>
      </c>
      <c r="M27" s="250">
        <v>14.129426824999999</v>
      </c>
      <c r="N27" s="250">
        <v>14.115252978999999</v>
      </c>
      <c r="O27" s="250">
        <v>13.594748379</v>
      </c>
      <c r="P27" s="250">
        <v>13.991552342</v>
      </c>
      <c r="Q27" s="250">
        <v>14.213540408</v>
      </c>
      <c r="R27" s="250">
        <v>13.951135851</v>
      </c>
      <c r="S27" s="250">
        <v>14.351255481999999</v>
      </c>
      <c r="T27" s="250">
        <v>14.842102916</v>
      </c>
      <c r="U27" s="250">
        <v>14.732076144000001</v>
      </c>
      <c r="V27" s="250">
        <v>14.677942936999999</v>
      </c>
      <c r="W27" s="250">
        <v>15.087900608</v>
      </c>
      <c r="X27" s="250">
        <v>14.612584774</v>
      </c>
      <c r="Y27" s="250">
        <v>14.631984094</v>
      </c>
      <c r="Z27" s="250">
        <v>14.272201253</v>
      </c>
      <c r="AA27" s="250">
        <v>13.430419709000001</v>
      </c>
      <c r="AB27" s="250">
        <v>14.664161644</v>
      </c>
      <c r="AC27" s="250">
        <v>14.338419709</v>
      </c>
      <c r="AD27" s="250">
        <v>14.295061644</v>
      </c>
      <c r="AE27" s="250">
        <v>14.104548741</v>
      </c>
      <c r="AF27" s="250">
        <v>14.441294977</v>
      </c>
      <c r="AG27" s="250">
        <v>14.849968096</v>
      </c>
      <c r="AH27" s="250">
        <v>14.743193902</v>
      </c>
      <c r="AI27" s="250">
        <v>14.513694977</v>
      </c>
      <c r="AJ27" s="250">
        <v>14.617193902</v>
      </c>
      <c r="AK27" s="250">
        <v>14.205128310999999</v>
      </c>
      <c r="AL27" s="250">
        <v>13.660419708999999</v>
      </c>
      <c r="AM27" s="250">
        <v>13.950165799000001</v>
      </c>
      <c r="AN27" s="250">
        <v>14.332775246000001</v>
      </c>
      <c r="AO27" s="250">
        <v>13.867262573</v>
      </c>
      <c r="AP27" s="250">
        <v>14.441777627</v>
      </c>
      <c r="AQ27" s="250">
        <v>13.933101282999999</v>
      </c>
      <c r="AR27" s="250">
        <v>14.163810959999999</v>
      </c>
      <c r="AS27" s="250">
        <v>14.925972249999999</v>
      </c>
      <c r="AT27" s="250">
        <v>14.507907734</v>
      </c>
      <c r="AU27" s="250">
        <v>14.534410960000001</v>
      </c>
      <c r="AV27" s="250">
        <v>14.509488379</v>
      </c>
      <c r="AW27" s="250">
        <v>13.98521096</v>
      </c>
      <c r="AX27" s="250">
        <v>13.687617412</v>
      </c>
      <c r="AY27" s="250">
        <v>13.439474951999999</v>
      </c>
      <c r="AZ27" s="250">
        <v>13.915453534999999</v>
      </c>
      <c r="BA27" s="250">
        <v>12.725634892</v>
      </c>
      <c r="BB27" s="250">
        <v>10.358789507999999</v>
      </c>
      <c r="BC27" s="250">
        <v>10.633082122999999</v>
      </c>
      <c r="BD27" s="250">
        <v>12.153142657</v>
      </c>
      <c r="BE27" s="250">
        <v>12.804333103999999</v>
      </c>
      <c r="BF27" s="250">
        <v>12.763413751</v>
      </c>
      <c r="BG27" s="403">
        <v>13.423608821</v>
      </c>
      <c r="BH27" s="403">
        <v>13.259567576</v>
      </c>
      <c r="BI27" s="403">
        <v>12.967234971</v>
      </c>
      <c r="BJ27" s="403">
        <v>12.783801149</v>
      </c>
      <c r="BK27" s="403">
        <v>12.468179988999999</v>
      </c>
      <c r="BL27" s="403">
        <v>13.40255936</v>
      </c>
      <c r="BM27" s="403">
        <v>13.213163248000001</v>
      </c>
      <c r="BN27" s="403">
        <v>13.296850707999999</v>
      </c>
      <c r="BO27" s="403">
        <v>13.111908693</v>
      </c>
      <c r="BP27" s="403">
        <v>13.638084372</v>
      </c>
      <c r="BQ27" s="403">
        <v>13.856746222</v>
      </c>
      <c r="BR27" s="403">
        <v>13.718209356999999</v>
      </c>
      <c r="BS27" s="403">
        <v>14.190309794999999</v>
      </c>
      <c r="BT27" s="403">
        <v>13.980390590000001</v>
      </c>
      <c r="BU27" s="403">
        <v>13.64965061</v>
      </c>
      <c r="BV27" s="403">
        <v>13.445141036000001</v>
      </c>
    </row>
    <row r="28" spans="1:74" ht="11.1" customHeight="1" x14ac:dyDescent="0.2">
      <c r="A28" s="162" t="s">
        <v>288</v>
      </c>
      <c r="B28" s="173" t="s">
        <v>275</v>
      </c>
      <c r="C28" s="250">
        <v>4.3861612902999996</v>
      </c>
      <c r="D28" s="250">
        <v>4.673</v>
      </c>
      <c r="E28" s="250">
        <v>4.3975161290000004</v>
      </c>
      <c r="F28" s="250">
        <v>3.9636666667</v>
      </c>
      <c r="G28" s="250">
        <v>3.5696129031999999</v>
      </c>
      <c r="H28" s="250">
        <v>3.5518999999999998</v>
      </c>
      <c r="I28" s="250">
        <v>3.7695806452</v>
      </c>
      <c r="J28" s="250">
        <v>3.8511290322999998</v>
      </c>
      <c r="K28" s="250">
        <v>3.7135666666999998</v>
      </c>
      <c r="L28" s="250">
        <v>3.7681290323000001</v>
      </c>
      <c r="M28" s="250">
        <v>4.1482000000000001</v>
      </c>
      <c r="N28" s="250">
        <v>4.5867096774</v>
      </c>
      <c r="O28" s="250">
        <v>4.1673870967999997</v>
      </c>
      <c r="P28" s="250">
        <v>4.5548214286000004</v>
      </c>
      <c r="Q28" s="250">
        <v>4.2699032258000003</v>
      </c>
      <c r="R28" s="250">
        <v>3.8311666667000002</v>
      </c>
      <c r="S28" s="250">
        <v>3.5437419354999999</v>
      </c>
      <c r="T28" s="250">
        <v>3.5138333333</v>
      </c>
      <c r="U28" s="250">
        <v>3.6263870967999998</v>
      </c>
      <c r="V28" s="250">
        <v>3.7366774193999999</v>
      </c>
      <c r="W28" s="250">
        <v>3.6689333333</v>
      </c>
      <c r="X28" s="250">
        <v>3.6391935484000002</v>
      </c>
      <c r="Y28" s="250">
        <v>4.1383666666999996</v>
      </c>
      <c r="Z28" s="250">
        <v>4.5405483871000003</v>
      </c>
      <c r="AA28" s="250">
        <v>4.300516129</v>
      </c>
      <c r="AB28" s="250">
        <v>4.6036428570999997</v>
      </c>
      <c r="AC28" s="250">
        <v>4.0751290322999996</v>
      </c>
      <c r="AD28" s="250">
        <v>3.5968666667</v>
      </c>
      <c r="AE28" s="250">
        <v>3.43</v>
      </c>
      <c r="AF28" s="250">
        <v>3.2311999999999999</v>
      </c>
      <c r="AG28" s="250">
        <v>3.4980000000000002</v>
      </c>
      <c r="AH28" s="250">
        <v>3.5927741934999999</v>
      </c>
      <c r="AI28" s="250">
        <v>3.4896666666999998</v>
      </c>
      <c r="AJ28" s="250">
        <v>3.6167096773999998</v>
      </c>
      <c r="AK28" s="250">
        <v>3.8548</v>
      </c>
      <c r="AL28" s="250">
        <v>4.1917741934999997</v>
      </c>
      <c r="AM28" s="250">
        <v>4.0535483871000002</v>
      </c>
      <c r="AN28" s="250">
        <v>4.2978928570999999</v>
      </c>
      <c r="AO28" s="250">
        <v>3.8169354839</v>
      </c>
      <c r="AP28" s="250">
        <v>3.5719666666999998</v>
      </c>
      <c r="AQ28" s="250">
        <v>3.3067419354999998</v>
      </c>
      <c r="AR28" s="250">
        <v>3.2981333333</v>
      </c>
      <c r="AS28" s="250">
        <v>3.3910645161000001</v>
      </c>
      <c r="AT28" s="250">
        <v>3.4247096774000001</v>
      </c>
      <c r="AU28" s="250">
        <v>3.4733666667</v>
      </c>
      <c r="AV28" s="250">
        <v>3.3489032258</v>
      </c>
      <c r="AW28" s="250">
        <v>3.7365333333000001</v>
      </c>
      <c r="AX28" s="250">
        <v>4.1484838709999998</v>
      </c>
      <c r="AY28" s="250">
        <v>3.7093548386999999</v>
      </c>
      <c r="AZ28" s="250">
        <v>3.9429655172000002</v>
      </c>
      <c r="BA28" s="250">
        <v>3.425516129</v>
      </c>
      <c r="BB28" s="250">
        <v>3.0783666667</v>
      </c>
      <c r="BC28" s="250">
        <v>2.7280967742</v>
      </c>
      <c r="BD28" s="250">
        <v>2.7312226609999999</v>
      </c>
      <c r="BE28" s="250">
        <v>2.9843467929999998</v>
      </c>
      <c r="BF28" s="250">
        <v>3.094444298</v>
      </c>
      <c r="BG28" s="403">
        <v>3.0299978190000001</v>
      </c>
      <c r="BH28" s="403">
        <v>3.056209671</v>
      </c>
      <c r="BI28" s="403">
        <v>3.2963549159999999</v>
      </c>
      <c r="BJ28" s="403">
        <v>3.7846476409999998</v>
      </c>
      <c r="BK28" s="403">
        <v>3.5719430550000002</v>
      </c>
      <c r="BL28" s="403">
        <v>3.8267336639999998</v>
      </c>
      <c r="BM28" s="403">
        <v>3.516126367</v>
      </c>
      <c r="BN28" s="403">
        <v>3.1725664820000001</v>
      </c>
      <c r="BO28" s="403">
        <v>2.904806003</v>
      </c>
      <c r="BP28" s="403">
        <v>2.9332900890000002</v>
      </c>
      <c r="BQ28" s="403">
        <v>3.0630450929999999</v>
      </c>
      <c r="BR28" s="403">
        <v>3.1606433900000002</v>
      </c>
      <c r="BS28" s="403">
        <v>3.0779966760000002</v>
      </c>
      <c r="BT28" s="403">
        <v>3.103653971</v>
      </c>
      <c r="BU28" s="403">
        <v>3.3425154969999999</v>
      </c>
      <c r="BV28" s="403">
        <v>3.5910624530000002</v>
      </c>
    </row>
    <row r="29" spans="1:74" ht="11.1" customHeight="1" x14ac:dyDescent="0.2">
      <c r="A29" s="162" t="s">
        <v>289</v>
      </c>
      <c r="B29" s="173" t="s">
        <v>276</v>
      </c>
      <c r="C29" s="250">
        <v>6.5089032258000001</v>
      </c>
      <c r="D29" s="250">
        <v>6.7640344827999996</v>
      </c>
      <c r="E29" s="250">
        <v>6.4648709676999996</v>
      </c>
      <c r="F29" s="250">
        <v>6.3757000000000001</v>
      </c>
      <c r="G29" s="250">
        <v>6.3988387096999997</v>
      </c>
      <c r="H29" s="250">
        <v>6.4714333333000003</v>
      </c>
      <c r="I29" s="250">
        <v>6.2926451613000003</v>
      </c>
      <c r="J29" s="250">
        <v>6.5989677419000001</v>
      </c>
      <c r="K29" s="250">
        <v>6.46</v>
      </c>
      <c r="L29" s="250">
        <v>6.3061612903000004</v>
      </c>
      <c r="M29" s="250">
        <v>6.6834666667000002</v>
      </c>
      <c r="N29" s="250">
        <v>6.8574193548000002</v>
      </c>
      <c r="O29" s="250">
        <v>6.45</v>
      </c>
      <c r="P29" s="250">
        <v>6.8151785713999997</v>
      </c>
      <c r="Q29" s="250">
        <v>6.6802903226000003</v>
      </c>
      <c r="R29" s="250">
        <v>6.4159333332999999</v>
      </c>
      <c r="S29" s="250">
        <v>6.6310645161000004</v>
      </c>
      <c r="T29" s="250">
        <v>6.6283000000000003</v>
      </c>
      <c r="U29" s="250">
        <v>6.5421612903000002</v>
      </c>
      <c r="V29" s="250">
        <v>6.5224516129000003</v>
      </c>
      <c r="W29" s="250">
        <v>6.5519666667000003</v>
      </c>
      <c r="X29" s="250">
        <v>6.4514193547999996</v>
      </c>
      <c r="Y29" s="250">
        <v>6.6966666666999997</v>
      </c>
      <c r="Z29" s="250">
        <v>6.6832580645000004</v>
      </c>
      <c r="AA29" s="250">
        <v>6.6135483870999998</v>
      </c>
      <c r="AB29" s="250">
        <v>6.7679285713999997</v>
      </c>
      <c r="AC29" s="250">
        <v>6.6139354838999997</v>
      </c>
      <c r="AD29" s="250">
        <v>6.5847333333</v>
      </c>
      <c r="AE29" s="250">
        <v>6.6491290323000003</v>
      </c>
      <c r="AF29" s="250">
        <v>6.6450666667</v>
      </c>
      <c r="AG29" s="250">
        <v>6.5351935483999997</v>
      </c>
      <c r="AH29" s="250">
        <v>6.5170967741999997</v>
      </c>
      <c r="AI29" s="250">
        <v>6.4055666667000004</v>
      </c>
      <c r="AJ29" s="250">
        <v>6.2619032258000002</v>
      </c>
      <c r="AK29" s="250">
        <v>6.4901666667000004</v>
      </c>
      <c r="AL29" s="250">
        <v>6.3970322581000003</v>
      </c>
      <c r="AM29" s="250">
        <v>6.6365935483999996</v>
      </c>
      <c r="AN29" s="250">
        <v>6.7317008570999999</v>
      </c>
      <c r="AO29" s="250">
        <v>6.4770377419000003</v>
      </c>
      <c r="AP29" s="250">
        <v>6.5507606666999996</v>
      </c>
      <c r="AQ29" s="250">
        <v>6.4219198065</v>
      </c>
      <c r="AR29" s="250">
        <v>6.3951546666999999</v>
      </c>
      <c r="AS29" s="250">
        <v>6.6114035806000002</v>
      </c>
      <c r="AT29" s="250">
        <v>6.6978533548000003</v>
      </c>
      <c r="AU29" s="250">
        <v>6.2955410000000001</v>
      </c>
      <c r="AV29" s="250">
        <v>6.4146227741999997</v>
      </c>
      <c r="AW29" s="250">
        <v>6.6750813332999996</v>
      </c>
      <c r="AX29" s="250">
        <v>6.7437724193999999</v>
      </c>
      <c r="AY29" s="250">
        <v>6.4963446773999998</v>
      </c>
      <c r="AZ29" s="250">
        <v>6.4919204828000003</v>
      </c>
      <c r="BA29" s="250">
        <v>6.1716920000000002</v>
      </c>
      <c r="BB29" s="250">
        <v>5.1358836666999998</v>
      </c>
      <c r="BC29" s="250">
        <v>5.544206</v>
      </c>
      <c r="BD29" s="250">
        <v>5.7424346560000004</v>
      </c>
      <c r="BE29" s="250">
        <v>5.8257375309999997</v>
      </c>
      <c r="BF29" s="250">
        <v>5.9409397080000002</v>
      </c>
      <c r="BG29" s="403">
        <v>5.9913302269999997</v>
      </c>
      <c r="BH29" s="403">
        <v>6.0954256510000002</v>
      </c>
      <c r="BI29" s="403">
        <v>6.2874115750000001</v>
      </c>
      <c r="BJ29" s="403">
        <v>6.4426831709999997</v>
      </c>
      <c r="BK29" s="403">
        <v>6.2237948449999996</v>
      </c>
      <c r="BL29" s="403">
        <v>6.4338712210000004</v>
      </c>
      <c r="BM29" s="403">
        <v>6.2853258490000004</v>
      </c>
      <c r="BN29" s="403">
        <v>6.1225001170000004</v>
      </c>
      <c r="BO29" s="403">
        <v>6.184986629</v>
      </c>
      <c r="BP29" s="403">
        <v>6.222734526</v>
      </c>
      <c r="BQ29" s="403">
        <v>6.2049219149999999</v>
      </c>
      <c r="BR29" s="403">
        <v>6.2684690759999997</v>
      </c>
      <c r="BS29" s="403">
        <v>6.1744164330000002</v>
      </c>
      <c r="BT29" s="403">
        <v>6.2017423750000003</v>
      </c>
      <c r="BU29" s="403">
        <v>6.3760598340000003</v>
      </c>
      <c r="BV29" s="403">
        <v>6.5292539649999997</v>
      </c>
    </row>
    <row r="30" spans="1:74" ht="11.1" customHeight="1" x14ac:dyDescent="0.2">
      <c r="A30" s="162" t="s">
        <v>296</v>
      </c>
      <c r="B30" s="173" t="s">
        <v>277</v>
      </c>
      <c r="C30" s="250">
        <v>47.405954727999998</v>
      </c>
      <c r="D30" s="250">
        <v>50.217515753000001</v>
      </c>
      <c r="E30" s="250">
        <v>49.774899196</v>
      </c>
      <c r="F30" s="250">
        <v>50.369932259999999</v>
      </c>
      <c r="G30" s="250">
        <v>50.393215204000001</v>
      </c>
      <c r="H30" s="250">
        <v>50.016150643000003</v>
      </c>
      <c r="I30" s="250">
        <v>49.339193252999998</v>
      </c>
      <c r="J30" s="250">
        <v>50.936285245999997</v>
      </c>
      <c r="K30" s="250">
        <v>49.733016188999997</v>
      </c>
      <c r="L30" s="250">
        <v>48.805588094000001</v>
      </c>
      <c r="M30" s="250">
        <v>50.359405961999997</v>
      </c>
      <c r="N30" s="250">
        <v>50.823462595999999</v>
      </c>
      <c r="O30" s="250">
        <v>49.294595696000002</v>
      </c>
      <c r="P30" s="250">
        <v>49.965601159999999</v>
      </c>
      <c r="Q30" s="250">
        <v>51.232101294000003</v>
      </c>
      <c r="R30" s="250">
        <v>50.591923807999997</v>
      </c>
      <c r="S30" s="250">
        <v>52.027694711999999</v>
      </c>
      <c r="T30" s="250">
        <v>52.827657238999997</v>
      </c>
      <c r="U30" s="250">
        <v>51.276362659</v>
      </c>
      <c r="V30" s="250">
        <v>51.226541142999999</v>
      </c>
      <c r="W30" s="250">
        <v>52.545137492999999</v>
      </c>
      <c r="X30" s="250">
        <v>51.159563355000003</v>
      </c>
      <c r="Y30" s="250">
        <v>52.682531693000001</v>
      </c>
      <c r="Z30" s="250">
        <v>51.160951593</v>
      </c>
      <c r="AA30" s="250">
        <v>51.105263518000001</v>
      </c>
      <c r="AB30" s="250">
        <v>52.479042560000003</v>
      </c>
      <c r="AC30" s="250">
        <v>52.204397100000001</v>
      </c>
      <c r="AD30" s="250">
        <v>52.571086715</v>
      </c>
      <c r="AE30" s="250">
        <v>52.893980495999998</v>
      </c>
      <c r="AF30" s="250">
        <v>53.492412014999999</v>
      </c>
      <c r="AG30" s="250">
        <v>53.107625013000003</v>
      </c>
      <c r="AH30" s="250">
        <v>52.672458143999997</v>
      </c>
      <c r="AI30" s="250">
        <v>53.281473742000003</v>
      </c>
      <c r="AJ30" s="250">
        <v>52.363058539999997</v>
      </c>
      <c r="AK30" s="250">
        <v>52.834889191000002</v>
      </c>
      <c r="AL30" s="250">
        <v>53.698736779000001</v>
      </c>
      <c r="AM30" s="250">
        <v>52.097981840999999</v>
      </c>
      <c r="AN30" s="250">
        <v>53.456578657999998</v>
      </c>
      <c r="AO30" s="250">
        <v>53.188982119999999</v>
      </c>
      <c r="AP30" s="250">
        <v>53.699489413000002</v>
      </c>
      <c r="AQ30" s="250">
        <v>53.989445199999999</v>
      </c>
      <c r="AR30" s="250">
        <v>54.391417332000003</v>
      </c>
      <c r="AS30" s="250">
        <v>54.299547408000002</v>
      </c>
      <c r="AT30" s="250">
        <v>53.871389493000002</v>
      </c>
      <c r="AU30" s="250">
        <v>54.332474566999998</v>
      </c>
      <c r="AV30" s="250">
        <v>53.320902015999998</v>
      </c>
      <c r="AW30" s="250">
        <v>54.292814036999999</v>
      </c>
      <c r="AX30" s="250">
        <v>54.760281800999998</v>
      </c>
      <c r="AY30" s="250">
        <v>50.565253568999999</v>
      </c>
      <c r="AZ30" s="250">
        <v>50.277585178999999</v>
      </c>
      <c r="BA30" s="250">
        <v>48.222876354999997</v>
      </c>
      <c r="BB30" s="250">
        <v>45.825379681999998</v>
      </c>
      <c r="BC30" s="250">
        <v>47.122159332999999</v>
      </c>
      <c r="BD30" s="250">
        <v>50.001926054000002</v>
      </c>
      <c r="BE30" s="250">
        <v>51.040938064999999</v>
      </c>
      <c r="BF30" s="250">
        <v>51.419467161999997</v>
      </c>
      <c r="BG30" s="403">
        <v>52.701729391999997</v>
      </c>
      <c r="BH30" s="403">
        <v>52.032898015999997</v>
      </c>
      <c r="BI30" s="403">
        <v>52.88031007</v>
      </c>
      <c r="BJ30" s="403">
        <v>53.563245434000002</v>
      </c>
      <c r="BK30" s="403">
        <v>51.897017605999999</v>
      </c>
      <c r="BL30" s="403">
        <v>53.466320510000003</v>
      </c>
      <c r="BM30" s="403">
        <v>53.257056130999999</v>
      </c>
      <c r="BN30" s="403">
        <v>53.756575030999997</v>
      </c>
      <c r="BO30" s="403">
        <v>54.096819287000002</v>
      </c>
      <c r="BP30" s="403">
        <v>54.625626551000003</v>
      </c>
      <c r="BQ30" s="403">
        <v>54.368803718000002</v>
      </c>
      <c r="BR30" s="403">
        <v>53.976664493999998</v>
      </c>
      <c r="BS30" s="403">
        <v>54.746994444999999</v>
      </c>
      <c r="BT30" s="403">
        <v>53.686119640000001</v>
      </c>
      <c r="BU30" s="403">
        <v>54.504494842</v>
      </c>
      <c r="BV30" s="403">
        <v>55.175149994000002</v>
      </c>
    </row>
    <row r="31" spans="1:74" ht="11.1" customHeight="1" x14ac:dyDescent="0.2">
      <c r="A31" s="162" t="s">
        <v>291</v>
      </c>
      <c r="B31" s="173" t="s">
        <v>946</v>
      </c>
      <c r="C31" s="250">
        <v>4.3383003685999997</v>
      </c>
      <c r="D31" s="250">
        <v>4.5892005902999999</v>
      </c>
      <c r="E31" s="250">
        <v>4.4679884918999999</v>
      </c>
      <c r="F31" s="250">
        <v>4.3414205541999999</v>
      </c>
      <c r="G31" s="250">
        <v>4.4165551125000002</v>
      </c>
      <c r="H31" s="250">
        <v>4.6298264995</v>
      </c>
      <c r="I31" s="250">
        <v>4.7729672304999999</v>
      </c>
      <c r="J31" s="250">
        <v>4.9488184493</v>
      </c>
      <c r="K31" s="250">
        <v>4.7300148365999997</v>
      </c>
      <c r="L31" s="250">
        <v>4.7568352209000002</v>
      </c>
      <c r="M31" s="250">
        <v>4.7828592903000002</v>
      </c>
      <c r="N31" s="250">
        <v>4.7835407217999997</v>
      </c>
      <c r="O31" s="250">
        <v>4.3704491524</v>
      </c>
      <c r="P31" s="250">
        <v>4.668258099</v>
      </c>
      <c r="Q31" s="250">
        <v>4.5264611117999998</v>
      </c>
      <c r="R31" s="250">
        <v>4.6501315878999998</v>
      </c>
      <c r="S31" s="250">
        <v>4.6783095914999997</v>
      </c>
      <c r="T31" s="250">
        <v>4.9362969355999997</v>
      </c>
      <c r="U31" s="250">
        <v>5.0102991032000004</v>
      </c>
      <c r="V31" s="250">
        <v>4.9928551119</v>
      </c>
      <c r="W31" s="250">
        <v>5.0119688472000004</v>
      </c>
      <c r="X31" s="250">
        <v>4.9115938812</v>
      </c>
      <c r="Y31" s="250">
        <v>4.8960586059000004</v>
      </c>
      <c r="Z31" s="250">
        <v>4.8337476991999999</v>
      </c>
      <c r="AA31" s="250">
        <v>4.9673229760000002</v>
      </c>
      <c r="AB31" s="250">
        <v>5.1943243280000004</v>
      </c>
      <c r="AC31" s="250">
        <v>5.0553031390000003</v>
      </c>
      <c r="AD31" s="250">
        <v>4.9710484429999999</v>
      </c>
      <c r="AE31" s="250">
        <v>5.0947027619999998</v>
      </c>
      <c r="AF31" s="250">
        <v>5.2970209370000001</v>
      </c>
      <c r="AG31" s="250">
        <v>5.4712212830000002</v>
      </c>
      <c r="AH31" s="250">
        <v>5.5622696789999999</v>
      </c>
      <c r="AI31" s="250">
        <v>5.4842628199999996</v>
      </c>
      <c r="AJ31" s="250">
        <v>5.2945752390000003</v>
      </c>
      <c r="AK31" s="250">
        <v>5.3632817890000002</v>
      </c>
      <c r="AL31" s="250">
        <v>5.4220675829999996</v>
      </c>
      <c r="AM31" s="250">
        <v>5.0362018800000001</v>
      </c>
      <c r="AN31" s="250">
        <v>5.2681037020000003</v>
      </c>
      <c r="AO31" s="250">
        <v>5.1268371070000001</v>
      </c>
      <c r="AP31" s="250">
        <v>5.0409273280000004</v>
      </c>
      <c r="AQ31" s="250">
        <v>5.1674351009999997</v>
      </c>
      <c r="AR31" s="250">
        <v>5.3739091180000003</v>
      </c>
      <c r="AS31" s="250">
        <v>5.549412341</v>
      </c>
      <c r="AT31" s="250">
        <v>5.6429487050000002</v>
      </c>
      <c r="AU31" s="250">
        <v>5.5630288080000003</v>
      </c>
      <c r="AV31" s="250">
        <v>5.3695276390000002</v>
      </c>
      <c r="AW31" s="250">
        <v>5.4396401750000001</v>
      </c>
      <c r="AX31" s="250">
        <v>5.4993719590000003</v>
      </c>
      <c r="AY31" s="250">
        <v>4.8876228670000001</v>
      </c>
      <c r="AZ31" s="250">
        <v>5.0915198989999997</v>
      </c>
      <c r="BA31" s="250">
        <v>4.8409100460000003</v>
      </c>
      <c r="BB31" s="250">
        <v>4.3264913759999999</v>
      </c>
      <c r="BC31" s="250">
        <v>4.4535859919999998</v>
      </c>
      <c r="BD31" s="250">
        <v>4.8999722800000001</v>
      </c>
      <c r="BE31" s="250">
        <v>5.25420263</v>
      </c>
      <c r="BF31" s="250">
        <v>5.4323422170000004</v>
      </c>
      <c r="BG31" s="403">
        <v>5.3991390509999997</v>
      </c>
      <c r="BH31" s="403">
        <v>5.214411267</v>
      </c>
      <c r="BI31" s="403">
        <v>5.289788959</v>
      </c>
      <c r="BJ31" s="403">
        <v>5.3528483700000002</v>
      </c>
      <c r="BK31" s="403">
        <v>4.9659231119999996</v>
      </c>
      <c r="BL31" s="403">
        <v>5.208142746</v>
      </c>
      <c r="BM31" s="403">
        <v>5.0726529420000004</v>
      </c>
      <c r="BN31" s="403">
        <v>4.9909649839999997</v>
      </c>
      <c r="BO31" s="403">
        <v>5.124633029</v>
      </c>
      <c r="BP31" s="403">
        <v>5.3381555660000002</v>
      </c>
      <c r="BQ31" s="403">
        <v>5.5133533510000001</v>
      </c>
      <c r="BR31" s="403">
        <v>5.6135507699999998</v>
      </c>
      <c r="BS31" s="403">
        <v>5.5351880769999999</v>
      </c>
      <c r="BT31" s="403">
        <v>5.3427775039999998</v>
      </c>
      <c r="BU31" s="403">
        <v>5.416874999</v>
      </c>
      <c r="BV31" s="403">
        <v>5.4796380669999998</v>
      </c>
    </row>
    <row r="32" spans="1:74" ht="11.1" customHeight="1" x14ac:dyDescent="0.2">
      <c r="A32" s="162" t="s">
        <v>292</v>
      </c>
      <c r="B32" s="173" t="s">
        <v>274</v>
      </c>
      <c r="C32" s="250">
        <v>0.69124556917000002</v>
      </c>
      <c r="D32" s="250">
        <v>0.71284647143000002</v>
      </c>
      <c r="E32" s="250">
        <v>0.70837352888000005</v>
      </c>
      <c r="F32" s="250">
        <v>0.72332025215999995</v>
      </c>
      <c r="G32" s="250">
        <v>0.72645569069000004</v>
      </c>
      <c r="H32" s="250">
        <v>0.75553882692999996</v>
      </c>
      <c r="I32" s="250">
        <v>0.73910762916999995</v>
      </c>
      <c r="J32" s="250">
        <v>0.73783228296000003</v>
      </c>
      <c r="K32" s="250">
        <v>0.71788834581000005</v>
      </c>
      <c r="L32" s="250">
        <v>0.73660474840000001</v>
      </c>
      <c r="M32" s="250">
        <v>0.72356676052000002</v>
      </c>
      <c r="N32" s="250">
        <v>0.71744095847</v>
      </c>
      <c r="O32" s="250">
        <v>0.71123463284999999</v>
      </c>
      <c r="P32" s="250">
        <v>0.73278917669999999</v>
      </c>
      <c r="Q32" s="250">
        <v>0.73746432383000005</v>
      </c>
      <c r="R32" s="250">
        <v>0.74442917717000001</v>
      </c>
      <c r="S32" s="250">
        <v>0.76606498971000003</v>
      </c>
      <c r="T32" s="250">
        <v>0.76373453713999995</v>
      </c>
      <c r="U32" s="250">
        <v>0.77122035142000001</v>
      </c>
      <c r="V32" s="250">
        <v>0.77410824082999996</v>
      </c>
      <c r="W32" s="250">
        <v>0.77071934702</v>
      </c>
      <c r="X32" s="250">
        <v>0.79261418811999995</v>
      </c>
      <c r="Y32" s="250">
        <v>0.77950958391000003</v>
      </c>
      <c r="Z32" s="250">
        <v>0.74725483632</v>
      </c>
      <c r="AA32" s="250">
        <v>0.75219954700000002</v>
      </c>
      <c r="AB32" s="250">
        <v>0.75730329200000002</v>
      </c>
      <c r="AC32" s="250">
        <v>0.75959072299999997</v>
      </c>
      <c r="AD32" s="250">
        <v>0.75075865399999997</v>
      </c>
      <c r="AE32" s="250">
        <v>0.75091711000000005</v>
      </c>
      <c r="AF32" s="250">
        <v>0.76673618899999996</v>
      </c>
      <c r="AG32" s="250">
        <v>0.76339601800000001</v>
      </c>
      <c r="AH32" s="250">
        <v>0.76862657400000001</v>
      </c>
      <c r="AI32" s="250">
        <v>0.77462244099999999</v>
      </c>
      <c r="AJ32" s="250">
        <v>0.78304081199999997</v>
      </c>
      <c r="AK32" s="250">
        <v>0.77173467799999995</v>
      </c>
      <c r="AL32" s="250">
        <v>0.76910567900000004</v>
      </c>
      <c r="AM32" s="250">
        <v>0.76106267900000002</v>
      </c>
      <c r="AN32" s="250">
        <v>0.76622654599999995</v>
      </c>
      <c r="AO32" s="250">
        <v>0.76854092399999996</v>
      </c>
      <c r="AP32" s="250">
        <v>0.75960474</v>
      </c>
      <c r="AQ32" s="250">
        <v>0.75976506300000002</v>
      </c>
      <c r="AR32" s="250">
        <v>0.77577049099999995</v>
      </c>
      <c r="AS32" s="250">
        <v>0.77239081700000001</v>
      </c>
      <c r="AT32" s="250">
        <v>0.77768298899999999</v>
      </c>
      <c r="AU32" s="250">
        <v>0.78374949100000002</v>
      </c>
      <c r="AV32" s="250">
        <v>0.79226714300000001</v>
      </c>
      <c r="AW32" s="250">
        <v>0.78082782100000003</v>
      </c>
      <c r="AX32" s="250">
        <v>0.77816785300000002</v>
      </c>
      <c r="AY32" s="250">
        <v>0.72037926799999996</v>
      </c>
      <c r="AZ32" s="250">
        <v>0.72311992800000002</v>
      </c>
      <c r="BA32" s="250">
        <v>0.72444699700000004</v>
      </c>
      <c r="BB32" s="250">
        <v>0.69761632299999998</v>
      </c>
      <c r="BC32" s="250">
        <v>0.69846466799999996</v>
      </c>
      <c r="BD32" s="250">
        <v>0.72886343499999995</v>
      </c>
      <c r="BE32" s="250">
        <v>0.72697199099999998</v>
      </c>
      <c r="BF32" s="250">
        <v>0.73220554000000004</v>
      </c>
      <c r="BG32" s="403">
        <v>0.74130803599999995</v>
      </c>
      <c r="BH32" s="403">
        <v>0.74953475700000005</v>
      </c>
      <c r="BI32" s="403">
        <v>0.73881660500000002</v>
      </c>
      <c r="BJ32" s="403">
        <v>0.73639946000000001</v>
      </c>
      <c r="BK32" s="403">
        <v>0.73847338100000004</v>
      </c>
      <c r="BL32" s="403">
        <v>0.74370446499999998</v>
      </c>
      <c r="BM32" s="403">
        <v>0.746158294</v>
      </c>
      <c r="BN32" s="403">
        <v>0.73757685799999995</v>
      </c>
      <c r="BO32" s="403">
        <v>0.73782663999999998</v>
      </c>
      <c r="BP32" s="403">
        <v>0.75354613000000004</v>
      </c>
      <c r="BQ32" s="403">
        <v>0.75029871000000004</v>
      </c>
      <c r="BR32" s="403">
        <v>0.75548899700000005</v>
      </c>
      <c r="BS32" s="403">
        <v>0.76140344000000004</v>
      </c>
      <c r="BT32" s="403">
        <v>0.76972568299999999</v>
      </c>
      <c r="BU32" s="403">
        <v>0.75860382699999995</v>
      </c>
      <c r="BV32" s="403">
        <v>0.75603790000000004</v>
      </c>
    </row>
    <row r="33" spans="1:74" ht="11.1" customHeight="1" x14ac:dyDescent="0.2">
      <c r="A33" s="162" t="s">
        <v>293</v>
      </c>
      <c r="B33" s="173" t="s">
        <v>279</v>
      </c>
      <c r="C33" s="250">
        <v>11.669654116</v>
      </c>
      <c r="D33" s="250">
        <v>13.697185601999999</v>
      </c>
      <c r="E33" s="250">
        <v>13.112451495</v>
      </c>
      <c r="F33" s="250">
        <v>13.673284133999999</v>
      </c>
      <c r="G33" s="250">
        <v>13.387712549</v>
      </c>
      <c r="H33" s="250">
        <v>12.933787663</v>
      </c>
      <c r="I33" s="250">
        <v>12.380446909</v>
      </c>
      <c r="J33" s="250">
        <v>13.040167523999999</v>
      </c>
      <c r="K33" s="250">
        <v>13.134076529</v>
      </c>
      <c r="L33" s="250">
        <v>12.006944054</v>
      </c>
      <c r="M33" s="250">
        <v>13.428744706</v>
      </c>
      <c r="N33" s="250">
        <v>14.050825086</v>
      </c>
      <c r="O33" s="250">
        <v>13.113177082</v>
      </c>
      <c r="P33" s="250">
        <v>13.174905278000001</v>
      </c>
      <c r="Q33" s="250">
        <v>13.812413640999999</v>
      </c>
      <c r="R33" s="250">
        <v>13.428385386</v>
      </c>
      <c r="S33" s="250">
        <v>14.056099744999999</v>
      </c>
      <c r="T33" s="250">
        <v>13.963389136</v>
      </c>
      <c r="U33" s="250">
        <v>13.054608418999999</v>
      </c>
      <c r="V33" s="250">
        <v>12.886119937</v>
      </c>
      <c r="W33" s="250">
        <v>14.222384134</v>
      </c>
      <c r="X33" s="250">
        <v>13.184165341</v>
      </c>
      <c r="Y33" s="250">
        <v>14.715356455</v>
      </c>
      <c r="Z33" s="250">
        <v>13.219516443</v>
      </c>
      <c r="AA33" s="250">
        <v>13.70374758</v>
      </c>
      <c r="AB33" s="250">
        <v>14.121038649999999</v>
      </c>
      <c r="AC33" s="250">
        <v>14.037613820000001</v>
      </c>
      <c r="AD33" s="250">
        <v>14.332272870000001</v>
      </c>
      <c r="AE33" s="250">
        <v>14.12828698</v>
      </c>
      <c r="AF33" s="250">
        <v>13.971571389999999</v>
      </c>
      <c r="AG33" s="250">
        <v>13.919394329999999</v>
      </c>
      <c r="AH33" s="250">
        <v>13.49563539</v>
      </c>
      <c r="AI33" s="250">
        <v>14.23160481</v>
      </c>
      <c r="AJ33" s="250">
        <v>13.40155691</v>
      </c>
      <c r="AK33" s="250">
        <v>14.24614495</v>
      </c>
      <c r="AL33" s="250">
        <v>14.648219729999999</v>
      </c>
      <c r="AM33" s="250">
        <v>14.19858142</v>
      </c>
      <c r="AN33" s="250">
        <v>14.629234500000001</v>
      </c>
      <c r="AO33" s="250">
        <v>14.54131029</v>
      </c>
      <c r="AP33" s="250">
        <v>14.84464277</v>
      </c>
      <c r="AQ33" s="250">
        <v>14.63154209</v>
      </c>
      <c r="AR33" s="250">
        <v>14.467202070000001</v>
      </c>
      <c r="AS33" s="250">
        <v>14.41091333</v>
      </c>
      <c r="AT33" s="250">
        <v>13.969741600000001</v>
      </c>
      <c r="AU33" s="250">
        <v>14.729074260000001</v>
      </c>
      <c r="AV33" s="250">
        <v>13.86690789</v>
      </c>
      <c r="AW33" s="250">
        <v>14.73833703</v>
      </c>
      <c r="AX33" s="250">
        <v>15.151446930000001</v>
      </c>
      <c r="AY33" s="250">
        <v>13.86557994</v>
      </c>
      <c r="AZ33" s="250">
        <v>12.97016919</v>
      </c>
      <c r="BA33" s="250">
        <v>12.913867890000001</v>
      </c>
      <c r="BB33" s="250">
        <v>13.436258840000001</v>
      </c>
      <c r="BC33" s="250">
        <v>13.28197698</v>
      </c>
      <c r="BD33" s="250">
        <v>13.46191353</v>
      </c>
      <c r="BE33" s="250">
        <v>14.08485085</v>
      </c>
      <c r="BF33" s="250">
        <v>13.947662190000001</v>
      </c>
      <c r="BG33" s="403">
        <v>14.74673823</v>
      </c>
      <c r="BH33" s="403">
        <v>14.0128106</v>
      </c>
      <c r="BI33" s="403">
        <v>14.912736069999999</v>
      </c>
      <c r="BJ33" s="403">
        <v>15.34495136</v>
      </c>
      <c r="BK33" s="403">
        <v>14.577935119999999</v>
      </c>
      <c r="BL33" s="403">
        <v>15.03940542</v>
      </c>
      <c r="BM33" s="403">
        <v>14.962475599999999</v>
      </c>
      <c r="BN33" s="403">
        <v>15.288185779999999</v>
      </c>
      <c r="BO33" s="403">
        <v>15.07855161</v>
      </c>
      <c r="BP33" s="403">
        <v>14.91808546</v>
      </c>
      <c r="BQ33" s="403">
        <v>14.86825837</v>
      </c>
      <c r="BR33" s="403">
        <v>14.41963548</v>
      </c>
      <c r="BS33" s="403">
        <v>15.21121778</v>
      </c>
      <c r="BT33" s="403">
        <v>14.32584149</v>
      </c>
      <c r="BU33" s="403">
        <v>15.231905250000001</v>
      </c>
      <c r="BV33" s="403">
        <v>15.664767960000001</v>
      </c>
    </row>
    <row r="34" spans="1:74" ht="11.1" customHeight="1" x14ac:dyDescent="0.2">
      <c r="A34" s="162" t="s">
        <v>294</v>
      </c>
      <c r="B34" s="173" t="s">
        <v>280</v>
      </c>
      <c r="C34" s="250">
        <v>12.53449022</v>
      </c>
      <c r="D34" s="250">
        <v>12.868955266</v>
      </c>
      <c r="E34" s="250">
        <v>12.916708377999999</v>
      </c>
      <c r="F34" s="250">
        <v>13.129671087</v>
      </c>
      <c r="G34" s="250">
        <v>12.808128957999999</v>
      </c>
      <c r="H34" s="250">
        <v>12.217051478</v>
      </c>
      <c r="I34" s="250">
        <v>12.289880149</v>
      </c>
      <c r="J34" s="250">
        <v>12.574349844</v>
      </c>
      <c r="K34" s="250">
        <v>12.274870969</v>
      </c>
      <c r="L34" s="250">
        <v>12.631663374</v>
      </c>
      <c r="M34" s="250">
        <v>12.811725493000001</v>
      </c>
      <c r="N34" s="250">
        <v>12.632047570999999</v>
      </c>
      <c r="O34" s="250">
        <v>12.942120019000001</v>
      </c>
      <c r="P34" s="250">
        <v>12.785692876000001</v>
      </c>
      <c r="Q34" s="250">
        <v>13.403734891999999</v>
      </c>
      <c r="R34" s="250">
        <v>13.150244957</v>
      </c>
      <c r="S34" s="250">
        <v>13.400616931</v>
      </c>
      <c r="T34" s="250">
        <v>13.447068605</v>
      </c>
      <c r="U34" s="250">
        <v>13.040180405999999</v>
      </c>
      <c r="V34" s="250">
        <v>12.996310157</v>
      </c>
      <c r="W34" s="250">
        <v>13.069985177</v>
      </c>
      <c r="X34" s="250">
        <v>13.140822343</v>
      </c>
      <c r="Y34" s="250">
        <v>13.48974129</v>
      </c>
      <c r="Z34" s="250">
        <v>13.454522708000001</v>
      </c>
      <c r="AA34" s="250">
        <v>13.487163577</v>
      </c>
      <c r="AB34" s="250">
        <v>13.945893597</v>
      </c>
      <c r="AC34" s="250">
        <v>13.905472123999999</v>
      </c>
      <c r="AD34" s="250">
        <v>13.891042276</v>
      </c>
      <c r="AE34" s="250">
        <v>13.991496406</v>
      </c>
      <c r="AF34" s="250">
        <v>13.955775776999999</v>
      </c>
      <c r="AG34" s="250">
        <v>13.578307527</v>
      </c>
      <c r="AH34" s="250">
        <v>13.448958497</v>
      </c>
      <c r="AI34" s="250">
        <v>13.41112571</v>
      </c>
      <c r="AJ34" s="250">
        <v>13.711980334</v>
      </c>
      <c r="AK34" s="250">
        <v>13.705026306000001</v>
      </c>
      <c r="AL34" s="250">
        <v>14.042838230999999</v>
      </c>
      <c r="AM34" s="250">
        <v>13.714670010000001</v>
      </c>
      <c r="AN34" s="250">
        <v>14.081110026999999</v>
      </c>
      <c r="AO34" s="250">
        <v>14.055453074000001</v>
      </c>
      <c r="AP34" s="250">
        <v>14.141524642</v>
      </c>
      <c r="AQ34" s="250">
        <v>14.216450588000001</v>
      </c>
      <c r="AR34" s="250">
        <v>13.979062455999999</v>
      </c>
      <c r="AS34" s="250">
        <v>13.897268937</v>
      </c>
      <c r="AT34" s="250">
        <v>13.760042678</v>
      </c>
      <c r="AU34" s="250">
        <v>13.551952558</v>
      </c>
      <c r="AV34" s="250">
        <v>13.781630085</v>
      </c>
      <c r="AW34" s="250">
        <v>14.257569931000001</v>
      </c>
      <c r="AX34" s="250">
        <v>14.203386198</v>
      </c>
      <c r="AY34" s="250">
        <v>13.598259707</v>
      </c>
      <c r="AZ34" s="250">
        <v>13.736783815000001</v>
      </c>
      <c r="BA34" s="250">
        <v>12.582417508000001</v>
      </c>
      <c r="BB34" s="250">
        <v>10.888987555</v>
      </c>
      <c r="BC34" s="250">
        <v>12.010152399000001</v>
      </c>
      <c r="BD34" s="250">
        <v>12.954465271</v>
      </c>
      <c r="BE34" s="250">
        <v>12.845054021999999</v>
      </c>
      <c r="BF34" s="250">
        <v>12.899611552</v>
      </c>
      <c r="BG34" s="403">
        <v>13.175359662</v>
      </c>
      <c r="BH34" s="403">
        <v>13.502684605000001</v>
      </c>
      <c r="BI34" s="403">
        <v>13.765163053</v>
      </c>
      <c r="BJ34" s="403">
        <v>13.887364802</v>
      </c>
      <c r="BK34" s="403">
        <v>13.867745335</v>
      </c>
      <c r="BL34" s="403">
        <v>14.385911592999999</v>
      </c>
      <c r="BM34" s="403">
        <v>14.378009568</v>
      </c>
      <c r="BN34" s="403">
        <v>14.411893667999999</v>
      </c>
      <c r="BO34" s="403">
        <v>14.519482452</v>
      </c>
      <c r="BP34" s="403">
        <v>14.389921693</v>
      </c>
      <c r="BQ34" s="403">
        <v>14.118131255</v>
      </c>
      <c r="BR34" s="403">
        <v>14.00429183</v>
      </c>
      <c r="BS34" s="403">
        <v>14.053663290999999</v>
      </c>
      <c r="BT34" s="403">
        <v>14.233504684</v>
      </c>
      <c r="BU34" s="403">
        <v>14.493752711999999</v>
      </c>
      <c r="BV34" s="403">
        <v>14.604292612</v>
      </c>
    </row>
    <row r="35" spans="1:74" ht="11.1" customHeight="1" x14ac:dyDescent="0.2">
      <c r="A35" s="162" t="s">
        <v>295</v>
      </c>
      <c r="B35" s="173" t="s">
        <v>281</v>
      </c>
      <c r="C35" s="250">
        <v>18.172264455000001</v>
      </c>
      <c r="D35" s="250">
        <v>18.349327822999999</v>
      </c>
      <c r="E35" s="250">
        <v>18.569377301999999</v>
      </c>
      <c r="F35" s="250">
        <v>18.502236233000001</v>
      </c>
      <c r="G35" s="250">
        <v>19.054362894</v>
      </c>
      <c r="H35" s="250">
        <v>19.479946175999999</v>
      </c>
      <c r="I35" s="250">
        <v>19.156791335000001</v>
      </c>
      <c r="J35" s="250">
        <v>19.635117145999999</v>
      </c>
      <c r="K35" s="250">
        <v>18.876165509</v>
      </c>
      <c r="L35" s="250">
        <v>18.673540697</v>
      </c>
      <c r="M35" s="250">
        <v>18.612509711000001</v>
      </c>
      <c r="N35" s="250">
        <v>18.639608258999999</v>
      </c>
      <c r="O35" s="250">
        <v>18.157614810999998</v>
      </c>
      <c r="P35" s="250">
        <v>18.603955730999999</v>
      </c>
      <c r="Q35" s="250">
        <v>18.752027326</v>
      </c>
      <c r="R35" s="250">
        <v>18.618732699999999</v>
      </c>
      <c r="S35" s="250">
        <v>19.126603455000001</v>
      </c>
      <c r="T35" s="250">
        <v>19.717168024999999</v>
      </c>
      <c r="U35" s="250">
        <v>19.40005438</v>
      </c>
      <c r="V35" s="250">
        <v>19.577147696000001</v>
      </c>
      <c r="W35" s="250">
        <v>19.470079987999998</v>
      </c>
      <c r="X35" s="250">
        <v>19.130367602</v>
      </c>
      <c r="Y35" s="250">
        <v>18.801865758000002</v>
      </c>
      <c r="Z35" s="250">
        <v>18.905909907000002</v>
      </c>
      <c r="AA35" s="250">
        <v>18.194829838</v>
      </c>
      <c r="AB35" s="250">
        <v>18.460482692999999</v>
      </c>
      <c r="AC35" s="250">
        <v>18.446417294</v>
      </c>
      <c r="AD35" s="250">
        <v>18.625964472</v>
      </c>
      <c r="AE35" s="250">
        <v>18.928577237999999</v>
      </c>
      <c r="AF35" s="250">
        <v>19.501307722</v>
      </c>
      <c r="AG35" s="250">
        <v>19.375305855000001</v>
      </c>
      <c r="AH35" s="250">
        <v>19.396968004000001</v>
      </c>
      <c r="AI35" s="250">
        <v>19.379857960999999</v>
      </c>
      <c r="AJ35" s="250">
        <v>19.171905245000001</v>
      </c>
      <c r="AK35" s="250">
        <v>18.748701468</v>
      </c>
      <c r="AL35" s="250">
        <v>18.816505555999999</v>
      </c>
      <c r="AM35" s="250">
        <v>18.387465851999998</v>
      </c>
      <c r="AN35" s="250">
        <v>18.711903883000002</v>
      </c>
      <c r="AO35" s="250">
        <v>18.696840725000001</v>
      </c>
      <c r="AP35" s="250">
        <v>18.912789932999999</v>
      </c>
      <c r="AQ35" s="250">
        <v>19.214252358</v>
      </c>
      <c r="AR35" s="250">
        <v>19.795473197</v>
      </c>
      <c r="AS35" s="250">
        <v>19.669561983000001</v>
      </c>
      <c r="AT35" s="250">
        <v>19.720973521000001</v>
      </c>
      <c r="AU35" s="250">
        <v>19.704669450000001</v>
      </c>
      <c r="AV35" s="250">
        <v>19.510569259</v>
      </c>
      <c r="AW35" s="250">
        <v>19.07643908</v>
      </c>
      <c r="AX35" s="250">
        <v>19.127908861000002</v>
      </c>
      <c r="AY35" s="250">
        <v>17.493411786999999</v>
      </c>
      <c r="AZ35" s="250">
        <v>17.755992346999999</v>
      </c>
      <c r="BA35" s="250">
        <v>17.161233914</v>
      </c>
      <c r="BB35" s="250">
        <v>16.476025587999999</v>
      </c>
      <c r="BC35" s="250">
        <v>16.677979294</v>
      </c>
      <c r="BD35" s="250">
        <v>17.956711538</v>
      </c>
      <c r="BE35" s="250">
        <v>18.129858572</v>
      </c>
      <c r="BF35" s="250">
        <v>18.407645663</v>
      </c>
      <c r="BG35" s="403">
        <v>18.639184412999999</v>
      </c>
      <c r="BH35" s="403">
        <v>18.553456786999998</v>
      </c>
      <c r="BI35" s="403">
        <v>18.173805383000001</v>
      </c>
      <c r="BJ35" s="403">
        <v>18.241681442000001</v>
      </c>
      <c r="BK35" s="403">
        <v>17.746940658</v>
      </c>
      <c r="BL35" s="403">
        <v>18.089156286000001</v>
      </c>
      <c r="BM35" s="403">
        <v>18.097759727</v>
      </c>
      <c r="BN35" s="403">
        <v>18.327953741000002</v>
      </c>
      <c r="BO35" s="403">
        <v>18.636325555999999</v>
      </c>
      <c r="BP35" s="403">
        <v>19.225917702</v>
      </c>
      <c r="BQ35" s="403">
        <v>19.118762031999999</v>
      </c>
      <c r="BR35" s="403">
        <v>19.183697417000001</v>
      </c>
      <c r="BS35" s="403">
        <v>19.185521857000001</v>
      </c>
      <c r="BT35" s="403">
        <v>19.014270279000002</v>
      </c>
      <c r="BU35" s="403">
        <v>18.603358054000001</v>
      </c>
      <c r="BV35" s="403">
        <v>18.670413454999998</v>
      </c>
    </row>
    <row r="36" spans="1:74" ht="11.1" customHeight="1" x14ac:dyDescent="0.2">
      <c r="A36" s="162" t="s">
        <v>297</v>
      </c>
      <c r="B36" s="173" t="s">
        <v>227</v>
      </c>
      <c r="C36" s="250">
        <v>92.898245363000001</v>
      </c>
      <c r="D36" s="250">
        <v>97.964128422000002</v>
      </c>
      <c r="E36" s="250">
        <v>96.896432935000007</v>
      </c>
      <c r="F36" s="250">
        <v>96.550461486000003</v>
      </c>
      <c r="G36" s="250">
        <v>95.912485646999997</v>
      </c>
      <c r="H36" s="250">
        <v>96.600231488000006</v>
      </c>
      <c r="I36" s="250">
        <v>95.910589948999998</v>
      </c>
      <c r="J36" s="250">
        <v>99.080145287999997</v>
      </c>
      <c r="K36" s="250">
        <v>96.943126802999998</v>
      </c>
      <c r="L36" s="250">
        <v>95.483563496000002</v>
      </c>
      <c r="M36" s="250">
        <v>97.600374313000003</v>
      </c>
      <c r="N36" s="250">
        <v>99.035703472999998</v>
      </c>
      <c r="O36" s="250">
        <v>95.348198237999995</v>
      </c>
      <c r="P36" s="250">
        <v>97.011990960999995</v>
      </c>
      <c r="Q36" s="250">
        <v>99.005292358000005</v>
      </c>
      <c r="R36" s="250">
        <v>96.719076986999994</v>
      </c>
      <c r="S36" s="250">
        <v>99.211202323999998</v>
      </c>
      <c r="T36" s="250">
        <v>100.99293867999999</v>
      </c>
      <c r="U36" s="250">
        <v>98.953542526000007</v>
      </c>
      <c r="V36" s="250">
        <v>99.168761083000007</v>
      </c>
      <c r="W36" s="250">
        <v>100.16629741</v>
      </c>
      <c r="X36" s="250">
        <v>98.518998773999996</v>
      </c>
      <c r="Y36" s="250">
        <v>101.20503793</v>
      </c>
      <c r="Z36" s="250">
        <v>99.618447028999995</v>
      </c>
      <c r="AA36" s="250">
        <v>98.597409689000003</v>
      </c>
      <c r="AB36" s="250">
        <v>100.82732417</v>
      </c>
      <c r="AC36" s="250">
        <v>100.51425978</v>
      </c>
      <c r="AD36" s="250">
        <v>99.555447916000006</v>
      </c>
      <c r="AE36" s="250">
        <v>99.992768060000003</v>
      </c>
      <c r="AF36" s="250">
        <v>101.2243393</v>
      </c>
      <c r="AG36" s="250">
        <v>101.46500899999999</v>
      </c>
      <c r="AH36" s="250">
        <v>101.68198375</v>
      </c>
      <c r="AI36" s="250">
        <v>100.60118229</v>
      </c>
      <c r="AJ36" s="250">
        <v>100.51248870000001</v>
      </c>
      <c r="AK36" s="250">
        <v>100.90780540999999</v>
      </c>
      <c r="AL36" s="250">
        <v>100.78483235</v>
      </c>
      <c r="AM36" s="250">
        <v>99.843787543999994</v>
      </c>
      <c r="AN36" s="250">
        <v>101.64609514</v>
      </c>
      <c r="AO36" s="250">
        <v>99.988511891000002</v>
      </c>
      <c r="AP36" s="250">
        <v>101.07272462</v>
      </c>
      <c r="AQ36" s="250">
        <v>100.43881367</v>
      </c>
      <c r="AR36" s="250">
        <v>101.48701075</v>
      </c>
      <c r="AS36" s="250">
        <v>102.59675850000001</v>
      </c>
      <c r="AT36" s="250">
        <v>102.54550893</v>
      </c>
      <c r="AU36" s="250">
        <v>101.58679118000001</v>
      </c>
      <c r="AV36" s="250">
        <v>101.01706761</v>
      </c>
      <c r="AW36" s="250">
        <v>102.06597164999999</v>
      </c>
      <c r="AX36" s="250">
        <v>102.44395574000001</v>
      </c>
      <c r="AY36" s="250">
        <v>96.56573401</v>
      </c>
      <c r="AZ36" s="250">
        <v>97.119148430999999</v>
      </c>
      <c r="BA36" s="250">
        <v>91.222211396999995</v>
      </c>
      <c r="BB36" s="250">
        <v>80.867488911999999</v>
      </c>
      <c r="BC36" s="250">
        <v>84.079448866000007</v>
      </c>
      <c r="BD36" s="250">
        <v>90.241182484000007</v>
      </c>
      <c r="BE36" s="250">
        <v>93.278879349999997</v>
      </c>
      <c r="BF36" s="250">
        <v>94.306577404999999</v>
      </c>
      <c r="BG36" s="403">
        <v>96.650539226000006</v>
      </c>
      <c r="BH36" s="403">
        <v>96.443004470000005</v>
      </c>
      <c r="BI36" s="403">
        <v>97.408428465</v>
      </c>
      <c r="BJ36" s="403">
        <v>98.637294548</v>
      </c>
      <c r="BK36" s="403">
        <v>96.047623474000005</v>
      </c>
      <c r="BL36" s="403">
        <v>99.386841962000005</v>
      </c>
      <c r="BM36" s="403">
        <v>98.551212673999999</v>
      </c>
      <c r="BN36" s="403">
        <v>98.230258007000003</v>
      </c>
      <c r="BO36" s="403">
        <v>98.588726871999995</v>
      </c>
      <c r="BP36" s="403">
        <v>100.12209712000001</v>
      </c>
      <c r="BQ36" s="403">
        <v>100.32942018999999</v>
      </c>
      <c r="BR36" s="403">
        <v>100.46873743</v>
      </c>
      <c r="BS36" s="403">
        <v>100.88709611</v>
      </c>
      <c r="BT36" s="403">
        <v>100.05067648000001</v>
      </c>
      <c r="BU36" s="403">
        <v>101.06958136999999</v>
      </c>
      <c r="BV36" s="403">
        <v>101.49160376</v>
      </c>
    </row>
    <row r="37" spans="1:74" ht="11.1" customHeight="1" x14ac:dyDescent="0.2">
      <c r="B37" s="173"/>
      <c r="C37" s="250"/>
      <c r="D37" s="250"/>
      <c r="E37" s="250"/>
      <c r="F37" s="250"/>
      <c r="G37" s="250"/>
      <c r="H37" s="250"/>
      <c r="I37" s="250"/>
      <c r="J37" s="250"/>
      <c r="K37" s="250"/>
      <c r="L37" s="250"/>
      <c r="M37" s="250"/>
      <c r="N37" s="250"/>
      <c r="O37" s="250"/>
      <c r="P37" s="250"/>
      <c r="Q37" s="250"/>
      <c r="R37" s="250"/>
      <c r="S37" s="250"/>
      <c r="T37" s="250"/>
      <c r="U37" s="250"/>
      <c r="V37" s="250"/>
      <c r="W37" s="250"/>
      <c r="X37" s="250"/>
      <c r="Y37" s="250"/>
      <c r="Z37" s="250"/>
      <c r="AA37" s="250"/>
      <c r="AB37" s="250"/>
      <c r="AC37" s="250"/>
      <c r="AD37" s="250"/>
      <c r="AE37" s="250"/>
      <c r="AF37" s="250"/>
      <c r="AG37" s="250"/>
      <c r="AH37" s="250"/>
      <c r="AI37" s="250"/>
      <c r="AJ37" s="250"/>
      <c r="AK37" s="250"/>
      <c r="AL37" s="250"/>
      <c r="AM37" s="250"/>
      <c r="AN37" s="250"/>
      <c r="AO37" s="250"/>
      <c r="AP37" s="250"/>
      <c r="AQ37" s="250"/>
      <c r="AR37" s="250"/>
      <c r="AS37" s="250"/>
      <c r="AT37" s="250"/>
      <c r="AU37" s="250"/>
      <c r="AV37" s="250"/>
      <c r="AW37" s="250"/>
      <c r="AX37" s="250"/>
      <c r="AY37" s="250"/>
      <c r="AZ37" s="250"/>
      <c r="BA37" s="250"/>
      <c r="BB37" s="250"/>
      <c r="BC37" s="250"/>
      <c r="BD37" s="250"/>
      <c r="BE37" s="250"/>
      <c r="BF37" s="250"/>
      <c r="BG37" s="403"/>
      <c r="BH37" s="403"/>
      <c r="BI37" s="403"/>
      <c r="BJ37" s="403"/>
      <c r="BK37" s="403"/>
      <c r="BL37" s="403"/>
      <c r="BM37" s="403"/>
      <c r="BN37" s="403"/>
      <c r="BO37" s="403"/>
      <c r="BP37" s="403"/>
      <c r="BQ37" s="403"/>
      <c r="BR37" s="403"/>
      <c r="BS37" s="403"/>
      <c r="BT37" s="403"/>
      <c r="BU37" s="403"/>
      <c r="BV37" s="403"/>
    </row>
    <row r="38" spans="1:74" ht="11.1" customHeight="1" x14ac:dyDescent="0.2">
      <c r="B38" s="252" t="s">
        <v>1011</v>
      </c>
      <c r="C38" s="250"/>
      <c r="D38" s="250"/>
      <c r="E38" s="250"/>
      <c r="F38" s="250"/>
      <c r="G38" s="250"/>
      <c r="H38" s="250"/>
      <c r="I38" s="250"/>
      <c r="J38" s="250"/>
      <c r="K38" s="250"/>
      <c r="L38" s="250"/>
      <c r="M38" s="250"/>
      <c r="N38" s="250"/>
      <c r="O38" s="250"/>
      <c r="P38" s="250"/>
      <c r="Q38" s="250"/>
      <c r="R38" s="250"/>
      <c r="S38" s="250"/>
      <c r="T38" s="250"/>
      <c r="U38" s="250"/>
      <c r="V38" s="250"/>
      <c r="W38" s="250"/>
      <c r="X38" s="250"/>
      <c r="Y38" s="250"/>
      <c r="Z38" s="250"/>
      <c r="AA38" s="250"/>
      <c r="AB38" s="250"/>
      <c r="AC38" s="250"/>
      <c r="AD38" s="250"/>
      <c r="AE38" s="250"/>
      <c r="AF38" s="250"/>
      <c r="AG38" s="250"/>
      <c r="AH38" s="250"/>
      <c r="AI38" s="250"/>
      <c r="AJ38" s="250"/>
      <c r="AK38" s="250"/>
      <c r="AL38" s="250"/>
      <c r="AM38" s="250"/>
      <c r="AN38" s="250"/>
      <c r="AO38" s="250"/>
      <c r="AP38" s="250"/>
      <c r="AQ38" s="250"/>
      <c r="AR38" s="250"/>
      <c r="AS38" s="250"/>
      <c r="AT38" s="250"/>
      <c r="AU38" s="250"/>
      <c r="AV38" s="250"/>
      <c r="AW38" s="250"/>
      <c r="AX38" s="250"/>
      <c r="AY38" s="250"/>
      <c r="AZ38" s="250"/>
      <c r="BA38" s="250"/>
      <c r="BB38" s="250"/>
      <c r="BC38" s="250"/>
      <c r="BD38" s="250"/>
      <c r="BE38" s="250"/>
      <c r="BF38" s="250"/>
      <c r="BG38" s="403"/>
      <c r="BH38" s="403"/>
      <c r="BI38" s="403"/>
      <c r="BJ38" s="403"/>
      <c r="BK38" s="403"/>
      <c r="BL38" s="403"/>
      <c r="BM38" s="403"/>
      <c r="BN38" s="403"/>
      <c r="BO38" s="403"/>
      <c r="BP38" s="403"/>
      <c r="BQ38" s="403"/>
      <c r="BR38" s="403"/>
      <c r="BS38" s="403"/>
      <c r="BT38" s="403"/>
      <c r="BU38" s="403"/>
      <c r="BV38" s="403"/>
    </row>
    <row r="39" spans="1:74" ht="11.1" customHeight="1" x14ac:dyDescent="0.2">
      <c r="A39" s="162" t="s">
        <v>314</v>
      </c>
      <c r="B39" s="173" t="s">
        <v>577</v>
      </c>
      <c r="C39" s="250">
        <v>-1.0204859355</v>
      </c>
      <c r="D39" s="250">
        <v>-0.14823003447999999</v>
      </c>
      <c r="E39" s="250">
        <v>-0.20608148387</v>
      </c>
      <c r="F39" s="250">
        <v>-0.36112813332999999</v>
      </c>
      <c r="G39" s="250">
        <v>-0.49526770968</v>
      </c>
      <c r="H39" s="250">
        <v>3.6289933332999999E-2</v>
      </c>
      <c r="I39" s="250">
        <v>-0.54992009676999998</v>
      </c>
      <c r="J39" s="250">
        <v>4.5275483870999998E-3</v>
      </c>
      <c r="K39" s="250">
        <v>0.50444199999999995</v>
      </c>
      <c r="L39" s="250">
        <v>-5.7934161290000001E-2</v>
      </c>
      <c r="M39" s="250">
        <v>-0.10707899999999999</v>
      </c>
      <c r="N39" s="250">
        <v>0.8597903871</v>
      </c>
      <c r="O39" s="250">
        <v>-0.74566316128999999</v>
      </c>
      <c r="P39" s="250">
        <v>0.12771796429000001</v>
      </c>
      <c r="Q39" s="250">
        <v>0.60237919355000002</v>
      </c>
      <c r="R39" s="250">
        <v>6.9596533333000005E-2</v>
      </c>
      <c r="S39" s="250">
        <v>-0.18084141935</v>
      </c>
      <c r="T39" s="250">
        <v>0.80241249999999997</v>
      </c>
      <c r="U39" s="250">
        <v>0.36852764515999997</v>
      </c>
      <c r="V39" s="250">
        <v>0.36268964516000002</v>
      </c>
      <c r="W39" s="250">
        <v>0.31453213333000002</v>
      </c>
      <c r="X39" s="250">
        <v>1.1799874839</v>
      </c>
      <c r="Y39" s="250">
        <v>0.59625646666999998</v>
      </c>
      <c r="Z39" s="250">
        <v>0.92717090322999995</v>
      </c>
      <c r="AA39" s="250">
        <v>0.38593</v>
      </c>
      <c r="AB39" s="250">
        <v>0.12801046428999999</v>
      </c>
      <c r="AC39" s="250">
        <v>0.48187680644999997</v>
      </c>
      <c r="AD39" s="250">
        <v>-0.12040530000000001</v>
      </c>
      <c r="AE39" s="250">
        <v>-0.17332054839</v>
      </c>
      <c r="AF39" s="250">
        <v>0.12876109999999999</v>
      </c>
      <c r="AG39" s="250">
        <v>-0.17482525805999999</v>
      </c>
      <c r="AH39" s="250">
        <v>-0.61930306451999995</v>
      </c>
      <c r="AI39" s="250">
        <v>-1.3122489333</v>
      </c>
      <c r="AJ39" s="250">
        <v>0.46910706452000001</v>
      </c>
      <c r="AK39" s="250">
        <v>0.22972366666999999</v>
      </c>
      <c r="AL39" s="250">
        <v>-4.7835225805999998E-2</v>
      </c>
      <c r="AM39" s="250">
        <v>-2.9423741935000001E-2</v>
      </c>
      <c r="AN39" s="250">
        <v>0.59685264285999995</v>
      </c>
      <c r="AO39" s="250">
        <v>0.10014383871</v>
      </c>
      <c r="AP39" s="250">
        <v>-0.59614259999999997</v>
      </c>
      <c r="AQ39" s="250">
        <v>-1.2813444839000001</v>
      </c>
      <c r="AR39" s="250">
        <v>9.8582600000000006E-2</v>
      </c>
      <c r="AS39" s="250">
        <v>-0.15832625806</v>
      </c>
      <c r="AT39" s="250">
        <v>0.27064506451999998</v>
      </c>
      <c r="AU39" s="250">
        <v>7.6594599999999999E-2</v>
      </c>
      <c r="AV39" s="250">
        <v>0.53171080645000002</v>
      </c>
      <c r="AW39" s="250">
        <v>0.28390029999999999</v>
      </c>
      <c r="AX39" s="250">
        <v>4.3810096774000003E-2</v>
      </c>
      <c r="AY39" s="250">
        <v>-0.54179238709999999</v>
      </c>
      <c r="AZ39" s="250">
        <v>0.66441044827999995</v>
      </c>
      <c r="BA39" s="250">
        <v>-1.3336363548000001</v>
      </c>
      <c r="BB39" s="250">
        <v>-2.6535582333000001</v>
      </c>
      <c r="BC39" s="250">
        <v>-1.2420200967999999</v>
      </c>
      <c r="BD39" s="250">
        <v>-1.1681381</v>
      </c>
      <c r="BE39" s="250">
        <v>0.23783357087000001</v>
      </c>
      <c r="BF39" s="250">
        <v>1.2307397654000001</v>
      </c>
      <c r="BG39" s="403">
        <v>0.51707161923</v>
      </c>
      <c r="BH39" s="403">
        <v>0.50803225805999996</v>
      </c>
      <c r="BI39" s="403">
        <v>0.51763333332999995</v>
      </c>
      <c r="BJ39" s="403">
        <v>1.0446290323</v>
      </c>
      <c r="BK39" s="403">
        <v>0.43410967742000001</v>
      </c>
      <c r="BL39" s="403">
        <v>0.44008571428999999</v>
      </c>
      <c r="BM39" s="403">
        <v>0.19943548387000001</v>
      </c>
      <c r="BN39" s="403">
        <v>-0.18098666666999999</v>
      </c>
      <c r="BO39" s="403">
        <v>-0.54985806451999997</v>
      </c>
      <c r="BP39" s="403">
        <v>0.18737999999999999</v>
      </c>
      <c r="BQ39" s="403">
        <v>0.16064516129</v>
      </c>
      <c r="BR39" s="403">
        <v>-5.6741935484E-2</v>
      </c>
      <c r="BS39" s="403">
        <v>-0.25063333332999999</v>
      </c>
      <c r="BT39" s="403">
        <v>0.10535483871</v>
      </c>
      <c r="BU39" s="403">
        <v>0.25196666667000001</v>
      </c>
      <c r="BV39" s="403">
        <v>0.88</v>
      </c>
    </row>
    <row r="40" spans="1:74" ht="11.1" customHeight="1" x14ac:dyDescent="0.2">
      <c r="A40" s="162" t="s">
        <v>315</v>
      </c>
      <c r="B40" s="173" t="s">
        <v>578</v>
      </c>
      <c r="C40" s="250">
        <v>-0.87667741934999999</v>
      </c>
      <c r="D40" s="250">
        <v>-1.448275862E-3</v>
      </c>
      <c r="E40" s="250">
        <v>0.52087096773999997</v>
      </c>
      <c r="F40" s="250">
        <v>4.4666666667000001E-3</v>
      </c>
      <c r="G40" s="250">
        <v>-0.33016129032000002</v>
      </c>
      <c r="H40" s="250">
        <v>-0.13606666667</v>
      </c>
      <c r="I40" s="250">
        <v>-1.1135806452000001</v>
      </c>
      <c r="J40" s="250">
        <v>0.50625806452</v>
      </c>
      <c r="K40" s="250">
        <v>0.41889999999999999</v>
      </c>
      <c r="L40" s="250">
        <v>0.39616129032000003</v>
      </c>
      <c r="M40" s="250">
        <v>0.78190000000000004</v>
      </c>
      <c r="N40" s="250">
        <v>0.62054838710000004</v>
      </c>
      <c r="O40" s="250">
        <v>-1.6161612903</v>
      </c>
      <c r="P40" s="250">
        <v>0.19939285713999999</v>
      </c>
      <c r="Q40" s="250">
        <v>0.45961290322999998</v>
      </c>
      <c r="R40" s="250">
        <v>-0.59526666667000006</v>
      </c>
      <c r="S40" s="250">
        <v>0.26112903226</v>
      </c>
      <c r="T40" s="250">
        <v>0.58143333333000002</v>
      </c>
      <c r="U40" s="250">
        <v>-0.60796774194000003</v>
      </c>
      <c r="V40" s="250">
        <v>0.34196774194000001</v>
      </c>
      <c r="W40" s="250">
        <v>1.1317666666999999</v>
      </c>
      <c r="X40" s="250">
        <v>0.43651612902999998</v>
      </c>
      <c r="Y40" s="250">
        <v>0.35849999999999999</v>
      </c>
      <c r="Z40" s="250">
        <v>0.61593548386999997</v>
      </c>
      <c r="AA40" s="250">
        <v>-1.0546129032</v>
      </c>
      <c r="AB40" s="250">
        <v>0.44274999999999998</v>
      </c>
      <c r="AC40" s="250">
        <v>0.95087096774000002</v>
      </c>
      <c r="AD40" s="250">
        <v>6.5299999999999997E-2</v>
      </c>
      <c r="AE40" s="250">
        <v>0.12306451613</v>
      </c>
      <c r="AF40" s="250">
        <v>0.27776666667</v>
      </c>
      <c r="AG40" s="250">
        <v>-0.57325806452000005</v>
      </c>
      <c r="AH40" s="250">
        <v>-0.25638709676999999</v>
      </c>
      <c r="AI40" s="250">
        <v>1.2202333332999999</v>
      </c>
      <c r="AJ40" s="250">
        <v>-0.12977419355</v>
      </c>
      <c r="AK40" s="250">
        <v>-3.5866666667000002E-2</v>
      </c>
      <c r="AL40" s="250">
        <v>-0.37403225806000001</v>
      </c>
      <c r="AM40" s="250">
        <v>-0.10967741935</v>
      </c>
      <c r="AN40" s="250">
        <v>-0.54521428570999997</v>
      </c>
      <c r="AO40" s="250">
        <v>1.0161290323E-2</v>
      </c>
      <c r="AP40" s="250">
        <v>0.40143333332999998</v>
      </c>
      <c r="AQ40" s="250">
        <v>-0.12067741935</v>
      </c>
      <c r="AR40" s="250">
        <v>-0.23883333333000001</v>
      </c>
      <c r="AS40" s="250">
        <v>-0.46051612903</v>
      </c>
      <c r="AT40" s="250">
        <v>-1.1023870968</v>
      </c>
      <c r="AU40" s="250">
        <v>1.1178333332999999</v>
      </c>
      <c r="AV40" s="250">
        <v>0.70183870967999995</v>
      </c>
      <c r="AW40" s="250">
        <v>-0.26103333333000001</v>
      </c>
      <c r="AX40" s="250">
        <v>0.24848387096999999</v>
      </c>
      <c r="AY40" s="250">
        <v>-0.17219354839000001</v>
      </c>
      <c r="AZ40" s="250">
        <v>0.35531034483000001</v>
      </c>
      <c r="BA40" s="250">
        <v>-1.8177096773999999</v>
      </c>
      <c r="BB40" s="250">
        <v>-2.2470333333000001</v>
      </c>
      <c r="BC40" s="250">
        <v>-1.7210322580999999</v>
      </c>
      <c r="BD40" s="250">
        <v>1.0268058432</v>
      </c>
      <c r="BE40" s="250">
        <v>1.0605569366000001</v>
      </c>
      <c r="BF40" s="250">
        <v>0.48910694651999997</v>
      </c>
      <c r="BG40" s="403">
        <v>1.3772484165000001</v>
      </c>
      <c r="BH40" s="403">
        <v>0.91019649589999996</v>
      </c>
      <c r="BI40" s="403">
        <v>0.75120090391000005</v>
      </c>
      <c r="BJ40" s="403">
        <v>0.71099531364000002</v>
      </c>
      <c r="BK40" s="403">
        <v>-0.36281733976000002</v>
      </c>
      <c r="BL40" s="403">
        <v>0.68523756066999997</v>
      </c>
      <c r="BM40" s="403">
        <v>0.30985784718999998</v>
      </c>
      <c r="BN40" s="403">
        <v>-0.15155906755000001</v>
      </c>
      <c r="BO40" s="403">
        <v>-5.5316697567000001E-2</v>
      </c>
      <c r="BP40" s="403">
        <v>8.6346727513000002E-2</v>
      </c>
      <c r="BQ40" s="403">
        <v>7.6682148130000002E-2</v>
      </c>
      <c r="BR40" s="403">
        <v>0.10452065408</v>
      </c>
      <c r="BS40" s="403">
        <v>0.16058450717</v>
      </c>
      <c r="BT40" s="403">
        <v>-0.30587709233999999</v>
      </c>
      <c r="BU40" s="403">
        <v>-4.9353799976E-2</v>
      </c>
      <c r="BV40" s="403">
        <v>3.7927389095E-2</v>
      </c>
    </row>
    <row r="41" spans="1:74" ht="11.1" customHeight="1" x14ac:dyDescent="0.2">
      <c r="A41" s="162" t="s">
        <v>316</v>
      </c>
      <c r="B41" s="173" t="s">
        <v>579</v>
      </c>
      <c r="C41" s="250">
        <v>-3.1330809209999999</v>
      </c>
      <c r="D41" s="250">
        <v>1.0445991303</v>
      </c>
      <c r="E41" s="250">
        <v>-0.61657746857999995</v>
      </c>
      <c r="F41" s="250">
        <v>-1.306554255E-2</v>
      </c>
      <c r="G41" s="250">
        <v>0.30035207736000002</v>
      </c>
      <c r="H41" s="250">
        <v>-0.24270314621</v>
      </c>
      <c r="I41" s="250">
        <v>-0.44821613899000001</v>
      </c>
      <c r="J41" s="250">
        <v>1.5571722395000001</v>
      </c>
      <c r="K41" s="250">
        <v>-1.1319763760999999</v>
      </c>
      <c r="L41" s="250">
        <v>-3.2402412881</v>
      </c>
      <c r="M41" s="250">
        <v>-2.6270881143000002</v>
      </c>
      <c r="N41" s="250">
        <v>-0.88854202694999995</v>
      </c>
      <c r="O41" s="250">
        <v>0.29645089723000001</v>
      </c>
      <c r="P41" s="250">
        <v>-0.87731200806999998</v>
      </c>
      <c r="Q41" s="250">
        <v>1.0297171924999999</v>
      </c>
      <c r="R41" s="250">
        <v>0.52074177694000001</v>
      </c>
      <c r="S41" s="250">
        <v>1.4679945461999999</v>
      </c>
      <c r="T41" s="250">
        <v>1.2013065891000001</v>
      </c>
      <c r="U41" s="250">
        <v>8.4951842493999993E-2</v>
      </c>
      <c r="V41" s="250">
        <v>0.11214218172</v>
      </c>
      <c r="W41" s="250">
        <v>0.26448011917999997</v>
      </c>
      <c r="X41" s="250">
        <v>-2.0681742145999999</v>
      </c>
      <c r="Y41" s="250">
        <v>0.68247653749000003</v>
      </c>
      <c r="Z41" s="250">
        <v>-0.73613459330999997</v>
      </c>
      <c r="AA41" s="250">
        <v>6.0369360987999998E-2</v>
      </c>
      <c r="AB41" s="250">
        <v>0.79284619687000002</v>
      </c>
      <c r="AC41" s="250">
        <v>-0.53815249277999999</v>
      </c>
      <c r="AD41" s="250">
        <v>-7.6157768168999995E-2</v>
      </c>
      <c r="AE41" s="250">
        <v>0.41709798042000001</v>
      </c>
      <c r="AF41" s="250">
        <v>0.35221397526999998</v>
      </c>
      <c r="AG41" s="250">
        <v>0.98264584819</v>
      </c>
      <c r="AH41" s="250">
        <v>0.74632162167000005</v>
      </c>
      <c r="AI41" s="250">
        <v>-0.97661109202999996</v>
      </c>
      <c r="AJ41" s="250">
        <v>-2.3814032476000002</v>
      </c>
      <c r="AK41" s="250">
        <v>-1.9739470854000001</v>
      </c>
      <c r="AL41" s="250">
        <v>-0.81022321595000002</v>
      </c>
      <c r="AM41" s="250">
        <v>-0.47454083560999999</v>
      </c>
      <c r="AN41" s="250">
        <v>1.3653767896</v>
      </c>
      <c r="AO41" s="250">
        <v>-0.45650085509999999</v>
      </c>
      <c r="AP41" s="250">
        <v>0.74417510232999995</v>
      </c>
      <c r="AQ41" s="250">
        <v>1.5343651046</v>
      </c>
      <c r="AR41" s="250">
        <v>0.98984855469999999</v>
      </c>
      <c r="AS41" s="250">
        <v>3.1305899917</v>
      </c>
      <c r="AT41" s="250">
        <v>2.1157280984</v>
      </c>
      <c r="AU41" s="250">
        <v>1.2383193107999999</v>
      </c>
      <c r="AV41" s="250">
        <v>-1.6330464162</v>
      </c>
      <c r="AW41" s="250">
        <v>2.2866499666999999E-2</v>
      </c>
      <c r="AX41" s="250">
        <v>0.38782657464999998</v>
      </c>
      <c r="AY41" s="250">
        <v>-4.1398015065999996</v>
      </c>
      <c r="AZ41" s="250">
        <v>-4.2097972583000001</v>
      </c>
      <c r="BA41" s="250">
        <v>-6.2175304095000001</v>
      </c>
      <c r="BB41" s="250">
        <v>-14.540270187999999</v>
      </c>
      <c r="BC41" s="250">
        <v>-1.4977017471</v>
      </c>
      <c r="BD41" s="250">
        <v>2.2514541661999998</v>
      </c>
      <c r="BE41" s="250">
        <v>2.2686340308999999</v>
      </c>
      <c r="BF41" s="250">
        <v>1.0378220873999999</v>
      </c>
      <c r="BG41" s="403">
        <v>2.9194785018</v>
      </c>
      <c r="BH41" s="403">
        <v>1.9039661612000001</v>
      </c>
      <c r="BI41" s="403">
        <v>1.5881739068</v>
      </c>
      <c r="BJ41" s="403">
        <v>1.4966817899</v>
      </c>
      <c r="BK41" s="403">
        <v>-0.75964878693000004</v>
      </c>
      <c r="BL41" s="403">
        <v>1.3965433992</v>
      </c>
      <c r="BM41" s="403">
        <v>0.64630400722000003</v>
      </c>
      <c r="BN41" s="403">
        <v>-0.32621921021</v>
      </c>
      <c r="BO41" s="403">
        <v>-0.12119045270999999</v>
      </c>
      <c r="BP41" s="403">
        <v>0.18617089913000001</v>
      </c>
      <c r="BQ41" s="403">
        <v>0.16233097586</v>
      </c>
      <c r="BR41" s="403">
        <v>0.21883847714999999</v>
      </c>
      <c r="BS41" s="403">
        <v>0.33810073894999998</v>
      </c>
      <c r="BT41" s="403">
        <v>-0.63472445234999997</v>
      </c>
      <c r="BU41" s="403">
        <v>-0.10367103944</v>
      </c>
      <c r="BV41" s="403">
        <v>8.0133975240999994E-2</v>
      </c>
    </row>
    <row r="42" spans="1:74" ht="11.1" customHeight="1" x14ac:dyDescent="0.2">
      <c r="A42" s="162" t="s">
        <v>317</v>
      </c>
      <c r="B42" s="173" t="s">
        <v>580</v>
      </c>
      <c r="C42" s="250">
        <v>-5.0302442758000003</v>
      </c>
      <c r="D42" s="250">
        <v>0.89492081996999995</v>
      </c>
      <c r="E42" s="250">
        <v>-0.30178798471000001</v>
      </c>
      <c r="F42" s="250">
        <v>-0.36972700922000001</v>
      </c>
      <c r="G42" s="250">
        <v>-0.52507692264000005</v>
      </c>
      <c r="H42" s="250">
        <v>-0.34247987954999998</v>
      </c>
      <c r="I42" s="250">
        <v>-2.1117168809</v>
      </c>
      <c r="J42" s="250">
        <v>2.0679578524000002</v>
      </c>
      <c r="K42" s="250">
        <v>-0.20863437610999999</v>
      </c>
      <c r="L42" s="250">
        <v>-2.9020141590000001</v>
      </c>
      <c r="M42" s="250">
        <v>-1.9522671143000001</v>
      </c>
      <c r="N42" s="250">
        <v>0.59179674723999998</v>
      </c>
      <c r="O42" s="250">
        <v>-2.0653735543999998</v>
      </c>
      <c r="P42" s="250">
        <v>-0.55020118663999995</v>
      </c>
      <c r="Q42" s="250">
        <v>2.0917092893000002</v>
      </c>
      <c r="R42" s="250">
        <v>-4.9283563957999996E-3</v>
      </c>
      <c r="S42" s="250">
        <v>1.5482821591</v>
      </c>
      <c r="T42" s="250">
        <v>2.5851524225000002</v>
      </c>
      <c r="U42" s="250">
        <v>-0.15448825427999999</v>
      </c>
      <c r="V42" s="250">
        <v>0.81679956882000004</v>
      </c>
      <c r="W42" s="250">
        <v>1.7107789192</v>
      </c>
      <c r="X42" s="250">
        <v>-0.45167060173000001</v>
      </c>
      <c r="Y42" s="250">
        <v>1.6372330042000001</v>
      </c>
      <c r="Z42" s="250">
        <v>0.80697179378999995</v>
      </c>
      <c r="AA42" s="250">
        <v>-0.60831354224</v>
      </c>
      <c r="AB42" s="250">
        <v>1.3636066612</v>
      </c>
      <c r="AC42" s="250">
        <v>0.89459528141</v>
      </c>
      <c r="AD42" s="250">
        <v>-0.13126306817</v>
      </c>
      <c r="AE42" s="250">
        <v>0.36684194816999999</v>
      </c>
      <c r="AF42" s="250">
        <v>0.75874174192999999</v>
      </c>
      <c r="AG42" s="250">
        <v>0.23456252559999999</v>
      </c>
      <c r="AH42" s="250">
        <v>-0.12936853962</v>
      </c>
      <c r="AI42" s="250">
        <v>-1.068626692</v>
      </c>
      <c r="AJ42" s="250">
        <v>-2.0420703765999999</v>
      </c>
      <c r="AK42" s="250">
        <v>-1.7800900853999999</v>
      </c>
      <c r="AL42" s="250">
        <v>-1.2320906998000001</v>
      </c>
      <c r="AM42" s="250">
        <v>-0.61364199689999999</v>
      </c>
      <c r="AN42" s="250">
        <v>1.4170151467000001</v>
      </c>
      <c r="AO42" s="250">
        <v>-0.34619572605999999</v>
      </c>
      <c r="AP42" s="250">
        <v>0.54946583566999996</v>
      </c>
      <c r="AQ42" s="250">
        <v>0.13234320134999999</v>
      </c>
      <c r="AR42" s="250">
        <v>0.84959782136999995</v>
      </c>
      <c r="AS42" s="250">
        <v>2.5117476046</v>
      </c>
      <c r="AT42" s="250">
        <v>1.2839860661</v>
      </c>
      <c r="AU42" s="250">
        <v>2.4327472441000002</v>
      </c>
      <c r="AV42" s="250">
        <v>-0.3994969001</v>
      </c>
      <c r="AW42" s="250">
        <v>4.5733466333000003E-2</v>
      </c>
      <c r="AX42" s="250">
        <v>0.68012054238999997</v>
      </c>
      <c r="AY42" s="250">
        <v>-4.8537874420999998</v>
      </c>
      <c r="AZ42" s="250">
        <v>-3.1900764652000002</v>
      </c>
      <c r="BA42" s="250">
        <v>-9.3688764416999994</v>
      </c>
      <c r="BB42" s="250">
        <v>-19.440861755</v>
      </c>
      <c r="BC42" s="250">
        <v>-4.4607541019000001</v>
      </c>
      <c r="BD42" s="250">
        <v>2.1101219094000001</v>
      </c>
      <c r="BE42" s="250">
        <v>3.5670245384000001</v>
      </c>
      <c r="BF42" s="250">
        <v>2.7576687993000002</v>
      </c>
      <c r="BG42" s="403">
        <v>4.8137985375000003</v>
      </c>
      <c r="BH42" s="403">
        <v>3.3221949151999999</v>
      </c>
      <c r="BI42" s="403">
        <v>2.8570081439999999</v>
      </c>
      <c r="BJ42" s="403">
        <v>3.2523061358000001</v>
      </c>
      <c r="BK42" s="403">
        <v>-0.68835644926999995</v>
      </c>
      <c r="BL42" s="403">
        <v>2.5218666742</v>
      </c>
      <c r="BM42" s="403">
        <v>1.1555973383</v>
      </c>
      <c r="BN42" s="403">
        <v>-0.65876494443</v>
      </c>
      <c r="BO42" s="403">
        <v>-0.72636521479000005</v>
      </c>
      <c r="BP42" s="403">
        <v>0.45989762665</v>
      </c>
      <c r="BQ42" s="403">
        <v>0.39965828528000003</v>
      </c>
      <c r="BR42" s="403">
        <v>0.26661719573999998</v>
      </c>
      <c r="BS42" s="403">
        <v>0.24805191277999999</v>
      </c>
      <c r="BT42" s="403">
        <v>-0.83524670597999995</v>
      </c>
      <c r="BU42" s="403">
        <v>9.8941827250000003E-2</v>
      </c>
      <c r="BV42" s="403">
        <v>0.99806136434000003</v>
      </c>
    </row>
    <row r="43" spans="1:74" ht="11.1" customHeight="1" x14ac:dyDescent="0.2">
      <c r="B43" s="173"/>
      <c r="C43" s="250"/>
      <c r="D43" s="250"/>
      <c r="E43" s="250"/>
      <c r="F43" s="250"/>
      <c r="G43" s="250"/>
      <c r="H43" s="250"/>
      <c r="I43" s="250"/>
      <c r="J43" s="250"/>
      <c r="K43" s="250"/>
      <c r="L43" s="250"/>
      <c r="M43" s="250"/>
      <c r="N43" s="250"/>
      <c r="O43" s="250"/>
      <c r="P43" s="250"/>
      <c r="Q43" s="250"/>
      <c r="R43" s="250"/>
      <c r="S43" s="250"/>
      <c r="T43" s="250"/>
      <c r="U43" s="250"/>
      <c r="V43" s="250"/>
      <c r="W43" s="250"/>
      <c r="X43" s="250"/>
      <c r="Y43" s="250"/>
      <c r="Z43" s="250"/>
      <c r="AA43" s="250"/>
      <c r="AB43" s="250"/>
      <c r="AC43" s="250"/>
      <c r="AD43" s="250"/>
      <c r="AE43" s="250"/>
      <c r="AF43" s="250"/>
      <c r="AG43" s="250"/>
      <c r="AH43" s="250"/>
      <c r="AI43" s="250"/>
      <c r="AJ43" s="250"/>
      <c r="AK43" s="250"/>
      <c r="AL43" s="250"/>
      <c r="AM43" s="250"/>
      <c r="AN43" s="250"/>
      <c r="AO43" s="250"/>
      <c r="AP43" s="250"/>
      <c r="AQ43" s="250"/>
      <c r="AR43" s="250"/>
      <c r="AS43" s="250"/>
      <c r="AT43" s="250"/>
      <c r="AU43" s="250"/>
      <c r="AV43" s="250"/>
      <c r="AW43" s="250"/>
      <c r="AX43" s="250"/>
      <c r="AY43" s="250"/>
      <c r="AZ43" s="250"/>
      <c r="BA43" s="250"/>
      <c r="BB43" s="250"/>
      <c r="BC43" s="250"/>
      <c r="BD43" s="250"/>
      <c r="BE43" s="250"/>
      <c r="BF43" s="250"/>
      <c r="BG43" s="403"/>
      <c r="BH43" s="403"/>
      <c r="BI43" s="403"/>
      <c r="BJ43" s="403"/>
      <c r="BK43" s="403"/>
      <c r="BL43" s="403"/>
      <c r="BM43" s="403"/>
      <c r="BN43" s="403"/>
      <c r="BO43" s="403"/>
      <c r="BP43" s="403"/>
      <c r="BQ43" s="403"/>
      <c r="BR43" s="403"/>
      <c r="BS43" s="403"/>
      <c r="BT43" s="403"/>
      <c r="BU43" s="403"/>
      <c r="BV43" s="403"/>
    </row>
    <row r="44" spans="1:74" ht="11.1" customHeight="1" x14ac:dyDescent="0.2">
      <c r="B44" s="65" t="s">
        <v>1144</v>
      </c>
      <c r="C44" s="250"/>
      <c r="D44" s="250"/>
      <c r="E44" s="250"/>
      <c r="F44" s="250"/>
      <c r="G44" s="250"/>
      <c r="H44" s="250"/>
      <c r="I44" s="250"/>
      <c r="J44" s="250"/>
      <c r="K44" s="250"/>
      <c r="L44" s="250"/>
      <c r="M44" s="250"/>
      <c r="N44" s="250"/>
      <c r="O44" s="250"/>
      <c r="P44" s="250"/>
      <c r="Q44" s="250"/>
      <c r="R44" s="250"/>
      <c r="S44" s="250"/>
      <c r="T44" s="250"/>
      <c r="U44" s="250"/>
      <c r="V44" s="250"/>
      <c r="W44" s="250"/>
      <c r="X44" s="250"/>
      <c r="Y44" s="250"/>
      <c r="Z44" s="250"/>
      <c r="AA44" s="250"/>
      <c r="AB44" s="250"/>
      <c r="AC44" s="250"/>
      <c r="AD44" s="250"/>
      <c r="AE44" s="250"/>
      <c r="AF44" s="250"/>
      <c r="AG44" s="250"/>
      <c r="AH44" s="250"/>
      <c r="AI44" s="250"/>
      <c r="AJ44" s="250"/>
      <c r="AK44" s="250"/>
      <c r="AL44" s="250"/>
      <c r="AM44" s="250"/>
      <c r="AN44" s="250"/>
      <c r="AO44" s="250"/>
      <c r="AP44" s="250"/>
      <c r="AQ44" s="250"/>
      <c r="AR44" s="250"/>
      <c r="AS44" s="250"/>
      <c r="AT44" s="250"/>
      <c r="AU44" s="250"/>
      <c r="AV44" s="250"/>
      <c r="AW44" s="250"/>
      <c r="AX44" s="250"/>
      <c r="AY44" s="250"/>
      <c r="AZ44" s="250"/>
      <c r="BA44" s="250"/>
      <c r="BB44" s="250"/>
      <c r="BC44" s="250"/>
      <c r="BD44" s="250"/>
      <c r="BE44" s="250"/>
      <c r="BF44" s="250"/>
      <c r="BG44" s="403"/>
      <c r="BH44" s="403"/>
      <c r="BI44" s="403"/>
      <c r="BJ44" s="403"/>
      <c r="BK44" s="403"/>
      <c r="BL44" s="403"/>
      <c r="BM44" s="403"/>
      <c r="BN44" s="403"/>
      <c r="BO44" s="403"/>
      <c r="BP44" s="403"/>
      <c r="BQ44" s="403"/>
      <c r="BR44" s="403"/>
      <c r="BS44" s="403"/>
      <c r="BT44" s="403"/>
      <c r="BU44" s="403"/>
      <c r="BV44" s="403"/>
    </row>
    <row r="45" spans="1:74" ht="11.1" customHeight="1" x14ac:dyDescent="0.2">
      <c r="A45" s="162" t="s">
        <v>576</v>
      </c>
      <c r="B45" s="173" t="s">
        <v>310</v>
      </c>
      <c r="C45" s="255">
        <v>1318.5413619999999</v>
      </c>
      <c r="D45" s="255">
        <v>1322.8420329999999</v>
      </c>
      <c r="E45" s="255">
        <v>1329.232559</v>
      </c>
      <c r="F45" s="255">
        <v>1340.0714029999999</v>
      </c>
      <c r="G45" s="255">
        <v>1355.427702</v>
      </c>
      <c r="H45" s="255">
        <v>1354.3430040000001</v>
      </c>
      <c r="I45" s="255">
        <v>1371.3945269999999</v>
      </c>
      <c r="J45" s="255">
        <v>1371.257173</v>
      </c>
      <c r="K45" s="255">
        <v>1356.1269130000001</v>
      </c>
      <c r="L45" s="255">
        <v>1357.925872</v>
      </c>
      <c r="M45" s="255">
        <v>1361.1412419999999</v>
      </c>
      <c r="N45" s="255">
        <v>1334.48974</v>
      </c>
      <c r="O45" s="255">
        <v>1357.6092980000001</v>
      </c>
      <c r="P45" s="255">
        <v>1354.2861949999999</v>
      </c>
      <c r="Q45" s="255">
        <v>1338.9274399999999</v>
      </c>
      <c r="R45" s="255">
        <v>1339.5625439999999</v>
      </c>
      <c r="S45" s="255">
        <v>1349.4776280000001</v>
      </c>
      <c r="T45" s="255">
        <v>1330.709253</v>
      </c>
      <c r="U45" s="255">
        <v>1319.5758960000001</v>
      </c>
      <c r="V45" s="255">
        <v>1308.4165170000001</v>
      </c>
      <c r="W45" s="255">
        <v>1304.139553</v>
      </c>
      <c r="X45" s="255">
        <v>1272.2489410000001</v>
      </c>
      <c r="Y45" s="255">
        <v>1262.0342470000001</v>
      </c>
      <c r="Z45" s="255">
        <v>1231.738949</v>
      </c>
      <c r="AA45" s="255">
        <v>1218.3721190000001</v>
      </c>
      <c r="AB45" s="255">
        <v>1213.5638260000001</v>
      </c>
      <c r="AC45" s="255">
        <v>1198.627645</v>
      </c>
      <c r="AD45" s="255">
        <v>1203.7298040000001</v>
      </c>
      <c r="AE45" s="255">
        <v>1212.9017409999999</v>
      </c>
      <c r="AF45" s="255">
        <v>1209.190908</v>
      </c>
      <c r="AG45" s="255">
        <v>1214.6124910000001</v>
      </c>
      <c r="AH45" s="255">
        <v>1233.8128859999999</v>
      </c>
      <c r="AI45" s="255">
        <v>1273.182354</v>
      </c>
      <c r="AJ45" s="255">
        <v>1263.809035</v>
      </c>
      <c r="AK45" s="255">
        <v>1262.190325</v>
      </c>
      <c r="AL45" s="255">
        <v>1264.1012169999999</v>
      </c>
      <c r="AM45" s="255">
        <v>1265.0133530000001</v>
      </c>
      <c r="AN45" s="255">
        <v>1248.3144789999999</v>
      </c>
      <c r="AO45" s="255">
        <v>1245.21002</v>
      </c>
      <c r="AP45" s="255">
        <v>1263.632298</v>
      </c>
      <c r="AQ45" s="255">
        <v>1307.123977</v>
      </c>
      <c r="AR45" s="255">
        <v>1304.1664989999999</v>
      </c>
      <c r="AS45" s="255">
        <v>1309.074613</v>
      </c>
      <c r="AT45" s="255">
        <v>1300.684616</v>
      </c>
      <c r="AU45" s="255">
        <v>1298.386778</v>
      </c>
      <c r="AV45" s="255">
        <v>1285.568743</v>
      </c>
      <c r="AW45" s="255">
        <v>1283.237734</v>
      </c>
      <c r="AX45" s="255">
        <v>1281.879621</v>
      </c>
      <c r="AY45" s="255">
        <v>1298.6751850000001</v>
      </c>
      <c r="AZ45" s="255">
        <v>1279.4072819999999</v>
      </c>
      <c r="BA45" s="255">
        <v>1320.7500090000001</v>
      </c>
      <c r="BB45" s="255">
        <v>1397.497756</v>
      </c>
      <c r="BC45" s="255">
        <v>1425.5003790000001</v>
      </c>
      <c r="BD45" s="255">
        <v>1452.847522</v>
      </c>
      <c r="BE45" s="255">
        <v>1445.6769670000001</v>
      </c>
      <c r="BF45" s="255">
        <v>1415.7871905</v>
      </c>
      <c r="BG45" s="337">
        <v>1406.675</v>
      </c>
      <c r="BH45" s="337">
        <v>1392.5260000000001</v>
      </c>
      <c r="BI45" s="337">
        <v>1378.097</v>
      </c>
      <c r="BJ45" s="337">
        <v>1348.585</v>
      </c>
      <c r="BK45" s="337">
        <v>1337.999</v>
      </c>
      <c r="BL45" s="337">
        <v>1328.548</v>
      </c>
      <c r="BM45" s="337">
        <v>1325.2370000000001</v>
      </c>
      <c r="BN45" s="337">
        <v>1333.538</v>
      </c>
      <c r="BO45" s="337">
        <v>1353.4549999999999</v>
      </c>
      <c r="BP45" s="337">
        <v>1350.7049999999999</v>
      </c>
      <c r="BQ45" s="337">
        <v>1345.7249999999999</v>
      </c>
      <c r="BR45" s="337">
        <v>1347.4839999999999</v>
      </c>
      <c r="BS45" s="337">
        <v>1355.0029999999999</v>
      </c>
      <c r="BT45" s="337">
        <v>1352.537</v>
      </c>
      <c r="BU45" s="337">
        <v>1345.778</v>
      </c>
      <c r="BV45" s="337">
        <v>1319.298</v>
      </c>
    </row>
    <row r="46" spans="1:74" ht="11.1" customHeight="1" x14ac:dyDescent="0.2">
      <c r="A46" s="162" t="s">
        <v>313</v>
      </c>
      <c r="B46" s="254" t="s">
        <v>312</v>
      </c>
      <c r="C46" s="253">
        <v>3033.6803620000001</v>
      </c>
      <c r="D46" s="253">
        <v>3038.0230329999999</v>
      </c>
      <c r="E46" s="253">
        <v>3028.2665590000001</v>
      </c>
      <c r="F46" s="253">
        <v>3038.971403</v>
      </c>
      <c r="G46" s="253">
        <v>3064.5627020000002</v>
      </c>
      <c r="H46" s="253">
        <v>3067.5600039999999</v>
      </c>
      <c r="I46" s="253">
        <v>3119.1325270000002</v>
      </c>
      <c r="J46" s="253">
        <v>3103.3011729999998</v>
      </c>
      <c r="K46" s="253">
        <v>3075.6039129999999</v>
      </c>
      <c r="L46" s="253">
        <v>3065.1218720000002</v>
      </c>
      <c r="M46" s="253">
        <v>3044.8802420000002</v>
      </c>
      <c r="N46" s="253">
        <v>2998.9917399999999</v>
      </c>
      <c r="O46" s="253">
        <v>3072.2122979999999</v>
      </c>
      <c r="P46" s="253">
        <v>3063.3061950000001</v>
      </c>
      <c r="Q46" s="253">
        <v>3033.6994399999999</v>
      </c>
      <c r="R46" s="253">
        <v>3052.192544</v>
      </c>
      <c r="S46" s="253">
        <v>3054.0126279999999</v>
      </c>
      <c r="T46" s="253">
        <v>3017.8012530000001</v>
      </c>
      <c r="U46" s="253">
        <v>3025.5148960000001</v>
      </c>
      <c r="V46" s="253">
        <v>3003.7545169999999</v>
      </c>
      <c r="W46" s="253">
        <v>2965.5245530000002</v>
      </c>
      <c r="X46" s="253">
        <v>2920.1019409999999</v>
      </c>
      <c r="Y46" s="253">
        <v>2899.132247</v>
      </c>
      <c r="Z46" s="253">
        <v>2849.742949</v>
      </c>
      <c r="AA46" s="253">
        <v>2869.0691189999998</v>
      </c>
      <c r="AB46" s="253">
        <v>2851.8638259999998</v>
      </c>
      <c r="AC46" s="253">
        <v>2807.4506449999999</v>
      </c>
      <c r="AD46" s="253">
        <v>2810.5938040000001</v>
      </c>
      <c r="AE46" s="253">
        <v>2815.9507410000001</v>
      </c>
      <c r="AF46" s="253">
        <v>2803.9069079999999</v>
      </c>
      <c r="AG46" s="253">
        <v>2827.0994909999999</v>
      </c>
      <c r="AH46" s="253">
        <v>2854.2478860000001</v>
      </c>
      <c r="AI46" s="253">
        <v>2857.010354</v>
      </c>
      <c r="AJ46" s="253">
        <v>2851.6600349999999</v>
      </c>
      <c r="AK46" s="253">
        <v>2851.1173250000002</v>
      </c>
      <c r="AL46" s="253">
        <v>2864.6232169999998</v>
      </c>
      <c r="AM46" s="253">
        <v>2868.9353529999998</v>
      </c>
      <c r="AN46" s="253">
        <v>2867.5024790000002</v>
      </c>
      <c r="AO46" s="253">
        <v>2864.08302</v>
      </c>
      <c r="AP46" s="253">
        <v>2870.4622979999999</v>
      </c>
      <c r="AQ46" s="253">
        <v>2917.6949770000001</v>
      </c>
      <c r="AR46" s="253">
        <v>2921.9024989999998</v>
      </c>
      <c r="AS46" s="253">
        <v>2941.0866129999999</v>
      </c>
      <c r="AT46" s="253">
        <v>2966.8706160000002</v>
      </c>
      <c r="AU46" s="253">
        <v>2931.0377779999999</v>
      </c>
      <c r="AV46" s="253">
        <v>2896.462743</v>
      </c>
      <c r="AW46" s="253">
        <v>2901.9627340000002</v>
      </c>
      <c r="AX46" s="253">
        <v>2892.901621</v>
      </c>
      <c r="AY46" s="253">
        <v>2915.0351850000002</v>
      </c>
      <c r="AZ46" s="253">
        <v>2885.4632820000002</v>
      </c>
      <c r="BA46" s="253">
        <v>2983.1550090000001</v>
      </c>
      <c r="BB46" s="253">
        <v>3127.313756</v>
      </c>
      <c r="BC46" s="253">
        <v>3208.6683790000002</v>
      </c>
      <c r="BD46" s="253">
        <v>3205.2113466999999</v>
      </c>
      <c r="BE46" s="253">
        <v>3165.1635267000001</v>
      </c>
      <c r="BF46" s="253">
        <v>3120.1114348000001</v>
      </c>
      <c r="BG46" s="338">
        <v>3069.6817918000002</v>
      </c>
      <c r="BH46" s="338">
        <v>3027.3167005</v>
      </c>
      <c r="BI46" s="338">
        <v>2990.3516733000001</v>
      </c>
      <c r="BJ46" s="338">
        <v>2938.7988185999998</v>
      </c>
      <c r="BK46" s="338">
        <v>2939.4601561999998</v>
      </c>
      <c r="BL46" s="338">
        <v>2910.8225044999999</v>
      </c>
      <c r="BM46" s="338">
        <v>2897.9059112</v>
      </c>
      <c r="BN46" s="338">
        <v>2910.7536832000001</v>
      </c>
      <c r="BO46" s="338">
        <v>2932.3855008</v>
      </c>
      <c r="BP46" s="338">
        <v>2927.0450989999999</v>
      </c>
      <c r="BQ46" s="338">
        <v>2919.6879524000001</v>
      </c>
      <c r="BR46" s="338">
        <v>2918.2068121000002</v>
      </c>
      <c r="BS46" s="338">
        <v>2920.9082769000001</v>
      </c>
      <c r="BT46" s="338">
        <v>2927.9244668000001</v>
      </c>
      <c r="BU46" s="338">
        <v>2922.6460808000002</v>
      </c>
      <c r="BV46" s="338">
        <v>2894.9903316999998</v>
      </c>
    </row>
    <row r="47" spans="1:74" ht="11.1" customHeight="1" x14ac:dyDescent="0.2">
      <c r="BK47" s="405"/>
      <c r="BL47" s="405"/>
      <c r="BM47" s="405"/>
      <c r="BN47" s="405"/>
      <c r="BO47" s="405"/>
      <c r="BP47" s="405"/>
      <c r="BQ47" s="405"/>
      <c r="BR47" s="405"/>
      <c r="BS47" s="405"/>
      <c r="BT47" s="405"/>
      <c r="BU47" s="405"/>
      <c r="BV47" s="405"/>
    </row>
    <row r="48" spans="1:74" ht="12" customHeight="1" x14ac:dyDescent="0.25">
      <c r="B48" s="826" t="s">
        <v>826</v>
      </c>
      <c r="C48" s="805"/>
      <c r="D48" s="805"/>
      <c r="E48" s="805"/>
      <c r="F48" s="805"/>
      <c r="G48" s="805"/>
      <c r="H48" s="805"/>
      <c r="I48" s="805"/>
      <c r="J48" s="805"/>
      <c r="K48" s="805"/>
      <c r="L48" s="805"/>
      <c r="M48" s="805"/>
      <c r="N48" s="805"/>
      <c r="O48" s="805"/>
      <c r="P48" s="805"/>
      <c r="Q48" s="805"/>
      <c r="BJ48" s="153"/>
    </row>
    <row r="49" spans="1:74" s="432" customFormat="1" ht="12" customHeight="1" x14ac:dyDescent="0.2">
      <c r="A49" s="431"/>
      <c r="B49" s="819" t="s">
        <v>661</v>
      </c>
      <c r="C49" s="795"/>
      <c r="D49" s="795"/>
      <c r="E49" s="795"/>
      <c r="F49" s="795"/>
      <c r="G49" s="795"/>
      <c r="H49" s="795"/>
      <c r="I49" s="795"/>
      <c r="J49" s="795"/>
      <c r="K49" s="795"/>
      <c r="L49" s="795"/>
      <c r="M49" s="795"/>
      <c r="N49" s="795"/>
      <c r="O49" s="795"/>
      <c r="P49" s="795"/>
      <c r="Q49" s="791"/>
      <c r="R49" s="153"/>
      <c r="AY49" s="530"/>
      <c r="AZ49" s="530"/>
      <c r="BA49" s="530"/>
      <c r="BB49" s="530"/>
      <c r="BC49" s="530"/>
      <c r="BD49" s="629"/>
      <c r="BE49" s="629"/>
      <c r="BF49" s="629"/>
      <c r="BG49" s="530"/>
      <c r="BH49" s="530"/>
      <c r="BI49" s="530"/>
      <c r="BJ49" s="530"/>
    </row>
    <row r="50" spans="1:74" s="432" customFormat="1" ht="12" customHeight="1" x14ac:dyDescent="0.2">
      <c r="A50" s="431"/>
      <c r="B50" s="819" t="s">
        <v>1405</v>
      </c>
      <c r="C50" s="791"/>
      <c r="D50" s="791"/>
      <c r="E50" s="791"/>
      <c r="F50" s="791"/>
      <c r="G50" s="791"/>
      <c r="H50" s="791"/>
      <c r="I50" s="791"/>
      <c r="J50" s="791"/>
      <c r="K50" s="791"/>
      <c r="L50" s="791"/>
      <c r="M50" s="791"/>
      <c r="N50" s="791"/>
      <c r="O50" s="791"/>
      <c r="P50" s="791"/>
      <c r="Q50" s="791"/>
      <c r="R50" s="153"/>
      <c r="AY50" s="530"/>
      <c r="AZ50" s="530"/>
      <c r="BA50" s="530"/>
      <c r="BB50" s="530"/>
      <c r="BC50" s="530"/>
      <c r="BD50" s="629"/>
      <c r="BE50" s="629"/>
      <c r="BF50" s="629"/>
      <c r="BG50" s="530"/>
      <c r="BH50" s="530"/>
      <c r="BI50" s="530"/>
      <c r="BJ50" s="530"/>
    </row>
    <row r="51" spans="1:74" s="432" customFormat="1" ht="12" customHeight="1" x14ac:dyDescent="0.2">
      <c r="A51" s="431"/>
      <c r="B51" s="819" t="s">
        <v>1404</v>
      </c>
      <c r="C51" s="791"/>
      <c r="D51" s="791"/>
      <c r="E51" s="791"/>
      <c r="F51" s="791"/>
      <c r="G51" s="791"/>
      <c r="H51" s="791"/>
      <c r="I51" s="791"/>
      <c r="J51" s="791"/>
      <c r="K51" s="791"/>
      <c r="L51" s="791"/>
      <c r="M51" s="791"/>
      <c r="N51" s="791"/>
      <c r="O51" s="791"/>
      <c r="P51" s="791"/>
      <c r="Q51" s="791"/>
      <c r="R51" s="153"/>
      <c r="AY51" s="530"/>
      <c r="AZ51" s="530"/>
      <c r="BA51" s="530"/>
      <c r="BB51" s="530"/>
      <c r="BC51" s="530"/>
      <c r="BD51" s="629"/>
      <c r="BE51" s="629"/>
      <c r="BF51" s="629"/>
      <c r="BG51" s="530"/>
      <c r="BH51" s="530"/>
      <c r="BI51" s="530"/>
      <c r="BJ51" s="530"/>
    </row>
    <row r="52" spans="1:74" s="432" customFormat="1" ht="12" customHeight="1" x14ac:dyDescent="0.25">
      <c r="A52" s="431"/>
      <c r="B52" s="824" t="s">
        <v>1406</v>
      </c>
      <c r="C52" s="824"/>
      <c r="D52" s="824"/>
      <c r="E52" s="824"/>
      <c r="F52" s="824"/>
      <c r="G52" s="824"/>
      <c r="H52" s="824"/>
      <c r="I52" s="824"/>
      <c r="J52" s="824"/>
      <c r="K52" s="824"/>
      <c r="L52" s="824"/>
      <c r="M52" s="824"/>
      <c r="N52" s="824"/>
      <c r="O52" s="824"/>
      <c r="P52" s="824"/>
      <c r="Q52" s="824"/>
      <c r="R52" s="824"/>
      <c r="AY52" s="530"/>
      <c r="AZ52" s="530"/>
      <c r="BA52" s="530"/>
      <c r="BB52" s="530"/>
      <c r="BC52" s="530"/>
      <c r="BD52" s="629"/>
      <c r="BE52" s="629"/>
      <c r="BF52" s="629"/>
      <c r="BG52" s="530"/>
      <c r="BH52" s="530"/>
      <c r="BI52" s="530"/>
      <c r="BJ52" s="530"/>
    </row>
    <row r="53" spans="1:74" s="432" customFormat="1" ht="12" customHeight="1" x14ac:dyDescent="0.25">
      <c r="A53" s="431"/>
      <c r="B53" s="824" t="s">
        <v>1411</v>
      </c>
      <c r="C53" s="824"/>
      <c r="D53" s="824"/>
      <c r="E53" s="824"/>
      <c r="F53" s="824"/>
      <c r="G53" s="824"/>
      <c r="H53" s="824"/>
      <c r="I53" s="824"/>
      <c r="J53" s="824"/>
      <c r="K53" s="824"/>
      <c r="L53" s="824"/>
      <c r="M53" s="824"/>
      <c r="N53" s="824"/>
      <c r="O53" s="824"/>
      <c r="P53" s="824"/>
      <c r="Q53" s="824"/>
      <c r="R53" s="753"/>
      <c r="AY53" s="530"/>
      <c r="AZ53" s="530"/>
      <c r="BA53" s="530"/>
      <c r="BB53" s="530"/>
      <c r="BC53" s="530"/>
      <c r="BD53" s="629"/>
      <c r="BE53" s="629"/>
      <c r="BF53" s="629"/>
      <c r="BG53" s="530"/>
      <c r="BH53" s="530"/>
      <c r="BI53" s="530"/>
      <c r="BJ53" s="530"/>
    </row>
    <row r="54" spans="1:74" s="707" customFormat="1" ht="12" customHeight="1" x14ac:dyDescent="0.25">
      <c r="A54" s="431"/>
      <c r="B54" s="819" t="s">
        <v>814</v>
      </c>
      <c r="C54" s="819"/>
      <c r="D54" s="819"/>
      <c r="E54" s="819"/>
      <c r="F54" s="819"/>
      <c r="G54" s="819"/>
      <c r="H54" s="819"/>
      <c r="I54" s="819"/>
      <c r="J54" s="819"/>
      <c r="K54" s="819"/>
      <c r="L54" s="819"/>
      <c r="M54" s="819"/>
      <c r="N54" s="819"/>
      <c r="O54" s="819"/>
      <c r="P54" s="819"/>
      <c r="Q54" s="791"/>
      <c r="R54" s="752"/>
      <c r="AY54" s="530"/>
      <c r="AZ54" s="530"/>
      <c r="BA54" s="530"/>
      <c r="BB54" s="530"/>
      <c r="BC54" s="530"/>
      <c r="BD54" s="629"/>
      <c r="BE54" s="629"/>
      <c r="BF54" s="629"/>
      <c r="BG54" s="530"/>
      <c r="BH54" s="530"/>
      <c r="BI54" s="530"/>
      <c r="BJ54" s="530"/>
    </row>
    <row r="55" spans="1:74" s="432" customFormat="1" ht="12" customHeight="1" x14ac:dyDescent="0.25">
      <c r="A55" s="431"/>
      <c r="B55" s="823" t="s">
        <v>1158</v>
      </c>
      <c r="C55" s="791"/>
      <c r="D55" s="791"/>
      <c r="E55" s="791"/>
      <c r="F55" s="791"/>
      <c r="G55" s="791"/>
      <c r="H55" s="791"/>
      <c r="I55" s="791"/>
      <c r="J55" s="791"/>
      <c r="K55" s="791"/>
      <c r="L55" s="791"/>
      <c r="M55" s="791"/>
      <c r="N55" s="791"/>
      <c r="O55" s="791"/>
      <c r="P55" s="791"/>
      <c r="Q55" s="791"/>
      <c r="R55" s="752"/>
      <c r="AY55" s="530"/>
      <c r="AZ55" s="530"/>
      <c r="BA55" s="530"/>
      <c r="BB55" s="530"/>
      <c r="BC55" s="530"/>
      <c r="BD55" s="629"/>
      <c r="BE55" s="629"/>
      <c r="BF55" s="629"/>
      <c r="BG55" s="530"/>
      <c r="BH55" s="530"/>
      <c r="BI55" s="530"/>
      <c r="BJ55" s="530"/>
    </row>
    <row r="56" spans="1:74" s="432" customFormat="1" ht="12" customHeight="1" x14ac:dyDescent="0.25">
      <c r="A56" s="431"/>
      <c r="B56" s="819" t="s">
        <v>1159</v>
      </c>
      <c r="C56" s="795"/>
      <c r="D56" s="795"/>
      <c r="E56" s="795"/>
      <c r="F56" s="795"/>
      <c r="G56" s="795"/>
      <c r="H56" s="795"/>
      <c r="I56" s="795"/>
      <c r="J56" s="795"/>
      <c r="K56" s="795"/>
      <c r="L56" s="795"/>
      <c r="M56" s="795"/>
      <c r="N56" s="795"/>
      <c r="O56" s="795"/>
      <c r="P56" s="795"/>
      <c r="Q56" s="791"/>
      <c r="R56" s="752"/>
      <c r="AY56" s="530"/>
      <c r="AZ56" s="530"/>
      <c r="BA56" s="530"/>
      <c r="BB56" s="530"/>
      <c r="BC56" s="530"/>
      <c r="BD56" s="629"/>
      <c r="BE56" s="629"/>
      <c r="BF56" s="629"/>
      <c r="BG56" s="530"/>
      <c r="BH56" s="530"/>
      <c r="BI56" s="530"/>
      <c r="BJ56" s="530"/>
    </row>
    <row r="57" spans="1:74" s="432" customFormat="1" ht="12" customHeight="1" x14ac:dyDescent="0.25">
      <c r="A57" s="431"/>
      <c r="B57" s="824" t="s">
        <v>1160</v>
      </c>
      <c r="C57" s="824"/>
      <c r="D57" s="824"/>
      <c r="E57" s="824"/>
      <c r="F57" s="824"/>
      <c r="G57" s="824"/>
      <c r="H57" s="824"/>
      <c r="I57" s="824"/>
      <c r="J57" s="824"/>
      <c r="K57" s="824"/>
      <c r="L57" s="824"/>
      <c r="M57" s="824"/>
      <c r="N57" s="824"/>
      <c r="O57" s="824"/>
      <c r="P57" s="824"/>
      <c r="Q57" s="824"/>
      <c r="R57" s="752"/>
      <c r="AY57" s="530"/>
      <c r="AZ57" s="530"/>
      <c r="BA57" s="530"/>
      <c r="BB57" s="530"/>
      <c r="BC57" s="530"/>
      <c r="BD57" s="629"/>
      <c r="BE57" s="629"/>
      <c r="BF57" s="629"/>
      <c r="BG57" s="530"/>
      <c r="BH57" s="530"/>
      <c r="BI57" s="530"/>
      <c r="BJ57" s="530"/>
    </row>
    <row r="58" spans="1:74" s="432" customFormat="1" ht="12.75" customHeight="1" x14ac:dyDescent="0.25">
      <c r="A58" s="431"/>
      <c r="B58" s="794" t="s">
        <v>370</v>
      </c>
      <c r="C58" s="795"/>
      <c r="D58" s="795"/>
      <c r="E58" s="795"/>
      <c r="F58" s="795"/>
      <c r="G58" s="795"/>
      <c r="H58" s="795"/>
      <c r="I58" s="795"/>
      <c r="J58" s="795"/>
      <c r="K58" s="795"/>
      <c r="L58" s="795"/>
      <c r="M58" s="795"/>
      <c r="N58" s="795"/>
      <c r="O58" s="795"/>
      <c r="P58" s="795"/>
      <c r="Q58" s="791"/>
      <c r="R58" s="752"/>
      <c r="AY58" s="530"/>
      <c r="AZ58" s="530"/>
      <c r="BA58" s="530"/>
      <c r="BB58" s="530"/>
      <c r="BC58" s="530"/>
      <c r="BD58" s="629"/>
      <c r="BE58" s="629"/>
      <c r="BF58" s="629"/>
      <c r="BG58" s="530"/>
      <c r="BH58" s="530"/>
      <c r="BI58" s="530"/>
      <c r="BJ58" s="530"/>
    </row>
    <row r="59" spans="1:74" s="432" customFormat="1" ht="12" customHeight="1" x14ac:dyDescent="0.25">
      <c r="A59" s="431"/>
      <c r="B59" s="820" t="s">
        <v>873</v>
      </c>
      <c r="C59" s="791"/>
      <c r="D59" s="791"/>
      <c r="E59" s="791"/>
      <c r="F59" s="791"/>
      <c r="G59" s="791"/>
      <c r="H59" s="791"/>
      <c r="I59" s="791"/>
      <c r="J59" s="791"/>
      <c r="K59" s="791"/>
      <c r="L59" s="791"/>
      <c r="M59" s="791"/>
      <c r="N59" s="791"/>
      <c r="O59" s="791"/>
      <c r="P59" s="791"/>
      <c r="Q59" s="791"/>
      <c r="R59" s="752"/>
      <c r="AY59" s="530"/>
      <c r="AZ59" s="530"/>
      <c r="BA59" s="530"/>
      <c r="BB59" s="530"/>
      <c r="BC59" s="530"/>
      <c r="BD59" s="629"/>
      <c r="BE59" s="629"/>
      <c r="BF59" s="629"/>
      <c r="BG59" s="530"/>
      <c r="BH59" s="530"/>
      <c r="BI59" s="530"/>
      <c r="BJ59" s="530"/>
    </row>
    <row r="60" spans="1:74" s="433" customFormat="1" ht="12" customHeight="1" x14ac:dyDescent="0.25">
      <c r="A60" s="429"/>
      <c r="B60" s="821" t="s">
        <v>855</v>
      </c>
      <c r="C60" s="822"/>
      <c r="D60" s="822"/>
      <c r="E60" s="822"/>
      <c r="F60" s="822"/>
      <c r="G60" s="822"/>
      <c r="H60" s="822"/>
      <c r="I60" s="822"/>
      <c r="J60" s="822"/>
      <c r="K60" s="822"/>
      <c r="L60" s="822"/>
      <c r="M60" s="822"/>
      <c r="N60" s="822"/>
      <c r="O60" s="822"/>
      <c r="P60" s="822"/>
      <c r="Q60" s="791"/>
      <c r="R60" s="752"/>
      <c r="AY60" s="529"/>
      <c r="AZ60" s="529"/>
      <c r="BA60" s="529"/>
      <c r="BB60" s="529"/>
      <c r="BC60" s="529"/>
      <c r="BD60" s="628"/>
      <c r="BE60" s="628"/>
      <c r="BF60" s="628"/>
      <c r="BG60" s="529"/>
      <c r="BH60" s="529"/>
      <c r="BI60" s="529"/>
      <c r="BJ60" s="529"/>
    </row>
    <row r="61" spans="1:74" ht="13.2" x14ac:dyDescent="0.2">
      <c r="B61" s="811" t="s">
        <v>949</v>
      </c>
      <c r="C61" s="791"/>
      <c r="D61" s="791"/>
      <c r="E61" s="791"/>
      <c r="F61" s="791"/>
      <c r="G61" s="791"/>
      <c r="H61" s="791"/>
      <c r="I61" s="791"/>
      <c r="J61" s="791"/>
      <c r="K61" s="791"/>
      <c r="L61" s="791"/>
      <c r="M61" s="791"/>
      <c r="N61" s="791"/>
      <c r="O61" s="791"/>
      <c r="P61" s="791"/>
      <c r="Q61" s="791"/>
      <c r="R61" s="433"/>
      <c r="BK61" s="405"/>
      <c r="BL61" s="405"/>
      <c r="BM61" s="405"/>
      <c r="BN61" s="405"/>
      <c r="BO61" s="405"/>
      <c r="BP61" s="405"/>
      <c r="BQ61" s="405"/>
      <c r="BR61" s="405"/>
      <c r="BS61" s="405"/>
      <c r="BT61" s="405"/>
      <c r="BU61" s="405"/>
      <c r="BV61" s="405"/>
    </row>
    <row r="62" spans="1:74" x14ac:dyDescent="0.2">
      <c r="BK62" s="405"/>
      <c r="BL62" s="405"/>
      <c r="BM62" s="405"/>
      <c r="BN62" s="405"/>
      <c r="BO62" s="405"/>
      <c r="BP62" s="405"/>
      <c r="BQ62" s="405"/>
      <c r="BR62" s="405"/>
      <c r="BS62" s="405"/>
      <c r="BT62" s="405"/>
      <c r="BU62" s="405"/>
      <c r="BV62" s="405"/>
    </row>
    <row r="63" spans="1:74" x14ac:dyDescent="0.2">
      <c r="BK63" s="405"/>
      <c r="BL63" s="405"/>
      <c r="BM63" s="405"/>
      <c r="BN63" s="405"/>
      <c r="BO63" s="405"/>
      <c r="BP63" s="405"/>
      <c r="BQ63" s="405"/>
      <c r="BR63" s="405"/>
      <c r="BS63" s="405"/>
      <c r="BT63" s="405"/>
      <c r="BU63" s="405"/>
      <c r="BV63" s="405"/>
    </row>
    <row r="64" spans="1:74" x14ac:dyDescent="0.2">
      <c r="BK64" s="405"/>
      <c r="BL64" s="405"/>
      <c r="BM64" s="405"/>
      <c r="BN64" s="405"/>
      <c r="BO64" s="405"/>
      <c r="BP64" s="405"/>
      <c r="BQ64" s="405"/>
      <c r="BR64" s="405"/>
      <c r="BS64" s="405"/>
      <c r="BT64" s="405"/>
      <c r="BU64" s="405"/>
      <c r="BV64" s="405"/>
    </row>
    <row r="65" spans="63:74" x14ac:dyDescent="0.2">
      <c r="BK65" s="405"/>
      <c r="BL65" s="405"/>
      <c r="BM65" s="405"/>
      <c r="BN65" s="405"/>
      <c r="BO65" s="405"/>
      <c r="BP65" s="405"/>
      <c r="BQ65" s="405"/>
      <c r="BR65" s="405"/>
      <c r="BS65" s="405"/>
      <c r="BT65" s="405"/>
      <c r="BU65" s="405"/>
      <c r="BV65" s="405"/>
    </row>
    <row r="66" spans="63:74" x14ac:dyDescent="0.2">
      <c r="BK66" s="405"/>
      <c r="BL66" s="405"/>
      <c r="BM66" s="405"/>
      <c r="BN66" s="405"/>
      <c r="BO66" s="405"/>
      <c r="BP66" s="405"/>
      <c r="BQ66" s="405"/>
      <c r="BR66" s="405"/>
      <c r="BS66" s="405"/>
      <c r="BT66" s="405"/>
      <c r="BU66" s="405"/>
      <c r="BV66" s="405"/>
    </row>
    <row r="67" spans="63:74" x14ac:dyDescent="0.2">
      <c r="BK67" s="405"/>
      <c r="BL67" s="405"/>
      <c r="BM67" s="405"/>
      <c r="BN67" s="405"/>
      <c r="BO67" s="405"/>
      <c r="BP67" s="405"/>
      <c r="BQ67" s="405"/>
      <c r="BR67" s="405"/>
      <c r="BS67" s="405"/>
      <c r="BT67" s="405"/>
      <c r="BU67" s="405"/>
      <c r="BV67" s="405"/>
    </row>
    <row r="68" spans="63:74" x14ac:dyDescent="0.2">
      <c r="BK68" s="405"/>
      <c r="BL68" s="405"/>
      <c r="BM68" s="405"/>
      <c r="BN68" s="405"/>
      <c r="BO68" s="405"/>
      <c r="BP68" s="405"/>
      <c r="BQ68" s="405"/>
      <c r="BR68" s="405"/>
      <c r="BS68" s="405"/>
      <c r="BT68" s="405"/>
      <c r="BU68" s="405"/>
      <c r="BV68" s="405"/>
    </row>
    <row r="69" spans="63:74" x14ac:dyDescent="0.2">
      <c r="BK69" s="405"/>
      <c r="BL69" s="405"/>
      <c r="BM69" s="405"/>
      <c r="BN69" s="405"/>
      <c r="BO69" s="405"/>
      <c r="BP69" s="405"/>
      <c r="BQ69" s="405"/>
      <c r="BR69" s="405"/>
      <c r="BS69" s="405"/>
      <c r="BT69" s="405"/>
      <c r="BU69" s="405"/>
      <c r="BV69" s="405"/>
    </row>
    <row r="70" spans="63:74" x14ac:dyDescent="0.2">
      <c r="BK70" s="405"/>
      <c r="BL70" s="405"/>
      <c r="BM70" s="405"/>
      <c r="BN70" s="405"/>
      <c r="BO70" s="405"/>
      <c r="BP70" s="405"/>
      <c r="BQ70" s="405"/>
      <c r="BR70" s="405"/>
      <c r="BS70" s="405"/>
      <c r="BT70" s="405"/>
      <c r="BU70" s="405"/>
      <c r="BV70" s="405"/>
    </row>
    <row r="71" spans="63:74" x14ac:dyDescent="0.2">
      <c r="BK71" s="405"/>
      <c r="BL71" s="405"/>
      <c r="BM71" s="405"/>
      <c r="BN71" s="405"/>
      <c r="BO71" s="405"/>
      <c r="BP71" s="405"/>
      <c r="BQ71" s="405"/>
      <c r="BR71" s="405"/>
      <c r="BS71" s="405"/>
      <c r="BT71" s="405"/>
      <c r="BU71" s="405"/>
      <c r="BV71" s="405"/>
    </row>
    <row r="72" spans="63:74" x14ac:dyDescent="0.2">
      <c r="BK72" s="405"/>
      <c r="BL72" s="405"/>
      <c r="BM72" s="405"/>
      <c r="BN72" s="405"/>
      <c r="BO72" s="405"/>
      <c r="BP72" s="405"/>
      <c r="BQ72" s="405"/>
      <c r="BR72" s="405"/>
      <c r="BS72" s="405"/>
      <c r="BT72" s="405"/>
      <c r="BU72" s="405"/>
      <c r="BV72" s="405"/>
    </row>
    <row r="73" spans="63:74" x14ac:dyDescent="0.2">
      <c r="BK73" s="405"/>
      <c r="BL73" s="405"/>
      <c r="BM73" s="405"/>
      <c r="BN73" s="405"/>
      <c r="BO73" s="405"/>
      <c r="BP73" s="405"/>
      <c r="BQ73" s="405"/>
      <c r="BR73" s="405"/>
      <c r="BS73" s="405"/>
      <c r="BT73" s="405"/>
      <c r="BU73" s="405"/>
      <c r="BV73" s="405"/>
    </row>
    <row r="74" spans="63:74" x14ac:dyDescent="0.2">
      <c r="BK74" s="405"/>
      <c r="BL74" s="405"/>
      <c r="BM74" s="405"/>
      <c r="BN74" s="405"/>
      <c r="BO74" s="405"/>
      <c r="BP74" s="405"/>
      <c r="BQ74" s="405"/>
      <c r="BR74" s="405"/>
      <c r="BS74" s="405"/>
      <c r="BT74" s="405"/>
      <c r="BU74" s="405"/>
      <c r="BV74" s="405"/>
    </row>
    <row r="75" spans="63:74" x14ac:dyDescent="0.2">
      <c r="BK75" s="405"/>
      <c r="BL75" s="405"/>
      <c r="BM75" s="405"/>
      <c r="BN75" s="405"/>
      <c r="BO75" s="405"/>
      <c r="BP75" s="405"/>
      <c r="BQ75" s="405"/>
      <c r="BR75" s="405"/>
      <c r="BS75" s="405"/>
      <c r="BT75" s="405"/>
      <c r="BU75" s="405"/>
      <c r="BV75" s="405"/>
    </row>
    <row r="76" spans="63:74" x14ac:dyDescent="0.2">
      <c r="BK76" s="405"/>
      <c r="BL76" s="405"/>
      <c r="BM76" s="405"/>
      <c r="BN76" s="405"/>
      <c r="BO76" s="405"/>
      <c r="BP76" s="405"/>
      <c r="BQ76" s="405"/>
      <c r="BR76" s="405"/>
      <c r="BS76" s="405"/>
      <c r="BT76" s="405"/>
      <c r="BU76" s="405"/>
      <c r="BV76" s="405"/>
    </row>
    <row r="77" spans="63:74" x14ac:dyDescent="0.2">
      <c r="BK77" s="405"/>
      <c r="BL77" s="405"/>
      <c r="BM77" s="405"/>
      <c r="BN77" s="405"/>
      <c r="BO77" s="405"/>
      <c r="BP77" s="405"/>
      <c r="BQ77" s="405"/>
      <c r="BR77" s="405"/>
      <c r="BS77" s="405"/>
      <c r="BT77" s="405"/>
      <c r="BU77" s="405"/>
      <c r="BV77" s="405"/>
    </row>
    <row r="78" spans="63:74" x14ac:dyDescent="0.2">
      <c r="BK78" s="405"/>
      <c r="BL78" s="405"/>
      <c r="BM78" s="405"/>
      <c r="BN78" s="405"/>
      <c r="BO78" s="405"/>
      <c r="BP78" s="405"/>
      <c r="BQ78" s="405"/>
      <c r="BR78" s="405"/>
      <c r="BS78" s="405"/>
      <c r="BT78" s="405"/>
      <c r="BU78" s="405"/>
      <c r="BV78" s="405"/>
    </row>
    <row r="79" spans="63:74" x14ac:dyDescent="0.2">
      <c r="BK79" s="405"/>
      <c r="BL79" s="405"/>
      <c r="BM79" s="405"/>
      <c r="BN79" s="405"/>
      <c r="BO79" s="405"/>
      <c r="BP79" s="405"/>
      <c r="BQ79" s="405"/>
      <c r="BR79" s="405"/>
      <c r="BS79" s="405"/>
      <c r="BT79" s="405"/>
      <c r="BU79" s="405"/>
      <c r="BV79" s="405"/>
    </row>
    <row r="80" spans="63:74" x14ac:dyDescent="0.2">
      <c r="BK80" s="405"/>
      <c r="BL80" s="405"/>
      <c r="BM80" s="405"/>
      <c r="BN80" s="405"/>
      <c r="BO80" s="405"/>
      <c r="BP80" s="405"/>
      <c r="BQ80" s="405"/>
      <c r="BR80" s="405"/>
      <c r="BS80" s="405"/>
      <c r="BT80" s="405"/>
      <c r="BU80" s="405"/>
      <c r="BV80" s="405"/>
    </row>
    <row r="81" spans="63:74" x14ac:dyDescent="0.2">
      <c r="BK81" s="405"/>
      <c r="BL81" s="405"/>
      <c r="BM81" s="405"/>
      <c r="BN81" s="405"/>
      <c r="BO81" s="405"/>
      <c r="BP81" s="405"/>
      <c r="BQ81" s="405"/>
      <c r="BR81" s="405"/>
      <c r="BS81" s="405"/>
      <c r="BT81" s="405"/>
      <c r="BU81" s="405"/>
      <c r="BV81" s="405"/>
    </row>
    <row r="82" spans="63:74" x14ac:dyDescent="0.2">
      <c r="BK82" s="405"/>
      <c r="BL82" s="405"/>
      <c r="BM82" s="405"/>
      <c r="BN82" s="405"/>
      <c r="BO82" s="405"/>
      <c r="BP82" s="405"/>
      <c r="BQ82" s="405"/>
      <c r="BR82" s="405"/>
      <c r="BS82" s="405"/>
      <c r="BT82" s="405"/>
      <c r="BU82" s="405"/>
      <c r="BV82" s="405"/>
    </row>
    <row r="83" spans="63:74" x14ac:dyDescent="0.2">
      <c r="BK83" s="405"/>
      <c r="BL83" s="405"/>
      <c r="BM83" s="405"/>
      <c r="BN83" s="405"/>
      <c r="BO83" s="405"/>
      <c r="BP83" s="405"/>
      <c r="BQ83" s="405"/>
      <c r="BR83" s="405"/>
      <c r="BS83" s="405"/>
      <c r="BT83" s="405"/>
      <c r="BU83" s="405"/>
      <c r="BV83" s="405"/>
    </row>
    <row r="84" spans="63:74" x14ac:dyDescent="0.2">
      <c r="BK84" s="405"/>
      <c r="BL84" s="405"/>
      <c r="BM84" s="405"/>
      <c r="BN84" s="405"/>
      <c r="BO84" s="405"/>
      <c r="BP84" s="405"/>
      <c r="BQ84" s="405"/>
      <c r="BR84" s="405"/>
      <c r="BS84" s="405"/>
      <c r="BT84" s="405"/>
      <c r="BU84" s="405"/>
      <c r="BV84" s="405"/>
    </row>
    <row r="85" spans="63:74" x14ac:dyDescent="0.2">
      <c r="BK85" s="405"/>
      <c r="BL85" s="405"/>
      <c r="BM85" s="405"/>
      <c r="BN85" s="405"/>
      <c r="BO85" s="405"/>
      <c r="BP85" s="405"/>
      <c r="BQ85" s="405"/>
      <c r="BR85" s="405"/>
      <c r="BS85" s="405"/>
      <c r="BT85" s="405"/>
      <c r="BU85" s="405"/>
      <c r="BV85" s="405"/>
    </row>
    <row r="86" spans="63:74" x14ac:dyDescent="0.2">
      <c r="BK86" s="405"/>
      <c r="BL86" s="405"/>
      <c r="BM86" s="405"/>
      <c r="BN86" s="405"/>
      <c r="BO86" s="405"/>
      <c r="BP86" s="405"/>
      <c r="BQ86" s="405"/>
      <c r="BR86" s="405"/>
      <c r="BS86" s="405"/>
      <c r="BT86" s="405"/>
      <c r="BU86" s="405"/>
      <c r="BV86" s="405"/>
    </row>
    <row r="87" spans="63:74" x14ac:dyDescent="0.2">
      <c r="BK87" s="405"/>
      <c r="BL87" s="405"/>
      <c r="BM87" s="405"/>
      <c r="BN87" s="405"/>
      <c r="BO87" s="405"/>
      <c r="BP87" s="405"/>
      <c r="BQ87" s="405"/>
      <c r="BR87" s="405"/>
      <c r="BS87" s="405"/>
      <c r="BT87" s="405"/>
      <c r="BU87" s="405"/>
      <c r="BV87" s="405"/>
    </row>
    <row r="88" spans="63:74" x14ac:dyDescent="0.2">
      <c r="BK88" s="405"/>
      <c r="BL88" s="405"/>
      <c r="BM88" s="405"/>
      <c r="BN88" s="405"/>
      <c r="BO88" s="405"/>
      <c r="BP88" s="405"/>
      <c r="BQ88" s="405"/>
      <c r="BR88" s="405"/>
      <c r="BS88" s="405"/>
      <c r="BT88" s="405"/>
      <c r="BU88" s="405"/>
      <c r="BV88" s="405"/>
    </row>
    <row r="89" spans="63:74" x14ac:dyDescent="0.2">
      <c r="BK89" s="405"/>
      <c r="BL89" s="405"/>
      <c r="BM89" s="405"/>
      <c r="BN89" s="405"/>
      <c r="BO89" s="405"/>
      <c r="BP89" s="405"/>
      <c r="BQ89" s="405"/>
      <c r="BR89" s="405"/>
      <c r="BS89" s="405"/>
      <c r="BT89" s="405"/>
      <c r="BU89" s="405"/>
      <c r="BV89" s="405"/>
    </row>
    <row r="90" spans="63:74" x14ac:dyDescent="0.2">
      <c r="BK90" s="405"/>
      <c r="BL90" s="405"/>
      <c r="BM90" s="405"/>
      <c r="BN90" s="405"/>
      <c r="BO90" s="405"/>
      <c r="BP90" s="405"/>
      <c r="BQ90" s="405"/>
      <c r="BR90" s="405"/>
      <c r="BS90" s="405"/>
      <c r="BT90" s="405"/>
      <c r="BU90" s="405"/>
      <c r="BV90" s="405"/>
    </row>
    <row r="91" spans="63:74" x14ac:dyDescent="0.2">
      <c r="BK91" s="405"/>
      <c r="BL91" s="405"/>
      <c r="BM91" s="405"/>
      <c r="BN91" s="405"/>
      <c r="BO91" s="405"/>
      <c r="BP91" s="405"/>
      <c r="BQ91" s="405"/>
      <c r="BR91" s="405"/>
      <c r="BS91" s="405"/>
      <c r="BT91" s="405"/>
      <c r="BU91" s="405"/>
      <c r="BV91" s="405"/>
    </row>
    <row r="92" spans="63:74" x14ac:dyDescent="0.2">
      <c r="BK92" s="405"/>
      <c r="BL92" s="405"/>
      <c r="BM92" s="405"/>
      <c r="BN92" s="405"/>
      <c r="BO92" s="405"/>
      <c r="BP92" s="405"/>
      <c r="BQ92" s="405"/>
      <c r="BR92" s="405"/>
      <c r="BS92" s="405"/>
      <c r="BT92" s="405"/>
      <c r="BU92" s="405"/>
      <c r="BV92" s="405"/>
    </row>
    <row r="93" spans="63:74" x14ac:dyDescent="0.2">
      <c r="BK93" s="405"/>
      <c r="BL93" s="405"/>
      <c r="BM93" s="405"/>
      <c r="BN93" s="405"/>
      <c r="BO93" s="405"/>
      <c r="BP93" s="405"/>
      <c r="BQ93" s="405"/>
      <c r="BR93" s="405"/>
      <c r="BS93" s="405"/>
      <c r="BT93" s="405"/>
      <c r="BU93" s="405"/>
      <c r="BV93" s="405"/>
    </row>
    <row r="94" spans="63:74" x14ac:dyDescent="0.2">
      <c r="BK94" s="405"/>
      <c r="BL94" s="405"/>
      <c r="BM94" s="405"/>
      <c r="BN94" s="405"/>
      <c r="BO94" s="405"/>
      <c r="BP94" s="405"/>
      <c r="BQ94" s="405"/>
      <c r="BR94" s="405"/>
      <c r="BS94" s="405"/>
      <c r="BT94" s="405"/>
      <c r="BU94" s="405"/>
      <c r="BV94" s="405"/>
    </row>
    <row r="95" spans="63:74" x14ac:dyDescent="0.2">
      <c r="BK95" s="405"/>
      <c r="BL95" s="405"/>
      <c r="BM95" s="405"/>
      <c r="BN95" s="405"/>
      <c r="BO95" s="405"/>
      <c r="BP95" s="405"/>
      <c r="BQ95" s="405"/>
      <c r="BR95" s="405"/>
      <c r="BS95" s="405"/>
      <c r="BT95" s="405"/>
      <c r="BU95" s="405"/>
      <c r="BV95" s="405"/>
    </row>
    <row r="96" spans="63:74" x14ac:dyDescent="0.2">
      <c r="BK96" s="405"/>
      <c r="BL96" s="405"/>
      <c r="BM96" s="405"/>
      <c r="BN96" s="405"/>
      <c r="BO96" s="405"/>
      <c r="BP96" s="405"/>
      <c r="BQ96" s="405"/>
      <c r="BR96" s="405"/>
      <c r="BS96" s="405"/>
      <c r="BT96" s="405"/>
      <c r="BU96" s="405"/>
      <c r="BV96" s="405"/>
    </row>
    <row r="97" spans="63:74" x14ac:dyDescent="0.2">
      <c r="BK97" s="405"/>
      <c r="BL97" s="405"/>
      <c r="BM97" s="405"/>
      <c r="BN97" s="405"/>
      <c r="BO97" s="405"/>
      <c r="BP97" s="405"/>
      <c r="BQ97" s="405"/>
      <c r="BR97" s="405"/>
      <c r="BS97" s="405"/>
      <c r="BT97" s="405"/>
      <c r="BU97" s="405"/>
      <c r="BV97" s="405"/>
    </row>
    <row r="98" spans="63:74" x14ac:dyDescent="0.2">
      <c r="BK98" s="405"/>
      <c r="BL98" s="405"/>
      <c r="BM98" s="405"/>
      <c r="BN98" s="405"/>
      <c r="BO98" s="405"/>
      <c r="BP98" s="405"/>
      <c r="BQ98" s="405"/>
      <c r="BR98" s="405"/>
      <c r="BS98" s="405"/>
      <c r="BT98" s="405"/>
      <c r="BU98" s="405"/>
      <c r="BV98" s="405"/>
    </row>
    <row r="99" spans="63:74" x14ac:dyDescent="0.2">
      <c r="BK99" s="405"/>
      <c r="BL99" s="405"/>
      <c r="BM99" s="405"/>
      <c r="BN99" s="405"/>
      <c r="BO99" s="405"/>
      <c r="BP99" s="405"/>
      <c r="BQ99" s="405"/>
      <c r="BR99" s="405"/>
      <c r="BS99" s="405"/>
      <c r="BT99" s="405"/>
      <c r="BU99" s="405"/>
      <c r="BV99" s="405"/>
    </row>
    <row r="100" spans="63:74" x14ac:dyDescent="0.2">
      <c r="BK100" s="405"/>
      <c r="BL100" s="405"/>
      <c r="BM100" s="405"/>
      <c r="BN100" s="405"/>
      <c r="BO100" s="405"/>
      <c r="BP100" s="405"/>
      <c r="BQ100" s="405"/>
      <c r="BR100" s="405"/>
      <c r="BS100" s="405"/>
      <c r="BT100" s="405"/>
      <c r="BU100" s="405"/>
      <c r="BV100" s="405"/>
    </row>
    <row r="101" spans="63:74" x14ac:dyDescent="0.2">
      <c r="BK101" s="405"/>
      <c r="BL101" s="405"/>
      <c r="BM101" s="405"/>
      <c r="BN101" s="405"/>
      <c r="BO101" s="405"/>
      <c r="BP101" s="405"/>
      <c r="BQ101" s="405"/>
      <c r="BR101" s="405"/>
      <c r="BS101" s="405"/>
      <c r="BT101" s="405"/>
      <c r="BU101" s="405"/>
      <c r="BV101" s="405"/>
    </row>
    <row r="102" spans="63:74" x14ac:dyDescent="0.2">
      <c r="BK102" s="405"/>
      <c r="BL102" s="405"/>
      <c r="BM102" s="405"/>
      <c r="BN102" s="405"/>
      <c r="BO102" s="405"/>
      <c r="BP102" s="405"/>
      <c r="BQ102" s="405"/>
      <c r="BR102" s="405"/>
      <c r="BS102" s="405"/>
      <c r="BT102" s="405"/>
      <c r="BU102" s="405"/>
      <c r="BV102" s="405"/>
    </row>
    <row r="103" spans="63:74" x14ac:dyDescent="0.2">
      <c r="BK103" s="405"/>
      <c r="BL103" s="405"/>
      <c r="BM103" s="405"/>
      <c r="BN103" s="405"/>
      <c r="BO103" s="405"/>
      <c r="BP103" s="405"/>
      <c r="BQ103" s="405"/>
      <c r="BR103" s="405"/>
      <c r="BS103" s="405"/>
      <c r="BT103" s="405"/>
      <c r="BU103" s="405"/>
      <c r="BV103" s="405"/>
    </row>
    <row r="104" spans="63:74" x14ac:dyDescent="0.2">
      <c r="BK104" s="405"/>
      <c r="BL104" s="405"/>
      <c r="BM104" s="405"/>
      <c r="BN104" s="405"/>
      <c r="BO104" s="405"/>
      <c r="BP104" s="405"/>
      <c r="BQ104" s="405"/>
      <c r="BR104" s="405"/>
      <c r="BS104" s="405"/>
      <c r="BT104" s="405"/>
      <c r="BU104" s="405"/>
      <c r="BV104" s="405"/>
    </row>
    <row r="105" spans="63:74" x14ac:dyDescent="0.2">
      <c r="BK105" s="405"/>
      <c r="BL105" s="405"/>
      <c r="BM105" s="405"/>
      <c r="BN105" s="405"/>
      <c r="BO105" s="405"/>
      <c r="BP105" s="405"/>
      <c r="BQ105" s="405"/>
      <c r="BR105" s="405"/>
      <c r="BS105" s="405"/>
      <c r="BT105" s="405"/>
      <c r="BU105" s="405"/>
      <c r="BV105" s="405"/>
    </row>
    <row r="106" spans="63:74" x14ac:dyDescent="0.2">
      <c r="BK106" s="405"/>
      <c r="BL106" s="405"/>
      <c r="BM106" s="405"/>
      <c r="BN106" s="405"/>
      <c r="BO106" s="405"/>
      <c r="BP106" s="405"/>
      <c r="BQ106" s="405"/>
      <c r="BR106" s="405"/>
      <c r="BS106" s="405"/>
      <c r="BT106" s="405"/>
      <c r="BU106" s="405"/>
      <c r="BV106" s="405"/>
    </row>
    <row r="107" spans="63:74" x14ac:dyDescent="0.2">
      <c r="BK107" s="405"/>
      <c r="BL107" s="405"/>
      <c r="BM107" s="405"/>
      <c r="BN107" s="405"/>
      <c r="BO107" s="405"/>
      <c r="BP107" s="405"/>
      <c r="BQ107" s="405"/>
      <c r="BR107" s="405"/>
      <c r="BS107" s="405"/>
      <c r="BT107" s="405"/>
      <c r="BU107" s="405"/>
      <c r="BV107" s="405"/>
    </row>
    <row r="108" spans="63:74" x14ac:dyDescent="0.2">
      <c r="BK108" s="405"/>
      <c r="BL108" s="405"/>
      <c r="BM108" s="405"/>
      <c r="BN108" s="405"/>
      <c r="BO108" s="405"/>
      <c r="BP108" s="405"/>
      <c r="BQ108" s="405"/>
      <c r="BR108" s="405"/>
      <c r="BS108" s="405"/>
      <c r="BT108" s="405"/>
      <c r="BU108" s="405"/>
      <c r="BV108" s="405"/>
    </row>
    <row r="109" spans="63:74" x14ac:dyDescent="0.2">
      <c r="BK109" s="405"/>
      <c r="BL109" s="405"/>
      <c r="BM109" s="405"/>
      <c r="BN109" s="405"/>
      <c r="BO109" s="405"/>
      <c r="BP109" s="405"/>
      <c r="BQ109" s="405"/>
      <c r="BR109" s="405"/>
      <c r="BS109" s="405"/>
      <c r="BT109" s="405"/>
      <c r="BU109" s="405"/>
      <c r="BV109" s="405"/>
    </row>
    <row r="110" spans="63:74" x14ac:dyDescent="0.2">
      <c r="BK110" s="405"/>
      <c r="BL110" s="405"/>
      <c r="BM110" s="405"/>
      <c r="BN110" s="405"/>
      <c r="BO110" s="405"/>
      <c r="BP110" s="405"/>
      <c r="BQ110" s="405"/>
      <c r="BR110" s="405"/>
      <c r="BS110" s="405"/>
      <c r="BT110" s="405"/>
      <c r="BU110" s="405"/>
      <c r="BV110" s="405"/>
    </row>
    <row r="111" spans="63:74" x14ac:dyDescent="0.2">
      <c r="BK111" s="405"/>
      <c r="BL111" s="405"/>
      <c r="BM111" s="405"/>
      <c r="BN111" s="405"/>
      <c r="BO111" s="405"/>
      <c r="BP111" s="405"/>
      <c r="BQ111" s="405"/>
      <c r="BR111" s="405"/>
      <c r="BS111" s="405"/>
      <c r="BT111" s="405"/>
      <c r="BU111" s="405"/>
      <c r="BV111" s="405"/>
    </row>
    <row r="112" spans="63:74" x14ac:dyDescent="0.2">
      <c r="BK112" s="405"/>
      <c r="BL112" s="405"/>
      <c r="BM112" s="405"/>
      <c r="BN112" s="405"/>
      <c r="BO112" s="405"/>
      <c r="BP112" s="405"/>
      <c r="BQ112" s="405"/>
      <c r="BR112" s="405"/>
      <c r="BS112" s="405"/>
      <c r="BT112" s="405"/>
      <c r="BU112" s="405"/>
      <c r="BV112" s="405"/>
    </row>
    <row r="113" spans="63:74" x14ac:dyDescent="0.2">
      <c r="BK113" s="405"/>
      <c r="BL113" s="405"/>
      <c r="BM113" s="405"/>
      <c r="BN113" s="405"/>
      <c r="BO113" s="405"/>
      <c r="BP113" s="405"/>
      <c r="BQ113" s="405"/>
      <c r="BR113" s="405"/>
      <c r="BS113" s="405"/>
      <c r="BT113" s="405"/>
      <c r="BU113" s="405"/>
      <c r="BV113" s="405"/>
    </row>
    <row r="114" spans="63:74" x14ac:dyDescent="0.2">
      <c r="BK114" s="405"/>
      <c r="BL114" s="405"/>
      <c r="BM114" s="405"/>
      <c r="BN114" s="405"/>
      <c r="BO114" s="405"/>
      <c r="BP114" s="405"/>
      <c r="BQ114" s="405"/>
      <c r="BR114" s="405"/>
      <c r="BS114" s="405"/>
      <c r="BT114" s="405"/>
      <c r="BU114" s="405"/>
      <c r="BV114" s="405"/>
    </row>
    <row r="115" spans="63:74" x14ac:dyDescent="0.2">
      <c r="BK115" s="405"/>
      <c r="BL115" s="405"/>
      <c r="BM115" s="405"/>
      <c r="BN115" s="405"/>
      <c r="BO115" s="405"/>
      <c r="BP115" s="405"/>
      <c r="BQ115" s="405"/>
      <c r="BR115" s="405"/>
      <c r="BS115" s="405"/>
      <c r="BT115" s="405"/>
      <c r="BU115" s="405"/>
      <c r="BV115" s="405"/>
    </row>
    <row r="116" spans="63:74" x14ac:dyDescent="0.2">
      <c r="BK116" s="405"/>
      <c r="BL116" s="405"/>
      <c r="BM116" s="405"/>
      <c r="BN116" s="405"/>
      <c r="BO116" s="405"/>
      <c r="BP116" s="405"/>
      <c r="BQ116" s="405"/>
      <c r="BR116" s="405"/>
      <c r="BS116" s="405"/>
      <c r="BT116" s="405"/>
      <c r="BU116" s="405"/>
      <c r="BV116" s="405"/>
    </row>
    <row r="117" spans="63:74" x14ac:dyDescent="0.2">
      <c r="BK117" s="405"/>
      <c r="BL117" s="405"/>
      <c r="BM117" s="405"/>
      <c r="BN117" s="405"/>
      <c r="BO117" s="405"/>
      <c r="BP117" s="405"/>
      <c r="BQ117" s="405"/>
      <c r="BR117" s="405"/>
      <c r="BS117" s="405"/>
      <c r="BT117" s="405"/>
      <c r="BU117" s="405"/>
      <c r="BV117" s="405"/>
    </row>
    <row r="118" spans="63:74" x14ac:dyDescent="0.2">
      <c r="BK118" s="405"/>
      <c r="BL118" s="405"/>
      <c r="BM118" s="405"/>
      <c r="BN118" s="405"/>
      <c r="BO118" s="405"/>
      <c r="BP118" s="405"/>
      <c r="BQ118" s="405"/>
      <c r="BR118" s="405"/>
      <c r="BS118" s="405"/>
      <c r="BT118" s="405"/>
      <c r="BU118" s="405"/>
      <c r="BV118" s="405"/>
    </row>
    <row r="119" spans="63:74" x14ac:dyDescent="0.2">
      <c r="BK119" s="405"/>
      <c r="BL119" s="405"/>
      <c r="BM119" s="405"/>
      <c r="BN119" s="405"/>
      <c r="BO119" s="405"/>
      <c r="BP119" s="405"/>
      <c r="BQ119" s="405"/>
      <c r="BR119" s="405"/>
      <c r="BS119" s="405"/>
      <c r="BT119" s="405"/>
      <c r="BU119" s="405"/>
      <c r="BV119" s="405"/>
    </row>
    <row r="120" spans="63:74" x14ac:dyDescent="0.2">
      <c r="BK120" s="405"/>
      <c r="BL120" s="405"/>
      <c r="BM120" s="405"/>
      <c r="BN120" s="405"/>
      <c r="BO120" s="405"/>
      <c r="BP120" s="405"/>
      <c r="BQ120" s="405"/>
      <c r="BR120" s="405"/>
      <c r="BS120" s="405"/>
      <c r="BT120" s="405"/>
      <c r="BU120" s="405"/>
      <c r="BV120" s="405"/>
    </row>
    <row r="121" spans="63:74" x14ac:dyDescent="0.2">
      <c r="BK121" s="405"/>
      <c r="BL121" s="405"/>
      <c r="BM121" s="405"/>
      <c r="BN121" s="405"/>
      <c r="BO121" s="405"/>
      <c r="BP121" s="405"/>
      <c r="BQ121" s="405"/>
      <c r="BR121" s="405"/>
      <c r="BS121" s="405"/>
      <c r="BT121" s="405"/>
      <c r="BU121" s="405"/>
      <c r="BV121" s="405"/>
    </row>
    <row r="122" spans="63:74" x14ac:dyDescent="0.2">
      <c r="BK122" s="405"/>
      <c r="BL122" s="405"/>
      <c r="BM122" s="405"/>
      <c r="BN122" s="405"/>
      <c r="BO122" s="405"/>
      <c r="BP122" s="405"/>
      <c r="BQ122" s="405"/>
      <c r="BR122" s="405"/>
      <c r="BS122" s="405"/>
      <c r="BT122" s="405"/>
      <c r="BU122" s="405"/>
      <c r="BV122" s="405"/>
    </row>
    <row r="123" spans="63:74" x14ac:dyDescent="0.2">
      <c r="BK123" s="405"/>
      <c r="BL123" s="405"/>
      <c r="BM123" s="405"/>
      <c r="BN123" s="405"/>
      <c r="BO123" s="405"/>
      <c r="BP123" s="405"/>
      <c r="BQ123" s="405"/>
      <c r="BR123" s="405"/>
      <c r="BS123" s="405"/>
      <c r="BT123" s="405"/>
      <c r="BU123" s="405"/>
      <c r="BV123" s="405"/>
    </row>
    <row r="124" spans="63:74" x14ac:dyDescent="0.2">
      <c r="BK124" s="405"/>
      <c r="BL124" s="405"/>
      <c r="BM124" s="405"/>
      <c r="BN124" s="405"/>
      <c r="BO124" s="405"/>
      <c r="BP124" s="405"/>
      <c r="BQ124" s="405"/>
      <c r="BR124" s="405"/>
      <c r="BS124" s="405"/>
      <c r="BT124" s="405"/>
      <c r="BU124" s="405"/>
      <c r="BV124" s="405"/>
    </row>
    <row r="125" spans="63:74" x14ac:dyDescent="0.2">
      <c r="BK125" s="405"/>
      <c r="BL125" s="405"/>
      <c r="BM125" s="405"/>
      <c r="BN125" s="405"/>
      <c r="BO125" s="405"/>
      <c r="BP125" s="405"/>
      <c r="BQ125" s="405"/>
      <c r="BR125" s="405"/>
      <c r="BS125" s="405"/>
      <c r="BT125" s="405"/>
      <c r="BU125" s="405"/>
      <c r="BV125" s="405"/>
    </row>
    <row r="126" spans="63:74" x14ac:dyDescent="0.2">
      <c r="BK126" s="405"/>
      <c r="BL126" s="405"/>
      <c r="BM126" s="405"/>
      <c r="BN126" s="405"/>
      <c r="BO126" s="405"/>
      <c r="BP126" s="405"/>
      <c r="BQ126" s="405"/>
      <c r="BR126" s="405"/>
      <c r="BS126" s="405"/>
      <c r="BT126" s="405"/>
      <c r="BU126" s="405"/>
      <c r="BV126" s="405"/>
    </row>
    <row r="127" spans="63:74" x14ac:dyDescent="0.2">
      <c r="BK127" s="405"/>
      <c r="BL127" s="405"/>
      <c r="BM127" s="405"/>
      <c r="BN127" s="405"/>
      <c r="BO127" s="405"/>
      <c r="BP127" s="405"/>
      <c r="BQ127" s="405"/>
      <c r="BR127" s="405"/>
      <c r="BS127" s="405"/>
      <c r="BT127" s="405"/>
      <c r="BU127" s="405"/>
      <c r="BV127" s="405"/>
    </row>
    <row r="128" spans="63:74" x14ac:dyDescent="0.2">
      <c r="BK128" s="405"/>
      <c r="BL128" s="405"/>
      <c r="BM128" s="405"/>
      <c r="BN128" s="405"/>
      <c r="BO128" s="405"/>
      <c r="BP128" s="405"/>
      <c r="BQ128" s="405"/>
      <c r="BR128" s="405"/>
      <c r="BS128" s="405"/>
      <c r="BT128" s="405"/>
      <c r="BU128" s="405"/>
      <c r="BV128" s="405"/>
    </row>
    <row r="129" spans="63:74" x14ac:dyDescent="0.2">
      <c r="BK129" s="405"/>
      <c r="BL129" s="405"/>
      <c r="BM129" s="405"/>
      <c r="BN129" s="405"/>
      <c r="BO129" s="405"/>
      <c r="BP129" s="405"/>
      <c r="BQ129" s="405"/>
      <c r="BR129" s="405"/>
      <c r="BS129" s="405"/>
      <c r="BT129" s="405"/>
      <c r="BU129" s="405"/>
      <c r="BV129" s="405"/>
    </row>
    <row r="130" spans="63:74" x14ac:dyDescent="0.2">
      <c r="BK130" s="405"/>
      <c r="BL130" s="405"/>
      <c r="BM130" s="405"/>
      <c r="BN130" s="405"/>
      <c r="BO130" s="405"/>
      <c r="BP130" s="405"/>
      <c r="BQ130" s="405"/>
      <c r="BR130" s="405"/>
      <c r="BS130" s="405"/>
      <c r="BT130" s="405"/>
      <c r="BU130" s="405"/>
      <c r="BV130" s="405"/>
    </row>
    <row r="131" spans="63:74" x14ac:dyDescent="0.2">
      <c r="BK131" s="405"/>
      <c r="BL131" s="405"/>
      <c r="BM131" s="405"/>
      <c r="BN131" s="405"/>
      <c r="BO131" s="405"/>
      <c r="BP131" s="405"/>
      <c r="BQ131" s="405"/>
      <c r="BR131" s="405"/>
      <c r="BS131" s="405"/>
      <c r="BT131" s="405"/>
      <c r="BU131" s="405"/>
      <c r="BV131" s="405"/>
    </row>
    <row r="132" spans="63:74" x14ac:dyDescent="0.2">
      <c r="BK132" s="405"/>
      <c r="BL132" s="405"/>
      <c r="BM132" s="405"/>
      <c r="BN132" s="405"/>
      <c r="BO132" s="405"/>
      <c r="BP132" s="405"/>
      <c r="BQ132" s="405"/>
      <c r="BR132" s="405"/>
      <c r="BS132" s="405"/>
      <c r="BT132" s="405"/>
      <c r="BU132" s="405"/>
      <c r="BV132" s="405"/>
    </row>
    <row r="133" spans="63:74" x14ac:dyDescent="0.2">
      <c r="BK133" s="405"/>
      <c r="BL133" s="405"/>
      <c r="BM133" s="405"/>
      <c r="BN133" s="405"/>
      <c r="BO133" s="405"/>
      <c r="BP133" s="405"/>
      <c r="BQ133" s="405"/>
      <c r="BR133" s="405"/>
      <c r="BS133" s="405"/>
      <c r="BT133" s="405"/>
      <c r="BU133" s="405"/>
      <c r="BV133" s="405"/>
    </row>
    <row r="134" spans="63:74" x14ac:dyDescent="0.2">
      <c r="BK134" s="405"/>
      <c r="BL134" s="405"/>
      <c r="BM134" s="405"/>
      <c r="BN134" s="405"/>
      <c r="BO134" s="405"/>
      <c r="BP134" s="405"/>
      <c r="BQ134" s="405"/>
      <c r="BR134" s="405"/>
      <c r="BS134" s="405"/>
      <c r="BT134" s="405"/>
      <c r="BU134" s="405"/>
      <c r="BV134" s="405"/>
    </row>
    <row r="135" spans="63:74" x14ac:dyDescent="0.2">
      <c r="BK135" s="405"/>
      <c r="BL135" s="405"/>
      <c r="BM135" s="405"/>
      <c r="BN135" s="405"/>
      <c r="BO135" s="405"/>
      <c r="BP135" s="405"/>
      <c r="BQ135" s="405"/>
      <c r="BR135" s="405"/>
      <c r="BS135" s="405"/>
      <c r="BT135" s="405"/>
      <c r="BU135" s="405"/>
      <c r="BV135" s="405"/>
    </row>
  </sheetData>
  <mergeCells count="22">
    <mergeCell ref="B53:Q53"/>
    <mergeCell ref="A1:A2"/>
    <mergeCell ref="B48:Q48"/>
    <mergeCell ref="B49:Q49"/>
    <mergeCell ref="B50:Q50"/>
    <mergeCell ref="B51:Q51"/>
    <mergeCell ref="B52:R52"/>
    <mergeCell ref="AM3:AX3"/>
    <mergeCell ref="AY3:BJ3"/>
    <mergeCell ref="BK3:BV3"/>
    <mergeCell ref="B1:AL1"/>
    <mergeCell ref="C3:N3"/>
    <mergeCell ref="O3:Z3"/>
    <mergeCell ref="AA3:AL3"/>
    <mergeCell ref="B54:Q54"/>
    <mergeCell ref="B61:Q61"/>
    <mergeCell ref="B58:Q58"/>
    <mergeCell ref="B59:Q59"/>
    <mergeCell ref="B60:Q60"/>
    <mergeCell ref="B55:Q55"/>
    <mergeCell ref="B56:Q56"/>
    <mergeCell ref="B57:Q57"/>
  </mergeCells>
  <phoneticPr fontId="3" type="noConversion"/>
  <hyperlinks>
    <hyperlink ref="A1:A2" location="Contents!A1" display="Table of Contents"/>
  </hyperlinks>
  <pageMargins left="0.25" right="0.25" top="0.25" bottom="0.25" header="0.5" footer="0.5"/>
  <pageSetup scale="83"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BV145"/>
  <sheetViews>
    <sheetView workbookViewId="0">
      <pane xSplit="2" ySplit="4" topLeftCell="BD5" activePane="bottomRight" state="frozen"/>
      <selection activeCell="BF63" sqref="BF63"/>
      <selection pane="topRight" activeCell="BF63" sqref="BF63"/>
      <selection pane="bottomLeft" activeCell="BF63" sqref="BF63"/>
      <selection pane="bottomRight" activeCell="B1" sqref="B1:AL1"/>
    </sheetView>
  </sheetViews>
  <sheetFormatPr defaultColWidth="8.5546875" defaultRowHeight="10.199999999999999" x14ac:dyDescent="0.2"/>
  <cols>
    <col min="1" max="1" width="11.5546875" style="162" customWidth="1"/>
    <col min="2" max="2" width="31.77734375" style="153" customWidth="1"/>
    <col min="3" max="50" width="6.5546875" style="153" customWidth="1"/>
    <col min="51" max="55" width="6.5546875" style="487" customWidth="1"/>
    <col min="56" max="58" width="6.5546875" style="623" customWidth="1"/>
    <col min="59" max="62" width="6.5546875" style="487" customWidth="1"/>
    <col min="63" max="74" width="6.5546875" style="153" customWidth="1"/>
    <col min="75" max="16384" width="8.5546875" style="153"/>
  </cols>
  <sheetData>
    <row r="1" spans="1:74" ht="13.35" customHeight="1" x14ac:dyDescent="0.25">
      <c r="A1" s="797" t="s">
        <v>809</v>
      </c>
      <c r="B1" s="825" t="s">
        <v>1416</v>
      </c>
      <c r="C1" s="805"/>
      <c r="D1" s="805"/>
      <c r="E1" s="805"/>
      <c r="F1" s="805"/>
      <c r="G1" s="805"/>
      <c r="H1" s="805"/>
      <c r="I1" s="805"/>
      <c r="J1" s="805"/>
      <c r="K1" s="805"/>
      <c r="L1" s="805"/>
      <c r="M1" s="805"/>
      <c r="N1" s="805"/>
      <c r="O1" s="805"/>
      <c r="P1" s="805"/>
      <c r="Q1" s="805"/>
      <c r="R1" s="805"/>
      <c r="S1" s="805"/>
      <c r="T1" s="805"/>
      <c r="U1" s="805"/>
      <c r="V1" s="805"/>
      <c r="W1" s="805"/>
      <c r="X1" s="805"/>
      <c r="Y1" s="805"/>
      <c r="Z1" s="805"/>
      <c r="AA1" s="805"/>
      <c r="AB1" s="805"/>
      <c r="AC1" s="805"/>
      <c r="AD1" s="805"/>
      <c r="AE1" s="805"/>
      <c r="AF1" s="805"/>
      <c r="AG1" s="805"/>
      <c r="AH1" s="805"/>
      <c r="AI1" s="805"/>
      <c r="AJ1" s="805"/>
      <c r="AK1" s="805"/>
      <c r="AL1" s="805"/>
    </row>
    <row r="2" spans="1:74" ht="13.2" x14ac:dyDescent="0.25">
      <c r="A2" s="798"/>
      <c r="B2" s="532" t="str">
        <f>"U.S. Energy Information Administration  |  Short-Term Energy Outlook  - "&amp;Dates!D1</f>
        <v>U.S. Energy Information Administration  |  Short-Term Energy Outlook  - September 2020</v>
      </c>
      <c r="C2" s="533"/>
      <c r="D2" s="533"/>
      <c r="E2" s="533"/>
      <c r="F2" s="533"/>
      <c r="G2" s="748"/>
      <c r="H2" s="748"/>
      <c r="I2" s="748"/>
      <c r="J2" s="748"/>
      <c r="K2" s="748"/>
      <c r="L2" s="748"/>
      <c r="M2" s="748"/>
      <c r="N2" s="748"/>
      <c r="O2" s="748"/>
      <c r="P2" s="748"/>
      <c r="Q2" s="748"/>
      <c r="R2" s="748"/>
      <c r="S2" s="748"/>
      <c r="T2" s="748"/>
      <c r="U2" s="748"/>
      <c r="V2" s="748"/>
      <c r="W2" s="748"/>
      <c r="X2" s="748"/>
      <c r="Y2" s="748"/>
      <c r="Z2" s="748"/>
      <c r="AA2" s="748"/>
      <c r="AB2" s="748"/>
      <c r="AC2" s="748"/>
      <c r="AD2" s="748"/>
      <c r="AE2" s="748"/>
      <c r="AF2" s="748"/>
      <c r="AG2" s="748"/>
      <c r="AH2" s="748"/>
      <c r="AI2" s="748"/>
      <c r="AJ2" s="748"/>
      <c r="AK2" s="533"/>
      <c r="AL2" s="533"/>
    </row>
    <row r="3" spans="1:74" s="12" customFormat="1" ht="13.2" x14ac:dyDescent="0.25">
      <c r="A3" s="14"/>
      <c r="B3" s="784"/>
      <c r="C3" s="806">
        <f>Dates!D3</f>
        <v>2016</v>
      </c>
      <c r="D3" s="802"/>
      <c r="E3" s="802"/>
      <c r="F3" s="802"/>
      <c r="G3" s="802"/>
      <c r="H3" s="802"/>
      <c r="I3" s="802"/>
      <c r="J3" s="802"/>
      <c r="K3" s="802"/>
      <c r="L3" s="802"/>
      <c r="M3" s="802"/>
      <c r="N3" s="803"/>
      <c r="O3" s="806">
        <f>C3+1</f>
        <v>2017</v>
      </c>
      <c r="P3" s="807"/>
      <c r="Q3" s="807"/>
      <c r="R3" s="807"/>
      <c r="S3" s="807"/>
      <c r="T3" s="807"/>
      <c r="U3" s="807"/>
      <c r="V3" s="807"/>
      <c r="W3" s="807"/>
      <c r="X3" s="802"/>
      <c r="Y3" s="802"/>
      <c r="Z3" s="803"/>
      <c r="AA3" s="799">
        <f>O3+1</f>
        <v>2018</v>
      </c>
      <c r="AB3" s="802"/>
      <c r="AC3" s="802"/>
      <c r="AD3" s="802"/>
      <c r="AE3" s="802"/>
      <c r="AF3" s="802"/>
      <c r="AG3" s="802"/>
      <c r="AH3" s="802"/>
      <c r="AI3" s="802"/>
      <c r="AJ3" s="802"/>
      <c r="AK3" s="802"/>
      <c r="AL3" s="803"/>
      <c r="AM3" s="799">
        <f>AA3+1</f>
        <v>2019</v>
      </c>
      <c r="AN3" s="802"/>
      <c r="AO3" s="802"/>
      <c r="AP3" s="802"/>
      <c r="AQ3" s="802"/>
      <c r="AR3" s="802"/>
      <c r="AS3" s="802"/>
      <c r="AT3" s="802"/>
      <c r="AU3" s="802"/>
      <c r="AV3" s="802"/>
      <c r="AW3" s="802"/>
      <c r="AX3" s="803"/>
      <c r="AY3" s="799">
        <f>AM3+1</f>
        <v>2020</v>
      </c>
      <c r="AZ3" s="800"/>
      <c r="BA3" s="800"/>
      <c r="BB3" s="800"/>
      <c r="BC3" s="800"/>
      <c r="BD3" s="800"/>
      <c r="BE3" s="800"/>
      <c r="BF3" s="800"/>
      <c r="BG3" s="800"/>
      <c r="BH3" s="800"/>
      <c r="BI3" s="800"/>
      <c r="BJ3" s="801"/>
      <c r="BK3" s="799">
        <f>AY3+1</f>
        <v>2021</v>
      </c>
      <c r="BL3" s="802"/>
      <c r="BM3" s="802"/>
      <c r="BN3" s="802"/>
      <c r="BO3" s="802"/>
      <c r="BP3" s="802"/>
      <c r="BQ3" s="802"/>
      <c r="BR3" s="802"/>
      <c r="BS3" s="802"/>
      <c r="BT3" s="802"/>
      <c r="BU3" s="802"/>
      <c r="BV3" s="803"/>
    </row>
    <row r="4" spans="1:74" s="12" customFormat="1" x14ac:dyDescent="0.2">
      <c r="A4" s="16"/>
      <c r="B4" s="17"/>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BG5" s="623"/>
      <c r="BK5" s="405"/>
      <c r="BL5" s="405"/>
      <c r="BM5" s="405"/>
      <c r="BN5" s="405"/>
      <c r="BO5" s="405"/>
      <c r="BP5" s="405"/>
      <c r="BQ5" s="405"/>
      <c r="BR5" s="405"/>
      <c r="BS5" s="405"/>
      <c r="BT5" s="405"/>
      <c r="BU5" s="405"/>
      <c r="BV5" s="405"/>
    </row>
    <row r="6" spans="1:74" ht="11.1" customHeight="1" x14ac:dyDescent="0.2">
      <c r="A6" s="162" t="s">
        <v>374</v>
      </c>
      <c r="B6" s="172" t="s">
        <v>388</v>
      </c>
      <c r="C6" s="250">
        <v>22.41898071</v>
      </c>
      <c r="D6" s="250">
        <v>22.110921379000001</v>
      </c>
      <c r="E6" s="250">
        <v>22.230090129000001</v>
      </c>
      <c r="F6" s="250">
        <v>21.684217666999999</v>
      </c>
      <c r="G6" s="250">
        <v>21.209763097</v>
      </c>
      <c r="H6" s="250">
        <v>21.319327999999999</v>
      </c>
      <c r="I6" s="250">
        <v>21.953209548</v>
      </c>
      <c r="J6" s="250">
        <v>21.877112677</v>
      </c>
      <c r="K6" s="250">
        <v>21.647430332999999</v>
      </c>
      <c r="L6" s="250">
        <v>22.038822903</v>
      </c>
      <c r="M6" s="250">
        <v>22.525364332999999</v>
      </c>
      <c r="N6" s="250">
        <v>22.007328387000001</v>
      </c>
      <c r="O6" s="250">
        <v>22.226315418999999</v>
      </c>
      <c r="P6" s="250">
        <v>22.663305286</v>
      </c>
      <c r="Q6" s="250">
        <v>22.613851709999999</v>
      </c>
      <c r="R6" s="250">
        <v>22.100807</v>
      </c>
      <c r="S6" s="250">
        <v>22.446634387</v>
      </c>
      <c r="T6" s="250">
        <v>22.507130332999999</v>
      </c>
      <c r="U6" s="250">
        <v>22.817660676999999</v>
      </c>
      <c r="V6" s="250">
        <v>22.911361289999999</v>
      </c>
      <c r="W6" s="250">
        <v>22.575928999999999</v>
      </c>
      <c r="X6" s="250">
        <v>23.309901355000001</v>
      </c>
      <c r="Y6" s="250">
        <v>24.225175332999999</v>
      </c>
      <c r="Z6" s="250">
        <v>24.003881387</v>
      </c>
      <c r="AA6" s="250">
        <v>23.835558097</v>
      </c>
      <c r="AB6" s="250">
        <v>24.387787143000001</v>
      </c>
      <c r="AC6" s="250">
        <v>24.807088129</v>
      </c>
      <c r="AD6" s="250">
        <v>24.549730666999999</v>
      </c>
      <c r="AE6" s="250">
        <v>24.714946870999999</v>
      </c>
      <c r="AF6" s="250">
        <v>24.847847999999999</v>
      </c>
      <c r="AG6" s="250">
        <v>25.435309160999999</v>
      </c>
      <c r="AH6" s="250">
        <v>26.361803419000001</v>
      </c>
      <c r="AI6" s="250">
        <v>26.008437000000001</v>
      </c>
      <c r="AJ6" s="250">
        <v>26.263359129000001</v>
      </c>
      <c r="AK6" s="250">
        <v>26.730411666999998</v>
      </c>
      <c r="AL6" s="250">
        <v>26.813553902999999</v>
      </c>
      <c r="AM6" s="250">
        <v>26.117643677</v>
      </c>
      <c r="AN6" s="250">
        <v>26.083219143000001</v>
      </c>
      <c r="AO6" s="250">
        <v>26.430047065</v>
      </c>
      <c r="AP6" s="250">
        <v>26.779527333000001</v>
      </c>
      <c r="AQ6" s="250">
        <v>26.675410257999999</v>
      </c>
      <c r="AR6" s="250">
        <v>26.735999</v>
      </c>
      <c r="AS6" s="250">
        <v>26.358204677</v>
      </c>
      <c r="AT6" s="250">
        <v>27.081250419</v>
      </c>
      <c r="AU6" s="250">
        <v>27.105106332999998</v>
      </c>
      <c r="AV6" s="250">
        <v>27.347229355</v>
      </c>
      <c r="AW6" s="250">
        <v>27.915788332999998</v>
      </c>
      <c r="AX6" s="250">
        <v>28.048192193999999</v>
      </c>
      <c r="AY6" s="250">
        <v>28.014201451999998</v>
      </c>
      <c r="AZ6" s="250">
        <v>27.712596897000001</v>
      </c>
      <c r="BA6" s="250">
        <v>27.884094838999999</v>
      </c>
      <c r="BB6" s="250">
        <v>25.589794667</v>
      </c>
      <c r="BC6" s="250">
        <v>23.210153968</v>
      </c>
      <c r="BD6" s="250">
        <v>24.299829921000001</v>
      </c>
      <c r="BE6" s="250">
        <v>24.703136242999999</v>
      </c>
      <c r="BF6" s="250">
        <v>24.811451960999999</v>
      </c>
      <c r="BG6" s="403">
        <v>25.138543719000001</v>
      </c>
      <c r="BH6" s="403">
        <v>25.389462371</v>
      </c>
      <c r="BI6" s="403">
        <v>25.822138442</v>
      </c>
      <c r="BJ6" s="403">
        <v>25.844866226000001</v>
      </c>
      <c r="BK6" s="403">
        <v>25.544978215</v>
      </c>
      <c r="BL6" s="403">
        <v>25.508263745000001</v>
      </c>
      <c r="BM6" s="403">
        <v>25.830920965000001</v>
      </c>
      <c r="BN6" s="403">
        <v>25.909096622</v>
      </c>
      <c r="BO6" s="403">
        <v>26.075957061</v>
      </c>
      <c r="BP6" s="403">
        <v>26.012640514000001</v>
      </c>
      <c r="BQ6" s="403">
        <v>25.971324931000002</v>
      </c>
      <c r="BR6" s="403">
        <v>26.173355133000001</v>
      </c>
      <c r="BS6" s="403">
        <v>26.340112422000001</v>
      </c>
      <c r="BT6" s="403">
        <v>26.477298519000001</v>
      </c>
      <c r="BU6" s="403">
        <v>26.804982067000001</v>
      </c>
      <c r="BV6" s="403">
        <v>26.732194539999998</v>
      </c>
    </row>
    <row r="7" spans="1:74" ht="11.1" customHeight="1" x14ac:dyDescent="0.2">
      <c r="A7" s="162" t="s">
        <v>253</v>
      </c>
      <c r="B7" s="173" t="s">
        <v>345</v>
      </c>
      <c r="C7" s="250">
        <v>4.8172740000000003</v>
      </c>
      <c r="D7" s="250">
        <v>4.7372740000000002</v>
      </c>
      <c r="E7" s="250">
        <v>4.6572740000000001</v>
      </c>
      <c r="F7" s="250">
        <v>4.3192740000000001</v>
      </c>
      <c r="G7" s="250">
        <v>3.6812740000000002</v>
      </c>
      <c r="H7" s="250">
        <v>3.9822739999999999</v>
      </c>
      <c r="I7" s="250">
        <v>4.6072740000000003</v>
      </c>
      <c r="J7" s="250">
        <v>4.7452740000000002</v>
      </c>
      <c r="K7" s="250">
        <v>4.7492739999999998</v>
      </c>
      <c r="L7" s="250">
        <v>4.8132739999999998</v>
      </c>
      <c r="M7" s="250">
        <v>5.1352739999999999</v>
      </c>
      <c r="N7" s="250">
        <v>4.9182740000000003</v>
      </c>
      <c r="O7" s="250">
        <v>5.120139</v>
      </c>
      <c r="P7" s="250">
        <v>5.1401389999999996</v>
      </c>
      <c r="Q7" s="250">
        <v>4.910139</v>
      </c>
      <c r="R7" s="250">
        <v>4.5001389999999999</v>
      </c>
      <c r="S7" s="250">
        <v>4.6331389999999999</v>
      </c>
      <c r="T7" s="250">
        <v>4.6861389999999998</v>
      </c>
      <c r="U7" s="250">
        <v>4.963139</v>
      </c>
      <c r="V7" s="250">
        <v>5.1171389999999999</v>
      </c>
      <c r="W7" s="250">
        <v>4.9331389999999997</v>
      </c>
      <c r="X7" s="250">
        <v>4.9451390000000002</v>
      </c>
      <c r="Y7" s="250">
        <v>5.2731389999999996</v>
      </c>
      <c r="Z7" s="250">
        <v>5.3501390000000004</v>
      </c>
      <c r="AA7" s="250">
        <v>5.2341389999999999</v>
      </c>
      <c r="AB7" s="250">
        <v>5.3951390000000004</v>
      </c>
      <c r="AC7" s="250">
        <v>5.4341390000000001</v>
      </c>
      <c r="AD7" s="250">
        <v>5.0681390000000004</v>
      </c>
      <c r="AE7" s="250">
        <v>5.2191390000000002</v>
      </c>
      <c r="AF7" s="250">
        <v>5.1471390000000001</v>
      </c>
      <c r="AG7" s="250">
        <v>5.3611389999999997</v>
      </c>
      <c r="AH7" s="250">
        <v>5.6471390000000001</v>
      </c>
      <c r="AI7" s="250">
        <v>5.2241390000000001</v>
      </c>
      <c r="AJ7" s="250">
        <v>5.5401389999999999</v>
      </c>
      <c r="AK7" s="250">
        <v>5.6371390000000003</v>
      </c>
      <c r="AL7" s="250">
        <v>5.6671389999999997</v>
      </c>
      <c r="AM7" s="250">
        <v>5.3921390000000002</v>
      </c>
      <c r="AN7" s="250">
        <v>5.4131390000000001</v>
      </c>
      <c r="AO7" s="250">
        <v>5.4981390000000001</v>
      </c>
      <c r="AP7" s="250">
        <v>5.5421389999999997</v>
      </c>
      <c r="AQ7" s="250">
        <v>5.3671389999999999</v>
      </c>
      <c r="AR7" s="250">
        <v>5.5041390000000003</v>
      </c>
      <c r="AS7" s="250">
        <v>5.5001389999999999</v>
      </c>
      <c r="AT7" s="250">
        <v>5.527139</v>
      </c>
      <c r="AU7" s="250">
        <v>5.3841390000000002</v>
      </c>
      <c r="AV7" s="250">
        <v>5.455139</v>
      </c>
      <c r="AW7" s="250">
        <v>5.6481389999999996</v>
      </c>
      <c r="AX7" s="250">
        <v>5.793139</v>
      </c>
      <c r="AY7" s="250">
        <v>5.6011389999999999</v>
      </c>
      <c r="AZ7" s="250">
        <v>5.7171390000000004</v>
      </c>
      <c r="BA7" s="250">
        <v>5.636139</v>
      </c>
      <c r="BB7" s="250">
        <v>5.0151389999999996</v>
      </c>
      <c r="BC7" s="250">
        <v>4.7471389999999998</v>
      </c>
      <c r="BD7" s="250">
        <v>4.7390909382000004</v>
      </c>
      <c r="BE7" s="250">
        <v>4.8247232217000002</v>
      </c>
      <c r="BF7" s="250">
        <v>4.8536774399000002</v>
      </c>
      <c r="BG7" s="403">
        <v>4.7766991138000003</v>
      </c>
      <c r="BH7" s="403">
        <v>5.1081233804000004</v>
      </c>
      <c r="BI7" s="403">
        <v>5.3160278971999997</v>
      </c>
      <c r="BJ7" s="403">
        <v>5.4329925655000002</v>
      </c>
      <c r="BK7" s="403">
        <v>5.3785151527000004</v>
      </c>
      <c r="BL7" s="403">
        <v>5.3582219110000002</v>
      </c>
      <c r="BM7" s="403">
        <v>5.4187207052000002</v>
      </c>
      <c r="BN7" s="403">
        <v>5.4215614693000003</v>
      </c>
      <c r="BO7" s="403">
        <v>5.4917305147000004</v>
      </c>
      <c r="BP7" s="403">
        <v>5.5085195629000001</v>
      </c>
      <c r="BQ7" s="403">
        <v>5.4798529690000004</v>
      </c>
      <c r="BR7" s="403">
        <v>5.5167075131000001</v>
      </c>
      <c r="BS7" s="403">
        <v>5.5521593129999998</v>
      </c>
      <c r="BT7" s="403">
        <v>5.7488300612999996</v>
      </c>
      <c r="BU7" s="403">
        <v>5.7598749532999998</v>
      </c>
      <c r="BV7" s="403">
        <v>5.7069471802000002</v>
      </c>
    </row>
    <row r="8" spans="1:74" ht="11.1" customHeight="1" x14ac:dyDescent="0.2">
      <c r="A8" s="162" t="s">
        <v>254</v>
      </c>
      <c r="B8" s="173" t="s">
        <v>346</v>
      </c>
      <c r="C8" s="250">
        <v>2.6042209999999999</v>
      </c>
      <c r="D8" s="250">
        <v>2.5412210000000002</v>
      </c>
      <c r="E8" s="250">
        <v>2.5332210000000002</v>
      </c>
      <c r="F8" s="250">
        <v>2.5042209999999998</v>
      </c>
      <c r="G8" s="250">
        <v>2.502221</v>
      </c>
      <c r="H8" s="250">
        <v>2.526221</v>
      </c>
      <c r="I8" s="250">
        <v>2.502221</v>
      </c>
      <c r="J8" s="250">
        <v>2.490221</v>
      </c>
      <c r="K8" s="250">
        <v>2.4412210000000001</v>
      </c>
      <c r="L8" s="250">
        <v>2.418221</v>
      </c>
      <c r="M8" s="250">
        <v>2.3952209999999998</v>
      </c>
      <c r="N8" s="250">
        <v>2.3552209999999998</v>
      </c>
      <c r="O8" s="250">
        <v>2.341504</v>
      </c>
      <c r="P8" s="250">
        <v>2.3485040000000001</v>
      </c>
      <c r="Q8" s="250">
        <v>2.3445040000000001</v>
      </c>
      <c r="R8" s="250">
        <v>2.329504</v>
      </c>
      <c r="S8" s="250">
        <v>2.3345039999999999</v>
      </c>
      <c r="T8" s="250">
        <v>2.3235039999999998</v>
      </c>
      <c r="U8" s="250">
        <v>2.2955040000000002</v>
      </c>
      <c r="V8" s="250">
        <v>2.220504</v>
      </c>
      <c r="W8" s="250">
        <v>2.0165039999999999</v>
      </c>
      <c r="X8" s="250">
        <v>2.1875040000000001</v>
      </c>
      <c r="Y8" s="250">
        <v>2.1335039999999998</v>
      </c>
      <c r="Z8" s="250">
        <v>2.1345040000000002</v>
      </c>
      <c r="AA8" s="250">
        <v>2.2035040000000001</v>
      </c>
      <c r="AB8" s="250">
        <v>2.1665040000000002</v>
      </c>
      <c r="AC8" s="250">
        <v>2.1295039999999998</v>
      </c>
      <c r="AD8" s="250">
        <v>2.1625040000000002</v>
      </c>
      <c r="AE8" s="250">
        <v>2.1275040000000001</v>
      </c>
      <c r="AF8" s="250">
        <v>2.1095039999999998</v>
      </c>
      <c r="AG8" s="250">
        <v>2.1065040000000002</v>
      </c>
      <c r="AH8" s="250">
        <v>2.0725039999999999</v>
      </c>
      <c r="AI8" s="250">
        <v>2.0815039999999998</v>
      </c>
      <c r="AJ8" s="250">
        <v>1.9835039999999999</v>
      </c>
      <c r="AK8" s="250">
        <v>1.932504</v>
      </c>
      <c r="AL8" s="250">
        <v>1.944504</v>
      </c>
      <c r="AM8" s="250">
        <v>1.861504</v>
      </c>
      <c r="AN8" s="250">
        <v>1.942504</v>
      </c>
      <c r="AO8" s="250">
        <v>1.9355039999999999</v>
      </c>
      <c r="AP8" s="250">
        <v>1.9155040000000001</v>
      </c>
      <c r="AQ8" s="250">
        <v>1.8995040000000001</v>
      </c>
      <c r="AR8" s="250">
        <v>1.9035040000000001</v>
      </c>
      <c r="AS8" s="250">
        <v>1.900504</v>
      </c>
      <c r="AT8" s="250">
        <v>1.928504</v>
      </c>
      <c r="AU8" s="250">
        <v>1.956504</v>
      </c>
      <c r="AV8" s="250">
        <v>1.902504</v>
      </c>
      <c r="AW8" s="250">
        <v>1.9395039999999999</v>
      </c>
      <c r="AX8" s="250">
        <v>1.9555039999999999</v>
      </c>
      <c r="AY8" s="250">
        <v>1.9955039999999999</v>
      </c>
      <c r="AZ8" s="250">
        <v>1.9975039999999999</v>
      </c>
      <c r="BA8" s="250">
        <v>2.0145040000000001</v>
      </c>
      <c r="BB8" s="250">
        <v>2.0005039999999998</v>
      </c>
      <c r="BC8" s="250">
        <v>1.914504</v>
      </c>
      <c r="BD8" s="250">
        <v>1.9058496492000001</v>
      </c>
      <c r="BE8" s="250">
        <v>1.8793639685000001</v>
      </c>
      <c r="BF8" s="250">
        <v>1.8016117021</v>
      </c>
      <c r="BG8" s="403">
        <v>1.7898139056</v>
      </c>
      <c r="BH8" s="403">
        <v>1.7783907903</v>
      </c>
      <c r="BI8" s="403">
        <v>1.7720594444</v>
      </c>
      <c r="BJ8" s="403">
        <v>1.7723079603</v>
      </c>
      <c r="BK8" s="403">
        <v>1.7831599627000001</v>
      </c>
      <c r="BL8" s="403">
        <v>1.8008988341000001</v>
      </c>
      <c r="BM8" s="403">
        <v>1.8121055598</v>
      </c>
      <c r="BN8" s="403">
        <v>1.8120406524999999</v>
      </c>
      <c r="BO8" s="403">
        <v>1.8121131463</v>
      </c>
      <c r="BP8" s="403">
        <v>1.7839839514</v>
      </c>
      <c r="BQ8" s="403">
        <v>1.7726501621999999</v>
      </c>
      <c r="BR8" s="403">
        <v>1.7613026199999999</v>
      </c>
      <c r="BS8" s="403">
        <v>1.7500115089999999</v>
      </c>
      <c r="BT8" s="403">
        <v>1.7498423582</v>
      </c>
      <c r="BU8" s="403">
        <v>1.7500484133</v>
      </c>
      <c r="BV8" s="403">
        <v>1.7501337597</v>
      </c>
    </row>
    <row r="9" spans="1:74" ht="11.1" customHeight="1" x14ac:dyDescent="0.2">
      <c r="A9" s="162" t="s">
        <v>255</v>
      </c>
      <c r="B9" s="173" t="s">
        <v>347</v>
      </c>
      <c r="C9" s="250">
        <v>14.997485709999999</v>
      </c>
      <c r="D9" s="250">
        <v>14.832426378999999</v>
      </c>
      <c r="E9" s="250">
        <v>15.039595129</v>
      </c>
      <c r="F9" s="250">
        <v>14.860722666999999</v>
      </c>
      <c r="G9" s="250">
        <v>15.026268097000001</v>
      </c>
      <c r="H9" s="250">
        <v>14.810833000000001</v>
      </c>
      <c r="I9" s="250">
        <v>14.843714547999999</v>
      </c>
      <c r="J9" s="250">
        <v>14.641617676999999</v>
      </c>
      <c r="K9" s="250">
        <v>14.456935333000001</v>
      </c>
      <c r="L9" s="250">
        <v>14.807327902999999</v>
      </c>
      <c r="M9" s="250">
        <v>14.994869333</v>
      </c>
      <c r="N9" s="250">
        <v>14.733833387000001</v>
      </c>
      <c r="O9" s="250">
        <v>14.764672419</v>
      </c>
      <c r="P9" s="250">
        <v>15.174662286</v>
      </c>
      <c r="Q9" s="250">
        <v>15.359208710000001</v>
      </c>
      <c r="R9" s="250">
        <v>15.271164000000001</v>
      </c>
      <c r="S9" s="250">
        <v>15.478991387000001</v>
      </c>
      <c r="T9" s="250">
        <v>15.497487333</v>
      </c>
      <c r="U9" s="250">
        <v>15.559017677</v>
      </c>
      <c r="V9" s="250">
        <v>15.57371829</v>
      </c>
      <c r="W9" s="250">
        <v>15.626286</v>
      </c>
      <c r="X9" s="250">
        <v>16.177258354999999</v>
      </c>
      <c r="Y9" s="250">
        <v>16.818532333</v>
      </c>
      <c r="Z9" s="250">
        <v>16.519238387000001</v>
      </c>
      <c r="AA9" s="250">
        <v>16.397915096999998</v>
      </c>
      <c r="AB9" s="250">
        <v>16.826144143</v>
      </c>
      <c r="AC9" s="250">
        <v>17.243445129000001</v>
      </c>
      <c r="AD9" s="250">
        <v>17.319087667000002</v>
      </c>
      <c r="AE9" s="250">
        <v>17.368303870999998</v>
      </c>
      <c r="AF9" s="250">
        <v>17.591204999999999</v>
      </c>
      <c r="AG9" s="250">
        <v>17.967666161</v>
      </c>
      <c r="AH9" s="250">
        <v>18.642160419</v>
      </c>
      <c r="AI9" s="250">
        <v>18.702794000000001</v>
      </c>
      <c r="AJ9" s="250">
        <v>18.739716129000001</v>
      </c>
      <c r="AK9" s="250">
        <v>19.160768666999999</v>
      </c>
      <c r="AL9" s="250">
        <v>19.201910903000002</v>
      </c>
      <c r="AM9" s="250">
        <v>18.864000677</v>
      </c>
      <c r="AN9" s="250">
        <v>18.727576143</v>
      </c>
      <c r="AO9" s="250">
        <v>18.996404065</v>
      </c>
      <c r="AP9" s="250">
        <v>19.321884333</v>
      </c>
      <c r="AQ9" s="250">
        <v>19.408767258000001</v>
      </c>
      <c r="AR9" s="250">
        <v>19.328355999999999</v>
      </c>
      <c r="AS9" s="250">
        <v>18.957561677000001</v>
      </c>
      <c r="AT9" s="250">
        <v>19.625607419000001</v>
      </c>
      <c r="AU9" s="250">
        <v>19.764463332999998</v>
      </c>
      <c r="AV9" s="250">
        <v>19.989586355</v>
      </c>
      <c r="AW9" s="250">
        <v>20.328145332999998</v>
      </c>
      <c r="AX9" s="250">
        <v>20.299549194000001</v>
      </c>
      <c r="AY9" s="250">
        <v>20.417558452000002</v>
      </c>
      <c r="AZ9" s="250">
        <v>19.997953896999999</v>
      </c>
      <c r="BA9" s="250">
        <v>20.233451839000001</v>
      </c>
      <c r="BB9" s="250">
        <v>18.574151666999999</v>
      </c>
      <c r="BC9" s="250">
        <v>16.548510967999999</v>
      </c>
      <c r="BD9" s="250">
        <v>17.654889333</v>
      </c>
      <c r="BE9" s="250">
        <v>17.999049053</v>
      </c>
      <c r="BF9" s="250">
        <v>18.156162818999999</v>
      </c>
      <c r="BG9" s="403">
        <v>18.572030699999999</v>
      </c>
      <c r="BH9" s="403">
        <v>18.502948199999999</v>
      </c>
      <c r="BI9" s="403">
        <v>18.734051099999999</v>
      </c>
      <c r="BJ9" s="403">
        <v>18.639565699999999</v>
      </c>
      <c r="BK9" s="403">
        <v>18.383303099999999</v>
      </c>
      <c r="BL9" s="403">
        <v>18.349143000000002</v>
      </c>
      <c r="BM9" s="403">
        <v>18.6000947</v>
      </c>
      <c r="BN9" s="403">
        <v>18.675494499999999</v>
      </c>
      <c r="BO9" s="403">
        <v>18.772113399999999</v>
      </c>
      <c r="BP9" s="403">
        <v>18.720137000000001</v>
      </c>
      <c r="BQ9" s="403">
        <v>18.718821800000001</v>
      </c>
      <c r="BR9" s="403">
        <v>18.895344999999999</v>
      </c>
      <c r="BS9" s="403">
        <v>19.0379416</v>
      </c>
      <c r="BT9" s="403">
        <v>18.9786261</v>
      </c>
      <c r="BU9" s="403">
        <v>19.295058699999998</v>
      </c>
      <c r="BV9" s="403">
        <v>19.275113600000001</v>
      </c>
    </row>
    <row r="10" spans="1:74" ht="11.1" customHeight="1" x14ac:dyDescent="0.2">
      <c r="C10" s="222"/>
      <c r="D10" s="222"/>
      <c r="E10" s="222"/>
      <c r="F10" s="222"/>
      <c r="G10" s="222"/>
      <c r="H10" s="222"/>
      <c r="I10" s="222"/>
      <c r="J10" s="222"/>
      <c r="K10" s="222"/>
      <c r="L10" s="222"/>
      <c r="M10" s="222"/>
      <c r="N10" s="222"/>
      <c r="O10" s="222"/>
      <c r="P10" s="222"/>
      <c r="Q10" s="222"/>
      <c r="R10" s="222"/>
      <c r="S10" s="222"/>
      <c r="T10" s="222"/>
      <c r="U10" s="222"/>
      <c r="V10" s="222"/>
      <c r="W10" s="222"/>
      <c r="X10" s="222"/>
      <c r="Y10" s="222"/>
      <c r="Z10" s="222"/>
      <c r="AA10" s="222"/>
      <c r="AB10" s="222"/>
      <c r="AC10" s="222"/>
      <c r="AD10" s="222"/>
      <c r="AE10" s="222"/>
      <c r="AF10" s="222"/>
      <c r="AG10" s="222"/>
      <c r="AH10" s="222"/>
      <c r="AI10" s="222"/>
      <c r="AJ10" s="222"/>
      <c r="AK10" s="222"/>
      <c r="AL10" s="222"/>
      <c r="AM10" s="222"/>
      <c r="AN10" s="222"/>
      <c r="AO10" s="222"/>
      <c r="AP10" s="222"/>
      <c r="AQ10" s="222"/>
      <c r="AR10" s="222"/>
      <c r="AS10" s="222"/>
      <c r="AT10" s="222"/>
      <c r="AU10" s="222"/>
      <c r="AV10" s="222"/>
      <c r="AW10" s="222"/>
      <c r="AX10" s="222"/>
      <c r="AY10" s="222"/>
      <c r="AZ10" s="222"/>
      <c r="BA10" s="222"/>
      <c r="BB10" s="222"/>
      <c r="BC10" s="222"/>
      <c r="BD10" s="222"/>
      <c r="BE10" s="222"/>
      <c r="BF10" s="222"/>
      <c r="BG10" s="404"/>
      <c r="BH10" s="404"/>
      <c r="BI10" s="404"/>
      <c r="BJ10" s="404"/>
      <c r="BK10" s="404"/>
      <c r="BL10" s="404"/>
      <c r="BM10" s="404"/>
      <c r="BN10" s="404"/>
      <c r="BO10" s="404"/>
      <c r="BP10" s="404"/>
      <c r="BQ10" s="404"/>
      <c r="BR10" s="404"/>
      <c r="BS10" s="404"/>
      <c r="BT10" s="404"/>
      <c r="BU10" s="404"/>
      <c r="BV10" s="404"/>
    </row>
    <row r="11" spans="1:74" ht="11.1" customHeight="1" x14ac:dyDescent="0.2">
      <c r="A11" s="162" t="s">
        <v>373</v>
      </c>
      <c r="B11" s="172" t="s">
        <v>389</v>
      </c>
      <c r="C11" s="250">
        <v>5.3623810000000001</v>
      </c>
      <c r="D11" s="250">
        <v>5.2631829999999997</v>
      </c>
      <c r="E11" s="250">
        <v>5.2303769999999998</v>
      </c>
      <c r="F11" s="250">
        <v>5.7597160000000001</v>
      </c>
      <c r="G11" s="250">
        <v>6.1136980000000003</v>
      </c>
      <c r="H11" s="250">
        <v>6.0251479999999997</v>
      </c>
      <c r="I11" s="250">
        <v>6.1794440000000002</v>
      </c>
      <c r="J11" s="250">
        <v>6.1409739999999999</v>
      </c>
      <c r="K11" s="250">
        <v>6.2664960000000001</v>
      </c>
      <c r="L11" s="250">
        <v>6.0383950000000004</v>
      </c>
      <c r="M11" s="250">
        <v>5.9056170000000003</v>
      </c>
      <c r="N11" s="250">
        <v>5.658309</v>
      </c>
      <c r="O11" s="250">
        <v>5.5200469999999999</v>
      </c>
      <c r="P11" s="250">
        <v>5.4975959999999997</v>
      </c>
      <c r="Q11" s="250">
        <v>5.3643539999999996</v>
      </c>
      <c r="R11" s="250">
        <v>5.6418699999999999</v>
      </c>
      <c r="S11" s="250">
        <v>6.0007840000000003</v>
      </c>
      <c r="T11" s="250">
        <v>6.1971590000000001</v>
      </c>
      <c r="U11" s="250">
        <v>6.2734230000000002</v>
      </c>
      <c r="V11" s="250">
        <v>6.1428120000000002</v>
      </c>
      <c r="W11" s="250">
        <v>6.3409599999999999</v>
      </c>
      <c r="X11" s="250">
        <v>6.1320759999999996</v>
      </c>
      <c r="Y11" s="250">
        <v>5.8391339999999996</v>
      </c>
      <c r="Z11" s="250">
        <v>5.6146099999999999</v>
      </c>
      <c r="AA11" s="250">
        <v>5.4471824571000003</v>
      </c>
      <c r="AB11" s="250">
        <v>5.3598913226000002</v>
      </c>
      <c r="AC11" s="250">
        <v>5.4391702661999997</v>
      </c>
      <c r="AD11" s="250">
        <v>5.9748986479999999</v>
      </c>
      <c r="AE11" s="250">
        <v>6.1813787413999997</v>
      </c>
      <c r="AF11" s="250">
        <v>6.3628314540000002</v>
      </c>
      <c r="AG11" s="250">
        <v>6.4043850502000002</v>
      </c>
      <c r="AH11" s="250">
        <v>6.2022680000000001</v>
      </c>
      <c r="AI11" s="250">
        <v>6.1553929849999998</v>
      </c>
      <c r="AJ11" s="250">
        <v>6.0692209439000004</v>
      </c>
      <c r="AK11" s="250">
        <v>5.8665048290000001</v>
      </c>
      <c r="AL11" s="250">
        <v>5.7283901431000004</v>
      </c>
      <c r="AM11" s="250">
        <v>5.4816748637000003</v>
      </c>
      <c r="AN11" s="250">
        <v>5.3267498454000002</v>
      </c>
      <c r="AO11" s="250">
        <v>5.4925495522999999</v>
      </c>
      <c r="AP11" s="250">
        <v>5.9116204550000004</v>
      </c>
      <c r="AQ11" s="250">
        <v>6.3999092071000003</v>
      </c>
      <c r="AR11" s="250">
        <v>6.3352629316</v>
      </c>
      <c r="AS11" s="250">
        <v>6.5946552160999996</v>
      </c>
      <c r="AT11" s="250">
        <v>6.9571614430000004</v>
      </c>
      <c r="AU11" s="250">
        <v>6.8538266042</v>
      </c>
      <c r="AV11" s="250">
        <v>6.7232241575999998</v>
      </c>
      <c r="AW11" s="250">
        <v>6.4943388530000004</v>
      </c>
      <c r="AX11" s="250">
        <v>6.1465319999999997</v>
      </c>
      <c r="AY11" s="250">
        <v>6.1203010000000004</v>
      </c>
      <c r="AZ11" s="250">
        <v>5.9896089999999997</v>
      </c>
      <c r="BA11" s="250">
        <v>6.0089740000000003</v>
      </c>
      <c r="BB11" s="250">
        <v>5.8941369999999997</v>
      </c>
      <c r="BC11" s="250">
        <v>5.8896300000000004</v>
      </c>
      <c r="BD11" s="250">
        <v>6.4225902218000002</v>
      </c>
      <c r="BE11" s="250">
        <v>6.7049320873999996</v>
      </c>
      <c r="BF11" s="250">
        <v>6.9140584550000002</v>
      </c>
      <c r="BG11" s="403">
        <v>6.9567783438999999</v>
      </c>
      <c r="BH11" s="403">
        <v>6.9006155999000001</v>
      </c>
      <c r="BI11" s="403">
        <v>6.5600511517999998</v>
      </c>
      <c r="BJ11" s="403">
        <v>6.3279897264000002</v>
      </c>
      <c r="BK11" s="403">
        <v>6.2296713796000001</v>
      </c>
      <c r="BL11" s="403">
        <v>6.0167515731999996</v>
      </c>
      <c r="BM11" s="403">
        <v>6.0271081760999996</v>
      </c>
      <c r="BN11" s="403">
        <v>6.6007117266000002</v>
      </c>
      <c r="BO11" s="403">
        <v>6.7399804795999998</v>
      </c>
      <c r="BP11" s="403">
        <v>6.9539501138000004</v>
      </c>
      <c r="BQ11" s="403">
        <v>7.0777469889000004</v>
      </c>
      <c r="BR11" s="403">
        <v>7.1500639704999998</v>
      </c>
      <c r="BS11" s="403">
        <v>7.4369751085000004</v>
      </c>
      <c r="BT11" s="403">
        <v>7.1550646633000001</v>
      </c>
      <c r="BU11" s="403">
        <v>6.8708767332000003</v>
      </c>
      <c r="BV11" s="403">
        <v>6.5217239196000003</v>
      </c>
    </row>
    <row r="12" spans="1:74" ht="11.1" customHeight="1" x14ac:dyDescent="0.2">
      <c r="A12" s="162" t="s">
        <v>256</v>
      </c>
      <c r="B12" s="173" t="s">
        <v>348</v>
      </c>
      <c r="C12" s="250">
        <v>0.690639</v>
      </c>
      <c r="D12" s="250">
        <v>0.69863900000000001</v>
      </c>
      <c r="E12" s="250">
        <v>0.69863900000000001</v>
      </c>
      <c r="F12" s="250">
        <v>0.70963900000000002</v>
      </c>
      <c r="G12" s="250">
        <v>0.69963900000000001</v>
      </c>
      <c r="H12" s="250">
        <v>0.70463900000000002</v>
      </c>
      <c r="I12" s="250">
        <v>0.71463900000000002</v>
      </c>
      <c r="J12" s="250">
        <v>0.72563900000000003</v>
      </c>
      <c r="K12" s="250">
        <v>0.73463900000000004</v>
      </c>
      <c r="L12" s="250">
        <v>0.72863900000000004</v>
      </c>
      <c r="M12" s="250">
        <v>0.71963900000000003</v>
      </c>
      <c r="N12" s="250">
        <v>0.68063899999999999</v>
      </c>
      <c r="O12" s="250">
        <v>0.67763899999999999</v>
      </c>
      <c r="P12" s="250">
        <v>0.66563899999999998</v>
      </c>
      <c r="Q12" s="250">
        <v>0.66263899999999998</v>
      </c>
      <c r="R12" s="250">
        <v>0.65163899999999997</v>
      </c>
      <c r="S12" s="250">
        <v>0.67663899999999999</v>
      </c>
      <c r="T12" s="250">
        <v>0.67063899999999999</v>
      </c>
      <c r="U12" s="250">
        <v>0.67763899999999999</v>
      </c>
      <c r="V12" s="250">
        <v>0.66163899999999998</v>
      </c>
      <c r="W12" s="250">
        <v>0.67863899999999999</v>
      </c>
      <c r="X12" s="250">
        <v>0.70163900000000001</v>
      </c>
      <c r="Y12" s="250">
        <v>0.70263900000000001</v>
      </c>
      <c r="Z12" s="250">
        <v>0.686639</v>
      </c>
      <c r="AA12" s="250">
        <v>0.67663899999999999</v>
      </c>
      <c r="AB12" s="250">
        <v>0.66363899999999998</v>
      </c>
      <c r="AC12" s="250">
        <v>0.66363899999999998</v>
      </c>
      <c r="AD12" s="250">
        <v>0.67863899999999999</v>
      </c>
      <c r="AE12" s="250">
        <v>0.691639</v>
      </c>
      <c r="AF12" s="250">
        <v>0.69363900000000001</v>
      </c>
      <c r="AG12" s="250">
        <v>0.687639</v>
      </c>
      <c r="AH12" s="250">
        <v>0.66763899999999998</v>
      </c>
      <c r="AI12" s="250">
        <v>0.684639</v>
      </c>
      <c r="AJ12" s="250">
        <v>0.67163899999999999</v>
      </c>
      <c r="AK12" s="250">
        <v>0.70063900000000001</v>
      </c>
      <c r="AL12" s="250">
        <v>0.66263899999999998</v>
      </c>
      <c r="AM12" s="250">
        <v>0.65463899999999997</v>
      </c>
      <c r="AN12" s="250">
        <v>0.64463899999999996</v>
      </c>
      <c r="AO12" s="250">
        <v>0.684639</v>
      </c>
      <c r="AP12" s="250">
        <v>0.70863900000000002</v>
      </c>
      <c r="AQ12" s="250">
        <v>0.70863900000000002</v>
      </c>
      <c r="AR12" s="250">
        <v>0.682639</v>
      </c>
      <c r="AS12" s="250">
        <v>0.67863899999999999</v>
      </c>
      <c r="AT12" s="250">
        <v>0.71163900000000002</v>
      </c>
      <c r="AU12" s="250">
        <v>0.71363900000000002</v>
      </c>
      <c r="AV12" s="250">
        <v>0.69763900000000001</v>
      </c>
      <c r="AW12" s="250">
        <v>0.69763900000000001</v>
      </c>
      <c r="AX12" s="250">
        <v>0.69463900000000001</v>
      </c>
      <c r="AY12" s="250">
        <v>0.66863899999999998</v>
      </c>
      <c r="AZ12" s="250">
        <v>0.69463900000000001</v>
      </c>
      <c r="BA12" s="250">
        <v>0.689639</v>
      </c>
      <c r="BB12" s="250">
        <v>0.59063900000000003</v>
      </c>
      <c r="BC12" s="250">
        <v>0.58363900000000002</v>
      </c>
      <c r="BD12" s="250">
        <v>0.55773129424000001</v>
      </c>
      <c r="BE12" s="250">
        <v>0.63215012324999997</v>
      </c>
      <c r="BF12" s="250">
        <v>0.68935098800000005</v>
      </c>
      <c r="BG12" s="403">
        <v>0.67567286486</v>
      </c>
      <c r="BH12" s="403">
        <v>0.66054309943</v>
      </c>
      <c r="BI12" s="403">
        <v>0.68080305938999996</v>
      </c>
      <c r="BJ12" s="403">
        <v>0.65780621946999995</v>
      </c>
      <c r="BK12" s="403">
        <v>0.63808919529999997</v>
      </c>
      <c r="BL12" s="403">
        <v>0.68383452402</v>
      </c>
      <c r="BM12" s="403">
        <v>0.66263563406000003</v>
      </c>
      <c r="BN12" s="403">
        <v>0.61938136765999996</v>
      </c>
      <c r="BO12" s="403">
        <v>0.55020377601000003</v>
      </c>
      <c r="BP12" s="403">
        <v>0.60176403678000001</v>
      </c>
      <c r="BQ12" s="403">
        <v>0.65529830166000003</v>
      </c>
      <c r="BR12" s="403">
        <v>0.68803521725000005</v>
      </c>
      <c r="BS12" s="403">
        <v>0.68886815611999996</v>
      </c>
      <c r="BT12" s="403">
        <v>0.67404139635000004</v>
      </c>
      <c r="BU12" s="403">
        <v>0.67436233114999999</v>
      </c>
      <c r="BV12" s="403">
        <v>0.67137489509000003</v>
      </c>
    </row>
    <row r="13" spans="1:74" ht="11.1" customHeight="1" x14ac:dyDescent="0.2">
      <c r="A13" s="162" t="s">
        <v>257</v>
      </c>
      <c r="B13" s="173" t="s">
        <v>349</v>
      </c>
      <c r="C13" s="250">
        <v>2.7215479999999999</v>
      </c>
      <c r="D13" s="250">
        <v>2.6215480000000002</v>
      </c>
      <c r="E13" s="250">
        <v>2.6145480000000001</v>
      </c>
      <c r="F13" s="250">
        <v>3.1285479999999999</v>
      </c>
      <c r="G13" s="250">
        <v>3.4955479999999999</v>
      </c>
      <c r="H13" s="250">
        <v>3.4485480000000002</v>
      </c>
      <c r="I13" s="250">
        <v>3.6345480000000001</v>
      </c>
      <c r="J13" s="250">
        <v>3.5935480000000002</v>
      </c>
      <c r="K13" s="250">
        <v>3.6765479999999999</v>
      </c>
      <c r="L13" s="250">
        <v>3.4735480000000001</v>
      </c>
      <c r="M13" s="250">
        <v>3.3435480000000002</v>
      </c>
      <c r="N13" s="250">
        <v>3.143548</v>
      </c>
      <c r="O13" s="250">
        <v>2.9875479999999999</v>
      </c>
      <c r="P13" s="250">
        <v>2.970548</v>
      </c>
      <c r="Q13" s="250">
        <v>2.9165480000000001</v>
      </c>
      <c r="R13" s="250">
        <v>3.1545480000000001</v>
      </c>
      <c r="S13" s="250">
        <v>3.4935480000000001</v>
      </c>
      <c r="T13" s="250">
        <v>3.6725479999999999</v>
      </c>
      <c r="U13" s="250">
        <v>3.7435480000000001</v>
      </c>
      <c r="V13" s="250">
        <v>3.6205479999999999</v>
      </c>
      <c r="W13" s="250">
        <v>3.8385479999999998</v>
      </c>
      <c r="X13" s="250">
        <v>3.595548</v>
      </c>
      <c r="Y13" s="250">
        <v>3.3105479999999998</v>
      </c>
      <c r="Z13" s="250">
        <v>3.0715479999999999</v>
      </c>
      <c r="AA13" s="250">
        <v>2.9325480000000002</v>
      </c>
      <c r="AB13" s="250">
        <v>2.9355479999999998</v>
      </c>
      <c r="AC13" s="250">
        <v>2.9765480000000002</v>
      </c>
      <c r="AD13" s="250">
        <v>3.4495480000000001</v>
      </c>
      <c r="AE13" s="250">
        <v>3.6465480000000001</v>
      </c>
      <c r="AF13" s="250">
        <v>3.833548</v>
      </c>
      <c r="AG13" s="250">
        <v>3.8945479999999999</v>
      </c>
      <c r="AH13" s="250">
        <v>3.7155480000000001</v>
      </c>
      <c r="AI13" s="250">
        <v>3.631548</v>
      </c>
      <c r="AJ13" s="250">
        <v>3.5595479999999999</v>
      </c>
      <c r="AK13" s="250">
        <v>3.3175479999999999</v>
      </c>
      <c r="AL13" s="250">
        <v>3.2095479999999998</v>
      </c>
      <c r="AM13" s="250">
        <v>2.9655480000000001</v>
      </c>
      <c r="AN13" s="250">
        <v>2.7985479999999998</v>
      </c>
      <c r="AO13" s="250">
        <v>2.9395479999999998</v>
      </c>
      <c r="AP13" s="250">
        <v>3.3445480000000001</v>
      </c>
      <c r="AQ13" s="250">
        <v>3.8195480000000002</v>
      </c>
      <c r="AR13" s="250">
        <v>3.7875480000000001</v>
      </c>
      <c r="AS13" s="250">
        <v>4.0615480000000002</v>
      </c>
      <c r="AT13" s="250">
        <v>4.3635479999999998</v>
      </c>
      <c r="AU13" s="250">
        <v>4.2565480000000004</v>
      </c>
      <c r="AV13" s="250">
        <v>4.2315480000000001</v>
      </c>
      <c r="AW13" s="250">
        <v>3.9065479999999999</v>
      </c>
      <c r="AX13" s="250">
        <v>3.5435479999999999</v>
      </c>
      <c r="AY13" s="250">
        <v>3.546548</v>
      </c>
      <c r="AZ13" s="250">
        <v>3.3395480000000002</v>
      </c>
      <c r="BA13" s="250">
        <v>3.4155479999999998</v>
      </c>
      <c r="BB13" s="250">
        <v>3.7715480000000001</v>
      </c>
      <c r="BC13" s="250">
        <v>3.7825479999999998</v>
      </c>
      <c r="BD13" s="250">
        <v>4.1061302132000002</v>
      </c>
      <c r="BE13" s="250">
        <v>4.2820028681000002</v>
      </c>
      <c r="BF13" s="250">
        <v>4.361691188</v>
      </c>
      <c r="BG13" s="403">
        <v>4.3704325124999999</v>
      </c>
      <c r="BH13" s="403">
        <v>4.3264086072000003</v>
      </c>
      <c r="BI13" s="403">
        <v>3.9296882165000002</v>
      </c>
      <c r="BJ13" s="403">
        <v>3.7284094141000002</v>
      </c>
      <c r="BK13" s="403">
        <v>3.6527937929999998</v>
      </c>
      <c r="BL13" s="403">
        <v>3.4009505830000002</v>
      </c>
      <c r="BM13" s="403">
        <v>3.4784268264999998</v>
      </c>
      <c r="BN13" s="403">
        <v>4.1589823801000003</v>
      </c>
      <c r="BO13" s="403">
        <v>4.3861475839999997</v>
      </c>
      <c r="BP13" s="403">
        <v>4.6008691903000001</v>
      </c>
      <c r="BQ13" s="403">
        <v>4.6237322149000004</v>
      </c>
      <c r="BR13" s="403">
        <v>4.6297879127000003</v>
      </c>
      <c r="BS13" s="403">
        <v>4.9048330999000003</v>
      </c>
      <c r="BT13" s="403">
        <v>4.6469486633999999</v>
      </c>
      <c r="BU13" s="403">
        <v>4.3321113013000003</v>
      </c>
      <c r="BV13" s="403">
        <v>3.9985470345</v>
      </c>
    </row>
    <row r="14" spans="1:74" ht="11.1" customHeight="1" x14ac:dyDescent="0.2">
      <c r="A14" s="162" t="s">
        <v>258</v>
      </c>
      <c r="B14" s="173" t="s">
        <v>350</v>
      </c>
      <c r="C14" s="250">
        <v>1.0090859999999999</v>
      </c>
      <c r="D14" s="250">
        <v>0.97808600000000001</v>
      </c>
      <c r="E14" s="250">
        <v>0.94008599999999998</v>
      </c>
      <c r="F14" s="250">
        <v>0.93808599999999998</v>
      </c>
      <c r="G14" s="250">
        <v>0.92908599999999997</v>
      </c>
      <c r="H14" s="250">
        <v>0.91108599999999995</v>
      </c>
      <c r="I14" s="250">
        <v>0.86608600000000002</v>
      </c>
      <c r="J14" s="250">
        <v>0.85008600000000001</v>
      </c>
      <c r="K14" s="250">
        <v>0.88208600000000004</v>
      </c>
      <c r="L14" s="250">
        <v>0.87008600000000003</v>
      </c>
      <c r="M14" s="250">
        <v>0.87808600000000003</v>
      </c>
      <c r="N14" s="250">
        <v>0.86008600000000002</v>
      </c>
      <c r="O14" s="250">
        <v>0.89094099999999998</v>
      </c>
      <c r="P14" s="250">
        <v>0.89494099999999999</v>
      </c>
      <c r="Q14" s="250">
        <v>0.83494100000000004</v>
      </c>
      <c r="R14" s="250">
        <v>0.88894099999999998</v>
      </c>
      <c r="S14" s="250">
        <v>0.88194099999999997</v>
      </c>
      <c r="T14" s="250">
        <v>0.88794099999999998</v>
      </c>
      <c r="U14" s="250">
        <v>0.88694099999999998</v>
      </c>
      <c r="V14" s="250">
        <v>0.88894099999999998</v>
      </c>
      <c r="W14" s="250">
        <v>0.88194099999999997</v>
      </c>
      <c r="X14" s="250">
        <v>0.89494099999999999</v>
      </c>
      <c r="Y14" s="250">
        <v>0.88194099999999997</v>
      </c>
      <c r="Z14" s="250">
        <v>0.90094099999999999</v>
      </c>
      <c r="AA14" s="250">
        <v>0.89094099999999998</v>
      </c>
      <c r="AB14" s="250">
        <v>0.85394099999999995</v>
      </c>
      <c r="AC14" s="250">
        <v>0.85694099999999995</v>
      </c>
      <c r="AD14" s="250">
        <v>0.89594099999999999</v>
      </c>
      <c r="AE14" s="250">
        <v>0.89694099999999999</v>
      </c>
      <c r="AF14" s="250">
        <v>0.89494099999999999</v>
      </c>
      <c r="AG14" s="250">
        <v>0.89094099999999998</v>
      </c>
      <c r="AH14" s="250">
        <v>0.89694099999999999</v>
      </c>
      <c r="AI14" s="250">
        <v>0.89894099999999999</v>
      </c>
      <c r="AJ14" s="250">
        <v>0.909941</v>
      </c>
      <c r="AK14" s="250">
        <v>0.913941</v>
      </c>
      <c r="AL14" s="250">
        <v>0.91994100000000001</v>
      </c>
      <c r="AM14" s="250">
        <v>0.92894100000000002</v>
      </c>
      <c r="AN14" s="250">
        <v>0.92294100000000001</v>
      </c>
      <c r="AO14" s="250">
        <v>0.914941</v>
      </c>
      <c r="AP14" s="250">
        <v>0.92094100000000001</v>
      </c>
      <c r="AQ14" s="250">
        <v>0.92494100000000001</v>
      </c>
      <c r="AR14" s="250">
        <v>0.92194100000000001</v>
      </c>
      <c r="AS14" s="250">
        <v>0.89894099999999999</v>
      </c>
      <c r="AT14" s="250">
        <v>0.912941</v>
      </c>
      <c r="AU14" s="250">
        <v>0.908941</v>
      </c>
      <c r="AV14" s="250">
        <v>0.912941</v>
      </c>
      <c r="AW14" s="250">
        <v>0.909941</v>
      </c>
      <c r="AX14" s="250">
        <v>0.911941</v>
      </c>
      <c r="AY14" s="250">
        <v>0.913941</v>
      </c>
      <c r="AZ14" s="250">
        <v>0.907941</v>
      </c>
      <c r="BA14" s="250">
        <v>0.88694099999999998</v>
      </c>
      <c r="BB14" s="250">
        <v>0.82594100000000004</v>
      </c>
      <c r="BC14" s="250">
        <v>0.76194099999999998</v>
      </c>
      <c r="BD14" s="250">
        <v>0.75617785870999998</v>
      </c>
      <c r="BE14" s="250">
        <v>0.80905444850999997</v>
      </c>
      <c r="BF14" s="250">
        <v>0.85313970821999996</v>
      </c>
      <c r="BG14" s="403">
        <v>0.85995757760000002</v>
      </c>
      <c r="BH14" s="403">
        <v>0.86310865669000003</v>
      </c>
      <c r="BI14" s="403">
        <v>0.88072427330000003</v>
      </c>
      <c r="BJ14" s="403">
        <v>0.88279909764999998</v>
      </c>
      <c r="BK14" s="403">
        <v>0.88393120428000005</v>
      </c>
      <c r="BL14" s="403">
        <v>0.87884129522999999</v>
      </c>
      <c r="BM14" s="403">
        <v>0.85814636853000004</v>
      </c>
      <c r="BN14" s="403">
        <v>0.79900386615999996</v>
      </c>
      <c r="BO14" s="403">
        <v>0.79232856817999997</v>
      </c>
      <c r="BP14" s="403">
        <v>0.73495430036999998</v>
      </c>
      <c r="BQ14" s="403">
        <v>0.78605706549999999</v>
      </c>
      <c r="BR14" s="403">
        <v>0.82876106005000005</v>
      </c>
      <c r="BS14" s="403">
        <v>0.83524738167000001</v>
      </c>
      <c r="BT14" s="403">
        <v>0.83826044906999997</v>
      </c>
      <c r="BU14" s="403">
        <v>0.85535324122</v>
      </c>
      <c r="BV14" s="403">
        <v>0.85731310860999999</v>
      </c>
    </row>
    <row r="15" spans="1:74" ht="11.1" customHeight="1" x14ac:dyDescent="0.2">
      <c r="A15" s="162" t="s">
        <v>1407</v>
      </c>
      <c r="B15" s="173" t="s">
        <v>1408</v>
      </c>
      <c r="C15" s="250">
        <v>0.53295800000000004</v>
      </c>
      <c r="D15" s="250">
        <v>0.53795800000000005</v>
      </c>
      <c r="E15" s="250">
        <v>0.54995799999999995</v>
      </c>
      <c r="F15" s="250">
        <v>0.55495799999999995</v>
      </c>
      <c r="G15" s="250">
        <v>0.55595799999999995</v>
      </c>
      <c r="H15" s="250">
        <v>0.54995799999999995</v>
      </c>
      <c r="I15" s="250">
        <v>0.54495800000000005</v>
      </c>
      <c r="J15" s="250">
        <v>0.54895799999999995</v>
      </c>
      <c r="K15" s="250">
        <v>0.55895799999999995</v>
      </c>
      <c r="L15" s="250">
        <v>0.55195799999999995</v>
      </c>
      <c r="M15" s="250">
        <v>0.54395800000000005</v>
      </c>
      <c r="N15" s="250">
        <v>0.54395800000000005</v>
      </c>
      <c r="O15" s="250">
        <v>0.53595800000000005</v>
      </c>
      <c r="P15" s="250">
        <v>0.53495800000000004</v>
      </c>
      <c r="Q15" s="250">
        <v>0.53095800000000004</v>
      </c>
      <c r="R15" s="250">
        <v>0.52795800000000004</v>
      </c>
      <c r="S15" s="250">
        <v>0.53295800000000004</v>
      </c>
      <c r="T15" s="250">
        <v>0.53995800000000005</v>
      </c>
      <c r="U15" s="250">
        <v>0.54095800000000005</v>
      </c>
      <c r="V15" s="250">
        <v>0.53595800000000005</v>
      </c>
      <c r="W15" s="250">
        <v>0.52895800000000004</v>
      </c>
      <c r="X15" s="250">
        <v>0.52595800000000004</v>
      </c>
      <c r="Y15" s="250">
        <v>0.52095800000000003</v>
      </c>
      <c r="Z15" s="250">
        <v>0.51995800000000003</v>
      </c>
      <c r="AA15" s="250">
        <v>0.51289745713000001</v>
      </c>
      <c r="AB15" s="250">
        <v>0.51264732264000001</v>
      </c>
      <c r="AC15" s="250">
        <v>0.51121226623000005</v>
      </c>
      <c r="AD15" s="250">
        <v>0.51655664800000001</v>
      </c>
      <c r="AE15" s="250">
        <v>0.51559474139000006</v>
      </c>
      <c r="AF15" s="250">
        <v>0.51705445400000005</v>
      </c>
      <c r="AG15" s="250">
        <v>0.52329905023000001</v>
      </c>
      <c r="AH15" s="250">
        <v>0.52995800000000004</v>
      </c>
      <c r="AI15" s="250">
        <v>0.51845798499999995</v>
      </c>
      <c r="AJ15" s="250">
        <v>0.51344894386999995</v>
      </c>
      <c r="AK15" s="250">
        <v>0.51493082902999998</v>
      </c>
      <c r="AL15" s="250">
        <v>0.51941114306000002</v>
      </c>
      <c r="AM15" s="250">
        <v>0.52384086368000005</v>
      </c>
      <c r="AN15" s="250">
        <v>0.53331784543000005</v>
      </c>
      <c r="AO15" s="250">
        <v>0.53010455225999997</v>
      </c>
      <c r="AP15" s="250">
        <v>0.528910455</v>
      </c>
      <c r="AQ15" s="250">
        <v>0.53182120710000003</v>
      </c>
      <c r="AR15" s="250">
        <v>0.53084793162999999</v>
      </c>
      <c r="AS15" s="250">
        <v>0.54130921610000005</v>
      </c>
      <c r="AT15" s="250">
        <v>0.55019444299999998</v>
      </c>
      <c r="AU15" s="250">
        <v>0.54686560419999997</v>
      </c>
      <c r="AV15" s="250">
        <v>0.46725515761000003</v>
      </c>
      <c r="AW15" s="250">
        <v>0.54631685299999999</v>
      </c>
      <c r="AX15" s="250">
        <v>0.54195800000000005</v>
      </c>
      <c r="AY15" s="250">
        <v>0.53495800000000004</v>
      </c>
      <c r="AZ15" s="250">
        <v>0.53695800000000005</v>
      </c>
      <c r="BA15" s="250">
        <v>0.54095800000000005</v>
      </c>
      <c r="BB15" s="250">
        <v>0.20995800000000001</v>
      </c>
      <c r="BC15" s="250">
        <v>0.33495799999999998</v>
      </c>
      <c r="BD15" s="250">
        <v>0.51360251093999998</v>
      </c>
      <c r="BE15" s="250">
        <v>0.53351844051999997</v>
      </c>
      <c r="BF15" s="250">
        <v>0.51548999823999997</v>
      </c>
      <c r="BG15" s="403">
        <v>0.52642512742000003</v>
      </c>
      <c r="BH15" s="403">
        <v>0.53343087109999998</v>
      </c>
      <c r="BI15" s="403">
        <v>0.53340415230000005</v>
      </c>
      <c r="BJ15" s="403">
        <v>0.53337014255000004</v>
      </c>
      <c r="BK15" s="403">
        <v>0.52844181354999997</v>
      </c>
      <c r="BL15" s="403">
        <v>0.52304939829999997</v>
      </c>
      <c r="BM15" s="403">
        <v>0.51782552493</v>
      </c>
      <c r="BN15" s="403">
        <v>0.51263987757999996</v>
      </c>
      <c r="BO15" s="403">
        <v>0.50748737200000005</v>
      </c>
      <c r="BP15" s="403">
        <v>0.50235377602999998</v>
      </c>
      <c r="BQ15" s="403">
        <v>0.49730779094999999</v>
      </c>
      <c r="BR15" s="403">
        <v>0.49231409046000002</v>
      </c>
      <c r="BS15" s="403">
        <v>0.48736256573999998</v>
      </c>
      <c r="BT15" s="403">
        <v>0.48249516736999998</v>
      </c>
      <c r="BU15" s="403">
        <v>0.47762532703999999</v>
      </c>
      <c r="BV15" s="403">
        <v>0.47282042226999998</v>
      </c>
    </row>
    <row r="16" spans="1:74" ht="11.1" customHeight="1" x14ac:dyDescent="0.2">
      <c r="A16" s="162" t="s">
        <v>259</v>
      </c>
      <c r="B16" s="173" t="s">
        <v>351</v>
      </c>
      <c r="C16" s="250">
        <v>0.40815000000000001</v>
      </c>
      <c r="D16" s="250">
        <v>0.426952</v>
      </c>
      <c r="E16" s="250">
        <v>0.42714600000000003</v>
      </c>
      <c r="F16" s="250">
        <v>0.428485</v>
      </c>
      <c r="G16" s="250">
        <v>0.43346699999999999</v>
      </c>
      <c r="H16" s="250">
        <v>0.41091699999999998</v>
      </c>
      <c r="I16" s="250">
        <v>0.419213</v>
      </c>
      <c r="J16" s="250">
        <v>0.42274299999999998</v>
      </c>
      <c r="K16" s="250">
        <v>0.41426499999999999</v>
      </c>
      <c r="L16" s="250">
        <v>0.41416399999999998</v>
      </c>
      <c r="M16" s="250">
        <v>0.42038599999999998</v>
      </c>
      <c r="N16" s="250">
        <v>0.43007800000000002</v>
      </c>
      <c r="O16" s="250">
        <v>0.42796099999999998</v>
      </c>
      <c r="P16" s="250">
        <v>0.43151</v>
      </c>
      <c r="Q16" s="250">
        <v>0.41926799999999997</v>
      </c>
      <c r="R16" s="250">
        <v>0.41878399999999999</v>
      </c>
      <c r="S16" s="250">
        <v>0.41569800000000001</v>
      </c>
      <c r="T16" s="250">
        <v>0.42607299999999998</v>
      </c>
      <c r="U16" s="250">
        <v>0.42433700000000002</v>
      </c>
      <c r="V16" s="250">
        <v>0.435726</v>
      </c>
      <c r="W16" s="250">
        <v>0.41287400000000002</v>
      </c>
      <c r="X16" s="250">
        <v>0.41399000000000002</v>
      </c>
      <c r="Y16" s="250">
        <v>0.42304799999999998</v>
      </c>
      <c r="Z16" s="250">
        <v>0.43552400000000002</v>
      </c>
      <c r="AA16" s="250">
        <v>0.43415700000000002</v>
      </c>
      <c r="AB16" s="250">
        <v>0.39411600000000002</v>
      </c>
      <c r="AC16" s="250">
        <v>0.43082999999999999</v>
      </c>
      <c r="AD16" s="250">
        <v>0.43421399999999999</v>
      </c>
      <c r="AE16" s="250">
        <v>0.43065599999999998</v>
      </c>
      <c r="AF16" s="250">
        <v>0.423649</v>
      </c>
      <c r="AG16" s="250">
        <v>0.40795799999999999</v>
      </c>
      <c r="AH16" s="250">
        <v>0.39218199999999998</v>
      </c>
      <c r="AI16" s="250">
        <v>0.42180699999999999</v>
      </c>
      <c r="AJ16" s="250">
        <v>0.41464400000000001</v>
      </c>
      <c r="AK16" s="250">
        <v>0.41944599999999999</v>
      </c>
      <c r="AL16" s="250">
        <v>0.41685100000000003</v>
      </c>
      <c r="AM16" s="250">
        <v>0.40870600000000001</v>
      </c>
      <c r="AN16" s="250">
        <v>0.42730400000000002</v>
      </c>
      <c r="AO16" s="250">
        <v>0.423317</v>
      </c>
      <c r="AP16" s="250">
        <v>0.408582</v>
      </c>
      <c r="AQ16" s="250">
        <v>0.41496</v>
      </c>
      <c r="AR16" s="250">
        <v>0.41228700000000001</v>
      </c>
      <c r="AS16" s="250">
        <v>0.41421799999999998</v>
      </c>
      <c r="AT16" s="250">
        <v>0.41883900000000002</v>
      </c>
      <c r="AU16" s="250">
        <v>0.42783300000000002</v>
      </c>
      <c r="AV16" s="250">
        <v>0.41384100000000001</v>
      </c>
      <c r="AW16" s="250">
        <v>0.433894</v>
      </c>
      <c r="AX16" s="250">
        <v>0.45444600000000002</v>
      </c>
      <c r="AY16" s="250">
        <v>0.45621499999999998</v>
      </c>
      <c r="AZ16" s="250">
        <v>0.51052299999999995</v>
      </c>
      <c r="BA16" s="250">
        <v>0.47588799999999998</v>
      </c>
      <c r="BB16" s="250">
        <v>0.49605100000000002</v>
      </c>
      <c r="BC16" s="250">
        <v>0.42654399999999998</v>
      </c>
      <c r="BD16" s="250">
        <v>0.48894834474999999</v>
      </c>
      <c r="BE16" s="250">
        <v>0.44820620709999998</v>
      </c>
      <c r="BF16" s="250">
        <v>0.49438657258000002</v>
      </c>
      <c r="BG16" s="403">
        <v>0.52429026156000003</v>
      </c>
      <c r="BH16" s="403">
        <v>0.51712436555999997</v>
      </c>
      <c r="BI16" s="403">
        <v>0.53543145029999994</v>
      </c>
      <c r="BJ16" s="403">
        <v>0.52560485261000001</v>
      </c>
      <c r="BK16" s="403">
        <v>0.52641537357000001</v>
      </c>
      <c r="BL16" s="403">
        <v>0.53007577267999995</v>
      </c>
      <c r="BM16" s="403">
        <v>0.51007382212999997</v>
      </c>
      <c r="BN16" s="403">
        <v>0.51070423507999996</v>
      </c>
      <c r="BO16" s="403">
        <v>0.50381317943000004</v>
      </c>
      <c r="BP16" s="403">
        <v>0.51400881026</v>
      </c>
      <c r="BQ16" s="403">
        <v>0.51535161595000001</v>
      </c>
      <c r="BR16" s="403">
        <v>0.51116568997</v>
      </c>
      <c r="BS16" s="403">
        <v>0.52066390500000004</v>
      </c>
      <c r="BT16" s="403">
        <v>0.51331898716000002</v>
      </c>
      <c r="BU16" s="403">
        <v>0.53142453251999999</v>
      </c>
      <c r="BV16" s="403">
        <v>0.52166845908000004</v>
      </c>
    </row>
    <row r="17" spans="1:74" ht="11.1" customHeight="1" x14ac:dyDescent="0.2">
      <c r="C17" s="222"/>
      <c r="D17" s="222"/>
      <c r="E17" s="222"/>
      <c r="F17" s="222"/>
      <c r="G17" s="222"/>
      <c r="H17" s="222"/>
      <c r="I17" s="222"/>
      <c r="J17" s="222"/>
      <c r="K17" s="222"/>
      <c r="L17" s="222"/>
      <c r="M17" s="222"/>
      <c r="N17" s="222"/>
      <c r="O17" s="222"/>
      <c r="P17" s="222"/>
      <c r="Q17" s="222"/>
      <c r="R17" s="222"/>
      <c r="S17" s="222"/>
      <c r="T17" s="222"/>
      <c r="U17" s="222"/>
      <c r="V17" s="222"/>
      <c r="W17" s="222"/>
      <c r="X17" s="222"/>
      <c r="Y17" s="222"/>
      <c r="Z17" s="222"/>
      <c r="AA17" s="222"/>
      <c r="AB17" s="222"/>
      <c r="AC17" s="222"/>
      <c r="AD17" s="222"/>
      <c r="AE17" s="222"/>
      <c r="AF17" s="222"/>
      <c r="AG17" s="222"/>
      <c r="AH17" s="222"/>
      <c r="AI17" s="222"/>
      <c r="AJ17" s="222"/>
      <c r="AK17" s="222"/>
      <c r="AL17" s="222"/>
      <c r="AM17" s="222"/>
      <c r="AN17" s="222"/>
      <c r="AO17" s="222"/>
      <c r="AP17" s="222"/>
      <c r="AQ17" s="222"/>
      <c r="AR17" s="222"/>
      <c r="AS17" s="222"/>
      <c r="AT17" s="222"/>
      <c r="AU17" s="222"/>
      <c r="AV17" s="222"/>
      <c r="AW17" s="222"/>
      <c r="AX17" s="222"/>
      <c r="AY17" s="222"/>
      <c r="AZ17" s="222"/>
      <c r="BA17" s="222"/>
      <c r="BB17" s="222"/>
      <c r="BC17" s="222"/>
      <c r="BD17" s="222"/>
      <c r="BE17" s="222"/>
      <c r="BF17" s="222"/>
      <c r="BG17" s="404"/>
      <c r="BH17" s="404"/>
      <c r="BI17" s="404"/>
      <c r="BJ17" s="404"/>
      <c r="BK17" s="404"/>
      <c r="BL17" s="404"/>
      <c r="BM17" s="404"/>
      <c r="BN17" s="404"/>
      <c r="BO17" s="404"/>
      <c r="BP17" s="404"/>
      <c r="BQ17" s="404"/>
      <c r="BR17" s="404"/>
      <c r="BS17" s="404"/>
      <c r="BT17" s="404"/>
      <c r="BU17" s="404"/>
      <c r="BV17" s="404"/>
    </row>
    <row r="18" spans="1:74" ht="11.1" customHeight="1" x14ac:dyDescent="0.2">
      <c r="A18" s="162" t="s">
        <v>353</v>
      </c>
      <c r="B18" s="172" t="s">
        <v>390</v>
      </c>
      <c r="C18" s="250">
        <v>4.603726</v>
      </c>
      <c r="D18" s="250">
        <v>4.5950949999999997</v>
      </c>
      <c r="E18" s="250">
        <v>4.5619370000000004</v>
      </c>
      <c r="F18" s="250">
        <v>4.5228770000000003</v>
      </c>
      <c r="G18" s="250">
        <v>4.4526700000000003</v>
      </c>
      <c r="H18" s="250">
        <v>4.1981310000000001</v>
      </c>
      <c r="I18" s="250">
        <v>4.5960390000000002</v>
      </c>
      <c r="J18" s="250">
        <v>4.296119</v>
      </c>
      <c r="K18" s="250">
        <v>3.955508</v>
      </c>
      <c r="L18" s="250">
        <v>4.4467559999999997</v>
      </c>
      <c r="M18" s="250">
        <v>4.6759230000000001</v>
      </c>
      <c r="N18" s="250">
        <v>4.5780469999999998</v>
      </c>
      <c r="O18" s="250">
        <v>4.4376189999999998</v>
      </c>
      <c r="P18" s="250">
        <v>4.467619</v>
      </c>
      <c r="Q18" s="250">
        <v>4.5246190000000004</v>
      </c>
      <c r="R18" s="250">
        <v>4.4606190000000003</v>
      </c>
      <c r="S18" s="250">
        <v>4.2916189999999999</v>
      </c>
      <c r="T18" s="250">
        <v>4.1866190000000003</v>
      </c>
      <c r="U18" s="250">
        <v>4.3216190000000001</v>
      </c>
      <c r="V18" s="250">
        <v>4.1476189999999997</v>
      </c>
      <c r="W18" s="250">
        <v>4.0856190000000003</v>
      </c>
      <c r="X18" s="250">
        <v>4.3206189999999998</v>
      </c>
      <c r="Y18" s="250">
        <v>4.2706189999999999</v>
      </c>
      <c r="Z18" s="250">
        <v>4.0716190000000001</v>
      </c>
      <c r="AA18" s="250">
        <v>4.4765290000000002</v>
      </c>
      <c r="AB18" s="250">
        <v>4.3735290000000004</v>
      </c>
      <c r="AC18" s="250">
        <v>4.2625289999999998</v>
      </c>
      <c r="AD18" s="250">
        <v>4.3705290000000003</v>
      </c>
      <c r="AE18" s="250">
        <v>4.0645290000000003</v>
      </c>
      <c r="AF18" s="250">
        <v>4.1885289999999999</v>
      </c>
      <c r="AG18" s="250">
        <v>4.3315289999999997</v>
      </c>
      <c r="AH18" s="250">
        <v>4.1335290000000002</v>
      </c>
      <c r="AI18" s="250">
        <v>3.9005290000000001</v>
      </c>
      <c r="AJ18" s="250">
        <v>4.3035290000000002</v>
      </c>
      <c r="AK18" s="250">
        <v>4.3345289999999999</v>
      </c>
      <c r="AL18" s="250">
        <v>4.3365289999999996</v>
      </c>
      <c r="AM18" s="250">
        <v>4.2665290000000002</v>
      </c>
      <c r="AN18" s="250">
        <v>4.2695290000000004</v>
      </c>
      <c r="AO18" s="250">
        <v>4.2585290000000002</v>
      </c>
      <c r="AP18" s="250">
        <v>4.1495290000000002</v>
      </c>
      <c r="AQ18" s="250">
        <v>4.0095689999999999</v>
      </c>
      <c r="AR18" s="250">
        <v>3.738569</v>
      </c>
      <c r="AS18" s="250">
        <v>4.0505690000000003</v>
      </c>
      <c r="AT18" s="250">
        <v>3.881529</v>
      </c>
      <c r="AU18" s="250">
        <v>3.9455290000000001</v>
      </c>
      <c r="AV18" s="250">
        <v>4.0885290000000003</v>
      </c>
      <c r="AW18" s="250">
        <v>4.3555289999999998</v>
      </c>
      <c r="AX18" s="250">
        <v>4.4195289999999998</v>
      </c>
      <c r="AY18" s="250">
        <v>4.3705290000000003</v>
      </c>
      <c r="AZ18" s="250">
        <v>4.4815290000000001</v>
      </c>
      <c r="BA18" s="250">
        <v>4.3255290000000004</v>
      </c>
      <c r="BB18" s="250">
        <v>4.4889289999999997</v>
      </c>
      <c r="BC18" s="250">
        <v>4.3819290000000004</v>
      </c>
      <c r="BD18" s="250">
        <v>4.2027822620000004</v>
      </c>
      <c r="BE18" s="250">
        <v>4.4060115439</v>
      </c>
      <c r="BF18" s="250">
        <v>4.3159665977000001</v>
      </c>
      <c r="BG18" s="403">
        <v>4.1180363422999999</v>
      </c>
      <c r="BH18" s="403">
        <v>4.4228775747000002</v>
      </c>
      <c r="BI18" s="403">
        <v>4.4117563649999996</v>
      </c>
      <c r="BJ18" s="403">
        <v>4.3988571262000002</v>
      </c>
      <c r="BK18" s="403">
        <v>4.4276505476999999</v>
      </c>
      <c r="BL18" s="403">
        <v>4.4649867924000004</v>
      </c>
      <c r="BM18" s="403">
        <v>4.4638909390999997</v>
      </c>
      <c r="BN18" s="403">
        <v>4.2504866880999996</v>
      </c>
      <c r="BO18" s="403">
        <v>4.1868195975000004</v>
      </c>
      <c r="BP18" s="403">
        <v>4.3608014114999998</v>
      </c>
      <c r="BQ18" s="403">
        <v>4.4357536709999996</v>
      </c>
      <c r="BR18" s="403">
        <v>4.4062622587</v>
      </c>
      <c r="BS18" s="403">
        <v>4.2490921345999997</v>
      </c>
      <c r="BT18" s="403">
        <v>4.5534485814999996</v>
      </c>
      <c r="BU18" s="403">
        <v>4.5732166998999997</v>
      </c>
      <c r="BV18" s="403">
        <v>4.5846618202</v>
      </c>
    </row>
    <row r="19" spans="1:74" ht="11.1" customHeight="1" x14ac:dyDescent="0.2">
      <c r="A19" s="162" t="s">
        <v>260</v>
      </c>
      <c r="B19" s="173" t="s">
        <v>352</v>
      </c>
      <c r="C19" s="250">
        <v>2.0425589999999998</v>
      </c>
      <c r="D19" s="250">
        <v>2.072559</v>
      </c>
      <c r="E19" s="250">
        <v>2.0175589999999999</v>
      </c>
      <c r="F19" s="250">
        <v>2.0425589999999998</v>
      </c>
      <c r="G19" s="250">
        <v>1.9705589999999999</v>
      </c>
      <c r="H19" s="250">
        <v>1.8235589999999999</v>
      </c>
      <c r="I19" s="250">
        <v>2.1395590000000002</v>
      </c>
      <c r="J19" s="250">
        <v>1.9445589999999999</v>
      </c>
      <c r="K19" s="250">
        <v>1.621559</v>
      </c>
      <c r="L19" s="250">
        <v>2.1245590000000001</v>
      </c>
      <c r="M19" s="250">
        <v>2.1645590000000001</v>
      </c>
      <c r="N19" s="250">
        <v>2.0735589999999999</v>
      </c>
      <c r="O19" s="250">
        <v>2.0408580000000001</v>
      </c>
      <c r="P19" s="250">
        <v>2.0768580000000001</v>
      </c>
      <c r="Q19" s="250">
        <v>2.1368580000000001</v>
      </c>
      <c r="R19" s="250">
        <v>2.1268579999999999</v>
      </c>
      <c r="S19" s="250">
        <v>1.9958579999999999</v>
      </c>
      <c r="T19" s="250">
        <v>1.8948579999999999</v>
      </c>
      <c r="U19" s="250">
        <v>2.0108579999999998</v>
      </c>
      <c r="V19" s="250">
        <v>1.9358580000000001</v>
      </c>
      <c r="W19" s="250">
        <v>1.7858579999999999</v>
      </c>
      <c r="X19" s="250">
        <v>1.9498580000000001</v>
      </c>
      <c r="Y19" s="250">
        <v>1.877858</v>
      </c>
      <c r="Z19" s="250">
        <v>1.9418580000000001</v>
      </c>
      <c r="AA19" s="250">
        <v>2.0358580000000002</v>
      </c>
      <c r="AB19" s="250">
        <v>1.960858</v>
      </c>
      <c r="AC19" s="250">
        <v>1.9138580000000001</v>
      </c>
      <c r="AD19" s="250">
        <v>1.8808579999999999</v>
      </c>
      <c r="AE19" s="250">
        <v>1.668858</v>
      </c>
      <c r="AF19" s="250">
        <v>1.8588579999999999</v>
      </c>
      <c r="AG19" s="250">
        <v>1.924858</v>
      </c>
      <c r="AH19" s="250">
        <v>1.8828579999999999</v>
      </c>
      <c r="AI19" s="250">
        <v>1.6208579999999999</v>
      </c>
      <c r="AJ19" s="250">
        <v>1.8688579999999999</v>
      </c>
      <c r="AK19" s="250">
        <v>1.887858</v>
      </c>
      <c r="AL19" s="250">
        <v>1.863858</v>
      </c>
      <c r="AM19" s="250">
        <v>1.831858</v>
      </c>
      <c r="AN19" s="250">
        <v>1.758858</v>
      </c>
      <c r="AO19" s="250">
        <v>1.7678579999999999</v>
      </c>
      <c r="AP19" s="250">
        <v>1.730858</v>
      </c>
      <c r="AQ19" s="250">
        <v>1.599858</v>
      </c>
      <c r="AR19" s="250">
        <v>1.4098580000000001</v>
      </c>
      <c r="AS19" s="250">
        <v>1.726858</v>
      </c>
      <c r="AT19" s="250">
        <v>1.674858</v>
      </c>
      <c r="AU19" s="250">
        <v>1.587858</v>
      </c>
      <c r="AV19" s="250">
        <v>1.801858</v>
      </c>
      <c r="AW19" s="250">
        <v>1.998858</v>
      </c>
      <c r="AX19" s="250">
        <v>2.0868579999999999</v>
      </c>
      <c r="AY19" s="250">
        <v>1.986858</v>
      </c>
      <c r="AZ19" s="250">
        <v>2.1118579999999998</v>
      </c>
      <c r="BA19" s="250">
        <v>2.0688580000000001</v>
      </c>
      <c r="BB19" s="250">
        <v>2.1028579999999999</v>
      </c>
      <c r="BC19" s="250">
        <v>2.0478580000000002</v>
      </c>
      <c r="BD19" s="250">
        <v>1.8678286822000001</v>
      </c>
      <c r="BE19" s="250">
        <v>2.0730594732999998</v>
      </c>
      <c r="BF19" s="250">
        <v>2.0905996732999998</v>
      </c>
      <c r="BG19" s="403">
        <v>1.8019579879000001</v>
      </c>
      <c r="BH19" s="403">
        <v>2.0758198821999998</v>
      </c>
      <c r="BI19" s="403">
        <v>2.0684826339</v>
      </c>
      <c r="BJ19" s="403">
        <v>2.0612185620000001</v>
      </c>
      <c r="BK19" s="403">
        <v>2.0934747126</v>
      </c>
      <c r="BL19" s="403">
        <v>2.1290397988</v>
      </c>
      <c r="BM19" s="403">
        <v>2.1366624255</v>
      </c>
      <c r="BN19" s="403">
        <v>2.1462785775</v>
      </c>
      <c r="BO19" s="403">
        <v>2.0394882571999999</v>
      </c>
      <c r="BP19" s="403">
        <v>2.0535153677000002</v>
      </c>
      <c r="BQ19" s="403">
        <v>2.1924279868999998</v>
      </c>
      <c r="BR19" s="403">
        <v>2.2063717283000002</v>
      </c>
      <c r="BS19" s="403">
        <v>1.9572198938000001</v>
      </c>
      <c r="BT19" s="403">
        <v>2.2141276646999999</v>
      </c>
      <c r="BU19" s="403">
        <v>2.2212229850999998</v>
      </c>
      <c r="BV19" s="403">
        <v>2.22828728</v>
      </c>
    </row>
    <row r="20" spans="1:74" ht="11.1" customHeight="1" x14ac:dyDescent="0.2">
      <c r="A20" s="162" t="s">
        <v>1054</v>
      </c>
      <c r="B20" s="173" t="s">
        <v>1055</v>
      </c>
      <c r="C20" s="250">
        <v>1.15181</v>
      </c>
      <c r="D20" s="250">
        <v>1.165179</v>
      </c>
      <c r="E20" s="250">
        <v>1.1350210000000001</v>
      </c>
      <c r="F20" s="250">
        <v>1.139961</v>
      </c>
      <c r="G20" s="250">
        <v>1.144754</v>
      </c>
      <c r="H20" s="250">
        <v>1.041215</v>
      </c>
      <c r="I20" s="250">
        <v>1.136123</v>
      </c>
      <c r="J20" s="250">
        <v>0.98220300000000005</v>
      </c>
      <c r="K20" s="250">
        <v>0.964592</v>
      </c>
      <c r="L20" s="250">
        <v>0.91883999999999999</v>
      </c>
      <c r="M20" s="250">
        <v>1.1110070000000001</v>
      </c>
      <c r="N20" s="250">
        <v>1.1191310000000001</v>
      </c>
      <c r="O20" s="250">
        <v>1.130244</v>
      </c>
      <c r="P20" s="250">
        <v>1.112244</v>
      </c>
      <c r="Q20" s="250">
        <v>1.114244</v>
      </c>
      <c r="R20" s="250">
        <v>1.080244</v>
      </c>
      <c r="S20" s="250">
        <v>1.106244</v>
      </c>
      <c r="T20" s="250">
        <v>1.1032439999999999</v>
      </c>
      <c r="U20" s="250">
        <v>1.0812440000000001</v>
      </c>
      <c r="V20" s="250">
        <v>0.972244</v>
      </c>
      <c r="W20" s="250">
        <v>1.0332440000000001</v>
      </c>
      <c r="X20" s="250">
        <v>1.116244</v>
      </c>
      <c r="Y20" s="250">
        <v>1.138244</v>
      </c>
      <c r="Z20" s="250">
        <v>0.88024400000000003</v>
      </c>
      <c r="AA20" s="250">
        <v>1.1822440000000001</v>
      </c>
      <c r="AB20" s="250">
        <v>1.1612439999999999</v>
      </c>
      <c r="AC20" s="250">
        <v>1.1132439999999999</v>
      </c>
      <c r="AD20" s="250">
        <v>1.243244</v>
      </c>
      <c r="AE20" s="250">
        <v>1.1492439999999999</v>
      </c>
      <c r="AF20" s="250">
        <v>1.096244</v>
      </c>
      <c r="AG20" s="250">
        <v>1.169244</v>
      </c>
      <c r="AH20" s="250">
        <v>1.0652440000000001</v>
      </c>
      <c r="AI20" s="250">
        <v>1.0382439999999999</v>
      </c>
      <c r="AJ20" s="250">
        <v>1.193244</v>
      </c>
      <c r="AK20" s="250">
        <v>1.1982440000000001</v>
      </c>
      <c r="AL20" s="250">
        <v>1.237244</v>
      </c>
      <c r="AM20" s="250">
        <v>1.211244</v>
      </c>
      <c r="AN20" s="250">
        <v>1.2802439999999999</v>
      </c>
      <c r="AO20" s="250">
        <v>1.255244</v>
      </c>
      <c r="AP20" s="250">
        <v>1.191244</v>
      </c>
      <c r="AQ20" s="250">
        <v>1.1962440000000001</v>
      </c>
      <c r="AR20" s="250">
        <v>1.1312439999999999</v>
      </c>
      <c r="AS20" s="250">
        <v>1.1252439999999999</v>
      </c>
      <c r="AT20" s="250">
        <v>1.007244</v>
      </c>
      <c r="AU20" s="250">
        <v>1.1882440000000001</v>
      </c>
      <c r="AV20" s="250">
        <v>1.1132439999999999</v>
      </c>
      <c r="AW20" s="250">
        <v>1.191244</v>
      </c>
      <c r="AX20" s="250">
        <v>1.1602440000000001</v>
      </c>
      <c r="AY20" s="250">
        <v>1.211244</v>
      </c>
      <c r="AZ20" s="250">
        <v>1.1982440000000001</v>
      </c>
      <c r="BA20" s="250">
        <v>1.0992440000000001</v>
      </c>
      <c r="BB20" s="250">
        <v>1.2342439999999999</v>
      </c>
      <c r="BC20" s="250">
        <v>1.185244</v>
      </c>
      <c r="BD20" s="250">
        <v>1.2048272149000001</v>
      </c>
      <c r="BE20" s="250">
        <v>1.1853962694</v>
      </c>
      <c r="BF20" s="250">
        <v>1.0692037646999999</v>
      </c>
      <c r="BG20" s="403">
        <v>1.1517930499</v>
      </c>
      <c r="BH20" s="403">
        <v>1.1807050648999999</v>
      </c>
      <c r="BI20" s="403">
        <v>1.1723925441</v>
      </c>
      <c r="BJ20" s="403">
        <v>1.1642995081</v>
      </c>
      <c r="BK20" s="403">
        <v>1.1685560075999999</v>
      </c>
      <c r="BL20" s="403">
        <v>1.1638475926</v>
      </c>
      <c r="BM20" s="403">
        <v>1.1570206551</v>
      </c>
      <c r="BN20" s="403">
        <v>0.94431790632000001</v>
      </c>
      <c r="BO20" s="403">
        <v>0.99567771977999997</v>
      </c>
      <c r="BP20" s="403">
        <v>1.1497434149000001</v>
      </c>
      <c r="BQ20" s="403">
        <v>1.0839139989</v>
      </c>
      <c r="BR20" s="403">
        <v>1.0479500164</v>
      </c>
      <c r="BS20" s="403">
        <v>1.1256510263999999</v>
      </c>
      <c r="BT20" s="403">
        <v>1.1729132683000001</v>
      </c>
      <c r="BU20" s="403">
        <v>1.1810453962</v>
      </c>
      <c r="BV20" s="403">
        <v>1.1856222478</v>
      </c>
    </row>
    <row r="21" spans="1:74" ht="11.1" customHeight="1" x14ac:dyDescent="0.2">
      <c r="C21" s="222"/>
      <c r="D21" s="222"/>
      <c r="E21" s="222"/>
      <c r="F21" s="222"/>
      <c r="G21" s="222"/>
      <c r="H21" s="222"/>
      <c r="I21" s="222"/>
      <c r="J21" s="222"/>
      <c r="K21" s="222"/>
      <c r="L21" s="222"/>
      <c r="M21" s="222"/>
      <c r="N21" s="222"/>
      <c r="O21" s="222"/>
      <c r="P21" s="222"/>
      <c r="Q21" s="222"/>
      <c r="R21" s="222"/>
      <c r="S21" s="222"/>
      <c r="T21" s="222"/>
      <c r="U21" s="222"/>
      <c r="V21" s="222"/>
      <c r="W21" s="222"/>
      <c r="X21" s="222"/>
      <c r="Y21" s="222"/>
      <c r="Z21" s="222"/>
      <c r="AA21" s="222"/>
      <c r="AB21" s="222"/>
      <c r="AC21" s="222"/>
      <c r="AD21" s="222"/>
      <c r="AE21" s="222"/>
      <c r="AF21" s="222"/>
      <c r="AG21" s="222"/>
      <c r="AH21" s="222"/>
      <c r="AI21" s="222"/>
      <c r="AJ21" s="222"/>
      <c r="AK21" s="222"/>
      <c r="AL21" s="222"/>
      <c r="AM21" s="222"/>
      <c r="AN21" s="222"/>
      <c r="AO21" s="222"/>
      <c r="AP21" s="222"/>
      <c r="AQ21" s="222"/>
      <c r="AR21" s="222"/>
      <c r="AS21" s="222"/>
      <c r="AT21" s="222"/>
      <c r="AU21" s="222"/>
      <c r="AV21" s="222"/>
      <c r="AW21" s="222"/>
      <c r="AX21" s="222"/>
      <c r="AY21" s="222"/>
      <c r="AZ21" s="222"/>
      <c r="BA21" s="222"/>
      <c r="BB21" s="222"/>
      <c r="BC21" s="222"/>
      <c r="BD21" s="222"/>
      <c r="BE21" s="222"/>
      <c r="BF21" s="222"/>
      <c r="BG21" s="404"/>
      <c r="BH21" s="404"/>
      <c r="BI21" s="404"/>
      <c r="BJ21" s="404"/>
      <c r="BK21" s="404"/>
      <c r="BL21" s="404"/>
      <c r="BM21" s="404"/>
      <c r="BN21" s="404"/>
      <c r="BO21" s="404"/>
      <c r="BP21" s="404"/>
      <c r="BQ21" s="404"/>
      <c r="BR21" s="404"/>
      <c r="BS21" s="404"/>
      <c r="BT21" s="404"/>
      <c r="BU21" s="404"/>
      <c r="BV21" s="404"/>
    </row>
    <row r="22" spans="1:74" ht="11.1" customHeight="1" x14ac:dyDescent="0.2">
      <c r="A22" s="162" t="s">
        <v>379</v>
      </c>
      <c r="B22" s="172" t="s">
        <v>947</v>
      </c>
      <c r="C22" s="250">
        <v>14.325063</v>
      </c>
      <c r="D22" s="250">
        <v>14.342063</v>
      </c>
      <c r="E22" s="250">
        <v>14.385063000000001</v>
      </c>
      <c r="F22" s="250">
        <v>14.138063000000001</v>
      </c>
      <c r="G22" s="250">
        <v>14.031063</v>
      </c>
      <c r="H22" s="250">
        <v>14.173063000000001</v>
      </c>
      <c r="I22" s="250">
        <v>13.946063000000001</v>
      </c>
      <c r="J22" s="250">
        <v>13.623063</v>
      </c>
      <c r="K22" s="250">
        <v>14.230062999999999</v>
      </c>
      <c r="L22" s="250">
        <v>14.525062999999999</v>
      </c>
      <c r="M22" s="250">
        <v>14.506062999999999</v>
      </c>
      <c r="N22" s="250">
        <v>14.575063</v>
      </c>
      <c r="O22" s="250">
        <v>14.474062999999999</v>
      </c>
      <c r="P22" s="250">
        <v>14.464062999999999</v>
      </c>
      <c r="Q22" s="250">
        <v>14.398063</v>
      </c>
      <c r="R22" s="250">
        <v>14.366063</v>
      </c>
      <c r="S22" s="250">
        <v>14.278063</v>
      </c>
      <c r="T22" s="250">
        <v>14.310063</v>
      </c>
      <c r="U22" s="250">
        <v>14.328063</v>
      </c>
      <c r="V22" s="250">
        <v>14.144062999999999</v>
      </c>
      <c r="W22" s="250">
        <v>14.246062999999999</v>
      </c>
      <c r="X22" s="250">
        <v>14.239063</v>
      </c>
      <c r="Y22" s="250">
        <v>14.375063000000001</v>
      </c>
      <c r="Z22" s="250">
        <v>14.402063</v>
      </c>
      <c r="AA22" s="250">
        <v>14.401063000000001</v>
      </c>
      <c r="AB22" s="250">
        <v>14.437063</v>
      </c>
      <c r="AC22" s="250">
        <v>14.460063</v>
      </c>
      <c r="AD22" s="250">
        <v>14.350063</v>
      </c>
      <c r="AE22" s="250">
        <v>14.374063</v>
      </c>
      <c r="AF22" s="250">
        <v>14.581063</v>
      </c>
      <c r="AG22" s="250">
        <v>14.666062999999999</v>
      </c>
      <c r="AH22" s="250">
        <v>14.452063000000001</v>
      </c>
      <c r="AI22" s="250">
        <v>14.767063</v>
      </c>
      <c r="AJ22" s="250">
        <v>14.818063</v>
      </c>
      <c r="AK22" s="250">
        <v>14.867063</v>
      </c>
      <c r="AL22" s="250">
        <v>14.962063000000001</v>
      </c>
      <c r="AM22" s="250">
        <v>14.897062999999999</v>
      </c>
      <c r="AN22" s="250">
        <v>14.883063</v>
      </c>
      <c r="AO22" s="250">
        <v>14.785062999999999</v>
      </c>
      <c r="AP22" s="250">
        <v>14.387062999999999</v>
      </c>
      <c r="AQ22" s="250">
        <v>14.290063</v>
      </c>
      <c r="AR22" s="250">
        <v>14.595063</v>
      </c>
      <c r="AS22" s="250">
        <v>14.594063</v>
      </c>
      <c r="AT22" s="250">
        <v>14.607063</v>
      </c>
      <c r="AU22" s="250">
        <v>14.541062999999999</v>
      </c>
      <c r="AV22" s="250">
        <v>14.559063</v>
      </c>
      <c r="AW22" s="250">
        <v>14.701063</v>
      </c>
      <c r="AX22" s="250">
        <v>14.728063000000001</v>
      </c>
      <c r="AY22" s="250">
        <v>14.769062999999999</v>
      </c>
      <c r="AZ22" s="250">
        <v>14.764063</v>
      </c>
      <c r="BA22" s="250">
        <v>14.739063</v>
      </c>
      <c r="BB22" s="250">
        <v>14.787063</v>
      </c>
      <c r="BC22" s="250">
        <v>12.521063</v>
      </c>
      <c r="BD22" s="250">
        <v>12.310032677000001</v>
      </c>
      <c r="BE22" s="250">
        <v>12.35136262</v>
      </c>
      <c r="BF22" s="250">
        <v>12.926143507000001</v>
      </c>
      <c r="BG22" s="403">
        <v>12.958067569000001</v>
      </c>
      <c r="BH22" s="403">
        <v>13.046032823999999</v>
      </c>
      <c r="BI22" s="403">
        <v>13.187615374</v>
      </c>
      <c r="BJ22" s="403">
        <v>13.365692062000001</v>
      </c>
      <c r="BK22" s="403">
        <v>13.636439677</v>
      </c>
      <c r="BL22" s="403">
        <v>13.704897421</v>
      </c>
      <c r="BM22" s="403">
        <v>13.857412619</v>
      </c>
      <c r="BN22" s="403">
        <v>14.075286500000001</v>
      </c>
      <c r="BO22" s="403">
        <v>14.152409188</v>
      </c>
      <c r="BP22" s="403">
        <v>14.157007950000001</v>
      </c>
      <c r="BQ22" s="403">
        <v>14.259106694</v>
      </c>
      <c r="BR22" s="403">
        <v>14.267513801</v>
      </c>
      <c r="BS22" s="403">
        <v>14.382873085</v>
      </c>
      <c r="BT22" s="403">
        <v>14.449601391</v>
      </c>
      <c r="BU22" s="403">
        <v>14.440720293</v>
      </c>
      <c r="BV22" s="403">
        <v>14.431227106</v>
      </c>
    </row>
    <row r="23" spans="1:74" ht="11.1" customHeight="1" x14ac:dyDescent="0.2">
      <c r="A23" s="162" t="s">
        <v>261</v>
      </c>
      <c r="B23" s="173" t="s">
        <v>375</v>
      </c>
      <c r="C23" s="250">
        <v>0.85200799999999999</v>
      </c>
      <c r="D23" s="250">
        <v>0.864008</v>
      </c>
      <c r="E23" s="250">
        <v>0.88300800000000002</v>
      </c>
      <c r="F23" s="250">
        <v>0.868008</v>
      </c>
      <c r="G23" s="250">
        <v>0.864008</v>
      </c>
      <c r="H23" s="250">
        <v>0.88400800000000002</v>
      </c>
      <c r="I23" s="250">
        <v>0.88400800000000002</v>
      </c>
      <c r="J23" s="250">
        <v>0.84900799999999998</v>
      </c>
      <c r="K23" s="250">
        <v>0.78200800000000004</v>
      </c>
      <c r="L23" s="250">
        <v>0.83100799999999997</v>
      </c>
      <c r="M23" s="250">
        <v>0.75400800000000001</v>
      </c>
      <c r="N23" s="250">
        <v>0.80600799999999995</v>
      </c>
      <c r="O23" s="250">
        <v>0.82000799999999996</v>
      </c>
      <c r="P23" s="250">
        <v>0.80300800000000006</v>
      </c>
      <c r="Q23" s="250">
        <v>0.76000800000000002</v>
      </c>
      <c r="R23" s="250">
        <v>0.80200800000000005</v>
      </c>
      <c r="S23" s="250">
        <v>0.80200800000000005</v>
      </c>
      <c r="T23" s="250">
        <v>0.81200799999999995</v>
      </c>
      <c r="U23" s="250">
        <v>0.81400799999999995</v>
      </c>
      <c r="V23" s="250">
        <v>0.75700800000000001</v>
      </c>
      <c r="W23" s="250">
        <v>0.81100799999999995</v>
      </c>
      <c r="X23" s="250">
        <v>0.81100799999999995</v>
      </c>
      <c r="Y23" s="250">
        <v>0.79900800000000005</v>
      </c>
      <c r="Z23" s="250">
        <v>0.81800799999999996</v>
      </c>
      <c r="AA23" s="250">
        <v>0.82300799999999996</v>
      </c>
      <c r="AB23" s="250">
        <v>0.80500799999999995</v>
      </c>
      <c r="AC23" s="250">
        <v>0.80200800000000005</v>
      </c>
      <c r="AD23" s="250">
        <v>0.80600799999999995</v>
      </c>
      <c r="AE23" s="250">
        <v>0.82100799999999996</v>
      </c>
      <c r="AF23" s="250">
        <v>0.81200799999999995</v>
      </c>
      <c r="AG23" s="250">
        <v>0.79200800000000005</v>
      </c>
      <c r="AH23" s="250">
        <v>0.79300800000000005</v>
      </c>
      <c r="AI23" s="250">
        <v>0.81500799999999995</v>
      </c>
      <c r="AJ23" s="250">
        <v>0.80300800000000006</v>
      </c>
      <c r="AK23" s="250">
        <v>0.82100799999999996</v>
      </c>
      <c r="AL23" s="250">
        <v>0.80900799999999995</v>
      </c>
      <c r="AM23" s="250">
        <v>0.80100800000000005</v>
      </c>
      <c r="AN23" s="250">
        <v>0.81400799999999995</v>
      </c>
      <c r="AO23" s="250">
        <v>0.80600799999999995</v>
      </c>
      <c r="AP23" s="250">
        <v>0.77000800000000003</v>
      </c>
      <c r="AQ23" s="250">
        <v>0.78500800000000004</v>
      </c>
      <c r="AR23" s="250">
        <v>0.77600800000000003</v>
      </c>
      <c r="AS23" s="250">
        <v>0.78600800000000004</v>
      </c>
      <c r="AT23" s="250">
        <v>0.75800800000000002</v>
      </c>
      <c r="AU23" s="250">
        <v>0.76300800000000002</v>
      </c>
      <c r="AV23" s="250">
        <v>0.72600799999999999</v>
      </c>
      <c r="AW23" s="250">
        <v>0.78400800000000004</v>
      </c>
      <c r="AX23" s="250">
        <v>0.78000800000000003</v>
      </c>
      <c r="AY23" s="250">
        <v>0.77800800000000003</v>
      </c>
      <c r="AZ23" s="250">
        <v>0.75900800000000002</v>
      </c>
      <c r="BA23" s="250">
        <v>0.77200800000000003</v>
      </c>
      <c r="BB23" s="250">
        <v>0.78000800000000003</v>
      </c>
      <c r="BC23" s="250">
        <v>0.65900800000000004</v>
      </c>
      <c r="BD23" s="250">
        <v>0.65287234260000004</v>
      </c>
      <c r="BE23" s="250">
        <v>0.65355982800000001</v>
      </c>
      <c r="BF23" s="250">
        <v>0.68378217593000001</v>
      </c>
      <c r="BG23" s="403">
        <v>0.68569000692000004</v>
      </c>
      <c r="BH23" s="403">
        <v>0.69705706207999996</v>
      </c>
      <c r="BI23" s="403">
        <v>0.70050321802000004</v>
      </c>
      <c r="BJ23" s="403">
        <v>0.70297571177999996</v>
      </c>
      <c r="BK23" s="403">
        <v>0.72123763482000003</v>
      </c>
      <c r="BL23" s="403">
        <v>0.72481432826000003</v>
      </c>
      <c r="BM23" s="403">
        <v>0.72817551287000004</v>
      </c>
      <c r="BN23" s="403">
        <v>0.73359034296000003</v>
      </c>
      <c r="BO23" s="403">
        <v>0.74006419530000001</v>
      </c>
      <c r="BP23" s="403">
        <v>0.74661334906999999</v>
      </c>
      <c r="BQ23" s="403">
        <v>0.74899826281000004</v>
      </c>
      <c r="BR23" s="403">
        <v>0.75248909881000003</v>
      </c>
      <c r="BS23" s="403">
        <v>0.75100638423999999</v>
      </c>
      <c r="BT23" s="403">
        <v>0.75445919143999995</v>
      </c>
      <c r="BU23" s="403">
        <v>0.75303099599000001</v>
      </c>
      <c r="BV23" s="403">
        <v>0.75157762315999999</v>
      </c>
    </row>
    <row r="24" spans="1:74" ht="11.1" customHeight="1" x14ac:dyDescent="0.2">
      <c r="A24" s="162" t="s">
        <v>262</v>
      </c>
      <c r="B24" s="173" t="s">
        <v>376</v>
      </c>
      <c r="C24" s="250">
        <v>1.7610809999999999</v>
      </c>
      <c r="D24" s="250">
        <v>1.7650809999999999</v>
      </c>
      <c r="E24" s="250">
        <v>1.7530809999999999</v>
      </c>
      <c r="F24" s="250">
        <v>1.617081</v>
      </c>
      <c r="G24" s="250">
        <v>1.5700810000000001</v>
      </c>
      <c r="H24" s="250">
        <v>1.706081</v>
      </c>
      <c r="I24" s="250">
        <v>1.702081</v>
      </c>
      <c r="J24" s="250">
        <v>1.3780809999999999</v>
      </c>
      <c r="K24" s="250">
        <v>1.6360809999999999</v>
      </c>
      <c r="L24" s="250">
        <v>1.794081</v>
      </c>
      <c r="M24" s="250">
        <v>1.843081</v>
      </c>
      <c r="N24" s="250">
        <v>1.8580810000000001</v>
      </c>
      <c r="O24" s="250">
        <v>1.8440810000000001</v>
      </c>
      <c r="P24" s="250">
        <v>1.8700810000000001</v>
      </c>
      <c r="Q24" s="250">
        <v>1.9080809999999999</v>
      </c>
      <c r="R24" s="250">
        <v>1.883081</v>
      </c>
      <c r="S24" s="250">
        <v>1.8540810000000001</v>
      </c>
      <c r="T24" s="250">
        <v>1.877081</v>
      </c>
      <c r="U24" s="250">
        <v>1.897081</v>
      </c>
      <c r="V24" s="250">
        <v>1.8110809999999999</v>
      </c>
      <c r="W24" s="250">
        <v>1.8620810000000001</v>
      </c>
      <c r="X24" s="250">
        <v>1.8300810000000001</v>
      </c>
      <c r="Y24" s="250">
        <v>1.964081</v>
      </c>
      <c r="Z24" s="250">
        <v>1.9590810000000001</v>
      </c>
      <c r="AA24" s="250">
        <v>1.950081</v>
      </c>
      <c r="AB24" s="250">
        <v>2.0040809999999998</v>
      </c>
      <c r="AC24" s="250">
        <v>1.9810810000000001</v>
      </c>
      <c r="AD24" s="250">
        <v>1.9320809999999999</v>
      </c>
      <c r="AE24" s="250">
        <v>1.9730810000000001</v>
      </c>
      <c r="AF24" s="250">
        <v>1.9750810000000001</v>
      </c>
      <c r="AG24" s="250">
        <v>1.9950810000000001</v>
      </c>
      <c r="AH24" s="250">
        <v>1.7830809999999999</v>
      </c>
      <c r="AI24" s="250">
        <v>1.9220809999999999</v>
      </c>
      <c r="AJ24" s="250">
        <v>1.9350810000000001</v>
      </c>
      <c r="AK24" s="250">
        <v>2.006081</v>
      </c>
      <c r="AL24" s="250">
        <v>2.0590809999999999</v>
      </c>
      <c r="AM24" s="250">
        <v>2.0480809999999998</v>
      </c>
      <c r="AN24" s="250">
        <v>2.0610810000000002</v>
      </c>
      <c r="AO24" s="250">
        <v>1.9810810000000001</v>
      </c>
      <c r="AP24" s="250">
        <v>1.7370810000000001</v>
      </c>
      <c r="AQ24" s="250">
        <v>1.7810809999999999</v>
      </c>
      <c r="AR24" s="250">
        <v>2.0490810000000002</v>
      </c>
      <c r="AS24" s="250">
        <v>2.0430809999999999</v>
      </c>
      <c r="AT24" s="250">
        <v>1.933081</v>
      </c>
      <c r="AU24" s="250">
        <v>1.899081</v>
      </c>
      <c r="AV24" s="250">
        <v>1.9750810000000001</v>
      </c>
      <c r="AW24" s="250">
        <v>2.0400809999999998</v>
      </c>
      <c r="AX24" s="250">
        <v>2.0520809999999998</v>
      </c>
      <c r="AY24" s="250">
        <v>2.0480809999999998</v>
      </c>
      <c r="AZ24" s="250">
        <v>2.079081</v>
      </c>
      <c r="BA24" s="250">
        <v>2.0440809999999998</v>
      </c>
      <c r="BB24" s="250">
        <v>2.0440809999999998</v>
      </c>
      <c r="BC24" s="250">
        <v>1.841081</v>
      </c>
      <c r="BD24" s="250">
        <v>1.7049343893</v>
      </c>
      <c r="BE24" s="250">
        <v>1.7019760315000001</v>
      </c>
      <c r="BF24" s="250">
        <v>1.7573901166999999</v>
      </c>
      <c r="BG24" s="403">
        <v>1.7736151164</v>
      </c>
      <c r="BH24" s="403">
        <v>1.8357739523000001</v>
      </c>
      <c r="BI24" s="403">
        <v>1.8729797588999999</v>
      </c>
      <c r="BJ24" s="403">
        <v>1.9002048533</v>
      </c>
      <c r="BK24" s="403">
        <v>1.9723257385999999</v>
      </c>
      <c r="BL24" s="403">
        <v>1.9696375098000001</v>
      </c>
      <c r="BM24" s="403">
        <v>1.9668335567999999</v>
      </c>
      <c r="BN24" s="403">
        <v>1.9640563418999999</v>
      </c>
      <c r="BO24" s="403">
        <v>1.8813108283</v>
      </c>
      <c r="BP24" s="403">
        <v>1.8673715295</v>
      </c>
      <c r="BQ24" s="403">
        <v>1.9546434035</v>
      </c>
      <c r="BR24" s="403">
        <v>1.9019241367999999</v>
      </c>
      <c r="BS24" s="403">
        <v>1.9604647326</v>
      </c>
      <c r="BT24" s="403">
        <v>1.9677375384</v>
      </c>
      <c r="BU24" s="403">
        <v>1.9750775217000001</v>
      </c>
      <c r="BV24" s="403">
        <v>1.9824101220000001</v>
      </c>
    </row>
    <row r="25" spans="1:74" ht="11.1" customHeight="1" x14ac:dyDescent="0.2">
      <c r="A25" s="162" t="s">
        <v>263</v>
      </c>
      <c r="B25" s="173" t="s">
        <v>377</v>
      </c>
      <c r="C25" s="250">
        <v>11.277737999999999</v>
      </c>
      <c r="D25" s="250">
        <v>11.277737999999999</v>
      </c>
      <c r="E25" s="250">
        <v>11.314738</v>
      </c>
      <c r="F25" s="250">
        <v>11.217738000000001</v>
      </c>
      <c r="G25" s="250">
        <v>11.182738000000001</v>
      </c>
      <c r="H25" s="250">
        <v>11.170738</v>
      </c>
      <c r="I25" s="250">
        <v>10.946738</v>
      </c>
      <c r="J25" s="250">
        <v>10.983738000000001</v>
      </c>
      <c r="K25" s="250">
        <v>11.371738000000001</v>
      </c>
      <c r="L25" s="250">
        <v>11.468738</v>
      </c>
      <c r="M25" s="250">
        <v>11.474738</v>
      </c>
      <c r="N25" s="250">
        <v>11.472738</v>
      </c>
      <c r="O25" s="250">
        <v>11.375738</v>
      </c>
      <c r="P25" s="250">
        <v>11.355738000000001</v>
      </c>
      <c r="Q25" s="250">
        <v>11.296738</v>
      </c>
      <c r="R25" s="250">
        <v>11.245737999999999</v>
      </c>
      <c r="S25" s="250">
        <v>11.185738000000001</v>
      </c>
      <c r="T25" s="250">
        <v>11.185738000000001</v>
      </c>
      <c r="U25" s="250">
        <v>11.188738000000001</v>
      </c>
      <c r="V25" s="250">
        <v>11.149737999999999</v>
      </c>
      <c r="W25" s="250">
        <v>11.145738</v>
      </c>
      <c r="X25" s="250">
        <v>11.172738000000001</v>
      </c>
      <c r="Y25" s="250">
        <v>11.185738000000001</v>
      </c>
      <c r="Z25" s="250">
        <v>11.195738</v>
      </c>
      <c r="AA25" s="250">
        <v>11.192738</v>
      </c>
      <c r="AB25" s="250">
        <v>11.194737999999999</v>
      </c>
      <c r="AC25" s="250">
        <v>11.208738</v>
      </c>
      <c r="AD25" s="250">
        <v>11.204738000000001</v>
      </c>
      <c r="AE25" s="250">
        <v>11.211738</v>
      </c>
      <c r="AF25" s="250">
        <v>11.305738</v>
      </c>
      <c r="AG25" s="250">
        <v>11.456738</v>
      </c>
      <c r="AH25" s="250">
        <v>11.453738</v>
      </c>
      <c r="AI25" s="250">
        <v>11.606738</v>
      </c>
      <c r="AJ25" s="250">
        <v>11.656738000000001</v>
      </c>
      <c r="AK25" s="250">
        <v>11.614737999999999</v>
      </c>
      <c r="AL25" s="250">
        <v>11.693738</v>
      </c>
      <c r="AM25" s="250">
        <v>11.615738</v>
      </c>
      <c r="AN25" s="250">
        <v>11.573738000000001</v>
      </c>
      <c r="AO25" s="250">
        <v>11.541738</v>
      </c>
      <c r="AP25" s="250">
        <v>11.477738</v>
      </c>
      <c r="AQ25" s="250">
        <v>11.351737999999999</v>
      </c>
      <c r="AR25" s="250">
        <v>11.398738</v>
      </c>
      <c r="AS25" s="250">
        <v>11.393738000000001</v>
      </c>
      <c r="AT25" s="250">
        <v>11.542738</v>
      </c>
      <c r="AU25" s="250">
        <v>11.502738000000001</v>
      </c>
      <c r="AV25" s="250">
        <v>11.478738</v>
      </c>
      <c r="AW25" s="250">
        <v>11.495737999999999</v>
      </c>
      <c r="AX25" s="250">
        <v>11.513738</v>
      </c>
      <c r="AY25" s="250">
        <v>11.558738</v>
      </c>
      <c r="AZ25" s="250">
        <v>11.539738</v>
      </c>
      <c r="BA25" s="250">
        <v>11.536738</v>
      </c>
      <c r="BB25" s="250">
        <v>11.577738</v>
      </c>
      <c r="BC25" s="250">
        <v>9.6357379999999999</v>
      </c>
      <c r="BD25" s="250">
        <v>9.5626083870999992</v>
      </c>
      <c r="BE25" s="250">
        <v>9.6054300507000008</v>
      </c>
      <c r="BF25" s="250">
        <v>10.095489511</v>
      </c>
      <c r="BG25" s="403">
        <v>10.109520336999999</v>
      </c>
      <c r="BH25" s="403">
        <v>10.126215973000001</v>
      </c>
      <c r="BI25" s="403">
        <v>10.225862641000001</v>
      </c>
      <c r="BJ25" s="403">
        <v>10.375261792</v>
      </c>
      <c r="BK25" s="403">
        <v>10.575927084</v>
      </c>
      <c r="BL25" s="403">
        <v>10.642138201</v>
      </c>
      <c r="BM25" s="403">
        <v>10.796517959999999</v>
      </c>
      <c r="BN25" s="403">
        <v>11.012001262</v>
      </c>
      <c r="BO25" s="403">
        <v>11.1637041</v>
      </c>
      <c r="BP25" s="403">
        <v>11.176058136</v>
      </c>
      <c r="BQ25" s="403">
        <v>11.187983694</v>
      </c>
      <c r="BR25" s="403">
        <v>11.246611984999999</v>
      </c>
      <c r="BS25" s="403">
        <v>11.305330440000001</v>
      </c>
      <c r="BT25" s="403">
        <v>11.363643446999999</v>
      </c>
      <c r="BU25" s="403">
        <v>11.347555952</v>
      </c>
      <c r="BV25" s="403">
        <v>11.333275591</v>
      </c>
    </row>
    <row r="26" spans="1:74" ht="11.1" customHeight="1" x14ac:dyDescent="0.2">
      <c r="A26" s="162" t="s">
        <v>882</v>
      </c>
      <c r="B26" s="173" t="s">
        <v>883</v>
      </c>
      <c r="C26" s="250">
        <v>0.270648</v>
      </c>
      <c r="D26" s="250">
        <v>0.270648</v>
      </c>
      <c r="E26" s="250">
        <v>0.270648</v>
      </c>
      <c r="F26" s="250">
        <v>0.270648</v>
      </c>
      <c r="G26" s="250">
        <v>0.25064799999999998</v>
      </c>
      <c r="H26" s="250">
        <v>0.25064799999999998</v>
      </c>
      <c r="I26" s="250">
        <v>0.25064799999999998</v>
      </c>
      <c r="J26" s="250">
        <v>0.25064799999999998</v>
      </c>
      <c r="K26" s="250">
        <v>0.28064800000000001</v>
      </c>
      <c r="L26" s="250">
        <v>0.275648</v>
      </c>
      <c r="M26" s="250">
        <v>0.275648</v>
      </c>
      <c r="N26" s="250">
        <v>0.28064800000000001</v>
      </c>
      <c r="O26" s="250">
        <v>0.28064800000000001</v>
      </c>
      <c r="P26" s="250">
        <v>0.28064800000000001</v>
      </c>
      <c r="Q26" s="250">
        <v>0.28064800000000001</v>
      </c>
      <c r="R26" s="250">
        <v>0.28064800000000001</v>
      </c>
      <c r="S26" s="250">
        <v>0.28064800000000001</v>
      </c>
      <c r="T26" s="250">
        <v>0.28064800000000001</v>
      </c>
      <c r="U26" s="250">
        <v>0.28064800000000001</v>
      </c>
      <c r="V26" s="250">
        <v>0.28064800000000001</v>
      </c>
      <c r="W26" s="250">
        <v>0.28064800000000001</v>
      </c>
      <c r="X26" s="250">
        <v>0.28064800000000001</v>
      </c>
      <c r="Y26" s="250">
        <v>0.28064800000000001</v>
      </c>
      <c r="Z26" s="250">
        <v>0.28064800000000001</v>
      </c>
      <c r="AA26" s="250">
        <v>0.28864800000000002</v>
      </c>
      <c r="AB26" s="250">
        <v>0.28664800000000001</v>
      </c>
      <c r="AC26" s="250">
        <v>0.32264799999999999</v>
      </c>
      <c r="AD26" s="250">
        <v>0.26164799999999999</v>
      </c>
      <c r="AE26" s="250">
        <v>0.22264800000000001</v>
      </c>
      <c r="AF26" s="250">
        <v>0.34264800000000001</v>
      </c>
      <c r="AG26" s="250">
        <v>0.27664800000000001</v>
      </c>
      <c r="AH26" s="250">
        <v>0.27664800000000001</v>
      </c>
      <c r="AI26" s="250">
        <v>0.27664800000000001</v>
      </c>
      <c r="AJ26" s="250">
        <v>0.27664800000000001</v>
      </c>
      <c r="AK26" s="250">
        <v>0.27664800000000001</v>
      </c>
      <c r="AL26" s="250">
        <v>0.25164799999999998</v>
      </c>
      <c r="AM26" s="250">
        <v>0.28264800000000001</v>
      </c>
      <c r="AN26" s="250">
        <v>0.28264800000000001</v>
      </c>
      <c r="AO26" s="250">
        <v>0.30464799999999997</v>
      </c>
      <c r="AP26" s="250">
        <v>0.25064799999999998</v>
      </c>
      <c r="AQ26" s="250">
        <v>0.22164800000000001</v>
      </c>
      <c r="AR26" s="250">
        <v>0.21964800000000001</v>
      </c>
      <c r="AS26" s="250">
        <v>0.22164800000000001</v>
      </c>
      <c r="AT26" s="250">
        <v>0.22364800000000001</v>
      </c>
      <c r="AU26" s="250">
        <v>0.22664799999999999</v>
      </c>
      <c r="AV26" s="250">
        <v>0.22864799999999999</v>
      </c>
      <c r="AW26" s="250">
        <v>0.23064799999999999</v>
      </c>
      <c r="AX26" s="250">
        <v>0.23264799999999999</v>
      </c>
      <c r="AY26" s="250">
        <v>0.235648</v>
      </c>
      <c r="AZ26" s="250">
        <v>0.235648</v>
      </c>
      <c r="BA26" s="250">
        <v>0.235648</v>
      </c>
      <c r="BB26" s="250">
        <v>0.235648</v>
      </c>
      <c r="BC26" s="250">
        <v>0.235648</v>
      </c>
      <c r="BD26" s="250">
        <v>0.2515893327</v>
      </c>
      <c r="BE26" s="250">
        <v>0.25169863024</v>
      </c>
      <c r="BF26" s="250">
        <v>0.25173560722999999</v>
      </c>
      <c r="BG26" s="403">
        <v>0.25181994391000001</v>
      </c>
      <c r="BH26" s="403">
        <v>0.25181247673000001</v>
      </c>
      <c r="BI26" s="403">
        <v>0.25184721307000002</v>
      </c>
      <c r="BJ26" s="403">
        <v>0.25189142815999999</v>
      </c>
      <c r="BK26" s="403">
        <v>0.23879528144000001</v>
      </c>
      <c r="BL26" s="403">
        <v>0.23891542785</v>
      </c>
      <c r="BM26" s="403">
        <v>0.23888536158000001</v>
      </c>
      <c r="BN26" s="403">
        <v>0.2388738135</v>
      </c>
      <c r="BO26" s="403">
        <v>0.23888671135</v>
      </c>
      <c r="BP26" s="403">
        <v>0.23894188262999999</v>
      </c>
      <c r="BQ26" s="403">
        <v>0.23894934219</v>
      </c>
      <c r="BR26" s="403">
        <v>0.23895435488</v>
      </c>
      <c r="BS26" s="403">
        <v>0.23896940759999999</v>
      </c>
      <c r="BT26" s="403">
        <v>0.23893931288</v>
      </c>
      <c r="BU26" s="403">
        <v>0.23897597348999999</v>
      </c>
      <c r="BV26" s="403">
        <v>0.23899115802000001</v>
      </c>
    </row>
    <row r="27" spans="1:74" ht="11.1" customHeight="1" x14ac:dyDescent="0.2">
      <c r="A27" s="162" t="s">
        <v>378</v>
      </c>
      <c r="B27" s="173" t="s">
        <v>948</v>
      </c>
      <c r="C27" s="250">
        <v>0.16358800000000001</v>
      </c>
      <c r="D27" s="250">
        <v>0.16458800000000001</v>
      </c>
      <c r="E27" s="250">
        <v>0.16358800000000001</v>
      </c>
      <c r="F27" s="250">
        <v>0.16458800000000001</v>
      </c>
      <c r="G27" s="250">
        <v>0.16358800000000001</v>
      </c>
      <c r="H27" s="250">
        <v>0.16158800000000001</v>
      </c>
      <c r="I27" s="250">
        <v>0.16258800000000001</v>
      </c>
      <c r="J27" s="250">
        <v>0.16158800000000001</v>
      </c>
      <c r="K27" s="250">
        <v>0.15958800000000001</v>
      </c>
      <c r="L27" s="250">
        <v>0.155588</v>
      </c>
      <c r="M27" s="250">
        <v>0.15858800000000001</v>
      </c>
      <c r="N27" s="250">
        <v>0.15758800000000001</v>
      </c>
      <c r="O27" s="250">
        <v>0.153588</v>
      </c>
      <c r="P27" s="250">
        <v>0.154588</v>
      </c>
      <c r="Q27" s="250">
        <v>0.152588</v>
      </c>
      <c r="R27" s="250">
        <v>0.154588</v>
      </c>
      <c r="S27" s="250">
        <v>0.155588</v>
      </c>
      <c r="T27" s="250">
        <v>0.154588</v>
      </c>
      <c r="U27" s="250">
        <v>0.147588</v>
      </c>
      <c r="V27" s="250">
        <v>0.145588</v>
      </c>
      <c r="W27" s="250">
        <v>0.146588</v>
      </c>
      <c r="X27" s="250">
        <v>0.14458799999999999</v>
      </c>
      <c r="Y27" s="250">
        <v>0.145588</v>
      </c>
      <c r="Z27" s="250">
        <v>0.148588</v>
      </c>
      <c r="AA27" s="250">
        <v>0.146588</v>
      </c>
      <c r="AB27" s="250">
        <v>0.146588</v>
      </c>
      <c r="AC27" s="250">
        <v>0.145588</v>
      </c>
      <c r="AD27" s="250">
        <v>0.145588</v>
      </c>
      <c r="AE27" s="250">
        <v>0.145588</v>
      </c>
      <c r="AF27" s="250">
        <v>0.145588</v>
      </c>
      <c r="AG27" s="250">
        <v>0.145588</v>
      </c>
      <c r="AH27" s="250">
        <v>0.145588</v>
      </c>
      <c r="AI27" s="250">
        <v>0.146588</v>
      </c>
      <c r="AJ27" s="250">
        <v>0.146588</v>
      </c>
      <c r="AK27" s="250">
        <v>0.148588</v>
      </c>
      <c r="AL27" s="250">
        <v>0.148588</v>
      </c>
      <c r="AM27" s="250">
        <v>0.149588</v>
      </c>
      <c r="AN27" s="250">
        <v>0.151588</v>
      </c>
      <c r="AO27" s="250">
        <v>0.151588</v>
      </c>
      <c r="AP27" s="250">
        <v>0.151588</v>
      </c>
      <c r="AQ27" s="250">
        <v>0.150588</v>
      </c>
      <c r="AR27" s="250">
        <v>0.151588</v>
      </c>
      <c r="AS27" s="250">
        <v>0.149588</v>
      </c>
      <c r="AT27" s="250">
        <v>0.149588</v>
      </c>
      <c r="AU27" s="250">
        <v>0.149588</v>
      </c>
      <c r="AV27" s="250">
        <v>0.150588</v>
      </c>
      <c r="AW27" s="250">
        <v>0.150588</v>
      </c>
      <c r="AX27" s="250">
        <v>0.149588</v>
      </c>
      <c r="AY27" s="250">
        <v>0.148588</v>
      </c>
      <c r="AZ27" s="250">
        <v>0.150588</v>
      </c>
      <c r="BA27" s="250">
        <v>0.150588</v>
      </c>
      <c r="BB27" s="250">
        <v>0.149588</v>
      </c>
      <c r="BC27" s="250">
        <v>0.149588</v>
      </c>
      <c r="BD27" s="250">
        <v>0.13802822567</v>
      </c>
      <c r="BE27" s="250">
        <v>0.13869807912000001</v>
      </c>
      <c r="BF27" s="250">
        <v>0.13774609604999999</v>
      </c>
      <c r="BG27" s="403">
        <v>0.13742216413</v>
      </c>
      <c r="BH27" s="403">
        <v>0.13517335941</v>
      </c>
      <c r="BI27" s="403">
        <v>0.13642254324</v>
      </c>
      <c r="BJ27" s="403">
        <v>0.13535827733</v>
      </c>
      <c r="BK27" s="403">
        <v>0.12815393819000001</v>
      </c>
      <c r="BL27" s="403">
        <v>0.12939195442000001</v>
      </c>
      <c r="BM27" s="403">
        <v>0.12700022696999999</v>
      </c>
      <c r="BN27" s="403">
        <v>0.12676474007999999</v>
      </c>
      <c r="BO27" s="403">
        <v>0.12844335307999999</v>
      </c>
      <c r="BP27" s="403">
        <v>0.12802305264</v>
      </c>
      <c r="BQ27" s="403">
        <v>0.12853199069999999</v>
      </c>
      <c r="BR27" s="403">
        <v>0.12753422586999999</v>
      </c>
      <c r="BS27" s="403">
        <v>0.12710212125000001</v>
      </c>
      <c r="BT27" s="403">
        <v>0.12482190177999999</v>
      </c>
      <c r="BU27" s="403">
        <v>0.12607984929999999</v>
      </c>
      <c r="BV27" s="403">
        <v>0.12497261205</v>
      </c>
    </row>
    <row r="28" spans="1:74" ht="11.1" customHeight="1" x14ac:dyDescent="0.2">
      <c r="C28" s="222"/>
      <c r="D28" s="222"/>
      <c r="E28" s="222"/>
      <c r="F28" s="222"/>
      <c r="G28" s="222"/>
      <c r="H28" s="222"/>
      <c r="I28" s="222"/>
      <c r="J28" s="222"/>
      <c r="K28" s="222"/>
      <c r="L28" s="222"/>
      <c r="M28" s="222"/>
      <c r="N28" s="222"/>
      <c r="O28" s="222"/>
      <c r="P28" s="222"/>
      <c r="Q28" s="222"/>
      <c r="R28" s="222"/>
      <c r="S28" s="222"/>
      <c r="T28" s="222"/>
      <c r="U28" s="222"/>
      <c r="V28" s="222"/>
      <c r="W28" s="222"/>
      <c r="X28" s="222"/>
      <c r="Y28" s="222"/>
      <c r="Z28" s="222"/>
      <c r="AA28" s="222"/>
      <c r="AB28" s="222"/>
      <c r="AC28" s="222"/>
      <c r="AD28" s="222"/>
      <c r="AE28" s="222"/>
      <c r="AF28" s="222"/>
      <c r="AG28" s="222"/>
      <c r="AH28" s="222"/>
      <c r="AI28" s="222"/>
      <c r="AJ28" s="222"/>
      <c r="AK28" s="222"/>
      <c r="AL28" s="222"/>
      <c r="AM28" s="222"/>
      <c r="AN28" s="222"/>
      <c r="AO28" s="222"/>
      <c r="AP28" s="222"/>
      <c r="AQ28" s="222"/>
      <c r="AR28" s="222"/>
      <c r="AS28" s="222"/>
      <c r="AT28" s="222"/>
      <c r="AU28" s="222"/>
      <c r="AV28" s="222"/>
      <c r="AW28" s="222"/>
      <c r="AX28" s="222"/>
      <c r="AY28" s="222"/>
      <c r="AZ28" s="222"/>
      <c r="BA28" s="222"/>
      <c r="BB28" s="222"/>
      <c r="BC28" s="222"/>
      <c r="BD28" s="222"/>
      <c r="BE28" s="222"/>
      <c r="BF28" s="222"/>
      <c r="BG28" s="404"/>
      <c r="BH28" s="404"/>
      <c r="BI28" s="404"/>
      <c r="BJ28" s="404"/>
      <c r="BK28" s="404"/>
      <c r="BL28" s="404"/>
      <c r="BM28" s="404"/>
      <c r="BN28" s="404"/>
      <c r="BO28" s="404"/>
      <c r="BP28" s="404"/>
      <c r="BQ28" s="404"/>
      <c r="BR28" s="404"/>
      <c r="BS28" s="404"/>
      <c r="BT28" s="404"/>
      <c r="BU28" s="404"/>
      <c r="BV28" s="404"/>
    </row>
    <row r="29" spans="1:74" ht="11.1" customHeight="1" x14ac:dyDescent="0.2">
      <c r="A29" s="162" t="s">
        <v>381</v>
      </c>
      <c r="B29" s="172" t="s">
        <v>391</v>
      </c>
      <c r="C29" s="250">
        <v>3.097378</v>
      </c>
      <c r="D29" s="250">
        <v>3.1239699999999999</v>
      </c>
      <c r="E29" s="250">
        <v>3.10697</v>
      </c>
      <c r="F29" s="250">
        <v>3.1249699999999998</v>
      </c>
      <c r="G29" s="250">
        <v>3.13097</v>
      </c>
      <c r="H29" s="250">
        <v>3.1439699999999999</v>
      </c>
      <c r="I29" s="250">
        <v>3.14697</v>
      </c>
      <c r="J29" s="250">
        <v>3.1539700000000002</v>
      </c>
      <c r="K29" s="250">
        <v>3.0839699999999999</v>
      </c>
      <c r="L29" s="250">
        <v>3.1129699999999998</v>
      </c>
      <c r="M29" s="250">
        <v>3.1359699999999999</v>
      </c>
      <c r="N29" s="250">
        <v>3.1159699999999999</v>
      </c>
      <c r="O29" s="250">
        <v>3.0613730000000001</v>
      </c>
      <c r="P29" s="250">
        <v>3.0453730000000001</v>
      </c>
      <c r="Q29" s="250">
        <v>3.0433729999999999</v>
      </c>
      <c r="R29" s="250">
        <v>3.0633729999999999</v>
      </c>
      <c r="S29" s="250">
        <v>3.066373</v>
      </c>
      <c r="T29" s="250">
        <v>3.0643729999999998</v>
      </c>
      <c r="U29" s="250">
        <v>3.0773730000000001</v>
      </c>
      <c r="V29" s="250">
        <v>3.0753729999999999</v>
      </c>
      <c r="W29" s="250">
        <v>3.082373</v>
      </c>
      <c r="X29" s="250">
        <v>3.078373</v>
      </c>
      <c r="Y29" s="250">
        <v>3.0643729999999998</v>
      </c>
      <c r="Z29" s="250">
        <v>3.0963729999999998</v>
      </c>
      <c r="AA29" s="250">
        <v>3.046373</v>
      </c>
      <c r="AB29" s="250">
        <v>3.0533730000000001</v>
      </c>
      <c r="AC29" s="250">
        <v>3.0633729999999999</v>
      </c>
      <c r="AD29" s="250">
        <v>3.0533730000000001</v>
      </c>
      <c r="AE29" s="250">
        <v>3.0553729999999999</v>
      </c>
      <c r="AF29" s="250">
        <v>3.070373</v>
      </c>
      <c r="AG29" s="250">
        <v>3.0723729999999998</v>
      </c>
      <c r="AH29" s="250">
        <v>3.0813730000000001</v>
      </c>
      <c r="AI29" s="250">
        <v>3.066373</v>
      </c>
      <c r="AJ29" s="250">
        <v>3.0723729999999998</v>
      </c>
      <c r="AK29" s="250">
        <v>3.078373</v>
      </c>
      <c r="AL29" s="250">
        <v>3.0683729999999998</v>
      </c>
      <c r="AM29" s="250">
        <v>3.1363729999999999</v>
      </c>
      <c r="AN29" s="250">
        <v>3.1373730000000002</v>
      </c>
      <c r="AO29" s="250">
        <v>3.1363729999999999</v>
      </c>
      <c r="AP29" s="250">
        <v>3.1363729999999999</v>
      </c>
      <c r="AQ29" s="250">
        <v>3.1363729999999999</v>
      </c>
      <c r="AR29" s="250">
        <v>3.1373730000000002</v>
      </c>
      <c r="AS29" s="250">
        <v>3.1373730000000002</v>
      </c>
      <c r="AT29" s="250">
        <v>3.1363729999999999</v>
      </c>
      <c r="AU29" s="250">
        <v>3.139373</v>
      </c>
      <c r="AV29" s="250">
        <v>3.151373</v>
      </c>
      <c r="AW29" s="250">
        <v>3.1373730000000002</v>
      </c>
      <c r="AX29" s="250">
        <v>3.1363729999999999</v>
      </c>
      <c r="AY29" s="250">
        <v>3.1962809999999999</v>
      </c>
      <c r="AZ29" s="250">
        <v>3.1922809999999999</v>
      </c>
      <c r="BA29" s="250">
        <v>3.3152810000000001</v>
      </c>
      <c r="BB29" s="250">
        <v>3.3452809999999999</v>
      </c>
      <c r="BC29" s="250">
        <v>3.0752809999999999</v>
      </c>
      <c r="BD29" s="250">
        <v>3.1328883870999999</v>
      </c>
      <c r="BE29" s="250">
        <v>3.1323400181999999</v>
      </c>
      <c r="BF29" s="250">
        <v>3.1307546204999999</v>
      </c>
      <c r="BG29" s="403">
        <v>3.1511760357999998</v>
      </c>
      <c r="BH29" s="403">
        <v>3.1709331569999999</v>
      </c>
      <c r="BI29" s="403">
        <v>3.1812573255999999</v>
      </c>
      <c r="BJ29" s="403">
        <v>3.1914350031000001</v>
      </c>
      <c r="BK29" s="403">
        <v>3.2834994075999999</v>
      </c>
      <c r="BL29" s="403">
        <v>3.2835478922000001</v>
      </c>
      <c r="BM29" s="403">
        <v>3.2831802636999998</v>
      </c>
      <c r="BN29" s="403">
        <v>3.2824866601</v>
      </c>
      <c r="BO29" s="403">
        <v>3.2822197117999998</v>
      </c>
      <c r="BP29" s="403">
        <v>3.2825025867000002</v>
      </c>
      <c r="BQ29" s="403">
        <v>3.3024198117000001</v>
      </c>
      <c r="BR29" s="403">
        <v>3.3026632353999998</v>
      </c>
      <c r="BS29" s="403">
        <v>3.3027195486999998</v>
      </c>
      <c r="BT29" s="403">
        <v>3.3023541242999999</v>
      </c>
      <c r="BU29" s="403">
        <v>3.3026834134</v>
      </c>
      <c r="BV29" s="403">
        <v>3.3027053755</v>
      </c>
    </row>
    <row r="30" spans="1:74" ht="11.1" customHeight="1" x14ac:dyDescent="0.2">
      <c r="A30" s="162" t="s">
        <v>264</v>
      </c>
      <c r="B30" s="173" t="s">
        <v>380</v>
      </c>
      <c r="C30" s="250">
        <v>1.0150790000000001</v>
      </c>
      <c r="D30" s="250">
        <v>1.021671</v>
      </c>
      <c r="E30" s="250">
        <v>0.98467099999999996</v>
      </c>
      <c r="F30" s="250">
        <v>1.0026710000000001</v>
      </c>
      <c r="G30" s="250">
        <v>1.0086710000000001</v>
      </c>
      <c r="H30" s="250">
        <v>1.021671</v>
      </c>
      <c r="I30" s="250">
        <v>1.019671</v>
      </c>
      <c r="J30" s="250">
        <v>1.021671</v>
      </c>
      <c r="K30" s="250">
        <v>1.011671</v>
      </c>
      <c r="L30" s="250">
        <v>1.0206710000000001</v>
      </c>
      <c r="M30" s="250">
        <v>1.023671</v>
      </c>
      <c r="N30" s="250">
        <v>1.003671</v>
      </c>
      <c r="O30" s="250">
        <v>0.97567099999999995</v>
      </c>
      <c r="P30" s="250">
        <v>0.97967099999999996</v>
      </c>
      <c r="Q30" s="250">
        <v>0.97767099999999996</v>
      </c>
      <c r="R30" s="250">
        <v>0.97767099999999996</v>
      </c>
      <c r="S30" s="250">
        <v>0.98067099999999996</v>
      </c>
      <c r="T30" s="250">
        <v>0.97867099999999996</v>
      </c>
      <c r="U30" s="250">
        <v>0.97667099999999996</v>
      </c>
      <c r="V30" s="250">
        <v>0.97767099999999996</v>
      </c>
      <c r="W30" s="250">
        <v>0.98467099999999996</v>
      </c>
      <c r="X30" s="250">
        <v>0.98567099999999996</v>
      </c>
      <c r="Y30" s="250">
        <v>0.97167099999999995</v>
      </c>
      <c r="Z30" s="250">
        <v>0.99367099999999997</v>
      </c>
      <c r="AA30" s="250">
        <v>0.97667099999999996</v>
      </c>
      <c r="AB30" s="250">
        <v>0.97667099999999996</v>
      </c>
      <c r="AC30" s="250">
        <v>0.97667099999999996</v>
      </c>
      <c r="AD30" s="250">
        <v>0.97667099999999996</v>
      </c>
      <c r="AE30" s="250">
        <v>0.97867099999999996</v>
      </c>
      <c r="AF30" s="250">
        <v>0.98367099999999996</v>
      </c>
      <c r="AG30" s="250">
        <v>0.98567099999999996</v>
      </c>
      <c r="AH30" s="250">
        <v>0.98467099999999996</v>
      </c>
      <c r="AI30" s="250">
        <v>0.99967099999999998</v>
      </c>
      <c r="AJ30" s="250">
        <v>1.005671</v>
      </c>
      <c r="AK30" s="250">
        <v>1.011671</v>
      </c>
      <c r="AL30" s="250">
        <v>1.001671</v>
      </c>
      <c r="AM30" s="250">
        <v>0.97967099999999996</v>
      </c>
      <c r="AN30" s="250">
        <v>0.98067099999999996</v>
      </c>
      <c r="AO30" s="250">
        <v>0.97967099999999996</v>
      </c>
      <c r="AP30" s="250">
        <v>0.97967099999999996</v>
      </c>
      <c r="AQ30" s="250">
        <v>0.97967099999999996</v>
      </c>
      <c r="AR30" s="250">
        <v>0.98067099999999996</v>
      </c>
      <c r="AS30" s="250">
        <v>0.98067099999999996</v>
      </c>
      <c r="AT30" s="250">
        <v>0.97967099999999996</v>
      </c>
      <c r="AU30" s="250">
        <v>0.98267099999999996</v>
      </c>
      <c r="AV30" s="250">
        <v>0.99467099999999997</v>
      </c>
      <c r="AW30" s="250">
        <v>0.98067099999999996</v>
      </c>
      <c r="AX30" s="250">
        <v>0.97967099999999996</v>
      </c>
      <c r="AY30" s="250">
        <v>0.96867099999999995</v>
      </c>
      <c r="AZ30" s="250">
        <v>0.96467099999999995</v>
      </c>
      <c r="BA30" s="250">
        <v>1.0876710000000001</v>
      </c>
      <c r="BB30" s="250">
        <v>1.1176710000000001</v>
      </c>
      <c r="BC30" s="250">
        <v>0.84767099999999995</v>
      </c>
      <c r="BD30" s="250">
        <v>0.90030093748999995</v>
      </c>
      <c r="BE30" s="250">
        <v>0.89933193876999995</v>
      </c>
      <c r="BF30" s="250">
        <v>0.89732169104000004</v>
      </c>
      <c r="BG30" s="403">
        <v>0.91739890563000004</v>
      </c>
      <c r="BH30" s="403">
        <v>0.93737807676999996</v>
      </c>
      <c r="BI30" s="403">
        <v>0.94737708884000005</v>
      </c>
      <c r="BJ30" s="403">
        <v>0.95748962777000002</v>
      </c>
      <c r="BK30" s="403">
        <v>1.0074831376</v>
      </c>
      <c r="BL30" s="403">
        <v>1.0074539991</v>
      </c>
      <c r="BM30" s="403">
        <v>1.0074174933</v>
      </c>
      <c r="BN30" s="403">
        <v>1.0073595824999999</v>
      </c>
      <c r="BO30" s="403">
        <v>1.0073525258</v>
      </c>
      <c r="BP30" s="403">
        <v>1.007347947</v>
      </c>
      <c r="BQ30" s="403">
        <v>1.0273350427000001</v>
      </c>
      <c r="BR30" s="403">
        <v>1.0273127888</v>
      </c>
      <c r="BS30" s="403">
        <v>1.0273607998000001</v>
      </c>
      <c r="BT30" s="403">
        <v>1.0273320399999999</v>
      </c>
      <c r="BU30" s="403">
        <v>1.0273342724000001</v>
      </c>
      <c r="BV30" s="403">
        <v>1.0274357614</v>
      </c>
    </row>
    <row r="31" spans="1:74" ht="11.1" customHeight="1" x14ac:dyDescent="0.2">
      <c r="A31" s="162" t="s">
        <v>1156</v>
      </c>
      <c r="B31" s="173" t="s">
        <v>1155</v>
      </c>
      <c r="C31" s="250">
        <v>1.963805</v>
      </c>
      <c r="D31" s="250">
        <v>1.983805</v>
      </c>
      <c r="E31" s="250">
        <v>2.0038049999999998</v>
      </c>
      <c r="F31" s="250">
        <v>2.0038049999999998</v>
      </c>
      <c r="G31" s="250">
        <v>2.0038049999999998</v>
      </c>
      <c r="H31" s="250">
        <v>2.0038049999999998</v>
      </c>
      <c r="I31" s="250">
        <v>2.0038049999999998</v>
      </c>
      <c r="J31" s="250">
        <v>2.0038049999999998</v>
      </c>
      <c r="K31" s="250">
        <v>1.943805</v>
      </c>
      <c r="L31" s="250">
        <v>1.963805</v>
      </c>
      <c r="M31" s="250">
        <v>1.983805</v>
      </c>
      <c r="N31" s="250">
        <v>1.983805</v>
      </c>
      <c r="O31" s="250">
        <v>1.9688049999999999</v>
      </c>
      <c r="P31" s="250">
        <v>1.9488049999999999</v>
      </c>
      <c r="Q31" s="250">
        <v>1.9488049999999999</v>
      </c>
      <c r="R31" s="250">
        <v>1.9688049999999999</v>
      </c>
      <c r="S31" s="250">
        <v>1.9688049999999999</v>
      </c>
      <c r="T31" s="250">
        <v>1.9688049999999999</v>
      </c>
      <c r="U31" s="250">
        <v>1.983805</v>
      </c>
      <c r="V31" s="250">
        <v>1.983805</v>
      </c>
      <c r="W31" s="250">
        <v>1.983805</v>
      </c>
      <c r="X31" s="250">
        <v>1.9788049999999999</v>
      </c>
      <c r="Y31" s="250">
        <v>1.9788049999999999</v>
      </c>
      <c r="Z31" s="250">
        <v>1.9888049999999999</v>
      </c>
      <c r="AA31" s="250">
        <v>1.9388049999999999</v>
      </c>
      <c r="AB31" s="250">
        <v>1.9388049999999999</v>
      </c>
      <c r="AC31" s="250">
        <v>1.9488049999999999</v>
      </c>
      <c r="AD31" s="250">
        <v>1.9388049999999999</v>
      </c>
      <c r="AE31" s="250">
        <v>1.9388049999999999</v>
      </c>
      <c r="AF31" s="250">
        <v>1.9488049999999999</v>
      </c>
      <c r="AG31" s="250">
        <v>1.9488049999999999</v>
      </c>
      <c r="AH31" s="250">
        <v>1.9588049999999999</v>
      </c>
      <c r="AI31" s="250">
        <v>1.9288050000000001</v>
      </c>
      <c r="AJ31" s="250">
        <v>1.9288050000000001</v>
      </c>
      <c r="AK31" s="250">
        <v>1.9288050000000001</v>
      </c>
      <c r="AL31" s="250">
        <v>1.9288050000000001</v>
      </c>
      <c r="AM31" s="250">
        <v>1.9988049999999999</v>
      </c>
      <c r="AN31" s="250">
        <v>1.9988049999999999</v>
      </c>
      <c r="AO31" s="250">
        <v>1.9988049999999999</v>
      </c>
      <c r="AP31" s="250">
        <v>1.9988049999999999</v>
      </c>
      <c r="AQ31" s="250">
        <v>1.9988049999999999</v>
      </c>
      <c r="AR31" s="250">
        <v>1.9988049999999999</v>
      </c>
      <c r="AS31" s="250">
        <v>1.9988049999999999</v>
      </c>
      <c r="AT31" s="250">
        <v>1.9988049999999999</v>
      </c>
      <c r="AU31" s="250">
        <v>1.9988049999999999</v>
      </c>
      <c r="AV31" s="250">
        <v>1.9988049999999999</v>
      </c>
      <c r="AW31" s="250">
        <v>1.9988049999999999</v>
      </c>
      <c r="AX31" s="250">
        <v>1.9988049999999999</v>
      </c>
      <c r="AY31" s="250">
        <v>2.058805</v>
      </c>
      <c r="AZ31" s="250">
        <v>2.058805</v>
      </c>
      <c r="BA31" s="250">
        <v>2.058805</v>
      </c>
      <c r="BB31" s="250">
        <v>2.058805</v>
      </c>
      <c r="BC31" s="250">
        <v>2.058805</v>
      </c>
      <c r="BD31" s="250">
        <v>2.0578369177</v>
      </c>
      <c r="BE31" s="250">
        <v>2.0581007239</v>
      </c>
      <c r="BF31" s="250">
        <v>2.0581899735000002</v>
      </c>
      <c r="BG31" s="403">
        <v>2.0583935327999998</v>
      </c>
      <c r="BH31" s="403">
        <v>2.0583755095999998</v>
      </c>
      <c r="BI31" s="403">
        <v>2.0584593510000002</v>
      </c>
      <c r="BJ31" s="403">
        <v>2.0585660708</v>
      </c>
      <c r="BK31" s="403">
        <v>2.0983411731000001</v>
      </c>
      <c r="BL31" s="403">
        <v>2.0986311646</v>
      </c>
      <c r="BM31" s="403">
        <v>2.0985585951000001</v>
      </c>
      <c r="BN31" s="403">
        <v>2.0985307221</v>
      </c>
      <c r="BO31" s="403">
        <v>2.0985618530000001</v>
      </c>
      <c r="BP31" s="403">
        <v>2.0986950171999998</v>
      </c>
      <c r="BQ31" s="403">
        <v>2.0987130220000001</v>
      </c>
      <c r="BR31" s="403">
        <v>2.0987251209000002</v>
      </c>
      <c r="BS31" s="403">
        <v>2.0987614528999998</v>
      </c>
      <c r="BT31" s="403">
        <v>2.0986888148</v>
      </c>
      <c r="BU31" s="403">
        <v>2.0987773007000001</v>
      </c>
      <c r="BV31" s="403">
        <v>2.0988139508999999</v>
      </c>
    </row>
    <row r="32" spans="1:74" ht="11.1" customHeight="1" x14ac:dyDescent="0.2">
      <c r="C32" s="222"/>
      <c r="D32" s="222"/>
      <c r="E32" s="222"/>
      <c r="F32" s="222"/>
      <c r="G32" s="222"/>
      <c r="H32" s="222"/>
      <c r="I32" s="222"/>
      <c r="J32" s="222"/>
      <c r="K32" s="222"/>
      <c r="L32" s="222"/>
      <c r="M32" s="222"/>
      <c r="N32" s="222"/>
      <c r="O32" s="222"/>
      <c r="P32" s="222"/>
      <c r="Q32" s="222"/>
      <c r="R32" s="222"/>
      <c r="S32" s="222"/>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c r="AT32" s="222"/>
      <c r="AU32" s="222"/>
      <c r="AV32" s="222"/>
      <c r="AW32" s="222"/>
      <c r="AX32" s="222"/>
      <c r="AY32" s="222"/>
      <c r="AZ32" s="222"/>
      <c r="BA32" s="222"/>
      <c r="BB32" s="222"/>
      <c r="BC32" s="222"/>
      <c r="BD32" s="222"/>
      <c r="BE32" s="222"/>
      <c r="BF32" s="222"/>
      <c r="BG32" s="404"/>
      <c r="BH32" s="404"/>
      <c r="BI32" s="404"/>
      <c r="BJ32" s="404"/>
      <c r="BK32" s="404"/>
      <c r="BL32" s="404"/>
      <c r="BM32" s="404"/>
      <c r="BN32" s="404"/>
      <c r="BO32" s="404"/>
      <c r="BP32" s="404"/>
      <c r="BQ32" s="404"/>
      <c r="BR32" s="404"/>
      <c r="BS32" s="404"/>
      <c r="BT32" s="404"/>
      <c r="BU32" s="404"/>
      <c r="BV32" s="404"/>
    </row>
    <row r="33" spans="1:74" ht="11.1" customHeight="1" x14ac:dyDescent="0.2">
      <c r="A33" s="162" t="s">
        <v>382</v>
      </c>
      <c r="B33" s="172" t="s">
        <v>392</v>
      </c>
      <c r="C33" s="250">
        <v>9.873132</v>
      </c>
      <c r="D33" s="250">
        <v>9.8761320000000001</v>
      </c>
      <c r="E33" s="250">
        <v>9.7541320000000002</v>
      </c>
      <c r="F33" s="250">
        <v>9.6361319999999999</v>
      </c>
      <c r="G33" s="250">
        <v>9.5501319999999996</v>
      </c>
      <c r="H33" s="250">
        <v>9.6861320000000006</v>
      </c>
      <c r="I33" s="250">
        <v>9.5991320000000009</v>
      </c>
      <c r="J33" s="250">
        <v>9.4451319999999992</v>
      </c>
      <c r="K33" s="250">
        <v>9.4651320000000005</v>
      </c>
      <c r="L33" s="250">
        <v>9.4021319999999999</v>
      </c>
      <c r="M33" s="250">
        <v>9.5151319999999995</v>
      </c>
      <c r="N33" s="250">
        <v>9.4891319999999997</v>
      </c>
      <c r="O33" s="250">
        <v>9.4337850000000003</v>
      </c>
      <c r="P33" s="250">
        <v>9.3747849999999993</v>
      </c>
      <c r="Q33" s="250">
        <v>9.4197849999999992</v>
      </c>
      <c r="R33" s="250">
        <v>9.3207850000000008</v>
      </c>
      <c r="S33" s="250">
        <v>9.3177850000000007</v>
      </c>
      <c r="T33" s="250">
        <v>9.4987849999999998</v>
      </c>
      <c r="U33" s="250">
        <v>9.3997849999999996</v>
      </c>
      <c r="V33" s="250">
        <v>9.2367849999999994</v>
      </c>
      <c r="W33" s="250">
        <v>9.238785</v>
      </c>
      <c r="X33" s="250">
        <v>9.2717849999999995</v>
      </c>
      <c r="Y33" s="250">
        <v>9.3327849999999994</v>
      </c>
      <c r="Z33" s="250">
        <v>9.2357849999999999</v>
      </c>
      <c r="AA33" s="250">
        <v>9.3827999999999996</v>
      </c>
      <c r="AB33" s="250">
        <v>9.3917999999999999</v>
      </c>
      <c r="AC33" s="250">
        <v>9.3718000000000004</v>
      </c>
      <c r="AD33" s="250">
        <v>9.2797999999999998</v>
      </c>
      <c r="AE33" s="250">
        <v>9.2528000000000006</v>
      </c>
      <c r="AF33" s="250">
        <v>9.4258000000000006</v>
      </c>
      <c r="AG33" s="250">
        <v>9.2347999999999999</v>
      </c>
      <c r="AH33" s="250">
        <v>9.2287999999999997</v>
      </c>
      <c r="AI33" s="250">
        <v>9.2248000000000001</v>
      </c>
      <c r="AJ33" s="250">
        <v>9.3437999999999999</v>
      </c>
      <c r="AK33" s="250">
        <v>9.3567999999999998</v>
      </c>
      <c r="AL33" s="250">
        <v>9.4407999999999994</v>
      </c>
      <c r="AM33" s="250">
        <v>9.4509340000000002</v>
      </c>
      <c r="AN33" s="250">
        <v>9.4789340000000006</v>
      </c>
      <c r="AO33" s="250">
        <v>9.6299340000000004</v>
      </c>
      <c r="AP33" s="250">
        <v>9.5149340000000002</v>
      </c>
      <c r="AQ33" s="250">
        <v>9.5049340000000004</v>
      </c>
      <c r="AR33" s="250">
        <v>9.6409339999999997</v>
      </c>
      <c r="AS33" s="250">
        <v>9.3989340000000006</v>
      </c>
      <c r="AT33" s="250">
        <v>9.4279340000000005</v>
      </c>
      <c r="AU33" s="250">
        <v>9.3959340000000005</v>
      </c>
      <c r="AV33" s="250">
        <v>9.5319339999999997</v>
      </c>
      <c r="AW33" s="250">
        <v>9.5609339999999996</v>
      </c>
      <c r="AX33" s="250">
        <v>9.4549339999999997</v>
      </c>
      <c r="AY33" s="250">
        <v>9.5479339999999997</v>
      </c>
      <c r="AZ33" s="250">
        <v>9.4079339999999991</v>
      </c>
      <c r="BA33" s="250">
        <v>9.4549339999999997</v>
      </c>
      <c r="BB33" s="250">
        <v>9.2159340000000007</v>
      </c>
      <c r="BC33" s="250">
        <v>9.1079340000000002</v>
      </c>
      <c r="BD33" s="250">
        <v>9.2090488319000006</v>
      </c>
      <c r="BE33" s="250">
        <v>9.1688557311000007</v>
      </c>
      <c r="BF33" s="250">
        <v>9.2018560699999998</v>
      </c>
      <c r="BG33" s="403">
        <v>9.2573112973999994</v>
      </c>
      <c r="BH33" s="403">
        <v>9.3323285885999994</v>
      </c>
      <c r="BI33" s="403">
        <v>9.3671493938000001</v>
      </c>
      <c r="BJ33" s="403">
        <v>9.3283124980000007</v>
      </c>
      <c r="BK33" s="403">
        <v>9.3025865128999996</v>
      </c>
      <c r="BL33" s="403">
        <v>9.3064541229</v>
      </c>
      <c r="BM33" s="403">
        <v>9.2868526358000008</v>
      </c>
      <c r="BN33" s="403">
        <v>9.2432744029999991</v>
      </c>
      <c r="BO33" s="403">
        <v>9.2862236973000005</v>
      </c>
      <c r="BP33" s="403">
        <v>9.3174046846999996</v>
      </c>
      <c r="BQ33" s="403">
        <v>9.2562846839000006</v>
      </c>
      <c r="BR33" s="403">
        <v>9.2661697388000004</v>
      </c>
      <c r="BS33" s="403">
        <v>9.2820325416999996</v>
      </c>
      <c r="BT33" s="403">
        <v>9.2946020974000003</v>
      </c>
      <c r="BU33" s="403">
        <v>9.3146846670999999</v>
      </c>
      <c r="BV33" s="403">
        <v>9.2680138623000001</v>
      </c>
    </row>
    <row r="34" spans="1:74" ht="11.1" customHeight="1" x14ac:dyDescent="0.2">
      <c r="A34" s="162" t="s">
        <v>265</v>
      </c>
      <c r="B34" s="173" t="s">
        <v>340</v>
      </c>
      <c r="C34" s="250">
        <v>0.387824</v>
      </c>
      <c r="D34" s="250">
        <v>0.37982399999999999</v>
      </c>
      <c r="E34" s="250">
        <v>0.36982399999999999</v>
      </c>
      <c r="F34" s="250">
        <v>0.36082399999999998</v>
      </c>
      <c r="G34" s="250">
        <v>0.34682400000000002</v>
      </c>
      <c r="H34" s="250">
        <v>0.37082399999999999</v>
      </c>
      <c r="I34" s="250">
        <v>0.39582400000000001</v>
      </c>
      <c r="J34" s="250">
        <v>0.39782400000000001</v>
      </c>
      <c r="K34" s="250">
        <v>0.384824</v>
      </c>
      <c r="L34" s="250">
        <v>0.37982399999999999</v>
      </c>
      <c r="M34" s="250">
        <v>0.37082399999999999</v>
      </c>
      <c r="N34" s="250">
        <v>0.33982400000000001</v>
      </c>
      <c r="O34" s="250">
        <v>0.330266</v>
      </c>
      <c r="P34" s="250">
        <v>0.327266</v>
      </c>
      <c r="Q34" s="250">
        <v>0.34426600000000002</v>
      </c>
      <c r="R34" s="250">
        <v>0.329266</v>
      </c>
      <c r="S34" s="250">
        <v>0.35126600000000002</v>
      </c>
      <c r="T34" s="250">
        <v>0.35426600000000003</v>
      </c>
      <c r="U34" s="250">
        <v>0.36426599999999998</v>
      </c>
      <c r="V34" s="250">
        <v>0.36526599999999998</v>
      </c>
      <c r="W34" s="250">
        <v>0.331266</v>
      </c>
      <c r="X34" s="250">
        <v>0.34726600000000002</v>
      </c>
      <c r="Y34" s="250">
        <v>0.33526600000000001</v>
      </c>
      <c r="Z34" s="250">
        <v>0.31926599999999999</v>
      </c>
      <c r="AA34" s="250">
        <v>0.36228100000000002</v>
      </c>
      <c r="AB34" s="250">
        <v>0.36528100000000002</v>
      </c>
      <c r="AC34" s="250">
        <v>0.36428100000000002</v>
      </c>
      <c r="AD34" s="250">
        <v>0.35428100000000001</v>
      </c>
      <c r="AE34" s="250">
        <v>0.31628099999999998</v>
      </c>
      <c r="AF34" s="250">
        <v>0.35628100000000001</v>
      </c>
      <c r="AG34" s="250">
        <v>0.36328100000000002</v>
      </c>
      <c r="AH34" s="250">
        <v>0.37228099999999997</v>
      </c>
      <c r="AI34" s="250">
        <v>0.38828099999999999</v>
      </c>
      <c r="AJ34" s="250">
        <v>0.402281</v>
      </c>
      <c r="AK34" s="250">
        <v>0.40828100000000001</v>
      </c>
      <c r="AL34" s="250">
        <v>0.43028100000000002</v>
      </c>
      <c r="AM34" s="250">
        <v>0.406281</v>
      </c>
      <c r="AN34" s="250">
        <v>0.44228099999999998</v>
      </c>
      <c r="AO34" s="250">
        <v>0.42628100000000002</v>
      </c>
      <c r="AP34" s="250">
        <v>0.465281</v>
      </c>
      <c r="AQ34" s="250">
        <v>0.44828099999999999</v>
      </c>
      <c r="AR34" s="250">
        <v>0.49428100000000003</v>
      </c>
      <c r="AS34" s="250">
        <v>0.49728099999999997</v>
      </c>
      <c r="AT34" s="250">
        <v>0.523281</v>
      </c>
      <c r="AU34" s="250">
        <v>0.51828099999999999</v>
      </c>
      <c r="AV34" s="250">
        <v>0.55728100000000003</v>
      </c>
      <c r="AW34" s="250">
        <v>0.54028100000000001</v>
      </c>
      <c r="AX34" s="250">
        <v>0.53428100000000001</v>
      </c>
      <c r="AY34" s="250">
        <v>0.49028100000000002</v>
      </c>
      <c r="AZ34" s="250">
        <v>0.460281</v>
      </c>
      <c r="BA34" s="250">
        <v>0.51728099999999999</v>
      </c>
      <c r="BB34" s="250">
        <v>0.529281</v>
      </c>
      <c r="BC34" s="250">
        <v>0.45828099999999999</v>
      </c>
      <c r="BD34" s="250">
        <v>0.50037922921</v>
      </c>
      <c r="BE34" s="250">
        <v>0.50415004766000004</v>
      </c>
      <c r="BF34" s="250">
        <v>0.50705732812000004</v>
      </c>
      <c r="BG34" s="403">
        <v>0.49025329139000001</v>
      </c>
      <c r="BH34" s="403">
        <v>0.52447266196999998</v>
      </c>
      <c r="BI34" s="403">
        <v>0.52236514743999996</v>
      </c>
      <c r="BJ34" s="403">
        <v>0.52031513358000003</v>
      </c>
      <c r="BK34" s="403">
        <v>0.51659786178</v>
      </c>
      <c r="BL34" s="403">
        <v>0.51501550584</v>
      </c>
      <c r="BM34" s="403">
        <v>0.51251585622999996</v>
      </c>
      <c r="BN34" s="403">
        <v>0.51012879352999996</v>
      </c>
      <c r="BO34" s="403">
        <v>0.50789050968000005</v>
      </c>
      <c r="BP34" s="403">
        <v>0.50590982788000005</v>
      </c>
      <c r="BQ34" s="403">
        <v>0.50163752399999995</v>
      </c>
      <c r="BR34" s="403">
        <v>0.49934988776</v>
      </c>
      <c r="BS34" s="403">
        <v>0.49712314462000001</v>
      </c>
      <c r="BT34" s="403">
        <v>0.49462046139999999</v>
      </c>
      <c r="BU34" s="403">
        <v>0.49252485943000002</v>
      </c>
      <c r="BV34" s="403">
        <v>0.49029781739</v>
      </c>
    </row>
    <row r="35" spans="1:74" ht="11.1" customHeight="1" x14ac:dyDescent="0.2">
      <c r="A35" s="162" t="s">
        <v>266</v>
      </c>
      <c r="B35" s="173" t="s">
        <v>341</v>
      </c>
      <c r="C35" s="250">
        <v>5.0825899999999997</v>
      </c>
      <c r="D35" s="250">
        <v>5.0665899999999997</v>
      </c>
      <c r="E35" s="250">
        <v>5.0075900000000004</v>
      </c>
      <c r="F35" s="250">
        <v>4.9555899999999999</v>
      </c>
      <c r="G35" s="250">
        <v>4.8935899999999997</v>
      </c>
      <c r="H35" s="250">
        <v>4.9545899999999996</v>
      </c>
      <c r="I35" s="250">
        <v>4.8575900000000001</v>
      </c>
      <c r="J35" s="250">
        <v>4.7945900000000004</v>
      </c>
      <c r="K35" s="250">
        <v>4.8085899999999997</v>
      </c>
      <c r="L35" s="250">
        <v>4.70059</v>
      </c>
      <c r="M35" s="250">
        <v>4.8345900000000004</v>
      </c>
      <c r="N35" s="250">
        <v>4.8535899999999996</v>
      </c>
      <c r="O35" s="250">
        <v>4.7995900000000002</v>
      </c>
      <c r="P35" s="250">
        <v>4.7505899999999999</v>
      </c>
      <c r="Q35" s="250">
        <v>4.79359</v>
      </c>
      <c r="R35" s="250">
        <v>4.8165899999999997</v>
      </c>
      <c r="S35" s="250">
        <v>4.7785900000000003</v>
      </c>
      <c r="T35" s="250">
        <v>4.9065899999999996</v>
      </c>
      <c r="U35" s="250">
        <v>4.7945900000000004</v>
      </c>
      <c r="V35" s="250">
        <v>4.7255900000000004</v>
      </c>
      <c r="W35" s="250">
        <v>4.7475899999999998</v>
      </c>
      <c r="X35" s="250">
        <v>4.7405900000000001</v>
      </c>
      <c r="Y35" s="250">
        <v>4.7945900000000004</v>
      </c>
      <c r="Z35" s="250">
        <v>4.7415900000000004</v>
      </c>
      <c r="AA35" s="250">
        <v>4.7595900000000002</v>
      </c>
      <c r="AB35" s="250">
        <v>4.7505899999999999</v>
      </c>
      <c r="AC35" s="250">
        <v>4.7565900000000001</v>
      </c>
      <c r="AD35" s="250">
        <v>4.7735900000000004</v>
      </c>
      <c r="AE35" s="250">
        <v>4.76159</v>
      </c>
      <c r="AF35" s="250">
        <v>4.8585900000000004</v>
      </c>
      <c r="AG35" s="250">
        <v>4.7345899999999999</v>
      </c>
      <c r="AH35" s="250">
        <v>4.7715899999999998</v>
      </c>
      <c r="AI35" s="250">
        <v>4.6985900000000003</v>
      </c>
      <c r="AJ35" s="250">
        <v>4.7945900000000004</v>
      </c>
      <c r="AK35" s="250">
        <v>4.78559</v>
      </c>
      <c r="AL35" s="250">
        <v>4.8525900000000002</v>
      </c>
      <c r="AM35" s="250">
        <v>4.87</v>
      </c>
      <c r="AN35" s="250">
        <v>4.84</v>
      </c>
      <c r="AO35" s="250">
        <v>4.9569999999999999</v>
      </c>
      <c r="AP35" s="250">
        <v>4.8869999999999996</v>
      </c>
      <c r="AQ35" s="250">
        <v>4.8879999999999999</v>
      </c>
      <c r="AR35" s="250">
        <v>4.9859999999999998</v>
      </c>
      <c r="AS35" s="250">
        <v>4.9050000000000002</v>
      </c>
      <c r="AT35" s="250">
        <v>4.883</v>
      </c>
      <c r="AU35" s="250">
        <v>4.88</v>
      </c>
      <c r="AV35" s="250">
        <v>4.87</v>
      </c>
      <c r="AW35" s="250">
        <v>4.8979999999999997</v>
      </c>
      <c r="AX35" s="250">
        <v>4.8620000000000001</v>
      </c>
      <c r="AY35" s="250">
        <v>4.9720000000000004</v>
      </c>
      <c r="AZ35" s="250">
        <v>4.9119999999999999</v>
      </c>
      <c r="BA35" s="250">
        <v>4.9240000000000004</v>
      </c>
      <c r="BB35" s="250">
        <v>4.8499999999999996</v>
      </c>
      <c r="BC35" s="250">
        <v>4.8789999999999996</v>
      </c>
      <c r="BD35" s="250">
        <v>4.9814191236000003</v>
      </c>
      <c r="BE35" s="250">
        <v>4.9182050656999996</v>
      </c>
      <c r="BF35" s="250">
        <v>4.9046976982999997</v>
      </c>
      <c r="BG35" s="403">
        <v>4.9334727751000003</v>
      </c>
      <c r="BH35" s="403">
        <v>4.9542480643999998</v>
      </c>
      <c r="BI35" s="403">
        <v>4.9734695242000004</v>
      </c>
      <c r="BJ35" s="403">
        <v>4.9340890740000001</v>
      </c>
      <c r="BK35" s="403">
        <v>4.9174171476000001</v>
      </c>
      <c r="BL35" s="403">
        <v>4.9161679434999996</v>
      </c>
      <c r="BM35" s="403">
        <v>4.9142548226000002</v>
      </c>
      <c r="BN35" s="403">
        <v>4.9236584441</v>
      </c>
      <c r="BO35" s="403">
        <v>4.9485657152</v>
      </c>
      <c r="BP35" s="403">
        <v>4.9846164060999998</v>
      </c>
      <c r="BQ35" s="403">
        <v>4.9274446560999996</v>
      </c>
      <c r="BR35" s="403">
        <v>4.9639247896000001</v>
      </c>
      <c r="BS35" s="403">
        <v>4.9877016263999998</v>
      </c>
      <c r="BT35" s="403">
        <v>5.0070736823999997</v>
      </c>
      <c r="BU35" s="403">
        <v>5.0283646812000002</v>
      </c>
      <c r="BV35" s="403">
        <v>4.9875185105000002</v>
      </c>
    </row>
    <row r="36" spans="1:74" ht="11.1" customHeight="1" x14ac:dyDescent="0.2">
      <c r="A36" s="162" t="s">
        <v>267</v>
      </c>
      <c r="B36" s="173" t="s">
        <v>342</v>
      </c>
      <c r="C36" s="250">
        <v>1.0159689999999999</v>
      </c>
      <c r="D36" s="250">
        <v>1.0399689999999999</v>
      </c>
      <c r="E36" s="250">
        <v>1.006969</v>
      </c>
      <c r="F36" s="250">
        <v>1.004969</v>
      </c>
      <c r="G36" s="250">
        <v>1.020969</v>
      </c>
      <c r="H36" s="250">
        <v>1.014969</v>
      </c>
      <c r="I36" s="250">
        <v>1.022969</v>
      </c>
      <c r="J36" s="250">
        <v>1.0199689999999999</v>
      </c>
      <c r="K36" s="250">
        <v>1.004969</v>
      </c>
      <c r="L36" s="250">
        <v>1.014969</v>
      </c>
      <c r="M36" s="250">
        <v>0.998969</v>
      </c>
      <c r="N36" s="250">
        <v>1.030969</v>
      </c>
      <c r="O36" s="250">
        <v>1.024969</v>
      </c>
      <c r="P36" s="250">
        <v>1.026969</v>
      </c>
      <c r="Q36" s="250">
        <v>1.024969</v>
      </c>
      <c r="R36" s="250">
        <v>1.002969</v>
      </c>
      <c r="S36" s="250">
        <v>1.012969</v>
      </c>
      <c r="T36" s="250">
        <v>1.0299689999999999</v>
      </c>
      <c r="U36" s="250">
        <v>1.0299689999999999</v>
      </c>
      <c r="V36" s="250">
        <v>1.0119689999999999</v>
      </c>
      <c r="W36" s="250">
        <v>1.012969</v>
      </c>
      <c r="X36" s="250">
        <v>1.020969</v>
      </c>
      <c r="Y36" s="250">
        <v>1.0039689999999999</v>
      </c>
      <c r="Z36" s="250">
        <v>1.006969</v>
      </c>
      <c r="AA36" s="250">
        <v>1.014969</v>
      </c>
      <c r="AB36" s="250">
        <v>1.030969</v>
      </c>
      <c r="AC36" s="250">
        <v>1.048969</v>
      </c>
      <c r="AD36" s="250">
        <v>1.028969</v>
      </c>
      <c r="AE36" s="250">
        <v>1.022969</v>
      </c>
      <c r="AF36" s="250">
        <v>1.0259689999999999</v>
      </c>
      <c r="AG36" s="250">
        <v>1.004969</v>
      </c>
      <c r="AH36" s="250">
        <v>1.014969</v>
      </c>
      <c r="AI36" s="250">
        <v>1.010969</v>
      </c>
      <c r="AJ36" s="250">
        <v>1.0079689999999999</v>
      </c>
      <c r="AK36" s="250">
        <v>0.99596899999999999</v>
      </c>
      <c r="AL36" s="250">
        <v>1.0019690000000001</v>
      </c>
      <c r="AM36" s="250">
        <v>1.0109999999999999</v>
      </c>
      <c r="AN36" s="250">
        <v>1.0089999999999999</v>
      </c>
      <c r="AO36" s="250">
        <v>1.0209999999999999</v>
      </c>
      <c r="AP36" s="250">
        <v>1.0049999999999999</v>
      </c>
      <c r="AQ36" s="250">
        <v>0.99399999999999999</v>
      </c>
      <c r="AR36" s="250">
        <v>0.98499999999999999</v>
      </c>
      <c r="AS36" s="250">
        <v>0.99399999999999999</v>
      </c>
      <c r="AT36" s="250">
        <v>0.97599999999999998</v>
      </c>
      <c r="AU36" s="250">
        <v>0.96299999999999997</v>
      </c>
      <c r="AV36" s="250">
        <v>1</v>
      </c>
      <c r="AW36" s="250">
        <v>0.99199999999999999</v>
      </c>
      <c r="AX36" s="250">
        <v>0.97899999999999998</v>
      </c>
      <c r="AY36" s="250">
        <v>0.98799999999999999</v>
      </c>
      <c r="AZ36" s="250">
        <v>0.96199999999999997</v>
      </c>
      <c r="BA36" s="250">
        <v>0.95899999999999996</v>
      </c>
      <c r="BB36" s="250">
        <v>0.89700000000000002</v>
      </c>
      <c r="BC36" s="250">
        <v>0.90200000000000002</v>
      </c>
      <c r="BD36" s="250">
        <v>0.89884875694999999</v>
      </c>
      <c r="BE36" s="250">
        <v>0.90927244585</v>
      </c>
      <c r="BF36" s="250">
        <v>0.89971015400999999</v>
      </c>
      <c r="BG36" s="403">
        <v>0.90472439572999996</v>
      </c>
      <c r="BH36" s="403">
        <v>0.90759712450999996</v>
      </c>
      <c r="BI36" s="403">
        <v>0.90728608737000005</v>
      </c>
      <c r="BJ36" s="403">
        <v>0.91256745671999995</v>
      </c>
      <c r="BK36" s="403">
        <v>0.90360678066</v>
      </c>
      <c r="BL36" s="403">
        <v>0.91199262889999999</v>
      </c>
      <c r="BM36" s="403">
        <v>0.90910504860999997</v>
      </c>
      <c r="BN36" s="403">
        <v>0.87360998288000002</v>
      </c>
      <c r="BO36" s="403">
        <v>0.89935406789000005</v>
      </c>
      <c r="BP36" s="403">
        <v>0.89438947576000005</v>
      </c>
      <c r="BQ36" s="403">
        <v>0.89586544879999996</v>
      </c>
      <c r="BR36" s="403">
        <v>0.88122839924999996</v>
      </c>
      <c r="BS36" s="403">
        <v>0.88358616786999999</v>
      </c>
      <c r="BT36" s="403">
        <v>0.88901393236000004</v>
      </c>
      <c r="BU36" s="403">
        <v>0.89518095270999998</v>
      </c>
      <c r="BV36" s="403">
        <v>0.89798143250999996</v>
      </c>
    </row>
    <row r="37" spans="1:74" ht="11.1" customHeight="1" x14ac:dyDescent="0.2">
      <c r="A37" s="162" t="s">
        <v>1051</v>
      </c>
      <c r="B37" s="173" t="s">
        <v>1050</v>
      </c>
      <c r="C37" s="250">
        <v>0.93201699999999998</v>
      </c>
      <c r="D37" s="250">
        <v>0.954017</v>
      </c>
      <c r="E37" s="250">
        <v>0.96001700000000001</v>
      </c>
      <c r="F37" s="250">
        <v>0.93501699999999999</v>
      </c>
      <c r="G37" s="250">
        <v>0.95601700000000001</v>
      </c>
      <c r="H37" s="250">
        <v>0.954017</v>
      </c>
      <c r="I37" s="250">
        <v>0.945017</v>
      </c>
      <c r="J37" s="250">
        <v>0.946017</v>
      </c>
      <c r="K37" s="250">
        <v>0.947017</v>
      </c>
      <c r="L37" s="250">
        <v>0.948017</v>
      </c>
      <c r="M37" s="250">
        <v>0.947017</v>
      </c>
      <c r="N37" s="250">
        <v>0.92401699999999998</v>
      </c>
      <c r="O37" s="250">
        <v>0.91870399999999997</v>
      </c>
      <c r="P37" s="250">
        <v>0.90270399999999995</v>
      </c>
      <c r="Q37" s="250">
        <v>0.91070399999999996</v>
      </c>
      <c r="R37" s="250">
        <v>0.90470399999999995</v>
      </c>
      <c r="S37" s="250">
        <v>0.89870399999999995</v>
      </c>
      <c r="T37" s="250">
        <v>0.89470400000000005</v>
      </c>
      <c r="U37" s="250">
        <v>0.90270399999999995</v>
      </c>
      <c r="V37" s="250">
        <v>0.88670400000000005</v>
      </c>
      <c r="W37" s="250">
        <v>0.88470400000000005</v>
      </c>
      <c r="X37" s="250">
        <v>0.88470400000000005</v>
      </c>
      <c r="Y37" s="250">
        <v>0.88270400000000004</v>
      </c>
      <c r="Z37" s="250">
        <v>0.89670399999999995</v>
      </c>
      <c r="AA37" s="250">
        <v>0.91170399999999996</v>
      </c>
      <c r="AB37" s="250">
        <v>0.93070399999999998</v>
      </c>
      <c r="AC37" s="250">
        <v>0.92370399999999997</v>
      </c>
      <c r="AD37" s="250">
        <v>0.91970399999999997</v>
      </c>
      <c r="AE37" s="250">
        <v>0.92270399999999997</v>
      </c>
      <c r="AF37" s="250">
        <v>0.92570399999999997</v>
      </c>
      <c r="AG37" s="250">
        <v>0.87670400000000004</v>
      </c>
      <c r="AH37" s="250">
        <v>0.89670399999999995</v>
      </c>
      <c r="AI37" s="250">
        <v>0.94870399999999999</v>
      </c>
      <c r="AJ37" s="250">
        <v>0.89070400000000005</v>
      </c>
      <c r="AK37" s="250">
        <v>0.90570399999999995</v>
      </c>
      <c r="AL37" s="250">
        <v>0.91370399999999996</v>
      </c>
      <c r="AM37" s="250">
        <v>0.90700000000000003</v>
      </c>
      <c r="AN37" s="250">
        <v>0.94499999999999995</v>
      </c>
      <c r="AO37" s="250">
        <v>0.93799999999999994</v>
      </c>
      <c r="AP37" s="250">
        <v>0.93200000000000005</v>
      </c>
      <c r="AQ37" s="250">
        <v>0.93200000000000005</v>
      </c>
      <c r="AR37" s="250">
        <v>0.93400000000000005</v>
      </c>
      <c r="AS37" s="250">
        <v>0.92500000000000004</v>
      </c>
      <c r="AT37" s="250">
        <v>0.90900000000000003</v>
      </c>
      <c r="AU37" s="250">
        <v>0.90800000000000003</v>
      </c>
      <c r="AV37" s="250">
        <v>0.9</v>
      </c>
      <c r="AW37" s="250">
        <v>0.91100000000000003</v>
      </c>
      <c r="AX37" s="250">
        <v>0.91500000000000004</v>
      </c>
      <c r="AY37" s="250">
        <v>0.90600000000000003</v>
      </c>
      <c r="AZ37" s="250">
        <v>0.90800000000000003</v>
      </c>
      <c r="BA37" s="250">
        <v>0.90700000000000003</v>
      </c>
      <c r="BB37" s="250">
        <v>0.89900000000000002</v>
      </c>
      <c r="BC37" s="250">
        <v>0.85799999999999998</v>
      </c>
      <c r="BD37" s="250">
        <v>0.88601100929999999</v>
      </c>
      <c r="BE37" s="250">
        <v>0.88639276735999994</v>
      </c>
      <c r="BF37" s="250">
        <v>0.88994118915999998</v>
      </c>
      <c r="BG37" s="403">
        <v>0.88685960937999997</v>
      </c>
      <c r="BH37" s="403">
        <v>0.88329988446999996</v>
      </c>
      <c r="BI37" s="403">
        <v>0.87995996958</v>
      </c>
      <c r="BJ37" s="403">
        <v>0.87666942317999996</v>
      </c>
      <c r="BK37" s="403">
        <v>0.8751632909</v>
      </c>
      <c r="BL37" s="403">
        <v>0.87226822014000005</v>
      </c>
      <c r="BM37" s="403">
        <v>0.86859079161999997</v>
      </c>
      <c r="BN37" s="403">
        <v>0.86500981205000005</v>
      </c>
      <c r="BO37" s="403">
        <v>0.86155615504000005</v>
      </c>
      <c r="BP37" s="403">
        <v>0.85832267209000002</v>
      </c>
      <c r="BQ37" s="403">
        <v>0.85484069067000001</v>
      </c>
      <c r="BR37" s="403">
        <v>0.85134596509000005</v>
      </c>
      <c r="BS37" s="403">
        <v>0.84790353129999996</v>
      </c>
      <c r="BT37" s="403">
        <v>0.84422595467999995</v>
      </c>
      <c r="BU37" s="403">
        <v>0.84089606199</v>
      </c>
      <c r="BV37" s="403">
        <v>0.83745431477999999</v>
      </c>
    </row>
    <row r="38" spans="1:74" ht="11.1" customHeight="1" x14ac:dyDescent="0.2">
      <c r="A38" s="162" t="s">
        <v>268</v>
      </c>
      <c r="B38" s="173" t="s">
        <v>343</v>
      </c>
      <c r="C38" s="250">
        <v>0.77723399999999998</v>
      </c>
      <c r="D38" s="250">
        <v>0.77723399999999998</v>
      </c>
      <c r="E38" s="250">
        <v>0.77023399999999997</v>
      </c>
      <c r="F38" s="250">
        <v>0.75623399999999996</v>
      </c>
      <c r="G38" s="250">
        <v>0.74223399999999995</v>
      </c>
      <c r="H38" s="250">
        <v>0.78623399999999999</v>
      </c>
      <c r="I38" s="250">
        <v>0.78723399999999999</v>
      </c>
      <c r="J38" s="250">
        <v>0.73123400000000005</v>
      </c>
      <c r="K38" s="250">
        <v>0.73223400000000005</v>
      </c>
      <c r="L38" s="250">
        <v>0.74823399999999995</v>
      </c>
      <c r="M38" s="250">
        <v>0.76823399999999997</v>
      </c>
      <c r="N38" s="250">
        <v>0.77023399999999997</v>
      </c>
      <c r="O38" s="250">
        <v>0.77123399999999998</v>
      </c>
      <c r="P38" s="250">
        <v>0.76323399999999997</v>
      </c>
      <c r="Q38" s="250">
        <v>0.75723399999999996</v>
      </c>
      <c r="R38" s="250">
        <v>0.71923400000000004</v>
      </c>
      <c r="S38" s="250">
        <v>0.71823400000000004</v>
      </c>
      <c r="T38" s="250">
        <v>0.77823399999999998</v>
      </c>
      <c r="U38" s="250">
        <v>0.75523399999999996</v>
      </c>
      <c r="V38" s="250">
        <v>0.71623400000000004</v>
      </c>
      <c r="W38" s="250">
        <v>0.74023399999999995</v>
      </c>
      <c r="X38" s="250">
        <v>0.74023399999999995</v>
      </c>
      <c r="Y38" s="250">
        <v>0.75823399999999996</v>
      </c>
      <c r="Z38" s="250">
        <v>0.73823399999999995</v>
      </c>
      <c r="AA38" s="250">
        <v>0.79023399999999999</v>
      </c>
      <c r="AB38" s="250">
        <v>0.77723399999999998</v>
      </c>
      <c r="AC38" s="250">
        <v>0.78323399999999999</v>
      </c>
      <c r="AD38" s="250">
        <v>0.75723399999999996</v>
      </c>
      <c r="AE38" s="250">
        <v>0.74723399999999995</v>
      </c>
      <c r="AF38" s="250">
        <v>0.77623399999999998</v>
      </c>
      <c r="AG38" s="250">
        <v>0.76723399999999997</v>
      </c>
      <c r="AH38" s="250">
        <v>0.70023400000000002</v>
      </c>
      <c r="AI38" s="250">
        <v>0.70723400000000003</v>
      </c>
      <c r="AJ38" s="250">
        <v>0.74923399999999996</v>
      </c>
      <c r="AK38" s="250">
        <v>0.75423399999999996</v>
      </c>
      <c r="AL38" s="250">
        <v>0.75223399999999996</v>
      </c>
      <c r="AM38" s="250">
        <v>0.76400000000000001</v>
      </c>
      <c r="AN38" s="250">
        <v>0.73799999999999999</v>
      </c>
      <c r="AO38" s="250">
        <v>0.748</v>
      </c>
      <c r="AP38" s="250">
        <v>0.72499999999999998</v>
      </c>
      <c r="AQ38" s="250">
        <v>0.73599999999999999</v>
      </c>
      <c r="AR38" s="250">
        <v>0.73599999999999999</v>
      </c>
      <c r="AS38" s="250">
        <v>0.60699999999999998</v>
      </c>
      <c r="AT38" s="250">
        <v>0.65300000000000002</v>
      </c>
      <c r="AU38" s="250">
        <v>0.67700000000000005</v>
      </c>
      <c r="AV38" s="250">
        <v>0.71</v>
      </c>
      <c r="AW38" s="250">
        <v>0.73899999999999999</v>
      </c>
      <c r="AX38" s="250">
        <v>0.71399999999999997</v>
      </c>
      <c r="AY38" s="250">
        <v>0.73499999999999999</v>
      </c>
      <c r="AZ38" s="250">
        <v>0.71599999999999997</v>
      </c>
      <c r="BA38" s="250">
        <v>0.71099999999999997</v>
      </c>
      <c r="BB38" s="250">
        <v>0.61399999999999999</v>
      </c>
      <c r="BC38" s="250">
        <v>0.60099999999999998</v>
      </c>
      <c r="BD38" s="250">
        <v>0.54252240067000002</v>
      </c>
      <c r="BE38" s="250">
        <v>0.55964899581000005</v>
      </c>
      <c r="BF38" s="250">
        <v>0.58751679480999996</v>
      </c>
      <c r="BG38" s="403">
        <v>0.60555232097</v>
      </c>
      <c r="BH38" s="403">
        <v>0.62325968172000001</v>
      </c>
      <c r="BI38" s="403">
        <v>0.64011645469</v>
      </c>
      <c r="BJ38" s="403">
        <v>0.63800605051000003</v>
      </c>
      <c r="BK38" s="403">
        <v>0.64721437821000005</v>
      </c>
      <c r="BL38" s="403">
        <v>0.64503903080000002</v>
      </c>
      <c r="BM38" s="403">
        <v>0.64267492799000003</v>
      </c>
      <c r="BN38" s="403">
        <v>0.63885383056</v>
      </c>
      <c r="BO38" s="403">
        <v>0.63664037694999998</v>
      </c>
      <c r="BP38" s="403">
        <v>0.63457639307000002</v>
      </c>
      <c r="BQ38" s="403">
        <v>0.6423412423</v>
      </c>
      <c r="BR38" s="403">
        <v>0.63909626330000002</v>
      </c>
      <c r="BS38" s="403">
        <v>0.63688598646000005</v>
      </c>
      <c r="BT38" s="403">
        <v>0.63451377716000001</v>
      </c>
      <c r="BU38" s="403">
        <v>0.63237844191000003</v>
      </c>
      <c r="BV38" s="403">
        <v>0.62916558904999997</v>
      </c>
    </row>
    <row r="39" spans="1:74" ht="11.1" customHeight="1" x14ac:dyDescent="0.2">
      <c r="A39" s="162" t="s">
        <v>269</v>
      </c>
      <c r="B39" s="173" t="s">
        <v>344</v>
      </c>
      <c r="C39" s="250">
        <v>0.35378300000000001</v>
      </c>
      <c r="D39" s="250">
        <v>0.34978300000000001</v>
      </c>
      <c r="E39" s="250">
        <v>0.34878300000000001</v>
      </c>
      <c r="F39" s="250">
        <v>0.35478300000000002</v>
      </c>
      <c r="G39" s="250">
        <v>0.341783</v>
      </c>
      <c r="H39" s="250">
        <v>0.34478300000000001</v>
      </c>
      <c r="I39" s="250">
        <v>0.32778299999999999</v>
      </c>
      <c r="J39" s="250">
        <v>0.32078299999999998</v>
      </c>
      <c r="K39" s="250">
        <v>0.32478299999999999</v>
      </c>
      <c r="L39" s="250">
        <v>0.334783</v>
      </c>
      <c r="M39" s="250">
        <v>0.332783</v>
      </c>
      <c r="N39" s="250">
        <v>0.32978299999999999</v>
      </c>
      <c r="O39" s="250">
        <v>0.31678299999999998</v>
      </c>
      <c r="P39" s="250">
        <v>0.31578299999999998</v>
      </c>
      <c r="Q39" s="250">
        <v>0.31578299999999998</v>
      </c>
      <c r="R39" s="250">
        <v>0.31578299999999998</v>
      </c>
      <c r="S39" s="250">
        <v>0.31578299999999998</v>
      </c>
      <c r="T39" s="250">
        <v>0.31578299999999998</v>
      </c>
      <c r="U39" s="250">
        <v>0.31178299999999998</v>
      </c>
      <c r="V39" s="250">
        <v>0.29578300000000002</v>
      </c>
      <c r="W39" s="250">
        <v>0.29578300000000002</v>
      </c>
      <c r="X39" s="250">
        <v>0.30178300000000002</v>
      </c>
      <c r="Y39" s="250">
        <v>0.30578300000000003</v>
      </c>
      <c r="Z39" s="250">
        <v>0.29178300000000001</v>
      </c>
      <c r="AA39" s="250">
        <v>0.29778300000000002</v>
      </c>
      <c r="AB39" s="250">
        <v>0.29478300000000002</v>
      </c>
      <c r="AC39" s="250">
        <v>0.28478300000000001</v>
      </c>
      <c r="AD39" s="250">
        <v>0.28178300000000001</v>
      </c>
      <c r="AE39" s="250">
        <v>0.28178300000000001</v>
      </c>
      <c r="AF39" s="250">
        <v>0.272783</v>
      </c>
      <c r="AG39" s="250">
        <v>0.276783</v>
      </c>
      <c r="AH39" s="250">
        <v>0.25878299999999999</v>
      </c>
      <c r="AI39" s="250">
        <v>0.269783</v>
      </c>
      <c r="AJ39" s="250">
        <v>0.26778299999999999</v>
      </c>
      <c r="AK39" s="250">
        <v>0.270783</v>
      </c>
      <c r="AL39" s="250">
        <v>0.26278299999999999</v>
      </c>
      <c r="AM39" s="250">
        <v>0.26521699999999998</v>
      </c>
      <c r="AN39" s="250">
        <v>0.27121699999999999</v>
      </c>
      <c r="AO39" s="250">
        <v>0.28021699999999999</v>
      </c>
      <c r="AP39" s="250">
        <v>0.27121699999999999</v>
      </c>
      <c r="AQ39" s="250">
        <v>0.27421699999999999</v>
      </c>
      <c r="AR39" s="250">
        <v>0.26921699999999998</v>
      </c>
      <c r="AS39" s="250">
        <v>0.25221700000000002</v>
      </c>
      <c r="AT39" s="250">
        <v>0.26121699999999998</v>
      </c>
      <c r="AU39" s="250">
        <v>0.24321699999999999</v>
      </c>
      <c r="AV39" s="250">
        <v>0.25621699999999997</v>
      </c>
      <c r="AW39" s="250">
        <v>0.24421699999999999</v>
      </c>
      <c r="AX39" s="250">
        <v>0.23421700000000001</v>
      </c>
      <c r="AY39" s="250">
        <v>0.24821699999999999</v>
      </c>
      <c r="AZ39" s="250">
        <v>0.24721699999999999</v>
      </c>
      <c r="BA39" s="250">
        <v>0.23921700000000001</v>
      </c>
      <c r="BB39" s="250">
        <v>0.24121699999999999</v>
      </c>
      <c r="BC39" s="250">
        <v>0.23421700000000001</v>
      </c>
      <c r="BD39" s="250">
        <v>0.22567786966</v>
      </c>
      <c r="BE39" s="250">
        <v>0.21984988894999999</v>
      </c>
      <c r="BF39" s="250">
        <v>0.23214040279000001</v>
      </c>
      <c r="BG39" s="403">
        <v>0.23112657189999999</v>
      </c>
      <c r="BH39" s="403">
        <v>0.22991139906999999</v>
      </c>
      <c r="BI39" s="403">
        <v>0.22878876038000001</v>
      </c>
      <c r="BJ39" s="403">
        <v>0.22768689126</v>
      </c>
      <c r="BK39" s="403">
        <v>0.22632928032999999</v>
      </c>
      <c r="BL39" s="403">
        <v>0.2253944125</v>
      </c>
      <c r="BM39" s="403">
        <v>0.22413010689999999</v>
      </c>
      <c r="BN39" s="403">
        <v>0.22290638775999999</v>
      </c>
      <c r="BO39" s="403">
        <v>0.22173625485000001</v>
      </c>
      <c r="BP39" s="403">
        <v>0.22065880387</v>
      </c>
      <c r="BQ39" s="403">
        <v>0.21947669935</v>
      </c>
      <c r="BR39" s="403">
        <v>0.21828920660000001</v>
      </c>
      <c r="BS39" s="403">
        <v>0.21712370948000001</v>
      </c>
      <c r="BT39" s="403">
        <v>0.21585918322</v>
      </c>
      <c r="BU39" s="403">
        <v>0.21474102886999999</v>
      </c>
      <c r="BV39" s="403">
        <v>0.21357575685999999</v>
      </c>
    </row>
    <row r="40" spans="1:74" ht="11.1" customHeight="1" x14ac:dyDescent="0.2">
      <c r="C40" s="222"/>
      <c r="D40" s="222"/>
      <c r="E40" s="222"/>
      <c r="F40" s="222"/>
      <c r="G40" s="222"/>
      <c r="H40" s="222"/>
      <c r="I40" s="222"/>
      <c r="J40" s="222"/>
      <c r="K40" s="222"/>
      <c r="L40" s="222"/>
      <c r="M40" s="222"/>
      <c r="N40" s="222"/>
      <c r="O40" s="222"/>
      <c r="P40" s="222"/>
      <c r="Q40" s="222"/>
      <c r="R40" s="222"/>
      <c r="S40" s="222"/>
      <c r="T40" s="222"/>
      <c r="U40" s="222"/>
      <c r="V40" s="222"/>
      <c r="W40" s="222"/>
      <c r="X40" s="222"/>
      <c r="Y40" s="222"/>
      <c r="Z40" s="222"/>
      <c r="AA40" s="222"/>
      <c r="AB40" s="222"/>
      <c r="AC40" s="222"/>
      <c r="AD40" s="222"/>
      <c r="AE40" s="222"/>
      <c r="AF40" s="222"/>
      <c r="AG40" s="222"/>
      <c r="AH40" s="222"/>
      <c r="AI40" s="222"/>
      <c r="AJ40" s="222"/>
      <c r="AK40" s="222"/>
      <c r="AL40" s="222"/>
      <c r="AM40" s="222"/>
      <c r="AN40" s="222"/>
      <c r="AO40" s="222"/>
      <c r="AP40" s="222"/>
      <c r="AQ40" s="222"/>
      <c r="AR40" s="222"/>
      <c r="AS40" s="222"/>
      <c r="AT40" s="222"/>
      <c r="AU40" s="222"/>
      <c r="AV40" s="222"/>
      <c r="AW40" s="222"/>
      <c r="AX40" s="222"/>
      <c r="AY40" s="222"/>
      <c r="AZ40" s="222"/>
      <c r="BA40" s="222"/>
      <c r="BB40" s="222"/>
      <c r="BC40" s="222"/>
      <c r="BD40" s="222"/>
      <c r="BE40" s="222"/>
      <c r="BF40" s="222"/>
      <c r="BG40" s="404"/>
      <c r="BH40" s="404"/>
      <c r="BI40" s="404"/>
      <c r="BJ40" s="404"/>
      <c r="BK40" s="404"/>
      <c r="BL40" s="404"/>
      <c r="BM40" s="404"/>
      <c r="BN40" s="404"/>
      <c r="BO40" s="404"/>
      <c r="BP40" s="404"/>
      <c r="BQ40" s="404"/>
      <c r="BR40" s="404"/>
      <c r="BS40" s="404"/>
      <c r="BT40" s="404"/>
      <c r="BU40" s="404"/>
      <c r="BV40" s="404"/>
    </row>
    <row r="41" spans="1:74" ht="11.1" customHeight="1" x14ac:dyDescent="0.2">
      <c r="A41" s="162" t="s">
        <v>384</v>
      </c>
      <c r="B41" s="172" t="s">
        <v>393</v>
      </c>
      <c r="C41" s="250">
        <v>1.526019</v>
      </c>
      <c r="D41" s="250">
        <v>1.5110189999999999</v>
      </c>
      <c r="E41" s="250">
        <v>1.4430190000000001</v>
      </c>
      <c r="F41" s="250">
        <v>1.480019</v>
      </c>
      <c r="G41" s="250">
        <v>1.502019</v>
      </c>
      <c r="H41" s="250">
        <v>1.5170189999999999</v>
      </c>
      <c r="I41" s="250">
        <v>1.518019</v>
      </c>
      <c r="J41" s="250">
        <v>1.5210189999999999</v>
      </c>
      <c r="K41" s="250">
        <v>1.5450189999999999</v>
      </c>
      <c r="L41" s="250">
        <v>1.536019</v>
      </c>
      <c r="M41" s="250">
        <v>1.5250189999999999</v>
      </c>
      <c r="N41" s="250">
        <v>1.5150189999999999</v>
      </c>
      <c r="O41" s="250">
        <v>1.5347029999999999</v>
      </c>
      <c r="P41" s="250">
        <v>1.523703</v>
      </c>
      <c r="Q41" s="250">
        <v>1.5107029999999999</v>
      </c>
      <c r="R41" s="250">
        <v>1.517703</v>
      </c>
      <c r="S41" s="250">
        <v>1.5307029999999999</v>
      </c>
      <c r="T41" s="250">
        <v>1.523703</v>
      </c>
      <c r="U41" s="250">
        <v>1.535703</v>
      </c>
      <c r="V41" s="250">
        <v>1.541703</v>
      </c>
      <c r="W41" s="250">
        <v>1.566703</v>
      </c>
      <c r="X41" s="250">
        <v>1.562703</v>
      </c>
      <c r="Y41" s="250">
        <v>1.5597030000000001</v>
      </c>
      <c r="Z41" s="250">
        <v>1.560703</v>
      </c>
      <c r="AA41" s="250">
        <v>1.497703</v>
      </c>
      <c r="AB41" s="250">
        <v>1.499703</v>
      </c>
      <c r="AC41" s="250">
        <v>1.501703</v>
      </c>
      <c r="AD41" s="250">
        <v>1.5007029999999999</v>
      </c>
      <c r="AE41" s="250">
        <v>1.5047029999999999</v>
      </c>
      <c r="AF41" s="250">
        <v>1.4607030000000001</v>
      </c>
      <c r="AG41" s="250">
        <v>1.5107029999999999</v>
      </c>
      <c r="AH41" s="250">
        <v>1.5187029999999999</v>
      </c>
      <c r="AI41" s="250">
        <v>1.525703</v>
      </c>
      <c r="AJ41" s="250">
        <v>1.5207029999999999</v>
      </c>
      <c r="AK41" s="250">
        <v>1.525703</v>
      </c>
      <c r="AL41" s="250">
        <v>1.533703</v>
      </c>
      <c r="AM41" s="250">
        <v>1.502702</v>
      </c>
      <c r="AN41" s="250">
        <v>1.4897020000000001</v>
      </c>
      <c r="AO41" s="250">
        <v>1.5097020000000001</v>
      </c>
      <c r="AP41" s="250">
        <v>1.508702</v>
      </c>
      <c r="AQ41" s="250">
        <v>1.5217020000000001</v>
      </c>
      <c r="AR41" s="250">
        <v>1.534702</v>
      </c>
      <c r="AS41" s="250">
        <v>1.540702</v>
      </c>
      <c r="AT41" s="250">
        <v>1.554702</v>
      </c>
      <c r="AU41" s="250">
        <v>1.540702</v>
      </c>
      <c r="AV41" s="250">
        <v>1.5417019999999999</v>
      </c>
      <c r="AW41" s="250">
        <v>1.540702</v>
      </c>
      <c r="AX41" s="250">
        <v>1.542702</v>
      </c>
      <c r="AY41" s="250">
        <v>1.4577020000000001</v>
      </c>
      <c r="AZ41" s="250">
        <v>1.4577020000000001</v>
      </c>
      <c r="BA41" s="250">
        <v>1.4487019999999999</v>
      </c>
      <c r="BB41" s="250">
        <v>1.445702</v>
      </c>
      <c r="BC41" s="250">
        <v>1.441702</v>
      </c>
      <c r="BD41" s="250">
        <v>1.3906766356</v>
      </c>
      <c r="BE41" s="250">
        <v>1.4331278116999999</v>
      </c>
      <c r="BF41" s="250">
        <v>1.4297496145999999</v>
      </c>
      <c r="BG41" s="403">
        <v>1.4466332191</v>
      </c>
      <c r="BH41" s="403">
        <v>1.4430022272</v>
      </c>
      <c r="BI41" s="403">
        <v>1.4396044666000001</v>
      </c>
      <c r="BJ41" s="403">
        <v>1.436257433</v>
      </c>
      <c r="BK41" s="403">
        <v>1.3818030628</v>
      </c>
      <c r="BL41" s="403">
        <v>1.3788176458000001</v>
      </c>
      <c r="BM41" s="403">
        <v>1.3750586417999999</v>
      </c>
      <c r="BN41" s="403">
        <v>1.3714003189999999</v>
      </c>
      <c r="BO41" s="403">
        <v>1.3678758811</v>
      </c>
      <c r="BP41" s="403">
        <v>1.3645849220999999</v>
      </c>
      <c r="BQ41" s="403">
        <v>1.3646863096999999</v>
      </c>
      <c r="BR41" s="403">
        <v>1.3647718688999999</v>
      </c>
      <c r="BS41" s="403">
        <v>1.3649113751999999</v>
      </c>
      <c r="BT41" s="403">
        <v>1.364796991</v>
      </c>
      <c r="BU41" s="403">
        <v>1.3650531985000001</v>
      </c>
      <c r="BV41" s="403">
        <v>1.3651877722000001</v>
      </c>
    </row>
    <row r="42" spans="1:74" ht="11.1" customHeight="1" x14ac:dyDescent="0.2">
      <c r="A42" s="162" t="s">
        <v>270</v>
      </c>
      <c r="B42" s="173" t="s">
        <v>383</v>
      </c>
      <c r="C42" s="250">
        <v>0.70042599999999999</v>
      </c>
      <c r="D42" s="250">
        <v>0.69142599999999999</v>
      </c>
      <c r="E42" s="250">
        <v>0.69042599999999998</v>
      </c>
      <c r="F42" s="250">
        <v>0.69442599999999999</v>
      </c>
      <c r="G42" s="250">
        <v>0.69242599999999999</v>
      </c>
      <c r="H42" s="250">
        <v>0.68942599999999998</v>
      </c>
      <c r="I42" s="250">
        <v>0.68842599999999998</v>
      </c>
      <c r="J42" s="250">
        <v>0.68242599999999998</v>
      </c>
      <c r="K42" s="250">
        <v>0.67542599999999997</v>
      </c>
      <c r="L42" s="250">
        <v>0.67342599999999997</v>
      </c>
      <c r="M42" s="250">
        <v>0.66342599999999996</v>
      </c>
      <c r="N42" s="250">
        <v>0.65342599999999995</v>
      </c>
      <c r="O42" s="250">
        <v>0.65742599999999995</v>
      </c>
      <c r="P42" s="250">
        <v>0.64942599999999995</v>
      </c>
      <c r="Q42" s="250">
        <v>0.63942600000000005</v>
      </c>
      <c r="R42" s="250">
        <v>0.64942599999999995</v>
      </c>
      <c r="S42" s="250">
        <v>0.65742599999999995</v>
      </c>
      <c r="T42" s="250">
        <v>0.65842599999999996</v>
      </c>
      <c r="U42" s="250">
        <v>0.65542599999999995</v>
      </c>
      <c r="V42" s="250">
        <v>0.66442599999999996</v>
      </c>
      <c r="W42" s="250">
        <v>0.67242599999999997</v>
      </c>
      <c r="X42" s="250">
        <v>0.66642599999999996</v>
      </c>
      <c r="Y42" s="250">
        <v>0.66142599999999996</v>
      </c>
      <c r="Z42" s="250">
        <v>0.66342599999999996</v>
      </c>
      <c r="AA42" s="250">
        <v>0.66242599999999996</v>
      </c>
      <c r="AB42" s="250">
        <v>0.66742599999999996</v>
      </c>
      <c r="AC42" s="250">
        <v>0.66842599999999996</v>
      </c>
      <c r="AD42" s="250">
        <v>0.67442599999999997</v>
      </c>
      <c r="AE42" s="250">
        <v>0.67642599999999997</v>
      </c>
      <c r="AF42" s="250">
        <v>0.64142600000000005</v>
      </c>
      <c r="AG42" s="250">
        <v>0.66542599999999996</v>
      </c>
      <c r="AH42" s="250">
        <v>0.67442599999999997</v>
      </c>
      <c r="AI42" s="250">
        <v>0.67242599999999997</v>
      </c>
      <c r="AJ42" s="250">
        <v>0.66442599999999996</v>
      </c>
      <c r="AK42" s="250">
        <v>0.67042599999999997</v>
      </c>
      <c r="AL42" s="250">
        <v>0.67542599999999997</v>
      </c>
      <c r="AM42" s="250">
        <v>0.67142599999999997</v>
      </c>
      <c r="AN42" s="250">
        <v>0.66642599999999996</v>
      </c>
      <c r="AO42" s="250">
        <v>0.65042599999999995</v>
      </c>
      <c r="AP42" s="250">
        <v>0.66042599999999996</v>
      </c>
      <c r="AQ42" s="250">
        <v>0.65042599999999995</v>
      </c>
      <c r="AR42" s="250">
        <v>0.65042599999999995</v>
      </c>
      <c r="AS42" s="250">
        <v>0.65042599999999995</v>
      </c>
      <c r="AT42" s="250">
        <v>0.65042599999999995</v>
      </c>
      <c r="AU42" s="250">
        <v>0.65042599999999995</v>
      </c>
      <c r="AV42" s="250">
        <v>0.65042599999999995</v>
      </c>
      <c r="AW42" s="250">
        <v>0.65042599999999995</v>
      </c>
      <c r="AX42" s="250">
        <v>0.65042599999999995</v>
      </c>
      <c r="AY42" s="250">
        <v>0.60042600000000002</v>
      </c>
      <c r="AZ42" s="250">
        <v>0.60042600000000002</v>
      </c>
      <c r="BA42" s="250">
        <v>0.60042600000000002</v>
      </c>
      <c r="BB42" s="250">
        <v>0.60042600000000002</v>
      </c>
      <c r="BC42" s="250">
        <v>0.60042600000000002</v>
      </c>
      <c r="BD42" s="250">
        <v>0.60811568774000002</v>
      </c>
      <c r="BE42" s="250">
        <v>0.60808042370000004</v>
      </c>
      <c r="BF42" s="250">
        <v>0.60806849335000002</v>
      </c>
      <c r="BG42" s="403">
        <v>0.60804128275000002</v>
      </c>
      <c r="BH42" s="403">
        <v>0.60804369197999997</v>
      </c>
      <c r="BI42" s="403">
        <v>0.60803248456000003</v>
      </c>
      <c r="BJ42" s="403">
        <v>0.60801821888999996</v>
      </c>
      <c r="BK42" s="403">
        <v>0.57240066999000005</v>
      </c>
      <c r="BL42" s="403">
        <v>0.57236190564</v>
      </c>
      <c r="BM42" s="403">
        <v>0.57237160629999995</v>
      </c>
      <c r="BN42" s="403">
        <v>0.57237533220000003</v>
      </c>
      <c r="BO42" s="403">
        <v>0.57237117081</v>
      </c>
      <c r="BP42" s="403">
        <v>0.57235337020999999</v>
      </c>
      <c r="BQ42" s="403">
        <v>0.57235096343000003</v>
      </c>
      <c r="BR42" s="403">
        <v>0.57234934612999999</v>
      </c>
      <c r="BS42" s="403">
        <v>0.57234448948000005</v>
      </c>
      <c r="BT42" s="403">
        <v>0.57235419931999998</v>
      </c>
      <c r="BU42" s="403">
        <v>0.57234237103999996</v>
      </c>
      <c r="BV42" s="403">
        <v>0.57233747186999995</v>
      </c>
    </row>
    <row r="43" spans="1:74" ht="11.1" customHeight="1" x14ac:dyDescent="0.2">
      <c r="A43" s="162" t="s">
        <v>1057</v>
      </c>
      <c r="B43" s="173" t="s">
        <v>1056</v>
      </c>
      <c r="C43" s="250">
        <v>0.151</v>
      </c>
      <c r="D43" s="250">
        <v>0.152</v>
      </c>
      <c r="E43" s="250">
        <v>0.154</v>
      </c>
      <c r="F43" s="250">
        <v>0.155</v>
      </c>
      <c r="G43" s="250">
        <v>0.156</v>
      </c>
      <c r="H43" s="250">
        <v>0.157</v>
      </c>
      <c r="I43" s="250">
        <v>0.152</v>
      </c>
      <c r="J43" s="250">
        <v>0.14699999999999999</v>
      </c>
      <c r="K43" s="250">
        <v>0.14099999999999999</v>
      </c>
      <c r="L43" s="250">
        <v>0.14899999999999999</v>
      </c>
      <c r="M43" s="250">
        <v>0.17299999999999999</v>
      </c>
      <c r="N43" s="250">
        <v>0.14299999999999999</v>
      </c>
      <c r="O43" s="250">
        <v>0.13900000000000001</v>
      </c>
      <c r="P43" s="250">
        <v>0.16200000000000001</v>
      </c>
      <c r="Q43" s="250">
        <v>0.152</v>
      </c>
      <c r="R43" s="250">
        <v>0.152</v>
      </c>
      <c r="S43" s="250">
        <v>0.14799999999999999</v>
      </c>
      <c r="T43" s="250">
        <v>0.14799999999999999</v>
      </c>
      <c r="U43" s="250">
        <v>0.14799999999999999</v>
      </c>
      <c r="V43" s="250">
        <v>0.14899999999999999</v>
      </c>
      <c r="W43" s="250">
        <v>0.15</v>
      </c>
      <c r="X43" s="250">
        <v>0.151</v>
      </c>
      <c r="Y43" s="250">
        <v>0.152</v>
      </c>
      <c r="Z43" s="250">
        <v>0.153</v>
      </c>
      <c r="AA43" s="250">
        <v>0.12</v>
      </c>
      <c r="AB43" s="250">
        <v>0.12</v>
      </c>
      <c r="AC43" s="250">
        <v>0.12</v>
      </c>
      <c r="AD43" s="250">
        <v>0.12</v>
      </c>
      <c r="AE43" s="250">
        <v>0.12</v>
      </c>
      <c r="AF43" s="250">
        <v>0.12</v>
      </c>
      <c r="AG43" s="250">
        <v>0.12</v>
      </c>
      <c r="AH43" s="250">
        <v>0.12</v>
      </c>
      <c r="AI43" s="250">
        <v>0.13</v>
      </c>
      <c r="AJ43" s="250">
        <v>0.14000000000000001</v>
      </c>
      <c r="AK43" s="250">
        <v>0.14000000000000001</v>
      </c>
      <c r="AL43" s="250">
        <v>0.14000000000000001</v>
      </c>
      <c r="AM43" s="250">
        <v>0.15</v>
      </c>
      <c r="AN43" s="250">
        <v>0.15</v>
      </c>
      <c r="AO43" s="250">
        <v>0.15</v>
      </c>
      <c r="AP43" s="250">
        <v>0.16</v>
      </c>
      <c r="AQ43" s="250">
        <v>0.16</v>
      </c>
      <c r="AR43" s="250">
        <v>0.16</v>
      </c>
      <c r="AS43" s="250">
        <v>0.17</v>
      </c>
      <c r="AT43" s="250">
        <v>0.185</v>
      </c>
      <c r="AU43" s="250">
        <v>0.18</v>
      </c>
      <c r="AV43" s="250">
        <v>0.17799999999999999</v>
      </c>
      <c r="AW43" s="250">
        <v>0.17799999999999999</v>
      </c>
      <c r="AX43" s="250">
        <v>0.17799999999999999</v>
      </c>
      <c r="AY43" s="250">
        <v>0.17799999999999999</v>
      </c>
      <c r="AZ43" s="250">
        <v>0.17799999999999999</v>
      </c>
      <c r="BA43" s="250">
        <v>0.17</v>
      </c>
      <c r="BB43" s="250">
        <v>0.17</v>
      </c>
      <c r="BC43" s="250">
        <v>0.17</v>
      </c>
      <c r="BD43" s="250">
        <v>0.12</v>
      </c>
      <c r="BE43" s="250">
        <v>0.15</v>
      </c>
      <c r="BF43" s="250">
        <v>0.15</v>
      </c>
      <c r="BG43" s="403">
        <v>0.17</v>
      </c>
      <c r="BH43" s="403">
        <v>0.17</v>
      </c>
      <c r="BI43" s="403">
        <v>0.17</v>
      </c>
      <c r="BJ43" s="403">
        <v>0.17</v>
      </c>
      <c r="BK43" s="403">
        <v>0.17</v>
      </c>
      <c r="BL43" s="403">
        <v>0.17</v>
      </c>
      <c r="BM43" s="403">
        <v>0.17</v>
      </c>
      <c r="BN43" s="403">
        <v>0.17</v>
      </c>
      <c r="BO43" s="403">
        <v>0.17</v>
      </c>
      <c r="BP43" s="403">
        <v>0.17</v>
      </c>
      <c r="BQ43" s="403">
        <v>0.17</v>
      </c>
      <c r="BR43" s="403">
        <v>0.17</v>
      </c>
      <c r="BS43" s="403">
        <v>0.17</v>
      </c>
      <c r="BT43" s="403">
        <v>0.17</v>
      </c>
      <c r="BU43" s="403">
        <v>0.17</v>
      </c>
      <c r="BV43" s="403">
        <v>0.17</v>
      </c>
    </row>
    <row r="44" spans="1:74" ht="11.1" customHeight="1" x14ac:dyDescent="0.2">
      <c r="C44" s="222"/>
      <c r="D44" s="222"/>
      <c r="E44" s="222"/>
      <c r="F44" s="222"/>
      <c r="G44" s="222"/>
      <c r="H44" s="222"/>
      <c r="I44" s="222"/>
      <c r="J44" s="222"/>
      <c r="K44" s="222"/>
      <c r="L44" s="222"/>
      <c r="M44" s="222"/>
      <c r="N44" s="222"/>
      <c r="O44" s="222"/>
      <c r="P44" s="222"/>
      <c r="Q44" s="222"/>
      <c r="R44" s="222"/>
      <c r="S44" s="222"/>
      <c r="T44" s="222"/>
      <c r="U44" s="222"/>
      <c r="V44" s="222"/>
      <c r="W44" s="222"/>
      <c r="X44" s="222"/>
      <c r="Y44" s="222"/>
      <c r="Z44" s="222"/>
      <c r="AA44" s="222"/>
      <c r="AB44" s="222"/>
      <c r="AC44" s="222"/>
      <c r="AD44" s="222"/>
      <c r="AE44" s="222"/>
      <c r="AF44" s="222"/>
      <c r="AG44" s="222"/>
      <c r="AH44" s="222"/>
      <c r="AI44" s="222"/>
      <c r="AJ44" s="222"/>
      <c r="AK44" s="222"/>
      <c r="AL44" s="222"/>
      <c r="AM44" s="222"/>
      <c r="AN44" s="222"/>
      <c r="AO44" s="222"/>
      <c r="AP44" s="222"/>
      <c r="AQ44" s="222"/>
      <c r="AR44" s="222"/>
      <c r="AS44" s="222"/>
      <c r="AT44" s="222"/>
      <c r="AU44" s="222"/>
      <c r="AV44" s="222"/>
      <c r="AW44" s="222"/>
      <c r="AX44" s="222"/>
      <c r="AY44" s="222"/>
      <c r="AZ44" s="222"/>
      <c r="BA44" s="222"/>
      <c r="BB44" s="222"/>
      <c r="BC44" s="222"/>
      <c r="BD44" s="222"/>
      <c r="BE44" s="222"/>
      <c r="BF44" s="222"/>
      <c r="BG44" s="404"/>
      <c r="BH44" s="404"/>
      <c r="BI44" s="404"/>
      <c r="BJ44" s="404"/>
      <c r="BK44" s="404"/>
      <c r="BL44" s="404"/>
      <c r="BM44" s="404"/>
      <c r="BN44" s="404"/>
      <c r="BO44" s="404"/>
      <c r="BP44" s="404"/>
      <c r="BQ44" s="404"/>
      <c r="BR44" s="404"/>
      <c r="BS44" s="404"/>
      <c r="BT44" s="404"/>
      <c r="BU44" s="404"/>
      <c r="BV44" s="404"/>
    </row>
    <row r="45" spans="1:74" ht="11.1" customHeight="1" x14ac:dyDescent="0.2">
      <c r="A45" s="162" t="s">
        <v>386</v>
      </c>
      <c r="B45" s="172" t="s">
        <v>82</v>
      </c>
      <c r="C45" s="250">
        <v>61.206679710000003</v>
      </c>
      <c r="D45" s="250">
        <v>60.822383379000001</v>
      </c>
      <c r="E45" s="250">
        <v>60.711588128999999</v>
      </c>
      <c r="F45" s="250">
        <v>60.345994666999999</v>
      </c>
      <c r="G45" s="250">
        <v>59.990315097</v>
      </c>
      <c r="H45" s="250">
        <v>60.062790999999997</v>
      </c>
      <c r="I45" s="250">
        <v>60.938876548000003</v>
      </c>
      <c r="J45" s="250">
        <v>60.057389677000003</v>
      </c>
      <c r="K45" s="250">
        <v>60.193618333000003</v>
      </c>
      <c r="L45" s="250">
        <v>61.100157903000003</v>
      </c>
      <c r="M45" s="250">
        <v>61.789088333000002</v>
      </c>
      <c r="N45" s="250">
        <v>60.938868386999999</v>
      </c>
      <c r="O45" s="250">
        <v>60.687905419000003</v>
      </c>
      <c r="P45" s="250">
        <v>61.036444285999998</v>
      </c>
      <c r="Q45" s="250">
        <v>60.874748709999999</v>
      </c>
      <c r="R45" s="250">
        <v>60.471220000000002</v>
      </c>
      <c r="S45" s="250">
        <v>60.931961387000001</v>
      </c>
      <c r="T45" s="250">
        <v>61.287832332999997</v>
      </c>
      <c r="U45" s="250">
        <v>61.753626677</v>
      </c>
      <c r="V45" s="250">
        <v>61.199716289999998</v>
      </c>
      <c r="W45" s="250">
        <v>61.136431999999999</v>
      </c>
      <c r="X45" s="250">
        <v>61.914520355000001</v>
      </c>
      <c r="Y45" s="250">
        <v>62.666852333000001</v>
      </c>
      <c r="Z45" s="250">
        <v>61.985034386999999</v>
      </c>
      <c r="AA45" s="250">
        <v>62.087208554</v>
      </c>
      <c r="AB45" s="250">
        <v>62.503146465999997</v>
      </c>
      <c r="AC45" s="250">
        <v>62.905726395000002</v>
      </c>
      <c r="AD45" s="250">
        <v>63.079097314999999</v>
      </c>
      <c r="AE45" s="250">
        <v>63.147793612000001</v>
      </c>
      <c r="AF45" s="250">
        <v>63.937147453999998</v>
      </c>
      <c r="AG45" s="250">
        <v>64.655162211999993</v>
      </c>
      <c r="AH45" s="250">
        <v>64.978539419000001</v>
      </c>
      <c r="AI45" s="250">
        <v>64.648297984999999</v>
      </c>
      <c r="AJ45" s="250">
        <v>65.391048072999993</v>
      </c>
      <c r="AK45" s="250">
        <v>65.759384495999996</v>
      </c>
      <c r="AL45" s="250">
        <v>65.883412046000004</v>
      </c>
      <c r="AM45" s="250">
        <v>64.852919541000006</v>
      </c>
      <c r="AN45" s="250">
        <v>64.668569988000002</v>
      </c>
      <c r="AO45" s="250">
        <v>65.242197617000002</v>
      </c>
      <c r="AP45" s="250">
        <v>65.387748787999996</v>
      </c>
      <c r="AQ45" s="250">
        <v>65.537960464999998</v>
      </c>
      <c r="AR45" s="250">
        <v>65.717902932000001</v>
      </c>
      <c r="AS45" s="250">
        <v>65.674500894000005</v>
      </c>
      <c r="AT45" s="250">
        <v>66.646012862000006</v>
      </c>
      <c r="AU45" s="250">
        <v>66.521533938000005</v>
      </c>
      <c r="AV45" s="250">
        <v>66.943054512000003</v>
      </c>
      <c r="AW45" s="250">
        <v>67.705728186000002</v>
      </c>
      <c r="AX45" s="250">
        <v>67.476325193999998</v>
      </c>
      <c r="AY45" s="250">
        <v>67.476011451999995</v>
      </c>
      <c r="AZ45" s="250">
        <v>67.005714897000004</v>
      </c>
      <c r="BA45" s="250">
        <v>67.176577839000004</v>
      </c>
      <c r="BB45" s="250">
        <v>64.766840666999997</v>
      </c>
      <c r="BC45" s="250">
        <v>59.627692967999998</v>
      </c>
      <c r="BD45" s="250">
        <v>60.967848936000003</v>
      </c>
      <c r="BE45" s="250">
        <v>61.899766055000001</v>
      </c>
      <c r="BF45" s="250">
        <v>62.729980826000002</v>
      </c>
      <c r="BG45" s="403">
        <v>63.026546527000001</v>
      </c>
      <c r="BH45" s="403">
        <v>63.705252342000001</v>
      </c>
      <c r="BI45" s="403">
        <v>63.969572519000003</v>
      </c>
      <c r="BJ45" s="403">
        <v>63.893410074999998</v>
      </c>
      <c r="BK45" s="403">
        <v>63.806628803000002</v>
      </c>
      <c r="BL45" s="403">
        <v>63.663719192999999</v>
      </c>
      <c r="BM45" s="403">
        <v>64.124424239999996</v>
      </c>
      <c r="BN45" s="403">
        <v>64.732742919000003</v>
      </c>
      <c r="BO45" s="403">
        <v>65.091485617000004</v>
      </c>
      <c r="BP45" s="403">
        <v>65.448892182999998</v>
      </c>
      <c r="BQ45" s="403">
        <v>65.667323089999996</v>
      </c>
      <c r="BR45" s="403">
        <v>65.930800005999998</v>
      </c>
      <c r="BS45" s="403">
        <v>66.358716216000005</v>
      </c>
      <c r="BT45" s="403">
        <v>66.597166368000003</v>
      </c>
      <c r="BU45" s="403">
        <v>66.672217071000006</v>
      </c>
      <c r="BV45" s="403">
        <v>66.205714396000005</v>
      </c>
    </row>
    <row r="46" spans="1:74" ht="11.1" customHeight="1" x14ac:dyDescent="0.2">
      <c r="B46" s="172"/>
      <c r="C46" s="250"/>
      <c r="D46" s="250"/>
      <c r="E46" s="250"/>
      <c r="F46" s="250"/>
      <c r="G46" s="250"/>
      <c r="H46" s="250"/>
      <c r="I46" s="250"/>
      <c r="J46" s="250"/>
      <c r="K46" s="250"/>
      <c r="L46" s="250"/>
      <c r="M46" s="250"/>
      <c r="N46" s="250"/>
      <c r="O46" s="250"/>
      <c r="P46" s="250"/>
      <c r="Q46" s="250"/>
      <c r="R46" s="250"/>
      <c r="S46" s="250"/>
      <c r="T46" s="250"/>
      <c r="U46" s="250"/>
      <c r="V46" s="250"/>
      <c r="W46" s="250"/>
      <c r="X46" s="250"/>
      <c r="Y46" s="250"/>
      <c r="Z46" s="250"/>
      <c r="AA46" s="250"/>
      <c r="AB46" s="250"/>
      <c r="AC46" s="250"/>
      <c r="AD46" s="250"/>
      <c r="AE46" s="250"/>
      <c r="AF46" s="250"/>
      <c r="AG46" s="250"/>
      <c r="AH46" s="250"/>
      <c r="AI46" s="250"/>
      <c r="AJ46" s="250"/>
      <c r="AK46" s="250"/>
      <c r="AL46" s="250"/>
      <c r="AM46" s="250"/>
      <c r="AN46" s="250"/>
      <c r="AO46" s="250"/>
      <c r="AP46" s="250"/>
      <c r="AQ46" s="250"/>
      <c r="AR46" s="250"/>
      <c r="AS46" s="250"/>
      <c r="AT46" s="250"/>
      <c r="AU46" s="250"/>
      <c r="AV46" s="250"/>
      <c r="AW46" s="250"/>
      <c r="AX46" s="250"/>
      <c r="AY46" s="250"/>
      <c r="AZ46" s="250"/>
      <c r="BA46" s="250"/>
      <c r="BB46" s="250"/>
      <c r="BC46" s="250"/>
      <c r="BD46" s="250"/>
      <c r="BE46" s="250"/>
      <c r="BF46" s="250"/>
      <c r="BG46" s="403"/>
      <c r="BH46" s="403"/>
      <c r="BI46" s="403"/>
      <c r="BJ46" s="403"/>
      <c r="BK46" s="403"/>
      <c r="BL46" s="403"/>
      <c r="BM46" s="403"/>
      <c r="BN46" s="403"/>
      <c r="BO46" s="403"/>
      <c r="BP46" s="403"/>
      <c r="BQ46" s="403"/>
      <c r="BR46" s="403"/>
      <c r="BS46" s="403"/>
      <c r="BT46" s="403"/>
      <c r="BU46" s="403"/>
      <c r="BV46" s="403"/>
    </row>
    <row r="47" spans="1:74" ht="11.1" customHeight="1" x14ac:dyDescent="0.2">
      <c r="A47" s="162" t="s">
        <v>385</v>
      </c>
      <c r="B47" s="172" t="s">
        <v>394</v>
      </c>
      <c r="C47" s="250">
        <v>5.2322679292999998</v>
      </c>
      <c r="D47" s="250">
        <v>5.1812942231000001</v>
      </c>
      <c r="E47" s="250">
        <v>5.3270877905000003</v>
      </c>
      <c r="F47" s="250">
        <v>5.3081358289000002</v>
      </c>
      <c r="G47" s="250">
        <v>5.1558964726000003</v>
      </c>
      <c r="H47" s="250">
        <v>5.1544573673</v>
      </c>
      <c r="I47" s="250">
        <v>5.2734352818000003</v>
      </c>
      <c r="J47" s="250">
        <v>5.2710547582</v>
      </c>
      <c r="K47" s="250">
        <v>5.2226228460000002</v>
      </c>
      <c r="L47" s="250">
        <v>5.2860927522000001</v>
      </c>
      <c r="M47" s="250">
        <v>5.3722380945000001</v>
      </c>
      <c r="N47" s="250">
        <v>5.2553303384000003</v>
      </c>
      <c r="O47" s="250">
        <v>5.4156663730999997</v>
      </c>
      <c r="P47" s="250">
        <v>5.3337478620000001</v>
      </c>
      <c r="Q47" s="250">
        <v>5.2238343589999996</v>
      </c>
      <c r="R47" s="250">
        <v>5.3567853429000003</v>
      </c>
      <c r="S47" s="250">
        <v>5.3319587780999997</v>
      </c>
      <c r="T47" s="250">
        <v>5.2899539275</v>
      </c>
      <c r="U47" s="250">
        <v>5.3044041030000004</v>
      </c>
      <c r="V47" s="250">
        <v>5.2352452238999998</v>
      </c>
      <c r="W47" s="250">
        <v>5.2540864887999996</v>
      </c>
      <c r="X47" s="250">
        <v>5.1861490206000003</v>
      </c>
      <c r="Y47" s="250">
        <v>5.2899525972000001</v>
      </c>
      <c r="Z47" s="250">
        <v>5.3494408478000004</v>
      </c>
      <c r="AA47" s="250">
        <v>5.3625146775000001</v>
      </c>
      <c r="AB47" s="250">
        <v>5.3745710431999996</v>
      </c>
      <c r="AC47" s="250">
        <v>5.3049381048999997</v>
      </c>
      <c r="AD47" s="250">
        <v>5.2646136694000001</v>
      </c>
      <c r="AE47" s="250">
        <v>5.2501324999000003</v>
      </c>
      <c r="AF47" s="250">
        <v>5.2994501010999997</v>
      </c>
      <c r="AG47" s="250">
        <v>5.2892842677000003</v>
      </c>
      <c r="AH47" s="250">
        <v>5.3028128678000002</v>
      </c>
      <c r="AI47" s="250">
        <v>5.3555109999999999</v>
      </c>
      <c r="AJ47" s="250">
        <v>5.3225110000000004</v>
      </c>
      <c r="AK47" s="250">
        <v>5.3325110000000002</v>
      </c>
      <c r="AL47" s="250">
        <v>5.3175109999999997</v>
      </c>
      <c r="AM47" s="250">
        <v>5.4485099999999997</v>
      </c>
      <c r="AN47" s="250">
        <v>5.4695099999999996</v>
      </c>
      <c r="AO47" s="250">
        <v>5.4975100000000001</v>
      </c>
      <c r="AP47" s="250">
        <v>5.4805099999999998</v>
      </c>
      <c r="AQ47" s="250">
        <v>5.4335100000000001</v>
      </c>
      <c r="AR47" s="250">
        <v>5.49451</v>
      </c>
      <c r="AS47" s="250">
        <v>5.4055099999999996</v>
      </c>
      <c r="AT47" s="250">
        <v>5.3705100000000003</v>
      </c>
      <c r="AU47" s="250">
        <v>4.9475100000000003</v>
      </c>
      <c r="AV47" s="250">
        <v>5.3285099999999996</v>
      </c>
      <c r="AW47" s="250">
        <v>5.3095100000000004</v>
      </c>
      <c r="AX47" s="250">
        <v>5.3825099999999999</v>
      </c>
      <c r="AY47" s="250">
        <v>5.2735099999999999</v>
      </c>
      <c r="AZ47" s="250">
        <v>5.2835099999999997</v>
      </c>
      <c r="BA47" s="250">
        <v>5.2745100000000003</v>
      </c>
      <c r="BB47" s="250">
        <v>5.2165100000000004</v>
      </c>
      <c r="BC47" s="250">
        <v>4.6325099999999999</v>
      </c>
      <c r="BD47" s="250">
        <v>4.8132116382000003</v>
      </c>
      <c r="BE47" s="250">
        <v>4.7870887569000002</v>
      </c>
      <c r="BF47" s="250">
        <v>4.8389277804999997</v>
      </c>
      <c r="BG47" s="403">
        <v>4.8601941619</v>
      </c>
      <c r="BH47" s="403">
        <v>4.8255572129999997</v>
      </c>
      <c r="BI47" s="403">
        <v>4.8918478023</v>
      </c>
      <c r="BJ47" s="403">
        <v>4.9865783377000001</v>
      </c>
      <c r="BK47" s="403">
        <v>5.0693511205000004</v>
      </c>
      <c r="BL47" s="403">
        <v>5.0412560950999996</v>
      </c>
      <c r="BM47" s="403">
        <v>5.0111910955000001</v>
      </c>
      <c r="BN47" s="403">
        <v>4.9812800328</v>
      </c>
      <c r="BO47" s="403">
        <v>4.9617804698999999</v>
      </c>
      <c r="BP47" s="403">
        <v>4.9628213095999998</v>
      </c>
      <c r="BQ47" s="403">
        <v>4.9632928115999997</v>
      </c>
      <c r="BR47" s="403">
        <v>4.9635142228999998</v>
      </c>
      <c r="BS47" s="403">
        <v>4.9638629761999997</v>
      </c>
      <c r="BT47" s="403">
        <v>4.9636318126000001</v>
      </c>
      <c r="BU47" s="403">
        <v>4.9646374743999999</v>
      </c>
      <c r="BV47" s="403">
        <v>4.9653840007000003</v>
      </c>
    </row>
    <row r="48" spans="1:74" ht="11.1" customHeight="1" x14ac:dyDescent="0.2">
      <c r="A48" s="162" t="s">
        <v>387</v>
      </c>
      <c r="B48" s="172" t="s">
        <v>395</v>
      </c>
      <c r="C48" s="250">
        <v>66.438947639000006</v>
      </c>
      <c r="D48" s="250">
        <v>66.003677601999996</v>
      </c>
      <c r="E48" s="250">
        <v>66.038675920000003</v>
      </c>
      <c r="F48" s="250">
        <v>65.654130495999993</v>
      </c>
      <c r="G48" s="250">
        <v>65.146211569000002</v>
      </c>
      <c r="H48" s="250">
        <v>65.217248366999996</v>
      </c>
      <c r="I48" s="250">
        <v>66.212311830000004</v>
      </c>
      <c r="J48" s="250">
        <v>65.328444435999998</v>
      </c>
      <c r="K48" s="250">
        <v>65.416241178999996</v>
      </c>
      <c r="L48" s="250">
        <v>66.386250654999998</v>
      </c>
      <c r="M48" s="250">
        <v>67.161326427999995</v>
      </c>
      <c r="N48" s="250">
        <v>66.194198725000007</v>
      </c>
      <c r="O48" s="250">
        <v>66.103571791999997</v>
      </c>
      <c r="P48" s="250">
        <v>66.370192148000001</v>
      </c>
      <c r="Q48" s="250">
        <v>66.098583069</v>
      </c>
      <c r="R48" s="250">
        <v>65.828005343000001</v>
      </c>
      <c r="S48" s="250">
        <v>66.263920165000002</v>
      </c>
      <c r="T48" s="250">
        <v>66.577786261</v>
      </c>
      <c r="U48" s="250">
        <v>67.058030779999996</v>
      </c>
      <c r="V48" s="250">
        <v>66.434961513999994</v>
      </c>
      <c r="W48" s="250">
        <v>66.390518489000002</v>
      </c>
      <c r="X48" s="250">
        <v>67.100669374999995</v>
      </c>
      <c r="Y48" s="250">
        <v>67.956804930999994</v>
      </c>
      <c r="Z48" s="250">
        <v>67.334475234999999</v>
      </c>
      <c r="AA48" s="250">
        <v>67.449723230999993</v>
      </c>
      <c r="AB48" s="250">
        <v>67.877717508999993</v>
      </c>
      <c r="AC48" s="250">
        <v>68.210664499999993</v>
      </c>
      <c r="AD48" s="250">
        <v>68.343710983999998</v>
      </c>
      <c r="AE48" s="250">
        <v>68.397926111999993</v>
      </c>
      <c r="AF48" s="250">
        <v>69.236597555000003</v>
      </c>
      <c r="AG48" s="250">
        <v>69.944446479000007</v>
      </c>
      <c r="AH48" s="250">
        <v>70.281352287000004</v>
      </c>
      <c r="AI48" s="250">
        <v>70.003808985000006</v>
      </c>
      <c r="AJ48" s="250">
        <v>70.713559072999999</v>
      </c>
      <c r="AK48" s="250">
        <v>71.091895496000006</v>
      </c>
      <c r="AL48" s="250">
        <v>71.200923046</v>
      </c>
      <c r="AM48" s="250">
        <v>70.301429541000005</v>
      </c>
      <c r="AN48" s="250">
        <v>70.138079988000001</v>
      </c>
      <c r="AO48" s="250">
        <v>70.739707616999993</v>
      </c>
      <c r="AP48" s="250">
        <v>70.868258788000006</v>
      </c>
      <c r="AQ48" s="250">
        <v>70.971470464999996</v>
      </c>
      <c r="AR48" s="250">
        <v>71.212412932000007</v>
      </c>
      <c r="AS48" s="250">
        <v>71.080010893999997</v>
      </c>
      <c r="AT48" s="250">
        <v>72.016522862000002</v>
      </c>
      <c r="AU48" s="250">
        <v>71.469043937999999</v>
      </c>
      <c r="AV48" s="250">
        <v>72.271564511999998</v>
      </c>
      <c r="AW48" s="250">
        <v>73.015238186000005</v>
      </c>
      <c r="AX48" s="250">
        <v>72.858835193999994</v>
      </c>
      <c r="AY48" s="250">
        <v>72.749521451999996</v>
      </c>
      <c r="AZ48" s="250">
        <v>72.289224896999997</v>
      </c>
      <c r="BA48" s="250">
        <v>72.451087838999996</v>
      </c>
      <c r="BB48" s="250">
        <v>69.983350666999996</v>
      </c>
      <c r="BC48" s="250">
        <v>64.260202968000002</v>
      </c>
      <c r="BD48" s="250">
        <v>65.781060574999998</v>
      </c>
      <c r="BE48" s="250">
        <v>66.686854812000007</v>
      </c>
      <c r="BF48" s="250">
        <v>67.568908605999994</v>
      </c>
      <c r="BG48" s="403">
        <v>67.886740688000003</v>
      </c>
      <c r="BH48" s="403">
        <v>68.530809555000005</v>
      </c>
      <c r="BI48" s="403">
        <v>68.861420320999997</v>
      </c>
      <c r="BJ48" s="403">
        <v>68.879988412000003</v>
      </c>
      <c r="BK48" s="403">
        <v>68.875979923000003</v>
      </c>
      <c r="BL48" s="403">
        <v>68.704975288</v>
      </c>
      <c r="BM48" s="403">
        <v>69.135615336000001</v>
      </c>
      <c r="BN48" s="403">
        <v>69.714022951000004</v>
      </c>
      <c r="BO48" s="403">
        <v>70.053266086999997</v>
      </c>
      <c r="BP48" s="403">
        <v>70.411713492000004</v>
      </c>
      <c r="BQ48" s="403">
        <v>70.630615902000002</v>
      </c>
      <c r="BR48" s="403">
        <v>70.894314229000003</v>
      </c>
      <c r="BS48" s="403">
        <v>71.322579192000006</v>
      </c>
      <c r="BT48" s="403">
        <v>71.560798180999996</v>
      </c>
      <c r="BU48" s="403">
        <v>71.636854545999995</v>
      </c>
      <c r="BV48" s="403">
        <v>71.171098396999994</v>
      </c>
    </row>
    <row r="49" spans="1:74" ht="11.1" customHeight="1" x14ac:dyDescent="0.2">
      <c r="B49" s="172"/>
      <c r="C49" s="250"/>
      <c r="D49" s="250"/>
      <c r="E49" s="250"/>
      <c r="F49" s="250"/>
      <c r="G49" s="250"/>
      <c r="H49" s="250"/>
      <c r="I49" s="250"/>
      <c r="J49" s="250"/>
      <c r="K49" s="250"/>
      <c r="L49" s="250"/>
      <c r="M49" s="250"/>
      <c r="N49" s="250"/>
      <c r="O49" s="250"/>
      <c r="P49" s="250"/>
      <c r="Q49" s="250"/>
      <c r="R49" s="250"/>
      <c r="S49" s="250"/>
      <c r="T49" s="250"/>
      <c r="U49" s="250"/>
      <c r="V49" s="250"/>
      <c r="W49" s="250"/>
      <c r="X49" s="250"/>
      <c r="Y49" s="250"/>
      <c r="Z49" s="250"/>
      <c r="AA49" s="250"/>
      <c r="AB49" s="250"/>
      <c r="AC49" s="250"/>
      <c r="AD49" s="250"/>
      <c r="AE49" s="250"/>
      <c r="AF49" s="250"/>
      <c r="AG49" s="250"/>
      <c r="AH49" s="250"/>
      <c r="AI49" s="250"/>
      <c r="AJ49" s="250"/>
      <c r="AK49" s="250"/>
      <c r="AL49" s="250"/>
      <c r="AM49" s="250"/>
      <c r="AN49" s="250"/>
      <c r="AO49" s="250"/>
      <c r="AP49" s="250"/>
      <c r="AQ49" s="250"/>
      <c r="AR49" s="250"/>
      <c r="AS49" s="250"/>
      <c r="AT49" s="250"/>
      <c r="AU49" s="250"/>
      <c r="AV49" s="250"/>
      <c r="AW49" s="250"/>
      <c r="AX49" s="250"/>
      <c r="AY49" s="250"/>
      <c r="AZ49" s="250"/>
      <c r="BA49" s="250"/>
      <c r="BB49" s="250"/>
      <c r="BC49" s="250"/>
      <c r="BD49" s="250"/>
      <c r="BE49" s="250"/>
      <c r="BF49" s="250"/>
      <c r="BG49" s="403"/>
      <c r="BH49" s="403"/>
      <c r="BI49" s="403"/>
      <c r="BJ49" s="403"/>
      <c r="BK49" s="403"/>
      <c r="BL49" s="403"/>
      <c r="BM49" s="403"/>
      <c r="BN49" s="403"/>
      <c r="BO49" s="403"/>
      <c r="BP49" s="403"/>
      <c r="BQ49" s="403"/>
      <c r="BR49" s="403"/>
      <c r="BS49" s="403"/>
      <c r="BT49" s="403"/>
      <c r="BU49" s="403"/>
      <c r="BV49" s="403"/>
    </row>
    <row r="50" spans="1:74" ht="11.1" customHeight="1" x14ac:dyDescent="0.2">
      <c r="A50" s="162" t="s">
        <v>927</v>
      </c>
      <c r="B50" s="174" t="s">
        <v>928</v>
      </c>
      <c r="C50" s="251">
        <v>0.37</v>
      </c>
      <c r="D50" s="251">
        <v>0.3775</v>
      </c>
      <c r="E50" s="251">
        <v>0.39400000000000002</v>
      </c>
      <c r="F50" s="251">
        <v>0.374</v>
      </c>
      <c r="G50" s="251">
        <v>1.089</v>
      </c>
      <c r="H50" s="251">
        <v>0.79400000000000004</v>
      </c>
      <c r="I50" s="251">
        <v>0.45500000000000002</v>
      </c>
      <c r="J50" s="251">
        <v>0.35713632258</v>
      </c>
      <c r="K50" s="251">
        <v>0.437</v>
      </c>
      <c r="L50" s="251">
        <v>0.32500000000000001</v>
      </c>
      <c r="M50" s="251">
        <v>0.375</v>
      </c>
      <c r="N50" s="251">
        <v>0.33500000000000002</v>
      </c>
      <c r="O50" s="251">
        <v>0.30887096774</v>
      </c>
      <c r="P50" s="251">
        <v>0.20714285714</v>
      </c>
      <c r="Q50" s="251">
        <v>0.377</v>
      </c>
      <c r="R50" s="251">
        <v>0.62133333332999996</v>
      </c>
      <c r="S50" s="251">
        <v>0.55000000000000004</v>
      </c>
      <c r="T50" s="251">
        <v>0.47333333332999999</v>
      </c>
      <c r="U50" s="251">
        <v>0.41241935483999997</v>
      </c>
      <c r="V50" s="251">
        <v>0.58399999999999996</v>
      </c>
      <c r="W50" s="251">
        <v>0.503</v>
      </c>
      <c r="X50" s="251">
        <v>0.48632258065</v>
      </c>
      <c r="Y50" s="251">
        <v>0.22500000000000001</v>
      </c>
      <c r="Z50" s="251">
        <v>0.51798387096999998</v>
      </c>
      <c r="AA50" s="251">
        <v>0.31577419355000003</v>
      </c>
      <c r="AB50" s="251">
        <v>0.42012500000000003</v>
      </c>
      <c r="AC50" s="251">
        <v>0.45350000000000001</v>
      </c>
      <c r="AD50" s="251">
        <v>0.27150000000000002</v>
      </c>
      <c r="AE50" s="251">
        <v>0.24049999999999999</v>
      </c>
      <c r="AF50" s="251">
        <v>0.30649999999999999</v>
      </c>
      <c r="AG50" s="251">
        <v>0.13548387097</v>
      </c>
      <c r="AH50" s="251">
        <v>0.14294354839000001</v>
      </c>
      <c r="AI50" s="251">
        <v>0.23400000000000001</v>
      </c>
      <c r="AJ50" s="251">
        <v>0.26514516128999999</v>
      </c>
      <c r="AK50" s="251">
        <v>0.26500000000000001</v>
      </c>
      <c r="AL50" s="251">
        <v>0.38374193548000002</v>
      </c>
      <c r="AM50" s="251">
        <v>0.27500000000000002</v>
      </c>
      <c r="AN50" s="251">
        <v>0.61599999999999999</v>
      </c>
      <c r="AO50" s="251">
        <v>0.26600000000000001</v>
      </c>
      <c r="AP50" s="251">
        <v>0.247</v>
      </c>
      <c r="AQ50" s="251">
        <v>0.318</v>
      </c>
      <c r="AR50" s="251">
        <v>0.25900000000000001</v>
      </c>
      <c r="AS50" s="251">
        <v>0.69</v>
      </c>
      <c r="AT50" s="251">
        <v>0.16500000000000001</v>
      </c>
      <c r="AU50" s="251">
        <v>0.32200000000000001</v>
      </c>
      <c r="AV50" s="251">
        <v>0.40591935484000002</v>
      </c>
      <c r="AW50" s="251">
        <v>0.26700000000000002</v>
      </c>
      <c r="AX50" s="251">
        <v>0.249</v>
      </c>
      <c r="AY50" s="251">
        <v>0.16200000000000001</v>
      </c>
      <c r="AZ50" s="251">
        <v>0.17004827585999999</v>
      </c>
      <c r="BA50" s="251">
        <v>0.13422580645000001</v>
      </c>
      <c r="BB50" s="251">
        <v>0.80300000000000005</v>
      </c>
      <c r="BC50" s="251">
        <v>0.879</v>
      </c>
      <c r="BD50" s="251">
        <v>0.95399999999999996</v>
      </c>
      <c r="BE50" s="251">
        <v>0.58699999999999997</v>
      </c>
      <c r="BF50" s="251">
        <v>0.78700000000000003</v>
      </c>
      <c r="BG50" s="610" t="s">
        <v>1428</v>
      </c>
      <c r="BH50" s="610" t="s">
        <v>1428</v>
      </c>
      <c r="BI50" s="610" t="s">
        <v>1428</v>
      </c>
      <c r="BJ50" s="610" t="s">
        <v>1428</v>
      </c>
      <c r="BK50" s="610" t="s">
        <v>1428</v>
      </c>
      <c r="BL50" s="610" t="s">
        <v>1428</v>
      </c>
      <c r="BM50" s="610" t="s">
        <v>1428</v>
      </c>
      <c r="BN50" s="610" t="s">
        <v>1428</v>
      </c>
      <c r="BO50" s="610" t="s">
        <v>1428</v>
      </c>
      <c r="BP50" s="610" t="s">
        <v>1428</v>
      </c>
      <c r="BQ50" s="610" t="s">
        <v>1428</v>
      </c>
      <c r="BR50" s="610" t="s">
        <v>1428</v>
      </c>
      <c r="BS50" s="610" t="s">
        <v>1428</v>
      </c>
      <c r="BT50" s="610" t="s">
        <v>1428</v>
      </c>
      <c r="BU50" s="610" t="s">
        <v>1428</v>
      </c>
      <c r="BV50" s="610" t="s">
        <v>1428</v>
      </c>
    </row>
    <row r="51" spans="1:74" ht="11.1" customHeight="1" x14ac:dyDescent="0.2">
      <c r="B51" s="172"/>
      <c r="C51" s="250"/>
      <c r="D51" s="250"/>
      <c r="E51" s="250"/>
      <c r="F51" s="250"/>
      <c r="G51" s="250"/>
      <c r="H51" s="250"/>
      <c r="I51" s="250"/>
      <c r="J51" s="250"/>
      <c r="K51" s="250"/>
      <c r="L51" s="250"/>
      <c r="M51" s="250"/>
      <c r="N51" s="250"/>
      <c r="O51" s="250"/>
      <c r="P51" s="250"/>
      <c r="Q51" s="250"/>
      <c r="R51" s="250"/>
      <c r="S51" s="250"/>
      <c r="T51" s="250"/>
      <c r="U51" s="250"/>
      <c r="V51" s="250"/>
      <c r="W51" s="250"/>
      <c r="X51" s="250"/>
      <c r="Y51" s="250"/>
      <c r="Z51" s="250"/>
      <c r="AA51" s="250"/>
      <c r="AB51" s="250"/>
      <c r="AC51" s="250"/>
      <c r="AD51" s="250"/>
      <c r="AE51" s="250"/>
      <c r="AF51" s="250"/>
      <c r="AG51" s="250"/>
      <c r="AH51" s="250"/>
      <c r="AI51" s="250"/>
      <c r="AJ51" s="250"/>
      <c r="AK51" s="250"/>
      <c r="AL51" s="250"/>
      <c r="AM51" s="250"/>
      <c r="AN51" s="250"/>
      <c r="AO51" s="250"/>
      <c r="AP51" s="250"/>
      <c r="AQ51" s="250"/>
      <c r="AR51" s="250"/>
      <c r="AS51" s="250"/>
      <c r="AT51" s="250"/>
      <c r="AU51" s="250"/>
      <c r="AV51" s="250"/>
      <c r="AW51" s="250"/>
      <c r="AX51" s="250"/>
      <c r="AY51" s="250"/>
      <c r="AZ51" s="250"/>
      <c r="BA51" s="250"/>
      <c r="BB51" s="403"/>
      <c r="BC51" s="403"/>
      <c r="BD51" s="250"/>
      <c r="BE51" s="250"/>
      <c r="BF51" s="250"/>
      <c r="BG51" s="403"/>
      <c r="BH51" s="403"/>
      <c r="BI51" s="403"/>
      <c r="BJ51" s="403"/>
      <c r="BK51" s="403"/>
      <c r="BL51" s="403"/>
      <c r="BM51" s="403"/>
      <c r="BN51" s="403"/>
      <c r="BO51" s="403"/>
      <c r="BP51" s="403"/>
      <c r="BQ51" s="403"/>
      <c r="BR51" s="403"/>
      <c r="BS51" s="403"/>
      <c r="BT51" s="403"/>
      <c r="BU51" s="403"/>
      <c r="BV51" s="403"/>
    </row>
    <row r="52" spans="1:74" ht="11.1" customHeight="1" x14ac:dyDescent="0.2">
      <c r="BK52" s="405"/>
      <c r="BL52" s="405"/>
      <c r="BM52" s="405"/>
      <c r="BN52" s="405"/>
      <c r="BO52" s="405"/>
      <c r="BP52" s="405"/>
      <c r="BQ52" s="405"/>
      <c r="BR52" s="405"/>
      <c r="BS52" s="405"/>
      <c r="BT52" s="405"/>
      <c r="BU52" s="405"/>
      <c r="BV52" s="405"/>
    </row>
    <row r="53" spans="1:74" ht="12" customHeight="1" x14ac:dyDescent="0.25">
      <c r="B53" s="826" t="s">
        <v>826</v>
      </c>
      <c r="C53" s="805"/>
      <c r="D53" s="805"/>
      <c r="E53" s="805"/>
      <c r="F53" s="805"/>
      <c r="G53" s="805"/>
      <c r="H53" s="805"/>
      <c r="I53" s="805"/>
      <c r="J53" s="805"/>
      <c r="K53" s="805"/>
      <c r="L53" s="805"/>
      <c r="M53" s="805"/>
      <c r="N53" s="805"/>
      <c r="O53" s="805"/>
      <c r="P53" s="805"/>
      <c r="Q53" s="805"/>
    </row>
    <row r="54" spans="1:74" ht="12" customHeight="1" x14ac:dyDescent="0.2">
      <c r="B54" s="824" t="s">
        <v>1409</v>
      </c>
      <c r="C54" s="824"/>
      <c r="D54" s="824"/>
      <c r="E54" s="824"/>
      <c r="F54" s="824"/>
      <c r="G54" s="824"/>
      <c r="H54" s="824"/>
      <c r="I54" s="824"/>
      <c r="J54" s="824"/>
      <c r="K54" s="824"/>
      <c r="L54" s="824"/>
      <c r="M54" s="824"/>
      <c r="N54" s="824"/>
      <c r="O54" s="824"/>
      <c r="P54" s="824"/>
      <c r="Q54" s="824"/>
      <c r="R54" s="824"/>
    </row>
    <row r="55" spans="1:74" s="433" customFormat="1" ht="12" customHeight="1" x14ac:dyDescent="0.25">
      <c r="A55" s="434"/>
      <c r="B55" s="824" t="s">
        <v>1157</v>
      </c>
      <c r="C55" s="824"/>
      <c r="D55" s="824"/>
      <c r="E55" s="824"/>
      <c r="F55" s="824"/>
      <c r="G55" s="824"/>
      <c r="H55" s="824"/>
      <c r="I55" s="824"/>
      <c r="J55" s="824"/>
      <c r="K55" s="824"/>
      <c r="L55" s="824"/>
      <c r="M55" s="824"/>
      <c r="N55" s="824"/>
      <c r="O55" s="824"/>
      <c r="P55" s="824"/>
      <c r="Q55" s="824"/>
      <c r="R55" s="753"/>
      <c r="AY55" s="529"/>
      <c r="AZ55" s="529"/>
      <c r="BA55" s="529"/>
      <c r="BB55" s="529"/>
      <c r="BC55" s="529"/>
      <c r="BD55" s="628"/>
      <c r="BE55" s="628"/>
      <c r="BF55" s="628"/>
      <c r="BG55" s="529"/>
      <c r="BH55" s="529"/>
      <c r="BI55" s="529"/>
      <c r="BJ55" s="529"/>
    </row>
    <row r="56" spans="1:74" s="433" customFormat="1" ht="12" customHeight="1" x14ac:dyDescent="0.25">
      <c r="A56" s="434"/>
      <c r="B56" s="794" t="s">
        <v>370</v>
      </c>
      <c r="C56" s="795"/>
      <c r="D56" s="795"/>
      <c r="E56" s="795"/>
      <c r="F56" s="795"/>
      <c r="G56" s="795"/>
      <c r="H56" s="795"/>
      <c r="I56" s="795"/>
      <c r="J56" s="795"/>
      <c r="K56" s="795"/>
      <c r="L56" s="795"/>
      <c r="M56" s="795"/>
      <c r="N56" s="795"/>
      <c r="O56" s="795"/>
      <c r="P56" s="795"/>
      <c r="Q56" s="791"/>
      <c r="AY56" s="529"/>
      <c r="AZ56" s="529"/>
      <c r="BA56" s="529"/>
      <c r="BB56" s="529"/>
      <c r="BC56" s="529"/>
      <c r="BD56" s="628"/>
      <c r="BE56" s="628"/>
      <c r="BF56" s="628"/>
      <c r="BG56" s="529"/>
      <c r="BH56" s="529"/>
      <c r="BI56" s="529"/>
      <c r="BJ56" s="529"/>
    </row>
    <row r="57" spans="1:74" s="433" customFormat="1" ht="12" customHeight="1" x14ac:dyDescent="0.25">
      <c r="A57" s="434"/>
      <c r="B57" s="819" t="s">
        <v>813</v>
      </c>
      <c r="C57" s="819"/>
      <c r="D57" s="819"/>
      <c r="E57" s="819"/>
      <c r="F57" s="819"/>
      <c r="G57" s="819"/>
      <c r="H57" s="819"/>
      <c r="I57" s="819"/>
      <c r="J57" s="819"/>
      <c r="K57" s="819"/>
      <c r="L57" s="819"/>
      <c r="M57" s="819"/>
      <c r="N57" s="819"/>
      <c r="O57" s="819"/>
      <c r="P57" s="819"/>
      <c r="Q57" s="791"/>
      <c r="AY57" s="529"/>
      <c r="AZ57" s="529"/>
      <c r="BA57" s="529"/>
      <c r="BB57" s="529"/>
      <c r="BC57" s="529"/>
      <c r="BD57" s="628"/>
      <c r="BE57" s="628"/>
      <c r="BF57" s="628"/>
      <c r="BG57" s="529"/>
      <c r="BH57" s="529"/>
      <c r="BI57" s="529"/>
      <c r="BJ57" s="529"/>
    </row>
    <row r="58" spans="1:74" s="433" customFormat="1" ht="12.75" customHeight="1" x14ac:dyDescent="0.25">
      <c r="A58" s="434"/>
      <c r="B58" s="819" t="s">
        <v>884</v>
      </c>
      <c r="C58" s="791"/>
      <c r="D58" s="791"/>
      <c r="E58" s="791"/>
      <c r="F58" s="791"/>
      <c r="G58" s="791"/>
      <c r="H58" s="791"/>
      <c r="I58" s="791"/>
      <c r="J58" s="791"/>
      <c r="K58" s="791"/>
      <c r="L58" s="791"/>
      <c r="M58" s="791"/>
      <c r="N58" s="791"/>
      <c r="O58" s="791"/>
      <c r="P58" s="791"/>
      <c r="Q58" s="791"/>
      <c r="AY58" s="529"/>
      <c r="AZ58" s="529"/>
      <c r="BA58" s="529"/>
      <c r="BB58" s="529"/>
      <c r="BC58" s="529"/>
      <c r="BD58" s="628"/>
      <c r="BE58" s="628"/>
      <c r="BF58" s="628"/>
      <c r="BG58" s="529"/>
      <c r="BH58" s="529"/>
      <c r="BI58" s="529"/>
      <c r="BJ58" s="529"/>
    </row>
    <row r="59" spans="1:74" s="433" customFormat="1" ht="12" customHeight="1" x14ac:dyDescent="0.25">
      <c r="A59" s="434"/>
      <c r="B59" s="820" t="s">
        <v>873</v>
      </c>
      <c r="C59" s="791"/>
      <c r="D59" s="791"/>
      <c r="E59" s="791"/>
      <c r="F59" s="791"/>
      <c r="G59" s="791"/>
      <c r="H59" s="791"/>
      <c r="I59" s="791"/>
      <c r="J59" s="791"/>
      <c r="K59" s="791"/>
      <c r="L59" s="791"/>
      <c r="M59" s="791"/>
      <c r="N59" s="791"/>
      <c r="O59" s="791"/>
      <c r="P59" s="791"/>
      <c r="Q59" s="791"/>
      <c r="AY59" s="529"/>
      <c r="AZ59" s="529"/>
      <c r="BA59" s="529"/>
      <c r="BB59" s="529"/>
      <c r="BC59" s="529"/>
      <c r="BD59" s="628"/>
      <c r="BE59" s="628"/>
      <c r="BF59" s="628"/>
      <c r="BG59" s="529"/>
      <c r="BH59" s="529"/>
      <c r="BI59" s="529"/>
      <c r="BJ59" s="529"/>
    </row>
    <row r="60" spans="1:74" s="433" customFormat="1" ht="12" customHeight="1" x14ac:dyDescent="0.25">
      <c r="A60" s="429"/>
      <c r="B60" s="821" t="s">
        <v>855</v>
      </c>
      <c r="C60" s="822"/>
      <c r="D60" s="822"/>
      <c r="E60" s="822"/>
      <c r="F60" s="822"/>
      <c r="G60" s="822"/>
      <c r="H60" s="822"/>
      <c r="I60" s="822"/>
      <c r="J60" s="822"/>
      <c r="K60" s="822"/>
      <c r="L60" s="822"/>
      <c r="M60" s="822"/>
      <c r="N60" s="822"/>
      <c r="O60" s="822"/>
      <c r="P60" s="822"/>
      <c r="Q60" s="791"/>
      <c r="AY60" s="529"/>
      <c r="AZ60" s="529"/>
      <c r="BA60" s="529"/>
      <c r="BB60" s="529"/>
      <c r="BC60" s="529"/>
      <c r="BD60" s="628"/>
      <c r="BE60" s="628"/>
      <c r="BF60" s="628"/>
      <c r="BG60" s="529"/>
      <c r="BH60" s="529"/>
      <c r="BI60" s="529"/>
      <c r="BJ60" s="529"/>
    </row>
    <row r="61" spans="1:74" ht="13.2" x14ac:dyDescent="0.2">
      <c r="B61" s="811" t="s">
        <v>949</v>
      </c>
      <c r="C61" s="791"/>
      <c r="D61" s="791"/>
      <c r="E61" s="791"/>
      <c r="F61" s="791"/>
      <c r="G61" s="791"/>
      <c r="H61" s="791"/>
      <c r="I61" s="791"/>
      <c r="J61" s="791"/>
      <c r="K61" s="791"/>
      <c r="L61" s="791"/>
      <c r="M61" s="791"/>
      <c r="N61" s="791"/>
      <c r="O61" s="791"/>
      <c r="P61" s="791"/>
      <c r="Q61" s="791"/>
      <c r="R61" s="433"/>
      <c r="BK61" s="405"/>
      <c r="BL61" s="405"/>
      <c r="BM61" s="405"/>
      <c r="BN61" s="405"/>
      <c r="BO61" s="405"/>
      <c r="BP61" s="405"/>
      <c r="BQ61" s="405"/>
      <c r="BR61" s="405"/>
      <c r="BS61" s="405"/>
      <c r="BT61" s="405"/>
      <c r="BU61" s="405"/>
      <c r="BV61" s="405"/>
    </row>
    <row r="62" spans="1:74" x14ac:dyDescent="0.2">
      <c r="BK62" s="405"/>
      <c r="BL62" s="405"/>
      <c r="BM62" s="405"/>
      <c r="BN62" s="405"/>
      <c r="BO62" s="405"/>
      <c r="BP62" s="405"/>
      <c r="BQ62" s="405"/>
      <c r="BR62" s="405"/>
      <c r="BS62" s="405"/>
      <c r="BT62" s="405"/>
      <c r="BU62" s="405"/>
      <c r="BV62" s="405"/>
    </row>
    <row r="63" spans="1:74" x14ac:dyDescent="0.2">
      <c r="BK63" s="405"/>
      <c r="BL63" s="405"/>
      <c r="BM63" s="405"/>
      <c r="BN63" s="405"/>
      <c r="BO63" s="405"/>
      <c r="BP63" s="405"/>
      <c r="BQ63" s="405"/>
      <c r="BR63" s="405"/>
      <c r="BS63" s="405"/>
      <c r="BT63" s="405"/>
      <c r="BU63" s="405"/>
      <c r="BV63" s="405"/>
    </row>
    <row r="64" spans="1:74" x14ac:dyDescent="0.2">
      <c r="BK64" s="405"/>
      <c r="BL64" s="405"/>
      <c r="BM64" s="405"/>
      <c r="BN64" s="405"/>
      <c r="BO64" s="405"/>
      <c r="BP64" s="405"/>
      <c r="BQ64" s="405"/>
      <c r="BR64" s="405"/>
      <c r="BS64" s="405"/>
      <c r="BT64" s="405"/>
      <c r="BU64" s="405"/>
      <c r="BV64" s="405"/>
    </row>
    <row r="65" spans="63:74" x14ac:dyDescent="0.2">
      <c r="BK65" s="405"/>
      <c r="BL65" s="405"/>
      <c r="BM65" s="405"/>
      <c r="BN65" s="405"/>
      <c r="BO65" s="405"/>
      <c r="BP65" s="405"/>
      <c r="BQ65" s="405"/>
      <c r="BR65" s="405"/>
      <c r="BS65" s="405"/>
      <c r="BT65" s="405"/>
      <c r="BU65" s="405"/>
      <c r="BV65" s="405"/>
    </row>
    <row r="66" spans="63:74" x14ac:dyDescent="0.2">
      <c r="BK66" s="405"/>
      <c r="BL66" s="405"/>
      <c r="BM66" s="405"/>
      <c r="BN66" s="405"/>
      <c r="BO66" s="405"/>
      <c r="BP66" s="405"/>
      <c r="BQ66" s="405"/>
      <c r="BR66" s="405"/>
      <c r="BS66" s="405"/>
      <c r="BT66" s="405"/>
      <c r="BU66" s="405"/>
      <c r="BV66" s="405"/>
    </row>
    <row r="67" spans="63:74" x14ac:dyDescent="0.2">
      <c r="BK67" s="405"/>
      <c r="BL67" s="405"/>
      <c r="BM67" s="405"/>
      <c r="BN67" s="405"/>
      <c r="BO67" s="405"/>
      <c r="BP67" s="405"/>
      <c r="BQ67" s="405"/>
      <c r="BR67" s="405"/>
      <c r="BS67" s="405"/>
      <c r="BT67" s="405"/>
      <c r="BU67" s="405"/>
      <c r="BV67" s="405"/>
    </row>
    <row r="68" spans="63:74" x14ac:dyDescent="0.2">
      <c r="BK68" s="405"/>
      <c r="BL68" s="405"/>
      <c r="BM68" s="405"/>
      <c r="BN68" s="405"/>
      <c r="BO68" s="405"/>
      <c r="BP68" s="405"/>
      <c r="BQ68" s="405"/>
      <c r="BR68" s="405"/>
      <c r="BS68" s="405"/>
      <c r="BT68" s="405"/>
      <c r="BU68" s="405"/>
      <c r="BV68" s="405"/>
    </row>
    <row r="69" spans="63:74" x14ac:dyDescent="0.2">
      <c r="BK69" s="405"/>
      <c r="BL69" s="405"/>
      <c r="BM69" s="405"/>
      <c r="BN69" s="405"/>
      <c r="BO69" s="405"/>
      <c r="BP69" s="405"/>
      <c r="BQ69" s="405"/>
      <c r="BR69" s="405"/>
      <c r="BS69" s="405"/>
      <c r="BT69" s="405"/>
      <c r="BU69" s="405"/>
      <c r="BV69" s="405"/>
    </row>
    <row r="70" spans="63:74" x14ac:dyDescent="0.2">
      <c r="BK70" s="405"/>
      <c r="BL70" s="405"/>
      <c r="BM70" s="405"/>
      <c r="BN70" s="405"/>
      <c r="BO70" s="405"/>
      <c r="BP70" s="405"/>
      <c r="BQ70" s="405"/>
      <c r="BR70" s="405"/>
      <c r="BS70" s="405"/>
      <c r="BT70" s="405"/>
      <c r="BU70" s="405"/>
      <c r="BV70" s="405"/>
    </row>
    <row r="71" spans="63:74" x14ac:dyDescent="0.2">
      <c r="BK71" s="405"/>
      <c r="BL71" s="405"/>
      <c r="BM71" s="405"/>
      <c r="BN71" s="405"/>
      <c r="BO71" s="405"/>
      <c r="BP71" s="405"/>
      <c r="BQ71" s="405"/>
      <c r="BR71" s="405"/>
      <c r="BS71" s="405"/>
      <c r="BT71" s="405"/>
      <c r="BU71" s="405"/>
      <c r="BV71" s="405"/>
    </row>
    <row r="72" spans="63:74" x14ac:dyDescent="0.2">
      <c r="BK72" s="405"/>
      <c r="BL72" s="405"/>
      <c r="BM72" s="405"/>
      <c r="BN72" s="405"/>
      <c r="BO72" s="405"/>
      <c r="BP72" s="405"/>
      <c r="BQ72" s="405"/>
      <c r="BR72" s="405"/>
      <c r="BS72" s="405"/>
      <c r="BT72" s="405"/>
      <c r="BU72" s="405"/>
      <c r="BV72" s="405"/>
    </row>
    <row r="73" spans="63:74" x14ac:dyDescent="0.2">
      <c r="BK73" s="405"/>
      <c r="BL73" s="405"/>
      <c r="BM73" s="405"/>
      <c r="BN73" s="405"/>
      <c r="BO73" s="405"/>
      <c r="BP73" s="405"/>
      <c r="BQ73" s="405"/>
      <c r="BR73" s="405"/>
      <c r="BS73" s="405"/>
      <c r="BT73" s="405"/>
      <c r="BU73" s="405"/>
      <c r="BV73" s="405"/>
    </row>
    <row r="74" spans="63:74" x14ac:dyDescent="0.2">
      <c r="BK74" s="405"/>
      <c r="BL74" s="405"/>
      <c r="BM74" s="405"/>
      <c r="BN74" s="405"/>
      <c r="BO74" s="405"/>
      <c r="BP74" s="405"/>
      <c r="BQ74" s="405"/>
      <c r="BR74" s="405"/>
      <c r="BS74" s="405"/>
      <c r="BT74" s="405"/>
      <c r="BU74" s="405"/>
      <c r="BV74" s="405"/>
    </row>
    <row r="75" spans="63:74" x14ac:dyDescent="0.2">
      <c r="BK75" s="405"/>
      <c r="BL75" s="405"/>
      <c r="BM75" s="405"/>
      <c r="BN75" s="405"/>
      <c r="BO75" s="405"/>
      <c r="BP75" s="405"/>
      <c r="BQ75" s="405"/>
      <c r="BR75" s="405"/>
      <c r="BS75" s="405"/>
      <c r="BT75" s="405"/>
      <c r="BU75" s="405"/>
      <c r="BV75" s="405"/>
    </row>
    <row r="76" spans="63:74" x14ac:dyDescent="0.2">
      <c r="BK76" s="405"/>
      <c r="BL76" s="405"/>
      <c r="BM76" s="405"/>
      <c r="BN76" s="405"/>
      <c r="BO76" s="405"/>
      <c r="BP76" s="405"/>
      <c r="BQ76" s="405"/>
      <c r="BR76" s="405"/>
      <c r="BS76" s="405"/>
      <c r="BT76" s="405"/>
      <c r="BU76" s="405"/>
      <c r="BV76" s="405"/>
    </row>
    <row r="77" spans="63:74" x14ac:dyDescent="0.2">
      <c r="BK77" s="405"/>
      <c r="BL77" s="405"/>
      <c r="BM77" s="405"/>
      <c r="BN77" s="405"/>
      <c r="BO77" s="405"/>
      <c r="BP77" s="405"/>
      <c r="BQ77" s="405"/>
      <c r="BR77" s="405"/>
      <c r="BS77" s="405"/>
      <c r="BT77" s="405"/>
      <c r="BU77" s="405"/>
      <c r="BV77" s="405"/>
    </row>
    <row r="78" spans="63:74" x14ac:dyDescent="0.2">
      <c r="BK78" s="405"/>
      <c r="BL78" s="405"/>
      <c r="BM78" s="405"/>
      <c r="BN78" s="405"/>
      <c r="BO78" s="405"/>
      <c r="BP78" s="405"/>
      <c r="BQ78" s="405"/>
      <c r="BR78" s="405"/>
      <c r="BS78" s="405"/>
      <c r="BT78" s="405"/>
      <c r="BU78" s="405"/>
      <c r="BV78" s="405"/>
    </row>
    <row r="79" spans="63:74" x14ac:dyDescent="0.2">
      <c r="BK79" s="405"/>
      <c r="BL79" s="405"/>
      <c r="BM79" s="405"/>
      <c r="BN79" s="405"/>
      <c r="BO79" s="405"/>
      <c r="BP79" s="405"/>
      <c r="BQ79" s="405"/>
      <c r="BR79" s="405"/>
      <c r="BS79" s="405"/>
      <c r="BT79" s="405"/>
      <c r="BU79" s="405"/>
      <c r="BV79" s="405"/>
    </row>
    <row r="80" spans="63:74" x14ac:dyDescent="0.2">
      <c r="BK80" s="405"/>
      <c r="BL80" s="405"/>
      <c r="BM80" s="405"/>
      <c r="BN80" s="405"/>
      <c r="BO80" s="405"/>
      <c r="BP80" s="405"/>
      <c r="BQ80" s="405"/>
      <c r="BR80" s="405"/>
      <c r="BS80" s="405"/>
      <c r="BT80" s="405"/>
      <c r="BU80" s="405"/>
      <c r="BV80" s="405"/>
    </row>
    <row r="81" spans="63:74" x14ac:dyDescent="0.2">
      <c r="BK81" s="405"/>
      <c r="BL81" s="405"/>
      <c r="BM81" s="405"/>
      <c r="BN81" s="405"/>
      <c r="BO81" s="405"/>
      <c r="BP81" s="405"/>
      <c r="BQ81" s="405"/>
      <c r="BR81" s="405"/>
      <c r="BS81" s="405"/>
      <c r="BT81" s="405"/>
      <c r="BU81" s="405"/>
      <c r="BV81" s="405"/>
    </row>
    <row r="82" spans="63:74" x14ac:dyDescent="0.2">
      <c r="BK82" s="405"/>
      <c r="BL82" s="405"/>
      <c r="BM82" s="405"/>
      <c r="BN82" s="405"/>
      <c r="BO82" s="405"/>
      <c r="BP82" s="405"/>
      <c r="BQ82" s="405"/>
      <c r="BR82" s="405"/>
      <c r="BS82" s="405"/>
      <c r="BT82" s="405"/>
      <c r="BU82" s="405"/>
      <c r="BV82" s="405"/>
    </row>
    <row r="83" spans="63:74" x14ac:dyDescent="0.2">
      <c r="BK83" s="405"/>
      <c r="BL83" s="405"/>
      <c r="BM83" s="405"/>
      <c r="BN83" s="405"/>
      <c r="BO83" s="405"/>
      <c r="BP83" s="405"/>
      <c r="BQ83" s="405"/>
      <c r="BR83" s="405"/>
      <c r="BS83" s="405"/>
      <c r="BT83" s="405"/>
      <c r="BU83" s="405"/>
      <c r="BV83" s="405"/>
    </row>
    <row r="84" spans="63:74" x14ac:dyDescent="0.2">
      <c r="BK84" s="405"/>
      <c r="BL84" s="405"/>
      <c r="BM84" s="405"/>
      <c r="BN84" s="405"/>
      <c r="BO84" s="405"/>
      <c r="BP84" s="405"/>
      <c r="BQ84" s="405"/>
      <c r="BR84" s="405"/>
      <c r="BS84" s="405"/>
      <c r="BT84" s="405"/>
      <c r="BU84" s="405"/>
      <c r="BV84" s="405"/>
    </row>
    <row r="85" spans="63:74" x14ac:dyDescent="0.2">
      <c r="BK85" s="405"/>
      <c r="BL85" s="405"/>
      <c r="BM85" s="405"/>
      <c r="BN85" s="405"/>
      <c r="BO85" s="405"/>
      <c r="BP85" s="405"/>
      <c r="BQ85" s="405"/>
      <c r="BR85" s="405"/>
      <c r="BS85" s="405"/>
      <c r="BT85" s="405"/>
      <c r="BU85" s="405"/>
      <c r="BV85" s="405"/>
    </row>
    <row r="86" spans="63:74" x14ac:dyDescent="0.2">
      <c r="BK86" s="405"/>
      <c r="BL86" s="405"/>
      <c r="BM86" s="405"/>
      <c r="BN86" s="405"/>
      <c r="BO86" s="405"/>
      <c r="BP86" s="405"/>
      <c r="BQ86" s="405"/>
      <c r="BR86" s="405"/>
      <c r="BS86" s="405"/>
      <c r="BT86" s="405"/>
      <c r="BU86" s="405"/>
      <c r="BV86" s="405"/>
    </row>
    <row r="87" spans="63:74" x14ac:dyDescent="0.2">
      <c r="BK87" s="405"/>
      <c r="BL87" s="405"/>
      <c r="BM87" s="405"/>
      <c r="BN87" s="405"/>
      <c r="BO87" s="405"/>
      <c r="BP87" s="405"/>
      <c r="BQ87" s="405"/>
      <c r="BR87" s="405"/>
      <c r="BS87" s="405"/>
      <c r="BT87" s="405"/>
      <c r="BU87" s="405"/>
      <c r="BV87" s="405"/>
    </row>
    <row r="88" spans="63:74" x14ac:dyDescent="0.2">
      <c r="BK88" s="405"/>
      <c r="BL88" s="405"/>
      <c r="BM88" s="405"/>
      <c r="BN88" s="405"/>
      <c r="BO88" s="405"/>
      <c r="BP88" s="405"/>
      <c r="BQ88" s="405"/>
      <c r="BR88" s="405"/>
      <c r="BS88" s="405"/>
      <c r="BT88" s="405"/>
      <c r="BU88" s="405"/>
      <c r="BV88" s="405"/>
    </row>
    <row r="89" spans="63:74" x14ac:dyDescent="0.2">
      <c r="BK89" s="405"/>
      <c r="BL89" s="405"/>
      <c r="BM89" s="405"/>
      <c r="BN89" s="405"/>
      <c r="BO89" s="405"/>
      <c r="BP89" s="405"/>
      <c r="BQ89" s="405"/>
      <c r="BR89" s="405"/>
      <c r="BS89" s="405"/>
      <c r="BT89" s="405"/>
      <c r="BU89" s="405"/>
      <c r="BV89" s="405"/>
    </row>
    <row r="90" spans="63:74" x14ac:dyDescent="0.2">
      <c r="BK90" s="405"/>
      <c r="BL90" s="405"/>
      <c r="BM90" s="405"/>
      <c r="BN90" s="405"/>
      <c r="BO90" s="405"/>
      <c r="BP90" s="405"/>
      <c r="BQ90" s="405"/>
      <c r="BR90" s="405"/>
      <c r="BS90" s="405"/>
      <c r="BT90" s="405"/>
      <c r="BU90" s="405"/>
      <c r="BV90" s="405"/>
    </row>
    <row r="91" spans="63:74" x14ac:dyDescent="0.2">
      <c r="BK91" s="405"/>
      <c r="BL91" s="405"/>
      <c r="BM91" s="405"/>
      <c r="BN91" s="405"/>
      <c r="BO91" s="405"/>
      <c r="BP91" s="405"/>
      <c r="BQ91" s="405"/>
      <c r="BR91" s="405"/>
      <c r="BS91" s="405"/>
      <c r="BT91" s="405"/>
      <c r="BU91" s="405"/>
      <c r="BV91" s="405"/>
    </row>
    <row r="92" spans="63:74" x14ac:dyDescent="0.2">
      <c r="BK92" s="405"/>
      <c r="BL92" s="405"/>
      <c r="BM92" s="405"/>
      <c r="BN92" s="405"/>
      <c r="BO92" s="405"/>
      <c r="BP92" s="405"/>
      <c r="BQ92" s="405"/>
      <c r="BR92" s="405"/>
      <c r="BS92" s="405"/>
      <c r="BT92" s="405"/>
      <c r="BU92" s="405"/>
      <c r="BV92" s="405"/>
    </row>
    <row r="93" spans="63:74" x14ac:dyDescent="0.2">
      <c r="BK93" s="405"/>
      <c r="BL93" s="405"/>
      <c r="BM93" s="405"/>
      <c r="BN93" s="405"/>
      <c r="BO93" s="405"/>
      <c r="BP93" s="405"/>
      <c r="BQ93" s="405"/>
      <c r="BR93" s="405"/>
      <c r="BS93" s="405"/>
      <c r="BT93" s="405"/>
      <c r="BU93" s="405"/>
      <c r="BV93" s="405"/>
    </row>
    <row r="94" spans="63:74" x14ac:dyDescent="0.2">
      <c r="BK94" s="405"/>
      <c r="BL94" s="405"/>
      <c r="BM94" s="405"/>
      <c r="BN94" s="405"/>
      <c r="BO94" s="405"/>
      <c r="BP94" s="405"/>
      <c r="BQ94" s="405"/>
      <c r="BR94" s="405"/>
      <c r="BS94" s="405"/>
      <c r="BT94" s="405"/>
      <c r="BU94" s="405"/>
      <c r="BV94" s="405"/>
    </row>
    <row r="95" spans="63:74" x14ac:dyDescent="0.2">
      <c r="BK95" s="405"/>
      <c r="BL95" s="405"/>
      <c r="BM95" s="405"/>
      <c r="BN95" s="405"/>
      <c r="BO95" s="405"/>
      <c r="BP95" s="405"/>
      <c r="BQ95" s="405"/>
      <c r="BR95" s="405"/>
      <c r="BS95" s="405"/>
      <c r="BT95" s="405"/>
      <c r="BU95" s="405"/>
      <c r="BV95" s="405"/>
    </row>
    <row r="96" spans="63:74" x14ac:dyDescent="0.2">
      <c r="BK96" s="405"/>
      <c r="BL96" s="405"/>
      <c r="BM96" s="405"/>
      <c r="BN96" s="405"/>
      <c r="BO96" s="405"/>
      <c r="BP96" s="405"/>
      <c r="BQ96" s="405"/>
      <c r="BR96" s="405"/>
      <c r="BS96" s="405"/>
      <c r="BT96" s="405"/>
      <c r="BU96" s="405"/>
      <c r="BV96" s="405"/>
    </row>
    <row r="97" spans="63:74" x14ac:dyDescent="0.2">
      <c r="BK97" s="405"/>
      <c r="BL97" s="405"/>
      <c r="BM97" s="405"/>
      <c r="BN97" s="405"/>
      <c r="BO97" s="405"/>
      <c r="BP97" s="405"/>
      <c r="BQ97" s="405"/>
      <c r="BR97" s="405"/>
      <c r="BS97" s="405"/>
      <c r="BT97" s="405"/>
      <c r="BU97" s="405"/>
      <c r="BV97" s="405"/>
    </row>
    <row r="98" spans="63:74" x14ac:dyDescent="0.2">
      <c r="BK98" s="405"/>
      <c r="BL98" s="405"/>
      <c r="BM98" s="405"/>
      <c r="BN98" s="405"/>
      <c r="BO98" s="405"/>
      <c r="BP98" s="405"/>
      <c r="BQ98" s="405"/>
      <c r="BR98" s="405"/>
      <c r="BS98" s="405"/>
      <c r="BT98" s="405"/>
      <c r="BU98" s="405"/>
      <c r="BV98" s="405"/>
    </row>
    <row r="99" spans="63:74" x14ac:dyDescent="0.2">
      <c r="BK99" s="405"/>
      <c r="BL99" s="405"/>
      <c r="BM99" s="405"/>
      <c r="BN99" s="405"/>
      <c r="BO99" s="405"/>
      <c r="BP99" s="405"/>
      <c r="BQ99" s="405"/>
      <c r="BR99" s="405"/>
      <c r="BS99" s="405"/>
      <c r="BT99" s="405"/>
      <c r="BU99" s="405"/>
      <c r="BV99" s="405"/>
    </row>
    <row r="100" spans="63:74" x14ac:dyDescent="0.2">
      <c r="BK100" s="405"/>
      <c r="BL100" s="405"/>
      <c r="BM100" s="405"/>
      <c r="BN100" s="405"/>
      <c r="BO100" s="405"/>
      <c r="BP100" s="405"/>
      <c r="BQ100" s="405"/>
      <c r="BR100" s="405"/>
      <c r="BS100" s="405"/>
      <c r="BT100" s="405"/>
      <c r="BU100" s="405"/>
      <c r="BV100" s="405"/>
    </row>
    <row r="101" spans="63:74" x14ac:dyDescent="0.2">
      <c r="BK101" s="405"/>
      <c r="BL101" s="405"/>
      <c r="BM101" s="405"/>
      <c r="BN101" s="405"/>
      <c r="BO101" s="405"/>
      <c r="BP101" s="405"/>
      <c r="BQ101" s="405"/>
      <c r="BR101" s="405"/>
      <c r="BS101" s="405"/>
      <c r="BT101" s="405"/>
      <c r="BU101" s="405"/>
      <c r="BV101" s="405"/>
    </row>
    <row r="102" spans="63:74" x14ac:dyDescent="0.2">
      <c r="BK102" s="405"/>
      <c r="BL102" s="405"/>
      <c r="BM102" s="405"/>
      <c r="BN102" s="405"/>
      <c r="BO102" s="405"/>
      <c r="BP102" s="405"/>
      <c r="BQ102" s="405"/>
      <c r="BR102" s="405"/>
      <c r="BS102" s="405"/>
      <c r="BT102" s="405"/>
      <c r="BU102" s="405"/>
      <c r="BV102" s="405"/>
    </row>
    <row r="103" spans="63:74" x14ac:dyDescent="0.2">
      <c r="BK103" s="405"/>
      <c r="BL103" s="405"/>
      <c r="BM103" s="405"/>
      <c r="BN103" s="405"/>
      <c r="BO103" s="405"/>
      <c r="BP103" s="405"/>
      <c r="BQ103" s="405"/>
      <c r="BR103" s="405"/>
      <c r="BS103" s="405"/>
      <c r="BT103" s="405"/>
      <c r="BU103" s="405"/>
      <c r="BV103" s="405"/>
    </row>
    <row r="104" spans="63:74" x14ac:dyDescent="0.2">
      <c r="BK104" s="405"/>
      <c r="BL104" s="405"/>
      <c r="BM104" s="405"/>
      <c r="BN104" s="405"/>
      <c r="BO104" s="405"/>
      <c r="BP104" s="405"/>
      <c r="BQ104" s="405"/>
      <c r="BR104" s="405"/>
      <c r="BS104" s="405"/>
      <c r="BT104" s="405"/>
      <c r="BU104" s="405"/>
      <c r="BV104" s="405"/>
    </row>
    <row r="105" spans="63:74" x14ac:dyDescent="0.2">
      <c r="BK105" s="405"/>
      <c r="BL105" s="405"/>
      <c r="BM105" s="405"/>
      <c r="BN105" s="405"/>
      <c r="BO105" s="405"/>
      <c r="BP105" s="405"/>
      <c r="BQ105" s="405"/>
      <c r="BR105" s="405"/>
      <c r="BS105" s="405"/>
      <c r="BT105" s="405"/>
      <c r="BU105" s="405"/>
      <c r="BV105" s="405"/>
    </row>
    <row r="106" spans="63:74" x14ac:dyDescent="0.2">
      <c r="BK106" s="405"/>
      <c r="BL106" s="405"/>
      <c r="BM106" s="405"/>
      <c r="BN106" s="405"/>
      <c r="BO106" s="405"/>
      <c r="BP106" s="405"/>
      <c r="BQ106" s="405"/>
      <c r="BR106" s="405"/>
      <c r="BS106" s="405"/>
      <c r="BT106" s="405"/>
      <c r="BU106" s="405"/>
      <c r="BV106" s="405"/>
    </row>
    <row r="107" spans="63:74" x14ac:dyDescent="0.2">
      <c r="BK107" s="405"/>
      <c r="BL107" s="405"/>
      <c r="BM107" s="405"/>
      <c r="BN107" s="405"/>
      <c r="BO107" s="405"/>
      <c r="BP107" s="405"/>
      <c r="BQ107" s="405"/>
      <c r="BR107" s="405"/>
      <c r="BS107" s="405"/>
      <c r="BT107" s="405"/>
      <c r="BU107" s="405"/>
      <c r="BV107" s="405"/>
    </row>
    <row r="108" spans="63:74" x14ac:dyDescent="0.2">
      <c r="BK108" s="405"/>
      <c r="BL108" s="405"/>
      <c r="BM108" s="405"/>
      <c r="BN108" s="405"/>
      <c r="BO108" s="405"/>
      <c r="BP108" s="405"/>
      <c r="BQ108" s="405"/>
      <c r="BR108" s="405"/>
      <c r="BS108" s="405"/>
      <c r="BT108" s="405"/>
      <c r="BU108" s="405"/>
      <c r="BV108" s="405"/>
    </row>
    <row r="109" spans="63:74" x14ac:dyDescent="0.2">
      <c r="BK109" s="405"/>
      <c r="BL109" s="405"/>
      <c r="BM109" s="405"/>
      <c r="BN109" s="405"/>
      <c r="BO109" s="405"/>
      <c r="BP109" s="405"/>
      <c r="BQ109" s="405"/>
      <c r="BR109" s="405"/>
      <c r="BS109" s="405"/>
      <c r="BT109" s="405"/>
      <c r="BU109" s="405"/>
      <c r="BV109" s="405"/>
    </row>
    <row r="110" spans="63:74" x14ac:dyDescent="0.2">
      <c r="BK110" s="405"/>
      <c r="BL110" s="405"/>
      <c r="BM110" s="405"/>
      <c r="BN110" s="405"/>
      <c r="BO110" s="405"/>
      <c r="BP110" s="405"/>
      <c r="BQ110" s="405"/>
      <c r="BR110" s="405"/>
      <c r="BS110" s="405"/>
      <c r="BT110" s="405"/>
      <c r="BU110" s="405"/>
      <c r="BV110" s="405"/>
    </row>
    <row r="111" spans="63:74" x14ac:dyDescent="0.2">
      <c r="BK111" s="405"/>
      <c r="BL111" s="405"/>
      <c r="BM111" s="405"/>
      <c r="BN111" s="405"/>
      <c r="BO111" s="405"/>
      <c r="BP111" s="405"/>
      <c r="BQ111" s="405"/>
      <c r="BR111" s="405"/>
      <c r="BS111" s="405"/>
      <c r="BT111" s="405"/>
      <c r="BU111" s="405"/>
      <c r="BV111" s="405"/>
    </row>
    <row r="112" spans="63:74" x14ac:dyDescent="0.2">
      <c r="BK112" s="405"/>
      <c r="BL112" s="405"/>
      <c r="BM112" s="405"/>
      <c r="BN112" s="405"/>
      <c r="BO112" s="405"/>
      <c r="BP112" s="405"/>
      <c r="BQ112" s="405"/>
      <c r="BR112" s="405"/>
      <c r="BS112" s="405"/>
      <c r="BT112" s="405"/>
      <c r="BU112" s="405"/>
      <c r="BV112" s="405"/>
    </row>
    <row r="113" spans="63:74" x14ac:dyDescent="0.2">
      <c r="BK113" s="405"/>
      <c r="BL113" s="405"/>
      <c r="BM113" s="405"/>
      <c r="BN113" s="405"/>
      <c r="BO113" s="405"/>
      <c r="BP113" s="405"/>
      <c r="BQ113" s="405"/>
      <c r="BR113" s="405"/>
      <c r="BS113" s="405"/>
      <c r="BT113" s="405"/>
      <c r="BU113" s="405"/>
      <c r="BV113" s="405"/>
    </row>
    <row r="114" spans="63:74" x14ac:dyDescent="0.2">
      <c r="BK114" s="405"/>
      <c r="BL114" s="405"/>
      <c r="BM114" s="405"/>
      <c r="BN114" s="405"/>
      <c r="BO114" s="405"/>
      <c r="BP114" s="405"/>
      <c r="BQ114" s="405"/>
      <c r="BR114" s="405"/>
      <c r="BS114" s="405"/>
      <c r="BT114" s="405"/>
      <c r="BU114" s="405"/>
      <c r="BV114" s="405"/>
    </row>
    <row r="115" spans="63:74" x14ac:dyDescent="0.2">
      <c r="BK115" s="405"/>
      <c r="BL115" s="405"/>
      <c r="BM115" s="405"/>
      <c r="BN115" s="405"/>
      <c r="BO115" s="405"/>
      <c r="BP115" s="405"/>
      <c r="BQ115" s="405"/>
      <c r="BR115" s="405"/>
      <c r="BS115" s="405"/>
      <c r="BT115" s="405"/>
      <c r="BU115" s="405"/>
      <c r="BV115" s="405"/>
    </row>
    <row r="116" spans="63:74" x14ac:dyDescent="0.2">
      <c r="BK116" s="405"/>
      <c r="BL116" s="405"/>
      <c r="BM116" s="405"/>
      <c r="BN116" s="405"/>
      <c r="BO116" s="405"/>
      <c r="BP116" s="405"/>
      <c r="BQ116" s="405"/>
      <c r="BR116" s="405"/>
      <c r="BS116" s="405"/>
      <c r="BT116" s="405"/>
      <c r="BU116" s="405"/>
      <c r="BV116" s="405"/>
    </row>
    <row r="117" spans="63:74" x14ac:dyDescent="0.2">
      <c r="BK117" s="405"/>
      <c r="BL117" s="405"/>
      <c r="BM117" s="405"/>
      <c r="BN117" s="405"/>
      <c r="BO117" s="405"/>
      <c r="BP117" s="405"/>
      <c r="BQ117" s="405"/>
      <c r="BR117" s="405"/>
      <c r="BS117" s="405"/>
      <c r="BT117" s="405"/>
      <c r="BU117" s="405"/>
      <c r="BV117" s="405"/>
    </row>
    <row r="118" spans="63:74" x14ac:dyDescent="0.2">
      <c r="BK118" s="405"/>
      <c r="BL118" s="405"/>
      <c r="BM118" s="405"/>
      <c r="BN118" s="405"/>
      <c r="BO118" s="405"/>
      <c r="BP118" s="405"/>
      <c r="BQ118" s="405"/>
      <c r="BR118" s="405"/>
      <c r="BS118" s="405"/>
      <c r="BT118" s="405"/>
      <c r="BU118" s="405"/>
      <c r="BV118" s="405"/>
    </row>
    <row r="119" spans="63:74" x14ac:dyDescent="0.2">
      <c r="BK119" s="405"/>
      <c r="BL119" s="405"/>
      <c r="BM119" s="405"/>
      <c r="BN119" s="405"/>
      <c r="BO119" s="405"/>
      <c r="BP119" s="405"/>
      <c r="BQ119" s="405"/>
      <c r="BR119" s="405"/>
      <c r="BS119" s="405"/>
      <c r="BT119" s="405"/>
      <c r="BU119" s="405"/>
      <c r="BV119" s="405"/>
    </row>
    <row r="120" spans="63:74" x14ac:dyDescent="0.2">
      <c r="BK120" s="405"/>
      <c r="BL120" s="405"/>
      <c r="BM120" s="405"/>
      <c r="BN120" s="405"/>
      <c r="BO120" s="405"/>
      <c r="BP120" s="405"/>
      <c r="BQ120" s="405"/>
      <c r="BR120" s="405"/>
      <c r="BS120" s="405"/>
      <c r="BT120" s="405"/>
      <c r="BU120" s="405"/>
      <c r="BV120" s="405"/>
    </row>
    <row r="121" spans="63:74" x14ac:dyDescent="0.2">
      <c r="BK121" s="405"/>
      <c r="BL121" s="405"/>
      <c r="BM121" s="405"/>
      <c r="BN121" s="405"/>
      <c r="BO121" s="405"/>
      <c r="BP121" s="405"/>
      <c r="BQ121" s="405"/>
      <c r="BR121" s="405"/>
      <c r="BS121" s="405"/>
      <c r="BT121" s="405"/>
      <c r="BU121" s="405"/>
      <c r="BV121" s="405"/>
    </row>
    <row r="122" spans="63:74" x14ac:dyDescent="0.2">
      <c r="BK122" s="405"/>
      <c r="BL122" s="405"/>
      <c r="BM122" s="405"/>
      <c r="BN122" s="405"/>
      <c r="BO122" s="405"/>
      <c r="BP122" s="405"/>
      <c r="BQ122" s="405"/>
      <c r="BR122" s="405"/>
      <c r="BS122" s="405"/>
      <c r="BT122" s="405"/>
      <c r="BU122" s="405"/>
      <c r="BV122" s="405"/>
    </row>
    <row r="123" spans="63:74" x14ac:dyDescent="0.2">
      <c r="BK123" s="405"/>
      <c r="BL123" s="405"/>
      <c r="BM123" s="405"/>
      <c r="BN123" s="405"/>
      <c r="BO123" s="405"/>
      <c r="BP123" s="405"/>
      <c r="BQ123" s="405"/>
      <c r="BR123" s="405"/>
      <c r="BS123" s="405"/>
      <c r="BT123" s="405"/>
      <c r="BU123" s="405"/>
      <c r="BV123" s="405"/>
    </row>
    <row r="124" spans="63:74" x14ac:dyDescent="0.2">
      <c r="BK124" s="405"/>
      <c r="BL124" s="405"/>
      <c r="BM124" s="405"/>
      <c r="BN124" s="405"/>
      <c r="BO124" s="405"/>
      <c r="BP124" s="405"/>
      <c r="BQ124" s="405"/>
      <c r="BR124" s="405"/>
      <c r="BS124" s="405"/>
      <c r="BT124" s="405"/>
      <c r="BU124" s="405"/>
      <c r="BV124" s="405"/>
    </row>
    <row r="125" spans="63:74" x14ac:dyDescent="0.2">
      <c r="BK125" s="405"/>
      <c r="BL125" s="405"/>
      <c r="BM125" s="405"/>
      <c r="BN125" s="405"/>
      <c r="BO125" s="405"/>
      <c r="BP125" s="405"/>
      <c r="BQ125" s="405"/>
      <c r="BR125" s="405"/>
      <c r="BS125" s="405"/>
      <c r="BT125" s="405"/>
      <c r="BU125" s="405"/>
      <c r="BV125" s="405"/>
    </row>
    <row r="126" spans="63:74" x14ac:dyDescent="0.2">
      <c r="BK126" s="405"/>
      <c r="BL126" s="405"/>
      <c r="BM126" s="405"/>
      <c r="BN126" s="405"/>
      <c r="BO126" s="405"/>
      <c r="BP126" s="405"/>
      <c r="BQ126" s="405"/>
      <c r="BR126" s="405"/>
      <c r="BS126" s="405"/>
      <c r="BT126" s="405"/>
      <c r="BU126" s="405"/>
      <c r="BV126" s="405"/>
    </row>
    <row r="127" spans="63:74" x14ac:dyDescent="0.2">
      <c r="BK127" s="405"/>
      <c r="BL127" s="405"/>
      <c r="BM127" s="405"/>
      <c r="BN127" s="405"/>
      <c r="BO127" s="405"/>
      <c r="BP127" s="405"/>
      <c r="BQ127" s="405"/>
      <c r="BR127" s="405"/>
      <c r="BS127" s="405"/>
      <c r="BT127" s="405"/>
      <c r="BU127" s="405"/>
      <c r="BV127" s="405"/>
    </row>
    <row r="128" spans="63:74" x14ac:dyDescent="0.2">
      <c r="BK128" s="405"/>
      <c r="BL128" s="405"/>
      <c r="BM128" s="405"/>
      <c r="BN128" s="405"/>
      <c r="BO128" s="405"/>
      <c r="BP128" s="405"/>
      <c r="BQ128" s="405"/>
      <c r="BR128" s="405"/>
      <c r="BS128" s="405"/>
      <c r="BT128" s="405"/>
      <c r="BU128" s="405"/>
      <c r="BV128" s="405"/>
    </row>
    <row r="129" spans="63:74" x14ac:dyDescent="0.2">
      <c r="BK129" s="405"/>
      <c r="BL129" s="405"/>
      <c r="BM129" s="405"/>
      <c r="BN129" s="405"/>
      <c r="BO129" s="405"/>
      <c r="BP129" s="405"/>
      <c r="BQ129" s="405"/>
      <c r="BR129" s="405"/>
      <c r="BS129" s="405"/>
      <c r="BT129" s="405"/>
      <c r="BU129" s="405"/>
      <c r="BV129" s="405"/>
    </row>
    <row r="130" spans="63:74" x14ac:dyDescent="0.2">
      <c r="BK130" s="405"/>
      <c r="BL130" s="405"/>
      <c r="BM130" s="405"/>
      <c r="BN130" s="405"/>
      <c r="BO130" s="405"/>
      <c r="BP130" s="405"/>
      <c r="BQ130" s="405"/>
      <c r="BR130" s="405"/>
      <c r="BS130" s="405"/>
      <c r="BT130" s="405"/>
      <c r="BU130" s="405"/>
      <c r="BV130" s="405"/>
    </row>
    <row r="131" spans="63:74" x14ac:dyDescent="0.2">
      <c r="BK131" s="405"/>
      <c r="BL131" s="405"/>
      <c r="BM131" s="405"/>
      <c r="BN131" s="405"/>
      <c r="BO131" s="405"/>
      <c r="BP131" s="405"/>
      <c r="BQ131" s="405"/>
      <c r="BR131" s="405"/>
      <c r="BS131" s="405"/>
      <c r="BT131" s="405"/>
      <c r="BU131" s="405"/>
      <c r="BV131" s="405"/>
    </row>
    <row r="132" spans="63:74" x14ac:dyDescent="0.2">
      <c r="BK132" s="405"/>
      <c r="BL132" s="405"/>
      <c r="BM132" s="405"/>
      <c r="BN132" s="405"/>
      <c r="BO132" s="405"/>
      <c r="BP132" s="405"/>
      <c r="BQ132" s="405"/>
      <c r="BR132" s="405"/>
      <c r="BS132" s="405"/>
      <c r="BT132" s="405"/>
      <c r="BU132" s="405"/>
      <c r="BV132" s="405"/>
    </row>
    <row r="133" spans="63:74" x14ac:dyDescent="0.2">
      <c r="BK133" s="405"/>
      <c r="BL133" s="405"/>
      <c r="BM133" s="405"/>
      <c r="BN133" s="405"/>
      <c r="BO133" s="405"/>
      <c r="BP133" s="405"/>
      <c r="BQ133" s="405"/>
      <c r="BR133" s="405"/>
      <c r="BS133" s="405"/>
      <c r="BT133" s="405"/>
      <c r="BU133" s="405"/>
      <c r="BV133" s="405"/>
    </row>
    <row r="134" spans="63:74" x14ac:dyDescent="0.2">
      <c r="BK134" s="405"/>
      <c r="BL134" s="405"/>
      <c r="BM134" s="405"/>
      <c r="BN134" s="405"/>
      <c r="BO134" s="405"/>
      <c r="BP134" s="405"/>
      <c r="BQ134" s="405"/>
      <c r="BR134" s="405"/>
      <c r="BS134" s="405"/>
      <c r="BT134" s="405"/>
      <c r="BU134" s="405"/>
      <c r="BV134" s="405"/>
    </row>
    <row r="135" spans="63:74" x14ac:dyDescent="0.2">
      <c r="BK135" s="405"/>
      <c r="BL135" s="405"/>
      <c r="BM135" s="405"/>
      <c r="BN135" s="405"/>
      <c r="BO135" s="405"/>
      <c r="BP135" s="405"/>
      <c r="BQ135" s="405"/>
      <c r="BR135" s="405"/>
      <c r="BS135" s="405"/>
      <c r="BT135" s="405"/>
      <c r="BU135" s="405"/>
      <c r="BV135" s="405"/>
    </row>
    <row r="136" spans="63:74" x14ac:dyDescent="0.2">
      <c r="BK136" s="405"/>
      <c r="BL136" s="405"/>
      <c r="BM136" s="405"/>
      <c r="BN136" s="405"/>
      <c r="BO136" s="405"/>
      <c r="BP136" s="405"/>
      <c r="BQ136" s="405"/>
      <c r="BR136" s="405"/>
      <c r="BS136" s="405"/>
      <c r="BT136" s="405"/>
      <c r="BU136" s="405"/>
      <c r="BV136" s="405"/>
    </row>
    <row r="137" spans="63:74" x14ac:dyDescent="0.2">
      <c r="BK137" s="405"/>
      <c r="BL137" s="405"/>
      <c r="BM137" s="405"/>
      <c r="BN137" s="405"/>
      <c r="BO137" s="405"/>
      <c r="BP137" s="405"/>
      <c r="BQ137" s="405"/>
      <c r="BR137" s="405"/>
      <c r="BS137" s="405"/>
      <c r="BT137" s="405"/>
      <c r="BU137" s="405"/>
      <c r="BV137" s="405"/>
    </row>
    <row r="138" spans="63:74" x14ac:dyDescent="0.2">
      <c r="BK138" s="405"/>
      <c r="BL138" s="405"/>
      <c r="BM138" s="405"/>
      <c r="BN138" s="405"/>
      <c r="BO138" s="405"/>
      <c r="BP138" s="405"/>
      <c r="BQ138" s="405"/>
      <c r="BR138" s="405"/>
      <c r="BS138" s="405"/>
      <c r="BT138" s="405"/>
      <c r="BU138" s="405"/>
      <c r="BV138" s="405"/>
    </row>
    <row r="139" spans="63:74" x14ac:dyDescent="0.2">
      <c r="BK139" s="405"/>
      <c r="BL139" s="405"/>
      <c r="BM139" s="405"/>
      <c r="BN139" s="405"/>
      <c r="BO139" s="405"/>
      <c r="BP139" s="405"/>
      <c r="BQ139" s="405"/>
      <c r="BR139" s="405"/>
      <c r="BS139" s="405"/>
      <c r="BT139" s="405"/>
      <c r="BU139" s="405"/>
      <c r="BV139" s="405"/>
    </row>
    <row r="140" spans="63:74" x14ac:dyDescent="0.2">
      <c r="BK140" s="405"/>
      <c r="BL140" s="405"/>
      <c r="BM140" s="405"/>
      <c r="BN140" s="405"/>
      <c r="BO140" s="405"/>
      <c r="BP140" s="405"/>
      <c r="BQ140" s="405"/>
      <c r="BR140" s="405"/>
      <c r="BS140" s="405"/>
      <c r="BT140" s="405"/>
      <c r="BU140" s="405"/>
      <c r="BV140" s="405"/>
    </row>
    <row r="141" spans="63:74" x14ac:dyDescent="0.2">
      <c r="BK141" s="405"/>
      <c r="BL141" s="405"/>
      <c r="BM141" s="405"/>
      <c r="BN141" s="405"/>
      <c r="BO141" s="405"/>
      <c r="BP141" s="405"/>
      <c r="BQ141" s="405"/>
      <c r="BR141" s="405"/>
      <c r="BS141" s="405"/>
      <c r="BT141" s="405"/>
      <c r="BU141" s="405"/>
      <c r="BV141" s="405"/>
    </row>
    <row r="142" spans="63:74" x14ac:dyDescent="0.2">
      <c r="BK142" s="405"/>
      <c r="BL142" s="405"/>
      <c r="BM142" s="405"/>
      <c r="BN142" s="405"/>
      <c r="BO142" s="405"/>
      <c r="BP142" s="405"/>
      <c r="BQ142" s="405"/>
      <c r="BR142" s="405"/>
      <c r="BS142" s="405"/>
      <c r="BT142" s="405"/>
      <c r="BU142" s="405"/>
      <c r="BV142" s="405"/>
    </row>
    <row r="143" spans="63:74" x14ac:dyDescent="0.2">
      <c r="BK143" s="405"/>
      <c r="BL143" s="405"/>
      <c r="BM143" s="405"/>
      <c r="BN143" s="405"/>
      <c r="BO143" s="405"/>
      <c r="BP143" s="405"/>
      <c r="BQ143" s="405"/>
      <c r="BR143" s="405"/>
      <c r="BS143" s="405"/>
      <c r="BT143" s="405"/>
      <c r="BU143" s="405"/>
      <c r="BV143" s="405"/>
    </row>
    <row r="144" spans="63:74" x14ac:dyDescent="0.2">
      <c r="BK144" s="405"/>
      <c r="BL144" s="405"/>
      <c r="BM144" s="405"/>
      <c r="BN144" s="405"/>
      <c r="BO144" s="405"/>
      <c r="BP144" s="405"/>
      <c r="BQ144" s="405"/>
      <c r="BR144" s="405"/>
      <c r="BS144" s="405"/>
      <c r="BT144" s="405"/>
      <c r="BU144" s="405"/>
      <c r="BV144" s="405"/>
    </row>
    <row r="145" spans="63:74" x14ac:dyDescent="0.2">
      <c r="BK145" s="405"/>
      <c r="BL145" s="405"/>
      <c r="BM145" s="405"/>
      <c r="BN145" s="405"/>
      <c r="BO145" s="405"/>
      <c r="BP145" s="405"/>
      <c r="BQ145" s="405"/>
      <c r="BR145" s="405"/>
      <c r="BS145" s="405"/>
      <c r="BT145" s="405"/>
      <c r="BU145" s="405"/>
      <c r="BV145" s="405"/>
    </row>
  </sheetData>
  <mergeCells count="17">
    <mergeCell ref="A1:A2"/>
    <mergeCell ref="AM3:AX3"/>
    <mergeCell ref="AY3:BJ3"/>
    <mergeCell ref="BK3:BV3"/>
    <mergeCell ref="B1:AL1"/>
    <mergeCell ref="C3:N3"/>
    <mergeCell ref="O3:Z3"/>
    <mergeCell ref="AA3:AL3"/>
    <mergeCell ref="B61:Q61"/>
    <mergeCell ref="B58:Q58"/>
    <mergeCell ref="B59:Q59"/>
    <mergeCell ref="B60:Q60"/>
    <mergeCell ref="B53:Q53"/>
    <mergeCell ref="B55:Q55"/>
    <mergeCell ref="B56:Q56"/>
    <mergeCell ref="B57:Q57"/>
    <mergeCell ref="B54:R54"/>
  </mergeCells>
  <phoneticPr fontId="3" type="noConversion"/>
  <hyperlinks>
    <hyperlink ref="A1:A2" location="Contents!A1" display="Table of Contents"/>
  </hyperlinks>
  <pageMargins left="0.25" right="0.25" top="0.25" bottom="0.25" header="0.5" footer="0.5"/>
  <pageSetup scale="50" orientation="landscape" horizontalDpi="4294967293"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BV126"/>
  <sheetViews>
    <sheetView zoomScaleNormal="100" workbookViewId="0">
      <pane xSplit="2" ySplit="4" topLeftCell="AX5" activePane="bottomRight" state="frozen"/>
      <selection activeCell="BF63" sqref="BF63"/>
      <selection pane="topRight" activeCell="BF63" sqref="BF63"/>
      <selection pane="bottomLeft" activeCell="BF63" sqref="BF63"/>
      <selection pane="bottomRight" activeCell="B1" sqref="B1:AL1"/>
    </sheetView>
  </sheetViews>
  <sheetFormatPr defaultColWidth="8.5546875" defaultRowHeight="10.199999999999999" x14ac:dyDescent="0.2"/>
  <cols>
    <col min="1" max="1" width="12.44140625" style="162" customWidth="1"/>
    <col min="2" max="2" width="32" style="153" customWidth="1"/>
    <col min="3" max="50" width="6.5546875" style="153" customWidth="1"/>
    <col min="51" max="55" width="6.5546875" style="487" customWidth="1"/>
    <col min="56" max="58" width="6.5546875" style="623" customWidth="1"/>
    <col min="59" max="62" width="6.5546875" style="487" customWidth="1"/>
    <col min="63" max="74" width="6.5546875" style="153" customWidth="1"/>
    <col min="75" max="16384" width="8.5546875" style="153"/>
  </cols>
  <sheetData>
    <row r="1" spans="1:74" ht="13.35" customHeight="1" x14ac:dyDescent="0.25">
      <c r="A1" s="797" t="s">
        <v>809</v>
      </c>
      <c r="B1" s="828" t="s">
        <v>1417</v>
      </c>
      <c r="C1" s="829"/>
      <c r="D1" s="829"/>
      <c r="E1" s="829"/>
      <c r="F1" s="829"/>
      <c r="G1" s="829"/>
      <c r="H1" s="829"/>
      <c r="I1" s="829"/>
      <c r="J1" s="829"/>
      <c r="K1" s="829"/>
      <c r="L1" s="829"/>
      <c r="M1" s="829"/>
      <c r="N1" s="829"/>
      <c r="O1" s="829"/>
      <c r="P1" s="829"/>
      <c r="Q1" s="829"/>
      <c r="R1" s="829"/>
      <c r="S1" s="829"/>
      <c r="T1" s="829"/>
      <c r="U1" s="829"/>
      <c r="V1" s="829"/>
      <c r="W1" s="829"/>
      <c r="X1" s="829"/>
      <c r="Y1" s="829"/>
      <c r="Z1" s="829"/>
      <c r="AA1" s="829"/>
      <c r="AB1" s="829"/>
      <c r="AC1" s="829"/>
      <c r="AD1" s="829"/>
      <c r="AE1" s="829"/>
      <c r="AF1" s="829"/>
      <c r="AG1" s="829"/>
      <c r="AH1" s="829"/>
      <c r="AI1" s="829"/>
      <c r="AJ1" s="829"/>
      <c r="AK1" s="829"/>
      <c r="AL1" s="829"/>
    </row>
    <row r="2" spans="1:74" ht="13.2" x14ac:dyDescent="0.25">
      <c r="A2" s="798"/>
      <c r="B2" s="747" t="str">
        <f>"U.S. Energy Information Administration  |  Short-Term Energy Outlook  - "&amp;Dates!D1</f>
        <v>U.S. Energy Information Administration  |  Short-Term Energy Outlook  - September 2020</v>
      </c>
      <c r="C2" s="748"/>
      <c r="D2" s="748"/>
      <c r="E2" s="748"/>
      <c r="F2" s="748"/>
      <c r="G2" s="748"/>
      <c r="H2" s="748"/>
      <c r="I2" s="748"/>
      <c r="J2" s="748"/>
      <c r="K2" s="748"/>
      <c r="L2" s="748"/>
      <c r="M2" s="748"/>
      <c r="N2" s="748"/>
      <c r="O2" s="748"/>
      <c r="P2" s="748"/>
      <c r="Q2" s="748"/>
      <c r="R2" s="748"/>
      <c r="S2" s="748"/>
      <c r="T2" s="748"/>
      <c r="U2" s="748"/>
      <c r="V2" s="748"/>
      <c r="W2" s="748"/>
      <c r="X2" s="748"/>
      <c r="Y2" s="748"/>
      <c r="Z2" s="748"/>
      <c r="AA2" s="748"/>
      <c r="AB2" s="748"/>
      <c r="AC2" s="748"/>
      <c r="AD2" s="748"/>
      <c r="AE2" s="748"/>
      <c r="AF2" s="748"/>
      <c r="AG2" s="748"/>
      <c r="AH2" s="748"/>
      <c r="AI2" s="748"/>
      <c r="AJ2" s="748"/>
      <c r="AK2" s="748"/>
      <c r="AL2" s="748"/>
    </row>
    <row r="3" spans="1:74" s="12" customFormat="1" ht="13.2" x14ac:dyDescent="0.25">
      <c r="A3" s="14"/>
      <c r="B3" s="15"/>
      <c r="C3" s="806">
        <f>Dates!D3</f>
        <v>2016</v>
      </c>
      <c r="D3" s="802"/>
      <c r="E3" s="802"/>
      <c r="F3" s="802"/>
      <c r="G3" s="802"/>
      <c r="H3" s="802"/>
      <c r="I3" s="802"/>
      <c r="J3" s="802"/>
      <c r="K3" s="802"/>
      <c r="L3" s="802"/>
      <c r="M3" s="802"/>
      <c r="N3" s="803"/>
      <c r="O3" s="806">
        <f>C3+1</f>
        <v>2017</v>
      </c>
      <c r="P3" s="807"/>
      <c r="Q3" s="807"/>
      <c r="R3" s="807"/>
      <c r="S3" s="807"/>
      <c r="T3" s="807"/>
      <c r="U3" s="807"/>
      <c r="V3" s="807"/>
      <c r="W3" s="807"/>
      <c r="X3" s="802"/>
      <c r="Y3" s="802"/>
      <c r="Z3" s="803"/>
      <c r="AA3" s="799">
        <f>O3+1</f>
        <v>2018</v>
      </c>
      <c r="AB3" s="802"/>
      <c r="AC3" s="802"/>
      <c r="AD3" s="802"/>
      <c r="AE3" s="802"/>
      <c r="AF3" s="802"/>
      <c r="AG3" s="802"/>
      <c r="AH3" s="802"/>
      <c r="AI3" s="802"/>
      <c r="AJ3" s="802"/>
      <c r="AK3" s="802"/>
      <c r="AL3" s="803"/>
      <c r="AM3" s="799">
        <f>AA3+1</f>
        <v>2019</v>
      </c>
      <c r="AN3" s="802"/>
      <c r="AO3" s="802"/>
      <c r="AP3" s="802"/>
      <c r="AQ3" s="802"/>
      <c r="AR3" s="802"/>
      <c r="AS3" s="802"/>
      <c r="AT3" s="802"/>
      <c r="AU3" s="802"/>
      <c r="AV3" s="802"/>
      <c r="AW3" s="802"/>
      <c r="AX3" s="803"/>
      <c r="AY3" s="799">
        <f>AM3+1</f>
        <v>2020</v>
      </c>
      <c r="AZ3" s="800"/>
      <c r="BA3" s="800"/>
      <c r="BB3" s="800"/>
      <c r="BC3" s="800"/>
      <c r="BD3" s="800"/>
      <c r="BE3" s="800"/>
      <c r="BF3" s="800"/>
      <c r="BG3" s="800"/>
      <c r="BH3" s="800"/>
      <c r="BI3" s="800"/>
      <c r="BJ3" s="801"/>
      <c r="BK3" s="799">
        <f>AY3+1</f>
        <v>2021</v>
      </c>
      <c r="BL3" s="802"/>
      <c r="BM3" s="802"/>
      <c r="BN3" s="802"/>
      <c r="BO3" s="802"/>
      <c r="BP3" s="802"/>
      <c r="BQ3" s="802"/>
      <c r="BR3" s="802"/>
      <c r="BS3" s="802"/>
      <c r="BT3" s="802"/>
      <c r="BU3" s="802"/>
      <c r="BV3" s="803"/>
    </row>
    <row r="4" spans="1:74" s="12" customFormat="1" x14ac:dyDescent="0.2">
      <c r="A4" s="16"/>
      <c r="B4" s="17"/>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B5" s="252" t="s">
        <v>318</v>
      </c>
      <c r="C5" s="250"/>
      <c r="D5" s="250"/>
      <c r="E5" s="250"/>
      <c r="F5" s="250"/>
      <c r="G5" s="250"/>
      <c r="H5" s="250"/>
      <c r="I5" s="250"/>
      <c r="J5" s="250"/>
      <c r="K5" s="250"/>
      <c r="L5" s="250"/>
      <c r="M5" s="250"/>
      <c r="N5" s="250"/>
      <c r="O5" s="250"/>
      <c r="P5" s="250"/>
      <c r="Q5" s="250"/>
      <c r="R5" s="250"/>
      <c r="S5" s="250"/>
      <c r="T5" s="250"/>
      <c r="U5" s="250"/>
      <c r="V5" s="250"/>
      <c r="W5" s="250"/>
      <c r="X5" s="250"/>
      <c r="Y5" s="250"/>
      <c r="Z5" s="250"/>
      <c r="AA5" s="250"/>
      <c r="AB5" s="250"/>
      <c r="AC5" s="250"/>
      <c r="AD5" s="250"/>
      <c r="AE5" s="250"/>
      <c r="AF5" s="250"/>
      <c r="AG5" s="250"/>
      <c r="AH5" s="250"/>
      <c r="AI5" s="250"/>
      <c r="AJ5" s="250"/>
      <c r="AK5" s="250"/>
      <c r="AL5" s="250"/>
      <c r="AM5" s="250"/>
      <c r="AN5" s="250"/>
      <c r="AO5" s="250"/>
      <c r="AP5" s="250"/>
      <c r="AQ5" s="250"/>
      <c r="AR5" s="250"/>
      <c r="AS5" s="250"/>
      <c r="AT5" s="250"/>
      <c r="AU5" s="250"/>
      <c r="AV5" s="250"/>
      <c r="AW5" s="250"/>
      <c r="AX5" s="250"/>
      <c r="AY5" s="711"/>
      <c r="AZ5" s="711"/>
      <c r="BA5" s="250"/>
      <c r="BB5" s="711"/>
      <c r="BC5" s="711"/>
      <c r="BD5" s="250"/>
      <c r="BE5" s="250"/>
      <c r="BF5" s="250"/>
      <c r="BG5" s="250"/>
      <c r="BH5" s="250"/>
      <c r="BI5" s="250"/>
      <c r="BJ5" s="711"/>
      <c r="BK5" s="403"/>
      <c r="BL5" s="403"/>
      <c r="BM5" s="403"/>
      <c r="BN5" s="403"/>
      <c r="BO5" s="403"/>
      <c r="BP5" s="403"/>
      <c r="BQ5" s="403"/>
      <c r="BR5" s="403"/>
      <c r="BS5" s="403"/>
      <c r="BT5" s="403"/>
      <c r="BU5" s="403"/>
      <c r="BV5" s="403"/>
    </row>
    <row r="6" spans="1:74" ht="11.1" customHeight="1" x14ac:dyDescent="0.2">
      <c r="A6" s="162" t="s">
        <v>1038</v>
      </c>
      <c r="B6" s="173" t="s">
        <v>319</v>
      </c>
      <c r="C6" s="250">
        <v>1.05</v>
      </c>
      <c r="D6" s="250">
        <v>1.05</v>
      </c>
      <c r="E6" s="250">
        <v>1.05</v>
      </c>
      <c r="F6" s="250">
        <v>1.05</v>
      </c>
      <c r="G6" s="250">
        <v>1.05</v>
      </c>
      <c r="H6" s="250">
        <v>1.03</v>
      </c>
      <c r="I6" s="250">
        <v>1.05</v>
      </c>
      <c r="J6" s="250">
        <v>1.05</v>
      </c>
      <c r="K6" s="250">
        <v>1.05</v>
      </c>
      <c r="L6" s="250">
        <v>1.05</v>
      </c>
      <c r="M6" s="250">
        <v>1.05</v>
      </c>
      <c r="N6" s="250">
        <v>1.05</v>
      </c>
      <c r="O6" s="250">
        <v>1.04</v>
      </c>
      <c r="P6" s="250">
        <v>1.04</v>
      </c>
      <c r="Q6" s="250">
        <v>1.04</v>
      </c>
      <c r="R6" s="250">
        <v>1.03</v>
      </c>
      <c r="S6" s="250">
        <v>1.03</v>
      </c>
      <c r="T6" s="250">
        <v>1.03</v>
      </c>
      <c r="U6" s="250">
        <v>1.03</v>
      </c>
      <c r="V6" s="250">
        <v>1.03</v>
      </c>
      <c r="W6" s="250">
        <v>1.03</v>
      </c>
      <c r="X6" s="250">
        <v>0.98</v>
      </c>
      <c r="Y6" s="250">
        <v>1</v>
      </c>
      <c r="Z6" s="250">
        <v>1.03</v>
      </c>
      <c r="AA6" s="250">
        <v>1.04</v>
      </c>
      <c r="AB6" s="250">
        <v>1.03</v>
      </c>
      <c r="AC6" s="250">
        <v>0.99</v>
      </c>
      <c r="AD6" s="250">
        <v>0.99</v>
      </c>
      <c r="AE6" s="250">
        <v>1.02</v>
      </c>
      <c r="AF6" s="250">
        <v>1.04</v>
      </c>
      <c r="AG6" s="250">
        <v>1.05</v>
      </c>
      <c r="AH6" s="250">
        <v>1.04</v>
      </c>
      <c r="AI6" s="250">
        <v>1</v>
      </c>
      <c r="AJ6" s="250">
        <v>1</v>
      </c>
      <c r="AK6" s="250">
        <v>1</v>
      </c>
      <c r="AL6" s="250">
        <v>1</v>
      </c>
      <c r="AM6" s="250">
        <v>0.95</v>
      </c>
      <c r="AN6" s="250">
        <v>1.04</v>
      </c>
      <c r="AO6" s="250">
        <v>1.05</v>
      </c>
      <c r="AP6" s="250">
        <v>1.04</v>
      </c>
      <c r="AQ6" s="250">
        <v>1.03</v>
      </c>
      <c r="AR6" s="250">
        <v>1</v>
      </c>
      <c r="AS6" s="250">
        <v>1.02</v>
      </c>
      <c r="AT6" s="250">
        <v>1.01</v>
      </c>
      <c r="AU6" s="250">
        <v>1.02</v>
      </c>
      <c r="AV6" s="250">
        <v>1.02</v>
      </c>
      <c r="AW6" s="250">
        <v>1.03</v>
      </c>
      <c r="AX6" s="250">
        <v>1.02</v>
      </c>
      <c r="AY6" s="250">
        <v>1.01</v>
      </c>
      <c r="AZ6" s="250">
        <v>1.01</v>
      </c>
      <c r="BA6" s="250">
        <v>1.03</v>
      </c>
      <c r="BB6" s="250">
        <v>1.03</v>
      </c>
      <c r="BC6" s="250">
        <v>0.85</v>
      </c>
      <c r="BD6" s="250">
        <v>0.81499999999999995</v>
      </c>
      <c r="BE6" s="250">
        <v>0.81</v>
      </c>
      <c r="BF6" s="250">
        <v>0.84</v>
      </c>
      <c r="BG6" s="250" t="s">
        <v>1429</v>
      </c>
      <c r="BH6" s="250" t="s">
        <v>1429</v>
      </c>
      <c r="BI6" s="250" t="s">
        <v>1429</v>
      </c>
      <c r="BJ6" s="250" t="s">
        <v>1429</v>
      </c>
      <c r="BK6" s="250" t="s">
        <v>1429</v>
      </c>
      <c r="BL6" s="250" t="s">
        <v>1429</v>
      </c>
      <c r="BM6" s="250" t="s">
        <v>1429</v>
      </c>
      <c r="BN6" s="250" t="s">
        <v>1429</v>
      </c>
      <c r="BO6" s="250" t="s">
        <v>1429</v>
      </c>
      <c r="BP6" s="250" t="s">
        <v>1429</v>
      </c>
      <c r="BQ6" s="250" t="s">
        <v>1429</v>
      </c>
      <c r="BR6" s="250" t="s">
        <v>1429</v>
      </c>
      <c r="BS6" s="250" t="s">
        <v>1429</v>
      </c>
      <c r="BT6" s="250" t="s">
        <v>1429</v>
      </c>
      <c r="BU6" s="250" t="s">
        <v>1429</v>
      </c>
      <c r="BV6" s="250" t="s">
        <v>1429</v>
      </c>
    </row>
    <row r="7" spans="1:74" ht="11.1" customHeight="1" x14ac:dyDescent="0.2">
      <c r="A7" s="162" t="s">
        <v>336</v>
      </c>
      <c r="B7" s="173" t="s">
        <v>327</v>
      </c>
      <c r="C7" s="250">
        <v>1.78</v>
      </c>
      <c r="D7" s="250">
        <v>1.7749999999999999</v>
      </c>
      <c r="E7" s="250">
        <v>1.78</v>
      </c>
      <c r="F7" s="250">
        <v>1.7749999999999999</v>
      </c>
      <c r="G7" s="250">
        <v>1.8</v>
      </c>
      <c r="H7" s="250">
        <v>1.8049999999999999</v>
      </c>
      <c r="I7" s="250">
        <v>1.8109999999999999</v>
      </c>
      <c r="J7" s="250">
        <v>1.8149999999999999</v>
      </c>
      <c r="K7" s="250">
        <v>1.75</v>
      </c>
      <c r="L7" s="250">
        <v>1.6</v>
      </c>
      <c r="M7" s="250">
        <v>1.68</v>
      </c>
      <c r="N7" s="250">
        <v>1.65</v>
      </c>
      <c r="O7" s="250">
        <v>1.64</v>
      </c>
      <c r="P7" s="250">
        <v>1.67</v>
      </c>
      <c r="Q7" s="250">
        <v>1.61</v>
      </c>
      <c r="R7" s="250">
        <v>1.68</v>
      </c>
      <c r="S7" s="250">
        <v>1.64</v>
      </c>
      <c r="T7" s="250">
        <v>1.67</v>
      </c>
      <c r="U7" s="250">
        <v>1.65</v>
      </c>
      <c r="V7" s="250">
        <v>1.67</v>
      </c>
      <c r="W7" s="250">
        <v>1.65</v>
      </c>
      <c r="X7" s="250">
        <v>1.675</v>
      </c>
      <c r="Y7" s="250">
        <v>1.58</v>
      </c>
      <c r="Z7" s="250">
        <v>1.62</v>
      </c>
      <c r="AA7" s="250">
        <v>1.61</v>
      </c>
      <c r="AB7" s="250">
        <v>1.6</v>
      </c>
      <c r="AC7" s="250">
        <v>1.57</v>
      </c>
      <c r="AD7" s="250">
        <v>1.5649999999999999</v>
      </c>
      <c r="AE7" s="250">
        <v>1.57</v>
      </c>
      <c r="AF7" s="250">
        <v>1.54</v>
      </c>
      <c r="AG7" s="250">
        <v>1.55</v>
      </c>
      <c r="AH7" s="250">
        <v>1.56</v>
      </c>
      <c r="AI7" s="250">
        <v>1.58</v>
      </c>
      <c r="AJ7" s="250">
        <v>1.55</v>
      </c>
      <c r="AK7" s="250">
        <v>1.59</v>
      </c>
      <c r="AL7" s="250">
        <v>1.57</v>
      </c>
      <c r="AM7" s="250">
        <v>1.57</v>
      </c>
      <c r="AN7" s="250">
        <v>1.46</v>
      </c>
      <c r="AO7" s="250">
        <v>1.47</v>
      </c>
      <c r="AP7" s="250">
        <v>1.43</v>
      </c>
      <c r="AQ7" s="250">
        <v>1.45</v>
      </c>
      <c r="AR7" s="250">
        <v>1.41</v>
      </c>
      <c r="AS7" s="250">
        <v>1.39</v>
      </c>
      <c r="AT7" s="250">
        <v>1.43</v>
      </c>
      <c r="AU7" s="250">
        <v>1.38</v>
      </c>
      <c r="AV7" s="250">
        <v>1.36</v>
      </c>
      <c r="AW7" s="250">
        <v>1.3</v>
      </c>
      <c r="AX7" s="250">
        <v>1.43</v>
      </c>
      <c r="AY7" s="250">
        <v>1.35</v>
      </c>
      <c r="AZ7" s="250">
        <v>1.37</v>
      </c>
      <c r="BA7" s="250">
        <v>1.35</v>
      </c>
      <c r="BB7" s="250">
        <v>1.32</v>
      </c>
      <c r="BC7" s="250">
        <v>1.25</v>
      </c>
      <c r="BD7" s="250">
        <v>1.22</v>
      </c>
      <c r="BE7" s="250">
        <v>1.1499999999999999</v>
      </c>
      <c r="BF7" s="250">
        <v>1.18</v>
      </c>
      <c r="BG7" s="250" t="s">
        <v>1429</v>
      </c>
      <c r="BH7" s="250" t="s">
        <v>1429</v>
      </c>
      <c r="BI7" s="250" t="s">
        <v>1429</v>
      </c>
      <c r="BJ7" s="250" t="s">
        <v>1429</v>
      </c>
      <c r="BK7" s="250" t="s">
        <v>1429</v>
      </c>
      <c r="BL7" s="250" t="s">
        <v>1429</v>
      </c>
      <c r="BM7" s="250" t="s">
        <v>1429</v>
      </c>
      <c r="BN7" s="250" t="s">
        <v>1429</v>
      </c>
      <c r="BO7" s="250" t="s">
        <v>1429</v>
      </c>
      <c r="BP7" s="250" t="s">
        <v>1429</v>
      </c>
      <c r="BQ7" s="250" t="s">
        <v>1429</v>
      </c>
      <c r="BR7" s="250" t="s">
        <v>1429</v>
      </c>
      <c r="BS7" s="250" t="s">
        <v>1429</v>
      </c>
      <c r="BT7" s="250" t="s">
        <v>1429</v>
      </c>
      <c r="BU7" s="250" t="s">
        <v>1429</v>
      </c>
      <c r="BV7" s="250" t="s">
        <v>1429</v>
      </c>
    </row>
    <row r="8" spans="1:74" ht="11.1" customHeight="1" x14ac:dyDescent="0.2">
      <c r="A8" s="162" t="s">
        <v>1145</v>
      </c>
      <c r="B8" s="173" t="s">
        <v>1146</v>
      </c>
      <c r="C8" s="250">
        <v>0.20954200000000001</v>
      </c>
      <c r="D8" s="250">
        <v>0.20552999999999999</v>
      </c>
      <c r="E8" s="250">
        <v>0.19054499999999999</v>
      </c>
      <c r="F8" s="250">
        <v>0.181058</v>
      </c>
      <c r="G8" s="250">
        <v>0.18735099999999999</v>
      </c>
      <c r="H8" s="250">
        <v>0.195463</v>
      </c>
      <c r="I8" s="250">
        <v>0.20899499999999999</v>
      </c>
      <c r="J8" s="250">
        <v>0.20374300000000001</v>
      </c>
      <c r="K8" s="250">
        <v>0.18052000000000001</v>
      </c>
      <c r="L8" s="250">
        <v>0.16932700000000001</v>
      </c>
      <c r="M8" s="250">
        <v>0.16131499999999999</v>
      </c>
      <c r="N8" s="250">
        <v>0.18970799999999999</v>
      </c>
      <c r="O8" s="250">
        <v>0.185</v>
      </c>
      <c r="P8" s="250">
        <v>0.192</v>
      </c>
      <c r="Q8" s="250">
        <v>0.155</v>
      </c>
      <c r="R8" s="250">
        <v>0.16600000000000001</v>
      </c>
      <c r="S8" s="250">
        <v>0.19400000000000001</v>
      </c>
      <c r="T8" s="250">
        <v>0.25</v>
      </c>
      <c r="U8" s="250">
        <v>0.27</v>
      </c>
      <c r="V8" s="250">
        <v>0.26200000000000001</v>
      </c>
      <c r="W8" s="250">
        <v>0.26500000000000001</v>
      </c>
      <c r="X8" s="250">
        <v>0.28999999999999998</v>
      </c>
      <c r="Y8" s="250">
        <v>0.30099999999999999</v>
      </c>
      <c r="Z8" s="250">
        <v>0.312</v>
      </c>
      <c r="AA8" s="250">
        <v>0.316</v>
      </c>
      <c r="AB8" s="250">
        <v>0.32600000000000001</v>
      </c>
      <c r="AC8" s="250">
        <v>0.36399999999999999</v>
      </c>
      <c r="AD8" s="250">
        <v>0.36299999999999999</v>
      </c>
      <c r="AE8" s="250">
        <v>0.35799999999999998</v>
      </c>
      <c r="AF8" s="250">
        <v>0.33500000000000002</v>
      </c>
      <c r="AG8" s="250">
        <v>0.32500000000000001</v>
      </c>
      <c r="AH8" s="250">
        <v>0.34</v>
      </c>
      <c r="AI8" s="250">
        <v>0.33500000000000002</v>
      </c>
      <c r="AJ8" s="250">
        <v>0.33</v>
      </c>
      <c r="AK8" s="250">
        <v>0.3</v>
      </c>
      <c r="AL8" s="250">
        <v>0.31</v>
      </c>
      <c r="AM8" s="250">
        <v>0.32</v>
      </c>
      <c r="AN8" s="250">
        <v>0.33500000000000002</v>
      </c>
      <c r="AO8" s="250">
        <v>0.32500000000000001</v>
      </c>
      <c r="AP8" s="250">
        <v>0.33500000000000002</v>
      </c>
      <c r="AQ8" s="250">
        <v>0.32500000000000001</v>
      </c>
      <c r="AR8" s="250">
        <v>0.32500000000000001</v>
      </c>
      <c r="AS8" s="250">
        <v>0.315</v>
      </c>
      <c r="AT8" s="250">
        <v>0.33</v>
      </c>
      <c r="AU8" s="250">
        <v>0.33500000000000002</v>
      </c>
      <c r="AV8" s="250">
        <v>0.32500000000000001</v>
      </c>
      <c r="AW8" s="250">
        <v>0.315</v>
      </c>
      <c r="AX8" s="250">
        <v>0.30499999999999999</v>
      </c>
      <c r="AY8" s="250">
        <v>0.30499999999999999</v>
      </c>
      <c r="AZ8" s="250">
        <v>0.28999999999999998</v>
      </c>
      <c r="BA8" s="250">
        <v>0.28000000000000003</v>
      </c>
      <c r="BB8" s="250">
        <v>0.28999999999999998</v>
      </c>
      <c r="BC8" s="250">
        <v>0.28000000000000003</v>
      </c>
      <c r="BD8" s="250">
        <v>0.3</v>
      </c>
      <c r="BE8" s="250">
        <v>0.28000000000000003</v>
      </c>
      <c r="BF8" s="250">
        <v>0.27</v>
      </c>
      <c r="BG8" s="250" t="s">
        <v>1429</v>
      </c>
      <c r="BH8" s="250" t="s">
        <v>1429</v>
      </c>
      <c r="BI8" s="250" t="s">
        <v>1429</v>
      </c>
      <c r="BJ8" s="250" t="s">
        <v>1429</v>
      </c>
      <c r="BK8" s="250" t="s">
        <v>1429</v>
      </c>
      <c r="BL8" s="250" t="s">
        <v>1429</v>
      </c>
      <c r="BM8" s="250" t="s">
        <v>1429</v>
      </c>
      <c r="BN8" s="250" t="s">
        <v>1429</v>
      </c>
      <c r="BO8" s="250" t="s">
        <v>1429</v>
      </c>
      <c r="BP8" s="250" t="s">
        <v>1429</v>
      </c>
      <c r="BQ8" s="250" t="s">
        <v>1429</v>
      </c>
      <c r="BR8" s="250" t="s">
        <v>1429</v>
      </c>
      <c r="BS8" s="250" t="s">
        <v>1429</v>
      </c>
      <c r="BT8" s="250" t="s">
        <v>1429</v>
      </c>
      <c r="BU8" s="250" t="s">
        <v>1429</v>
      </c>
      <c r="BV8" s="250" t="s">
        <v>1429</v>
      </c>
    </row>
    <row r="9" spans="1:74" ht="11.1" customHeight="1" x14ac:dyDescent="0.2">
      <c r="A9" s="162" t="s">
        <v>1125</v>
      </c>
      <c r="B9" s="173" t="s">
        <v>1126</v>
      </c>
      <c r="C9" s="250">
        <v>0.16</v>
      </c>
      <c r="D9" s="250">
        <v>0.16</v>
      </c>
      <c r="E9" s="250">
        <v>0.16</v>
      </c>
      <c r="F9" s="250">
        <v>0.16</v>
      </c>
      <c r="G9" s="250">
        <v>0.16</v>
      </c>
      <c r="H9" s="250">
        <v>0.16</v>
      </c>
      <c r="I9" s="250">
        <v>0.16</v>
      </c>
      <c r="J9" s="250">
        <v>0.16</v>
      </c>
      <c r="K9" s="250">
        <v>0.16</v>
      </c>
      <c r="L9" s="250">
        <v>0.16</v>
      </c>
      <c r="M9" s="250">
        <v>0.16</v>
      </c>
      <c r="N9" s="250">
        <v>0.16</v>
      </c>
      <c r="O9" s="250">
        <v>0.13500000000000001</v>
      </c>
      <c r="P9" s="250">
        <v>0.13500000000000001</v>
      </c>
      <c r="Q9" s="250">
        <v>0.13500000000000001</v>
      </c>
      <c r="R9" s="250">
        <v>0.13500000000000001</v>
      </c>
      <c r="S9" s="250">
        <v>0.13500000000000001</v>
      </c>
      <c r="T9" s="250">
        <v>0.13500000000000001</v>
      </c>
      <c r="U9" s="250">
        <v>0.13500000000000001</v>
      </c>
      <c r="V9" s="250">
        <v>0.13</v>
      </c>
      <c r="W9" s="250">
        <v>0.13</v>
      </c>
      <c r="X9" s="250">
        <v>0.13500000000000001</v>
      </c>
      <c r="Y9" s="250">
        <v>0.13</v>
      </c>
      <c r="Z9" s="250">
        <v>0.13</v>
      </c>
      <c r="AA9" s="250">
        <v>0.13500000000000001</v>
      </c>
      <c r="AB9" s="250">
        <v>0.13500000000000001</v>
      </c>
      <c r="AC9" s="250">
        <v>0.13500000000000001</v>
      </c>
      <c r="AD9" s="250">
        <v>0.13500000000000001</v>
      </c>
      <c r="AE9" s="250">
        <v>0.13500000000000001</v>
      </c>
      <c r="AF9" s="250">
        <v>0.13</v>
      </c>
      <c r="AG9" s="250">
        <v>0.13500000000000001</v>
      </c>
      <c r="AH9" s="250">
        <v>0.13500000000000001</v>
      </c>
      <c r="AI9" s="250">
        <v>0.13500000000000001</v>
      </c>
      <c r="AJ9" s="250">
        <v>0.13500000000000001</v>
      </c>
      <c r="AK9" s="250">
        <v>0.12</v>
      </c>
      <c r="AL9" s="250">
        <v>0.11</v>
      </c>
      <c r="AM9" s="250">
        <v>0.11</v>
      </c>
      <c r="AN9" s="250">
        <v>0.1</v>
      </c>
      <c r="AO9" s="250">
        <v>0.12</v>
      </c>
      <c r="AP9" s="250">
        <v>0.12</v>
      </c>
      <c r="AQ9" s="250">
        <v>0.11</v>
      </c>
      <c r="AR9" s="250">
        <v>0.11</v>
      </c>
      <c r="AS9" s="250">
        <v>0.13500000000000001</v>
      </c>
      <c r="AT9" s="250">
        <v>0.13</v>
      </c>
      <c r="AU9" s="250">
        <v>0.12</v>
      </c>
      <c r="AV9" s="250">
        <v>0.13</v>
      </c>
      <c r="AW9" s="250">
        <v>0.12</v>
      </c>
      <c r="AX9" s="250">
        <v>0.13</v>
      </c>
      <c r="AY9" s="250">
        <v>0.13</v>
      </c>
      <c r="AZ9" s="250">
        <v>0.12</v>
      </c>
      <c r="BA9" s="250">
        <v>0.13</v>
      </c>
      <c r="BB9" s="250">
        <v>0.13500000000000001</v>
      </c>
      <c r="BC9" s="250">
        <v>0.1</v>
      </c>
      <c r="BD9" s="250">
        <v>0.115</v>
      </c>
      <c r="BE9" s="250">
        <v>0.11</v>
      </c>
      <c r="BF9" s="250">
        <v>0.11</v>
      </c>
      <c r="BG9" s="250" t="s">
        <v>1429</v>
      </c>
      <c r="BH9" s="250" t="s">
        <v>1429</v>
      </c>
      <c r="BI9" s="250" t="s">
        <v>1429</v>
      </c>
      <c r="BJ9" s="250" t="s">
        <v>1429</v>
      </c>
      <c r="BK9" s="250" t="s">
        <v>1429</v>
      </c>
      <c r="BL9" s="250" t="s">
        <v>1429</v>
      </c>
      <c r="BM9" s="250" t="s">
        <v>1429</v>
      </c>
      <c r="BN9" s="250" t="s">
        <v>1429</v>
      </c>
      <c r="BO9" s="250" t="s">
        <v>1429</v>
      </c>
      <c r="BP9" s="250" t="s">
        <v>1429</v>
      </c>
      <c r="BQ9" s="250" t="s">
        <v>1429</v>
      </c>
      <c r="BR9" s="250" t="s">
        <v>1429</v>
      </c>
      <c r="BS9" s="250" t="s">
        <v>1429</v>
      </c>
      <c r="BT9" s="250" t="s">
        <v>1429</v>
      </c>
      <c r="BU9" s="250" t="s">
        <v>1429</v>
      </c>
      <c r="BV9" s="250" t="s">
        <v>1429</v>
      </c>
    </row>
    <row r="10" spans="1:74" ht="11.1" customHeight="1" x14ac:dyDescent="0.2">
      <c r="A10" s="162" t="s">
        <v>1045</v>
      </c>
      <c r="B10" s="173" t="s">
        <v>1046</v>
      </c>
      <c r="C10" s="250">
        <v>0.21</v>
      </c>
      <c r="D10" s="250">
        <v>0.21</v>
      </c>
      <c r="E10" s="250">
        <v>0.21</v>
      </c>
      <c r="F10" s="250">
        <v>0.21</v>
      </c>
      <c r="G10" s="250">
        <v>0.21</v>
      </c>
      <c r="H10" s="250">
        <v>0.21</v>
      </c>
      <c r="I10" s="250">
        <v>0.21</v>
      </c>
      <c r="J10" s="250">
        <v>0.21</v>
      </c>
      <c r="K10" s="250">
        <v>0.21</v>
      </c>
      <c r="L10" s="250">
        <v>0.2</v>
      </c>
      <c r="M10" s="250">
        <v>0.22</v>
      </c>
      <c r="N10" s="250">
        <v>0.22</v>
      </c>
      <c r="O10" s="250">
        <v>0.2</v>
      </c>
      <c r="P10" s="250">
        <v>0.185</v>
      </c>
      <c r="Q10" s="250">
        <v>0.19</v>
      </c>
      <c r="R10" s="250">
        <v>0.21</v>
      </c>
      <c r="S10" s="250">
        <v>0.2</v>
      </c>
      <c r="T10" s="250">
        <v>0.2</v>
      </c>
      <c r="U10" s="250">
        <v>0.21</v>
      </c>
      <c r="V10" s="250">
        <v>0.2</v>
      </c>
      <c r="W10" s="250">
        <v>0.2</v>
      </c>
      <c r="X10" s="250">
        <v>0.2</v>
      </c>
      <c r="Y10" s="250">
        <v>0.19</v>
      </c>
      <c r="Z10" s="250">
        <v>0.2</v>
      </c>
      <c r="AA10" s="250">
        <v>0.2</v>
      </c>
      <c r="AB10" s="250">
        <v>0.2</v>
      </c>
      <c r="AC10" s="250">
        <v>0.2</v>
      </c>
      <c r="AD10" s="250">
        <v>0.19</v>
      </c>
      <c r="AE10" s="250">
        <v>0.2</v>
      </c>
      <c r="AF10" s="250">
        <v>0.2</v>
      </c>
      <c r="AG10" s="250">
        <v>0.18</v>
      </c>
      <c r="AH10" s="250">
        <v>0.2</v>
      </c>
      <c r="AI10" s="250">
        <v>0.2</v>
      </c>
      <c r="AJ10" s="250">
        <v>0.2</v>
      </c>
      <c r="AK10" s="250">
        <v>0.18</v>
      </c>
      <c r="AL10" s="250">
        <v>0.2</v>
      </c>
      <c r="AM10" s="250">
        <v>0.21</v>
      </c>
      <c r="AN10" s="250">
        <v>0.2</v>
      </c>
      <c r="AO10" s="250">
        <v>0.2</v>
      </c>
      <c r="AP10" s="250">
        <v>0.18</v>
      </c>
      <c r="AQ10" s="250">
        <v>0.21</v>
      </c>
      <c r="AR10" s="250">
        <v>0.21</v>
      </c>
      <c r="AS10" s="250">
        <v>0.2</v>
      </c>
      <c r="AT10" s="250">
        <v>0.21</v>
      </c>
      <c r="AU10" s="250">
        <v>0.2</v>
      </c>
      <c r="AV10" s="250">
        <v>0.21</v>
      </c>
      <c r="AW10" s="250">
        <v>0.18</v>
      </c>
      <c r="AX10" s="250">
        <v>0.21</v>
      </c>
      <c r="AY10" s="250">
        <v>0.185</v>
      </c>
      <c r="AZ10" s="250">
        <v>0.2</v>
      </c>
      <c r="BA10" s="250">
        <v>0.2</v>
      </c>
      <c r="BB10" s="250">
        <v>0.19</v>
      </c>
      <c r="BC10" s="250">
        <v>0.18</v>
      </c>
      <c r="BD10" s="250">
        <v>0.18</v>
      </c>
      <c r="BE10" s="250">
        <v>0.15</v>
      </c>
      <c r="BF10" s="250">
        <v>0.15</v>
      </c>
      <c r="BG10" s="250" t="s">
        <v>1429</v>
      </c>
      <c r="BH10" s="250" t="s">
        <v>1429</v>
      </c>
      <c r="BI10" s="250" t="s">
        <v>1429</v>
      </c>
      <c r="BJ10" s="250" t="s">
        <v>1429</v>
      </c>
      <c r="BK10" s="250" t="s">
        <v>1429</v>
      </c>
      <c r="BL10" s="250" t="s">
        <v>1429</v>
      </c>
      <c r="BM10" s="250" t="s">
        <v>1429</v>
      </c>
      <c r="BN10" s="250" t="s">
        <v>1429</v>
      </c>
      <c r="BO10" s="250" t="s">
        <v>1429</v>
      </c>
      <c r="BP10" s="250" t="s">
        <v>1429</v>
      </c>
      <c r="BQ10" s="250" t="s">
        <v>1429</v>
      </c>
      <c r="BR10" s="250" t="s">
        <v>1429</v>
      </c>
      <c r="BS10" s="250" t="s">
        <v>1429</v>
      </c>
      <c r="BT10" s="250" t="s">
        <v>1429</v>
      </c>
      <c r="BU10" s="250" t="s">
        <v>1429</v>
      </c>
      <c r="BV10" s="250" t="s">
        <v>1429</v>
      </c>
    </row>
    <row r="11" spans="1:74" ht="11.1" customHeight="1" x14ac:dyDescent="0.2">
      <c r="A11" s="162" t="s">
        <v>1037</v>
      </c>
      <c r="B11" s="173" t="s">
        <v>320</v>
      </c>
      <c r="C11" s="250">
        <v>3.05</v>
      </c>
      <c r="D11" s="250">
        <v>3.2</v>
      </c>
      <c r="E11" s="250">
        <v>3.5</v>
      </c>
      <c r="F11" s="250">
        <v>3.59</v>
      </c>
      <c r="G11" s="250">
        <v>3.62</v>
      </c>
      <c r="H11" s="250">
        <v>3.63</v>
      </c>
      <c r="I11" s="250">
        <v>3.65</v>
      </c>
      <c r="J11" s="250">
        <v>3.67</v>
      </c>
      <c r="K11" s="250">
        <v>3.69</v>
      </c>
      <c r="L11" s="250">
        <v>3.7</v>
      </c>
      <c r="M11" s="250">
        <v>3.72</v>
      </c>
      <c r="N11" s="250">
        <v>3.78</v>
      </c>
      <c r="O11" s="250">
        <v>3.8</v>
      </c>
      <c r="P11" s="250">
        <v>3.8</v>
      </c>
      <c r="Q11" s="250">
        <v>3.81</v>
      </c>
      <c r="R11" s="250">
        <v>3.81</v>
      </c>
      <c r="S11" s="250">
        <v>3.81</v>
      </c>
      <c r="T11" s="250">
        <v>3.82</v>
      </c>
      <c r="U11" s="250">
        <v>3.83</v>
      </c>
      <c r="V11" s="250">
        <v>3.83</v>
      </c>
      <c r="W11" s="250">
        <v>3.84</v>
      </c>
      <c r="X11" s="250">
        <v>3.85</v>
      </c>
      <c r="Y11" s="250">
        <v>3.84</v>
      </c>
      <c r="Z11" s="250">
        <v>3.83</v>
      </c>
      <c r="AA11" s="250">
        <v>3.84</v>
      </c>
      <c r="AB11" s="250">
        <v>3.835</v>
      </c>
      <c r="AC11" s="250">
        <v>3.8149999999999999</v>
      </c>
      <c r="AD11" s="250">
        <v>3.8250000000000002</v>
      </c>
      <c r="AE11" s="250">
        <v>3.8050000000000002</v>
      </c>
      <c r="AF11" s="250">
        <v>3.78</v>
      </c>
      <c r="AG11" s="250">
        <v>3.722</v>
      </c>
      <c r="AH11" s="250">
        <v>3.52</v>
      </c>
      <c r="AI11" s="250">
        <v>3.4</v>
      </c>
      <c r="AJ11" s="250">
        <v>3.4</v>
      </c>
      <c r="AK11" s="250">
        <v>2.7</v>
      </c>
      <c r="AL11" s="250">
        <v>2.6</v>
      </c>
      <c r="AM11" s="250">
        <v>2.65</v>
      </c>
      <c r="AN11" s="250">
        <v>2.65</v>
      </c>
      <c r="AO11" s="250">
        <v>2.6</v>
      </c>
      <c r="AP11" s="250">
        <v>2.5</v>
      </c>
      <c r="AQ11" s="250">
        <v>2.2999999999999998</v>
      </c>
      <c r="AR11" s="250">
        <v>2.2000000000000002</v>
      </c>
      <c r="AS11" s="250">
        <v>2.1</v>
      </c>
      <c r="AT11" s="250">
        <v>2.1</v>
      </c>
      <c r="AU11" s="250">
        <v>2.1</v>
      </c>
      <c r="AV11" s="250">
        <v>2.1</v>
      </c>
      <c r="AW11" s="250">
        <v>2</v>
      </c>
      <c r="AX11" s="250">
        <v>2</v>
      </c>
      <c r="AY11" s="250">
        <v>2</v>
      </c>
      <c r="AZ11" s="250">
        <v>2.0499999999999998</v>
      </c>
      <c r="BA11" s="250">
        <v>2</v>
      </c>
      <c r="BB11" s="250">
        <v>1.9750000000000001</v>
      </c>
      <c r="BC11" s="250">
        <v>1.9750000000000001</v>
      </c>
      <c r="BD11" s="250">
        <v>1.95</v>
      </c>
      <c r="BE11" s="250">
        <v>1.9</v>
      </c>
      <c r="BF11" s="250">
        <v>1.9</v>
      </c>
      <c r="BG11" s="250" t="s">
        <v>1429</v>
      </c>
      <c r="BH11" s="250" t="s">
        <v>1429</v>
      </c>
      <c r="BI11" s="250" t="s">
        <v>1429</v>
      </c>
      <c r="BJ11" s="250" t="s">
        <v>1429</v>
      </c>
      <c r="BK11" s="250" t="s">
        <v>1429</v>
      </c>
      <c r="BL11" s="250" t="s">
        <v>1429</v>
      </c>
      <c r="BM11" s="250" t="s">
        <v>1429</v>
      </c>
      <c r="BN11" s="250" t="s">
        <v>1429</v>
      </c>
      <c r="BO11" s="250" t="s">
        <v>1429</v>
      </c>
      <c r="BP11" s="250" t="s">
        <v>1429</v>
      </c>
      <c r="BQ11" s="250" t="s">
        <v>1429</v>
      </c>
      <c r="BR11" s="250" t="s">
        <v>1429</v>
      </c>
      <c r="BS11" s="250" t="s">
        <v>1429</v>
      </c>
      <c r="BT11" s="250" t="s">
        <v>1429</v>
      </c>
      <c r="BU11" s="250" t="s">
        <v>1429</v>
      </c>
      <c r="BV11" s="250" t="s">
        <v>1429</v>
      </c>
    </row>
    <row r="12" spans="1:74" ht="11.1" customHeight="1" x14ac:dyDescent="0.2">
      <c r="A12" s="162" t="s">
        <v>337</v>
      </c>
      <c r="B12" s="173" t="s">
        <v>328</v>
      </c>
      <c r="C12" s="250">
        <v>4.45</v>
      </c>
      <c r="D12" s="250">
        <v>4.2</v>
      </c>
      <c r="E12" s="250">
        <v>4.2</v>
      </c>
      <c r="F12" s="250">
        <v>4.45</v>
      </c>
      <c r="G12" s="250">
        <v>4.33</v>
      </c>
      <c r="H12" s="250">
        <v>4.38</v>
      </c>
      <c r="I12" s="250">
        <v>4.3899999999999997</v>
      </c>
      <c r="J12" s="250">
        <v>4.4349999999999996</v>
      </c>
      <c r="K12" s="250">
        <v>4.4550000000000001</v>
      </c>
      <c r="L12" s="250">
        <v>4.54</v>
      </c>
      <c r="M12" s="250">
        <v>4.62</v>
      </c>
      <c r="N12" s="250">
        <v>4.66</v>
      </c>
      <c r="O12" s="250">
        <v>4.54</v>
      </c>
      <c r="P12" s="250">
        <v>4.42</v>
      </c>
      <c r="Q12" s="250">
        <v>4.4050000000000002</v>
      </c>
      <c r="R12" s="250">
        <v>4.4000000000000004</v>
      </c>
      <c r="S12" s="250">
        <v>4.45</v>
      </c>
      <c r="T12" s="250">
        <v>4.4649999999999999</v>
      </c>
      <c r="U12" s="250">
        <v>4.4749999999999996</v>
      </c>
      <c r="V12" s="250">
        <v>4.5</v>
      </c>
      <c r="W12" s="250">
        <v>4.54</v>
      </c>
      <c r="X12" s="250">
        <v>4.3899999999999997</v>
      </c>
      <c r="Y12" s="250">
        <v>4.32</v>
      </c>
      <c r="Z12" s="250">
        <v>4.38</v>
      </c>
      <c r="AA12" s="250">
        <v>4.43</v>
      </c>
      <c r="AB12" s="250">
        <v>4.47</v>
      </c>
      <c r="AC12" s="250">
        <v>4.4800000000000004</v>
      </c>
      <c r="AD12" s="250">
        <v>4.4400000000000004</v>
      </c>
      <c r="AE12" s="250">
        <v>4.49</v>
      </c>
      <c r="AF12" s="250">
        <v>4.5739999999999998</v>
      </c>
      <c r="AG12" s="250">
        <v>4.6040000000000001</v>
      </c>
      <c r="AH12" s="250">
        <v>4.6749999999999998</v>
      </c>
      <c r="AI12" s="250">
        <v>4.7</v>
      </c>
      <c r="AJ12" s="250">
        <v>4.7300000000000004</v>
      </c>
      <c r="AK12" s="250">
        <v>4.7699999999999996</v>
      </c>
      <c r="AL12" s="250">
        <v>4.8</v>
      </c>
      <c r="AM12" s="250">
        <v>4.8499999999999996</v>
      </c>
      <c r="AN12" s="250">
        <v>4.78</v>
      </c>
      <c r="AO12" s="250">
        <v>4.62</v>
      </c>
      <c r="AP12" s="250">
        <v>4.7</v>
      </c>
      <c r="AQ12" s="250">
        <v>4.7</v>
      </c>
      <c r="AR12" s="250">
        <v>4.7</v>
      </c>
      <c r="AS12" s="250">
        <v>4.7</v>
      </c>
      <c r="AT12" s="250">
        <v>4.75</v>
      </c>
      <c r="AU12" s="250">
        <v>4.6500000000000004</v>
      </c>
      <c r="AV12" s="250">
        <v>4.75</v>
      </c>
      <c r="AW12" s="250">
        <v>4.6500000000000004</v>
      </c>
      <c r="AX12" s="250">
        <v>4.55</v>
      </c>
      <c r="AY12" s="250">
        <v>4.55</v>
      </c>
      <c r="AZ12" s="250">
        <v>4.6500000000000004</v>
      </c>
      <c r="BA12" s="250">
        <v>4.5</v>
      </c>
      <c r="BB12" s="250">
        <v>4.5</v>
      </c>
      <c r="BC12" s="250">
        <v>4.22</v>
      </c>
      <c r="BD12" s="250">
        <v>3.75</v>
      </c>
      <c r="BE12" s="250">
        <v>3.7</v>
      </c>
      <c r="BF12" s="250">
        <v>3.69</v>
      </c>
      <c r="BG12" s="250" t="s">
        <v>1429</v>
      </c>
      <c r="BH12" s="250" t="s">
        <v>1429</v>
      </c>
      <c r="BI12" s="250" t="s">
        <v>1429</v>
      </c>
      <c r="BJ12" s="250" t="s">
        <v>1429</v>
      </c>
      <c r="BK12" s="250" t="s">
        <v>1429</v>
      </c>
      <c r="BL12" s="250" t="s">
        <v>1429</v>
      </c>
      <c r="BM12" s="250" t="s">
        <v>1429</v>
      </c>
      <c r="BN12" s="250" t="s">
        <v>1429</v>
      </c>
      <c r="BO12" s="250" t="s">
        <v>1429</v>
      </c>
      <c r="BP12" s="250" t="s">
        <v>1429</v>
      </c>
      <c r="BQ12" s="250" t="s">
        <v>1429</v>
      </c>
      <c r="BR12" s="250" t="s">
        <v>1429</v>
      </c>
      <c r="BS12" s="250" t="s">
        <v>1429</v>
      </c>
      <c r="BT12" s="250" t="s">
        <v>1429</v>
      </c>
      <c r="BU12" s="250" t="s">
        <v>1429</v>
      </c>
      <c r="BV12" s="250" t="s">
        <v>1429</v>
      </c>
    </row>
    <row r="13" spans="1:74" ht="11.1" customHeight="1" x14ac:dyDescent="0.2">
      <c r="A13" s="162" t="s">
        <v>330</v>
      </c>
      <c r="B13" s="173" t="s">
        <v>321</v>
      </c>
      <c r="C13" s="250">
        <v>2.9</v>
      </c>
      <c r="D13" s="250">
        <v>2.86</v>
      </c>
      <c r="E13" s="250">
        <v>2.88</v>
      </c>
      <c r="F13" s="250">
        <v>2.65</v>
      </c>
      <c r="G13" s="250">
        <v>2.86</v>
      </c>
      <c r="H13" s="250">
        <v>2.86</v>
      </c>
      <c r="I13" s="250">
        <v>2.9</v>
      </c>
      <c r="J13" s="250">
        <v>2.91</v>
      </c>
      <c r="K13" s="250">
        <v>2.91</v>
      </c>
      <c r="L13" s="250">
        <v>2.91</v>
      </c>
      <c r="M13" s="250">
        <v>2.92</v>
      </c>
      <c r="N13" s="250">
        <v>2.92</v>
      </c>
      <c r="O13" s="250">
        <v>2.78</v>
      </c>
      <c r="P13" s="250">
        <v>2.72</v>
      </c>
      <c r="Q13" s="250">
        <v>2.71</v>
      </c>
      <c r="R13" s="250">
        <v>2.71</v>
      </c>
      <c r="S13" s="250">
        <v>2.71</v>
      </c>
      <c r="T13" s="250">
        <v>2.72</v>
      </c>
      <c r="U13" s="250">
        <v>2.71</v>
      </c>
      <c r="V13" s="250">
        <v>2.71</v>
      </c>
      <c r="W13" s="250">
        <v>2.73</v>
      </c>
      <c r="X13" s="250">
        <v>2.74</v>
      </c>
      <c r="Y13" s="250">
        <v>2.71</v>
      </c>
      <c r="Z13" s="250">
        <v>2.7</v>
      </c>
      <c r="AA13" s="250">
        <v>2.71</v>
      </c>
      <c r="AB13" s="250">
        <v>2.71</v>
      </c>
      <c r="AC13" s="250">
        <v>2.72</v>
      </c>
      <c r="AD13" s="250">
        <v>2.71</v>
      </c>
      <c r="AE13" s="250">
        <v>2.71</v>
      </c>
      <c r="AF13" s="250">
        <v>2.72</v>
      </c>
      <c r="AG13" s="250">
        <v>2.8</v>
      </c>
      <c r="AH13" s="250">
        <v>2.8</v>
      </c>
      <c r="AI13" s="250">
        <v>2.8</v>
      </c>
      <c r="AJ13" s="250">
        <v>2.8</v>
      </c>
      <c r="AK13" s="250">
        <v>2.8</v>
      </c>
      <c r="AL13" s="250">
        <v>2.8</v>
      </c>
      <c r="AM13" s="250">
        <v>2.75</v>
      </c>
      <c r="AN13" s="250">
        <v>2.75</v>
      </c>
      <c r="AO13" s="250">
        <v>2.72</v>
      </c>
      <c r="AP13" s="250">
        <v>2.72</v>
      </c>
      <c r="AQ13" s="250">
        <v>2.72</v>
      </c>
      <c r="AR13" s="250">
        <v>2.72</v>
      </c>
      <c r="AS13" s="250">
        <v>2.7</v>
      </c>
      <c r="AT13" s="250">
        <v>2.7</v>
      </c>
      <c r="AU13" s="250">
        <v>2.7</v>
      </c>
      <c r="AV13" s="250">
        <v>2.7</v>
      </c>
      <c r="AW13" s="250">
        <v>2.7</v>
      </c>
      <c r="AX13" s="250">
        <v>2.71</v>
      </c>
      <c r="AY13" s="250">
        <v>2.71</v>
      </c>
      <c r="AZ13" s="250">
        <v>2.71</v>
      </c>
      <c r="BA13" s="250">
        <v>2.9</v>
      </c>
      <c r="BB13" s="250">
        <v>3.15</v>
      </c>
      <c r="BC13" s="250">
        <v>2.2000000000000002</v>
      </c>
      <c r="BD13" s="250">
        <v>2.09</v>
      </c>
      <c r="BE13" s="250">
        <v>2.16</v>
      </c>
      <c r="BF13" s="250">
        <v>2.29</v>
      </c>
      <c r="BG13" s="250" t="s">
        <v>1429</v>
      </c>
      <c r="BH13" s="250" t="s">
        <v>1429</v>
      </c>
      <c r="BI13" s="250" t="s">
        <v>1429</v>
      </c>
      <c r="BJ13" s="250" t="s">
        <v>1429</v>
      </c>
      <c r="BK13" s="250" t="s">
        <v>1429</v>
      </c>
      <c r="BL13" s="250" t="s">
        <v>1429</v>
      </c>
      <c r="BM13" s="250" t="s">
        <v>1429</v>
      </c>
      <c r="BN13" s="250" t="s">
        <v>1429</v>
      </c>
      <c r="BO13" s="250" t="s">
        <v>1429</v>
      </c>
      <c r="BP13" s="250" t="s">
        <v>1429</v>
      </c>
      <c r="BQ13" s="250" t="s">
        <v>1429</v>
      </c>
      <c r="BR13" s="250" t="s">
        <v>1429</v>
      </c>
      <c r="BS13" s="250" t="s">
        <v>1429</v>
      </c>
      <c r="BT13" s="250" t="s">
        <v>1429</v>
      </c>
      <c r="BU13" s="250" t="s">
        <v>1429</v>
      </c>
      <c r="BV13" s="250" t="s">
        <v>1429</v>
      </c>
    </row>
    <row r="14" spans="1:74" ht="11.1" customHeight="1" x14ac:dyDescent="0.2">
      <c r="A14" s="162" t="s">
        <v>331</v>
      </c>
      <c r="B14" s="173" t="s">
        <v>322</v>
      </c>
      <c r="C14" s="250">
        <v>0.37</v>
      </c>
      <c r="D14" s="250">
        <v>0.36</v>
      </c>
      <c r="E14" s="250">
        <v>0.32</v>
      </c>
      <c r="F14" s="250">
        <v>0.33</v>
      </c>
      <c r="G14" s="250">
        <v>0.28499999999999998</v>
      </c>
      <c r="H14" s="250">
        <v>0.33</v>
      </c>
      <c r="I14" s="250">
        <v>0.31</v>
      </c>
      <c r="J14" s="250">
        <v>0.25</v>
      </c>
      <c r="K14" s="250">
        <v>0.31</v>
      </c>
      <c r="L14" s="250">
        <v>0.55000000000000004</v>
      </c>
      <c r="M14" s="250">
        <v>0.57999999999999996</v>
      </c>
      <c r="N14" s="250">
        <v>0.62</v>
      </c>
      <c r="O14" s="250">
        <v>0.68</v>
      </c>
      <c r="P14" s="250">
        <v>0.69</v>
      </c>
      <c r="Q14" s="250">
        <v>0.59</v>
      </c>
      <c r="R14" s="250">
        <v>0.53500000000000003</v>
      </c>
      <c r="S14" s="250">
        <v>0.78</v>
      </c>
      <c r="T14" s="250">
        <v>0.85</v>
      </c>
      <c r="U14" s="250">
        <v>1.0049999999999999</v>
      </c>
      <c r="V14" s="250">
        <v>0.89</v>
      </c>
      <c r="W14" s="250">
        <v>0.92500000000000004</v>
      </c>
      <c r="X14" s="250">
        <v>0.96</v>
      </c>
      <c r="Y14" s="250">
        <v>0.98</v>
      </c>
      <c r="Z14" s="250">
        <v>0.92</v>
      </c>
      <c r="AA14" s="250">
        <v>1.0149999999999999</v>
      </c>
      <c r="AB14" s="250">
        <v>0.99</v>
      </c>
      <c r="AC14" s="250">
        <v>0.98499999999999999</v>
      </c>
      <c r="AD14" s="250">
        <v>1.0049999999999999</v>
      </c>
      <c r="AE14" s="250">
        <v>0.99</v>
      </c>
      <c r="AF14" s="250">
        <v>0.75</v>
      </c>
      <c r="AG14" s="250">
        <v>0.65500000000000003</v>
      </c>
      <c r="AH14" s="250">
        <v>0.99</v>
      </c>
      <c r="AI14" s="250">
        <v>1.08</v>
      </c>
      <c r="AJ14" s="250">
        <v>1.08</v>
      </c>
      <c r="AK14" s="250">
        <v>1.1299999999999999</v>
      </c>
      <c r="AL14" s="250">
        <v>0.88</v>
      </c>
      <c r="AM14" s="250">
        <v>0.83</v>
      </c>
      <c r="AN14" s="250">
        <v>0.86</v>
      </c>
      <c r="AO14" s="250">
        <v>1.0900000000000001</v>
      </c>
      <c r="AP14" s="250">
        <v>1.17</v>
      </c>
      <c r="AQ14" s="250">
        <v>1.1599999999999999</v>
      </c>
      <c r="AR14" s="250">
        <v>1.1000000000000001</v>
      </c>
      <c r="AS14" s="250">
        <v>1.125</v>
      </c>
      <c r="AT14" s="250">
        <v>1.085</v>
      </c>
      <c r="AU14" s="250">
        <v>1.18</v>
      </c>
      <c r="AV14" s="250">
        <v>1.17</v>
      </c>
      <c r="AW14" s="250">
        <v>1.19</v>
      </c>
      <c r="AX14" s="250">
        <v>1.1499999999999999</v>
      </c>
      <c r="AY14" s="250">
        <v>0.78</v>
      </c>
      <c r="AZ14" s="250">
        <v>0.15</v>
      </c>
      <c r="BA14" s="250">
        <v>0.1</v>
      </c>
      <c r="BB14" s="250">
        <v>8.5000000000000006E-2</v>
      </c>
      <c r="BC14" s="250">
        <v>0.08</v>
      </c>
      <c r="BD14" s="250">
        <v>0.08</v>
      </c>
      <c r="BE14" s="250">
        <v>0.105</v>
      </c>
      <c r="BF14" s="250">
        <v>0.09</v>
      </c>
      <c r="BG14" s="250" t="s">
        <v>1429</v>
      </c>
      <c r="BH14" s="250" t="s">
        <v>1429</v>
      </c>
      <c r="BI14" s="250" t="s">
        <v>1429</v>
      </c>
      <c r="BJ14" s="250" t="s">
        <v>1429</v>
      </c>
      <c r="BK14" s="250" t="s">
        <v>1429</v>
      </c>
      <c r="BL14" s="250" t="s">
        <v>1429</v>
      </c>
      <c r="BM14" s="250" t="s">
        <v>1429</v>
      </c>
      <c r="BN14" s="250" t="s">
        <v>1429</v>
      </c>
      <c r="BO14" s="250" t="s">
        <v>1429</v>
      </c>
      <c r="BP14" s="250" t="s">
        <v>1429</v>
      </c>
      <c r="BQ14" s="250" t="s">
        <v>1429</v>
      </c>
      <c r="BR14" s="250" t="s">
        <v>1429</v>
      </c>
      <c r="BS14" s="250" t="s">
        <v>1429</v>
      </c>
      <c r="BT14" s="250" t="s">
        <v>1429</v>
      </c>
      <c r="BU14" s="250" t="s">
        <v>1429</v>
      </c>
      <c r="BV14" s="250" t="s">
        <v>1429</v>
      </c>
    </row>
    <row r="15" spans="1:74" ht="11.1" customHeight="1" x14ac:dyDescent="0.2">
      <c r="A15" s="162" t="s">
        <v>332</v>
      </c>
      <c r="B15" s="173" t="s">
        <v>323</v>
      </c>
      <c r="C15" s="250">
        <v>1.825</v>
      </c>
      <c r="D15" s="250">
        <v>1.78</v>
      </c>
      <c r="E15" s="250">
        <v>1.579</v>
      </c>
      <c r="F15" s="250">
        <v>1.57</v>
      </c>
      <c r="G15" s="250">
        <v>1.3089999999999999</v>
      </c>
      <c r="H15" s="250">
        <v>1.4350000000000001</v>
      </c>
      <c r="I15" s="250">
        <v>1.34</v>
      </c>
      <c r="J15" s="250">
        <v>1.21</v>
      </c>
      <c r="K15" s="250">
        <v>1.27</v>
      </c>
      <c r="L15" s="250">
        <v>1.41</v>
      </c>
      <c r="M15" s="250">
        <v>1.5</v>
      </c>
      <c r="N15" s="250">
        <v>1.35</v>
      </c>
      <c r="O15" s="250">
        <v>1.39</v>
      </c>
      <c r="P15" s="250">
        <v>1.43</v>
      </c>
      <c r="Q15" s="250">
        <v>1.33</v>
      </c>
      <c r="R15" s="250">
        <v>1.38</v>
      </c>
      <c r="S15" s="250">
        <v>1.52</v>
      </c>
      <c r="T15" s="250">
        <v>1.56</v>
      </c>
      <c r="U15" s="250">
        <v>1.655</v>
      </c>
      <c r="V15" s="250">
        <v>1.68</v>
      </c>
      <c r="W15" s="250">
        <v>1.7050000000000001</v>
      </c>
      <c r="X15" s="250">
        <v>1.69</v>
      </c>
      <c r="Y15" s="250">
        <v>1.73</v>
      </c>
      <c r="Z15" s="250">
        <v>1.7549999999999999</v>
      </c>
      <c r="AA15" s="250">
        <v>1.75</v>
      </c>
      <c r="AB15" s="250">
        <v>1.72</v>
      </c>
      <c r="AC15" s="250">
        <v>1.69</v>
      </c>
      <c r="AD15" s="250">
        <v>1.67</v>
      </c>
      <c r="AE15" s="250">
        <v>1.49</v>
      </c>
      <c r="AF15" s="250">
        <v>1.42</v>
      </c>
      <c r="AG15" s="250">
        <v>1.47</v>
      </c>
      <c r="AH15" s="250">
        <v>1.54</v>
      </c>
      <c r="AI15" s="250">
        <v>1.64</v>
      </c>
      <c r="AJ15" s="250">
        <v>1.6</v>
      </c>
      <c r="AK15" s="250">
        <v>1.59</v>
      </c>
      <c r="AL15" s="250">
        <v>1.62</v>
      </c>
      <c r="AM15" s="250">
        <v>1.55</v>
      </c>
      <c r="AN15" s="250">
        <v>1.58</v>
      </c>
      <c r="AO15" s="250">
        <v>1.61</v>
      </c>
      <c r="AP15" s="250">
        <v>1.68</v>
      </c>
      <c r="AQ15" s="250">
        <v>1.58</v>
      </c>
      <c r="AR15" s="250">
        <v>1.7</v>
      </c>
      <c r="AS15" s="250">
        <v>1.67</v>
      </c>
      <c r="AT15" s="250">
        <v>1.75</v>
      </c>
      <c r="AU15" s="250">
        <v>1.7</v>
      </c>
      <c r="AV15" s="250">
        <v>1.68</v>
      </c>
      <c r="AW15" s="250">
        <v>1.67</v>
      </c>
      <c r="AX15" s="250">
        <v>1.65</v>
      </c>
      <c r="AY15" s="250">
        <v>1.75</v>
      </c>
      <c r="AZ15" s="250">
        <v>1.72</v>
      </c>
      <c r="BA15" s="250">
        <v>1.7</v>
      </c>
      <c r="BB15" s="250">
        <v>1.65</v>
      </c>
      <c r="BC15" s="250">
        <v>1.57</v>
      </c>
      <c r="BD15" s="250">
        <v>1.42</v>
      </c>
      <c r="BE15" s="250">
        <v>1.45</v>
      </c>
      <c r="BF15" s="250">
        <v>1.5</v>
      </c>
      <c r="BG15" s="250" t="s">
        <v>1429</v>
      </c>
      <c r="BH15" s="250" t="s">
        <v>1429</v>
      </c>
      <c r="BI15" s="250" t="s">
        <v>1429</v>
      </c>
      <c r="BJ15" s="250" t="s">
        <v>1429</v>
      </c>
      <c r="BK15" s="250" t="s">
        <v>1429</v>
      </c>
      <c r="BL15" s="250" t="s">
        <v>1429</v>
      </c>
      <c r="BM15" s="250" t="s">
        <v>1429</v>
      </c>
      <c r="BN15" s="250" t="s">
        <v>1429</v>
      </c>
      <c r="BO15" s="250" t="s">
        <v>1429</v>
      </c>
      <c r="BP15" s="250" t="s">
        <v>1429</v>
      </c>
      <c r="BQ15" s="250" t="s">
        <v>1429</v>
      </c>
      <c r="BR15" s="250" t="s">
        <v>1429</v>
      </c>
      <c r="BS15" s="250" t="s">
        <v>1429</v>
      </c>
      <c r="BT15" s="250" t="s">
        <v>1429</v>
      </c>
      <c r="BU15" s="250" t="s">
        <v>1429</v>
      </c>
      <c r="BV15" s="250" t="s">
        <v>1429</v>
      </c>
    </row>
    <row r="16" spans="1:74" ht="11.1" customHeight="1" x14ac:dyDescent="0.2">
      <c r="A16" s="162" t="s">
        <v>333</v>
      </c>
      <c r="B16" s="173" t="s">
        <v>324</v>
      </c>
      <c r="C16" s="250">
        <v>10.199999999999999</v>
      </c>
      <c r="D16" s="250">
        <v>10.199999999999999</v>
      </c>
      <c r="E16" s="250">
        <v>10.199999999999999</v>
      </c>
      <c r="F16" s="250">
        <v>10.199999999999999</v>
      </c>
      <c r="G16" s="250">
        <v>10.3</v>
      </c>
      <c r="H16" s="250">
        <v>10.5</v>
      </c>
      <c r="I16" s="250">
        <v>10.63</v>
      </c>
      <c r="J16" s="250">
        <v>10.6</v>
      </c>
      <c r="K16" s="250">
        <v>10.56</v>
      </c>
      <c r="L16" s="250">
        <v>10.55</v>
      </c>
      <c r="M16" s="250">
        <v>10.6</v>
      </c>
      <c r="N16" s="250">
        <v>10.5</v>
      </c>
      <c r="O16" s="250">
        <v>9.98</v>
      </c>
      <c r="P16" s="250">
        <v>10</v>
      </c>
      <c r="Q16" s="250">
        <v>9.9499999999999993</v>
      </c>
      <c r="R16" s="250">
        <v>9.98</v>
      </c>
      <c r="S16" s="250">
        <v>10.050000000000001</v>
      </c>
      <c r="T16" s="250">
        <v>10.25</v>
      </c>
      <c r="U16" s="250">
        <v>10.199999999999999</v>
      </c>
      <c r="V16" s="250">
        <v>10.14</v>
      </c>
      <c r="W16" s="250">
        <v>10.19</v>
      </c>
      <c r="X16" s="250">
        <v>10.16</v>
      </c>
      <c r="Y16" s="250">
        <v>10.130000000000001</v>
      </c>
      <c r="Z16" s="250">
        <v>10.06</v>
      </c>
      <c r="AA16" s="250">
        <v>10.16</v>
      </c>
      <c r="AB16" s="250">
        <v>10.1</v>
      </c>
      <c r="AC16" s="250">
        <v>10.050000000000001</v>
      </c>
      <c r="AD16" s="250">
        <v>10.06</v>
      </c>
      <c r="AE16" s="250">
        <v>10.119999999999999</v>
      </c>
      <c r="AF16" s="250">
        <v>10.42</v>
      </c>
      <c r="AG16" s="250">
        <v>10.48</v>
      </c>
      <c r="AH16" s="250">
        <v>10.42</v>
      </c>
      <c r="AI16" s="250">
        <v>10.52</v>
      </c>
      <c r="AJ16" s="250">
        <v>10.72</v>
      </c>
      <c r="AK16" s="250">
        <v>11</v>
      </c>
      <c r="AL16" s="250">
        <v>10.5</v>
      </c>
      <c r="AM16" s="250">
        <v>10.050000000000001</v>
      </c>
      <c r="AN16" s="250">
        <v>10.1</v>
      </c>
      <c r="AO16" s="250">
        <v>9.85</v>
      </c>
      <c r="AP16" s="250">
        <v>9.85</v>
      </c>
      <c r="AQ16" s="250">
        <v>9.9</v>
      </c>
      <c r="AR16" s="250">
        <v>10</v>
      </c>
      <c r="AS16" s="250">
        <v>9.75</v>
      </c>
      <c r="AT16" s="250">
        <v>9.85</v>
      </c>
      <c r="AU16" s="250">
        <v>8.5</v>
      </c>
      <c r="AV16" s="250">
        <v>9.85</v>
      </c>
      <c r="AW16" s="250">
        <v>9.9</v>
      </c>
      <c r="AX16" s="250">
        <v>9.75</v>
      </c>
      <c r="AY16" s="250">
        <v>9.85</v>
      </c>
      <c r="AZ16" s="250">
        <v>9.75</v>
      </c>
      <c r="BA16" s="250">
        <v>9.8000000000000007</v>
      </c>
      <c r="BB16" s="250">
        <v>11.6</v>
      </c>
      <c r="BC16" s="250">
        <v>8.5500000000000007</v>
      </c>
      <c r="BD16" s="250">
        <v>7.7</v>
      </c>
      <c r="BE16" s="250">
        <v>8.4</v>
      </c>
      <c r="BF16" s="250">
        <v>8.9</v>
      </c>
      <c r="BG16" s="250" t="s">
        <v>1429</v>
      </c>
      <c r="BH16" s="250" t="s">
        <v>1429</v>
      </c>
      <c r="BI16" s="250" t="s">
        <v>1429</v>
      </c>
      <c r="BJ16" s="250" t="s">
        <v>1429</v>
      </c>
      <c r="BK16" s="250" t="s">
        <v>1429</v>
      </c>
      <c r="BL16" s="250" t="s">
        <v>1429</v>
      </c>
      <c r="BM16" s="250" t="s">
        <v>1429</v>
      </c>
      <c r="BN16" s="250" t="s">
        <v>1429</v>
      </c>
      <c r="BO16" s="250" t="s">
        <v>1429</v>
      </c>
      <c r="BP16" s="250" t="s">
        <v>1429</v>
      </c>
      <c r="BQ16" s="250" t="s">
        <v>1429</v>
      </c>
      <c r="BR16" s="250" t="s">
        <v>1429</v>
      </c>
      <c r="BS16" s="250" t="s">
        <v>1429</v>
      </c>
      <c r="BT16" s="250" t="s">
        <v>1429</v>
      </c>
      <c r="BU16" s="250" t="s">
        <v>1429</v>
      </c>
      <c r="BV16" s="250" t="s">
        <v>1429</v>
      </c>
    </row>
    <row r="17" spans="1:74" ht="11.1" customHeight="1" x14ac:dyDescent="0.2">
      <c r="A17" s="162" t="s">
        <v>334</v>
      </c>
      <c r="B17" s="173" t="s">
        <v>325</v>
      </c>
      <c r="C17" s="250">
        <v>2.9849999999999999</v>
      </c>
      <c r="D17" s="250">
        <v>2.7650000000000001</v>
      </c>
      <c r="E17" s="250">
        <v>2.79</v>
      </c>
      <c r="F17" s="250">
        <v>2.8</v>
      </c>
      <c r="G17" s="250">
        <v>2.98</v>
      </c>
      <c r="H17" s="250">
        <v>3.01</v>
      </c>
      <c r="I17" s="250">
        <v>3.03</v>
      </c>
      <c r="J17" s="250">
        <v>3.06</v>
      </c>
      <c r="K17" s="250">
        <v>3.09</v>
      </c>
      <c r="L17" s="250">
        <v>3.07</v>
      </c>
      <c r="M17" s="250">
        <v>3.1</v>
      </c>
      <c r="N17" s="250">
        <v>3.1</v>
      </c>
      <c r="O17" s="250">
        <v>2.94</v>
      </c>
      <c r="P17" s="250">
        <v>2.92</v>
      </c>
      <c r="Q17" s="250">
        <v>2.9</v>
      </c>
      <c r="R17" s="250">
        <v>2.88</v>
      </c>
      <c r="S17" s="250">
        <v>2.9</v>
      </c>
      <c r="T17" s="250">
        <v>2.92</v>
      </c>
      <c r="U17" s="250">
        <v>2.92</v>
      </c>
      <c r="V17" s="250">
        <v>2.92</v>
      </c>
      <c r="W17" s="250">
        <v>2.92</v>
      </c>
      <c r="X17" s="250">
        <v>2.91</v>
      </c>
      <c r="Y17" s="250">
        <v>2.88</v>
      </c>
      <c r="Z17" s="250">
        <v>2.9</v>
      </c>
      <c r="AA17" s="250">
        <v>2.91</v>
      </c>
      <c r="AB17" s="250">
        <v>2.87</v>
      </c>
      <c r="AC17" s="250">
        <v>2.85</v>
      </c>
      <c r="AD17" s="250">
        <v>2.86</v>
      </c>
      <c r="AE17" s="250">
        <v>2.84</v>
      </c>
      <c r="AF17" s="250">
        <v>2.88</v>
      </c>
      <c r="AG17" s="250">
        <v>2.91</v>
      </c>
      <c r="AH17" s="250">
        <v>2.95</v>
      </c>
      <c r="AI17" s="250">
        <v>2.95</v>
      </c>
      <c r="AJ17" s="250">
        <v>3</v>
      </c>
      <c r="AK17" s="250">
        <v>3.14</v>
      </c>
      <c r="AL17" s="250">
        <v>3.18</v>
      </c>
      <c r="AM17" s="250">
        <v>3.1</v>
      </c>
      <c r="AN17" s="250">
        <v>3.15</v>
      </c>
      <c r="AO17" s="250">
        <v>3.1</v>
      </c>
      <c r="AP17" s="250">
        <v>3.1</v>
      </c>
      <c r="AQ17" s="250">
        <v>3.1</v>
      </c>
      <c r="AR17" s="250">
        <v>3.15</v>
      </c>
      <c r="AS17" s="250">
        <v>3.1</v>
      </c>
      <c r="AT17" s="250">
        <v>3.15</v>
      </c>
      <c r="AU17" s="250">
        <v>3.15</v>
      </c>
      <c r="AV17" s="250">
        <v>3.2</v>
      </c>
      <c r="AW17" s="250">
        <v>3.25</v>
      </c>
      <c r="AX17" s="250">
        <v>3.15</v>
      </c>
      <c r="AY17" s="250">
        <v>3.2</v>
      </c>
      <c r="AZ17" s="250">
        <v>3.2</v>
      </c>
      <c r="BA17" s="250">
        <v>3.5</v>
      </c>
      <c r="BB17" s="250">
        <v>3.8</v>
      </c>
      <c r="BC17" s="250">
        <v>2.5</v>
      </c>
      <c r="BD17" s="250">
        <v>2.35</v>
      </c>
      <c r="BE17" s="250">
        <v>2.4500000000000002</v>
      </c>
      <c r="BF17" s="250">
        <v>2.7</v>
      </c>
      <c r="BG17" s="250" t="s">
        <v>1429</v>
      </c>
      <c r="BH17" s="250" t="s">
        <v>1429</v>
      </c>
      <c r="BI17" s="250" t="s">
        <v>1429</v>
      </c>
      <c r="BJ17" s="250" t="s">
        <v>1429</v>
      </c>
      <c r="BK17" s="250" t="s">
        <v>1429</v>
      </c>
      <c r="BL17" s="250" t="s">
        <v>1429</v>
      </c>
      <c r="BM17" s="250" t="s">
        <v>1429</v>
      </c>
      <c r="BN17" s="250" t="s">
        <v>1429</v>
      </c>
      <c r="BO17" s="250" t="s">
        <v>1429</v>
      </c>
      <c r="BP17" s="250" t="s">
        <v>1429</v>
      </c>
      <c r="BQ17" s="250" t="s">
        <v>1429</v>
      </c>
      <c r="BR17" s="250" t="s">
        <v>1429</v>
      </c>
      <c r="BS17" s="250" t="s">
        <v>1429</v>
      </c>
      <c r="BT17" s="250" t="s">
        <v>1429</v>
      </c>
      <c r="BU17" s="250" t="s">
        <v>1429</v>
      </c>
      <c r="BV17" s="250" t="s">
        <v>1429</v>
      </c>
    </row>
    <row r="18" spans="1:74" ht="11.1" customHeight="1" x14ac:dyDescent="0.2">
      <c r="A18" s="162" t="s">
        <v>335</v>
      </c>
      <c r="B18" s="173" t="s">
        <v>326</v>
      </c>
      <c r="C18" s="250">
        <v>2.2999999999999998</v>
      </c>
      <c r="D18" s="250">
        <v>2.2999999999999998</v>
      </c>
      <c r="E18" s="250">
        <v>2.2999999999999998</v>
      </c>
      <c r="F18" s="250">
        <v>2.2999999999999998</v>
      </c>
      <c r="G18" s="250">
        <v>2.2000000000000002</v>
      </c>
      <c r="H18" s="250">
        <v>2.1800000000000002</v>
      </c>
      <c r="I18" s="250">
        <v>2.12</v>
      </c>
      <c r="J18" s="250">
        <v>2.11</v>
      </c>
      <c r="K18" s="250">
        <v>2.1</v>
      </c>
      <c r="L18" s="250">
        <v>2.09</v>
      </c>
      <c r="M18" s="250">
        <v>2.08</v>
      </c>
      <c r="N18" s="250">
        <v>2.0499999999999998</v>
      </c>
      <c r="O18" s="250">
        <v>2</v>
      </c>
      <c r="P18" s="250">
        <v>1.99</v>
      </c>
      <c r="Q18" s="250">
        <v>1.99</v>
      </c>
      <c r="R18" s="250">
        <v>1.98</v>
      </c>
      <c r="S18" s="250">
        <v>1.98</v>
      </c>
      <c r="T18" s="250">
        <v>1.96</v>
      </c>
      <c r="U18" s="250">
        <v>1.96</v>
      </c>
      <c r="V18" s="250">
        <v>1.9550000000000001</v>
      </c>
      <c r="W18" s="250">
        <v>1.94</v>
      </c>
      <c r="X18" s="250">
        <v>1.89</v>
      </c>
      <c r="Y18" s="250">
        <v>1.82</v>
      </c>
      <c r="Z18" s="250">
        <v>1.64</v>
      </c>
      <c r="AA18" s="250">
        <v>1.64</v>
      </c>
      <c r="AB18" s="250">
        <v>1.6</v>
      </c>
      <c r="AC18" s="250">
        <v>1.56</v>
      </c>
      <c r="AD18" s="250">
        <v>1.53</v>
      </c>
      <c r="AE18" s="250">
        <v>1.5</v>
      </c>
      <c r="AF18" s="250">
        <v>1.44</v>
      </c>
      <c r="AG18" s="250">
        <v>1.405</v>
      </c>
      <c r="AH18" s="250">
        <v>1.36</v>
      </c>
      <c r="AI18" s="250">
        <v>1.3260000000000001</v>
      </c>
      <c r="AJ18" s="250">
        <v>1.296</v>
      </c>
      <c r="AK18" s="250">
        <v>1.276</v>
      </c>
      <c r="AL18" s="250">
        <v>1.246</v>
      </c>
      <c r="AM18" s="250">
        <v>1.216</v>
      </c>
      <c r="AN18" s="250">
        <v>1.0860000000000001</v>
      </c>
      <c r="AO18" s="250">
        <v>0.84</v>
      </c>
      <c r="AP18" s="250">
        <v>0.83</v>
      </c>
      <c r="AQ18" s="250">
        <v>0.75</v>
      </c>
      <c r="AR18" s="250">
        <v>0.8</v>
      </c>
      <c r="AS18" s="250">
        <v>0.8</v>
      </c>
      <c r="AT18" s="250">
        <v>0.75</v>
      </c>
      <c r="AU18" s="250">
        <v>0.65</v>
      </c>
      <c r="AV18" s="250">
        <v>0.65</v>
      </c>
      <c r="AW18" s="250">
        <v>0.7</v>
      </c>
      <c r="AX18" s="250">
        <v>0.85</v>
      </c>
      <c r="AY18" s="250">
        <v>0.85</v>
      </c>
      <c r="AZ18" s="250">
        <v>0.8</v>
      </c>
      <c r="BA18" s="250">
        <v>0.65</v>
      </c>
      <c r="BB18" s="250">
        <v>0.6</v>
      </c>
      <c r="BC18" s="250">
        <v>0.52500000000000002</v>
      </c>
      <c r="BD18" s="250">
        <v>0.38</v>
      </c>
      <c r="BE18" s="250">
        <v>0.36</v>
      </c>
      <c r="BF18" s="250">
        <v>0.36</v>
      </c>
      <c r="BG18" s="250" t="s">
        <v>1429</v>
      </c>
      <c r="BH18" s="250" t="s">
        <v>1429</v>
      </c>
      <c r="BI18" s="250" t="s">
        <v>1429</v>
      </c>
      <c r="BJ18" s="250" t="s">
        <v>1429</v>
      </c>
      <c r="BK18" s="250" t="s">
        <v>1429</v>
      </c>
      <c r="BL18" s="250" t="s">
        <v>1429</v>
      </c>
      <c r="BM18" s="250" t="s">
        <v>1429</v>
      </c>
      <c r="BN18" s="250" t="s">
        <v>1429</v>
      </c>
      <c r="BO18" s="250" t="s">
        <v>1429</v>
      </c>
      <c r="BP18" s="250" t="s">
        <v>1429</v>
      </c>
      <c r="BQ18" s="250" t="s">
        <v>1429</v>
      </c>
      <c r="BR18" s="250" t="s">
        <v>1429</v>
      </c>
      <c r="BS18" s="250" t="s">
        <v>1429</v>
      </c>
      <c r="BT18" s="250" t="s">
        <v>1429</v>
      </c>
      <c r="BU18" s="250" t="s">
        <v>1429</v>
      </c>
      <c r="BV18" s="250" t="s">
        <v>1429</v>
      </c>
    </row>
    <row r="19" spans="1:74" ht="11.1" customHeight="1" x14ac:dyDescent="0.2">
      <c r="A19" s="162" t="s">
        <v>304</v>
      </c>
      <c r="B19" s="173" t="s">
        <v>83</v>
      </c>
      <c r="C19" s="250">
        <v>31.489542</v>
      </c>
      <c r="D19" s="250">
        <v>31.065529999999999</v>
      </c>
      <c r="E19" s="250">
        <v>31.159545000000001</v>
      </c>
      <c r="F19" s="250">
        <v>31.266058000000001</v>
      </c>
      <c r="G19" s="250">
        <v>31.291350999999999</v>
      </c>
      <c r="H19" s="250">
        <v>31.725463000000001</v>
      </c>
      <c r="I19" s="250">
        <v>31.809995000000001</v>
      </c>
      <c r="J19" s="250">
        <v>31.683743</v>
      </c>
      <c r="K19" s="250">
        <v>31.735520000000001</v>
      </c>
      <c r="L19" s="250">
        <v>31.999327000000001</v>
      </c>
      <c r="M19" s="250">
        <v>32.391314999999999</v>
      </c>
      <c r="N19" s="250">
        <v>32.249707999999998</v>
      </c>
      <c r="O19" s="250">
        <v>31.31</v>
      </c>
      <c r="P19" s="250">
        <v>31.192</v>
      </c>
      <c r="Q19" s="250">
        <v>30.815000000000001</v>
      </c>
      <c r="R19" s="250">
        <v>30.896000000000001</v>
      </c>
      <c r="S19" s="250">
        <v>31.399000000000001</v>
      </c>
      <c r="T19" s="250">
        <v>31.83</v>
      </c>
      <c r="U19" s="250">
        <v>32.049999999999997</v>
      </c>
      <c r="V19" s="250">
        <v>31.917000000000002</v>
      </c>
      <c r="W19" s="250">
        <v>32.064999999999998</v>
      </c>
      <c r="X19" s="250">
        <v>31.87</v>
      </c>
      <c r="Y19" s="250">
        <v>31.611000000000001</v>
      </c>
      <c r="Z19" s="250">
        <v>31.477</v>
      </c>
      <c r="AA19" s="250">
        <v>31.756</v>
      </c>
      <c r="AB19" s="250">
        <v>31.585999999999999</v>
      </c>
      <c r="AC19" s="250">
        <v>31.408999999999999</v>
      </c>
      <c r="AD19" s="250">
        <v>31.343</v>
      </c>
      <c r="AE19" s="250">
        <v>31.228000000000002</v>
      </c>
      <c r="AF19" s="250">
        <v>31.228999999999999</v>
      </c>
      <c r="AG19" s="250">
        <v>31.286000000000001</v>
      </c>
      <c r="AH19" s="250">
        <v>31.53</v>
      </c>
      <c r="AI19" s="250">
        <v>31.666</v>
      </c>
      <c r="AJ19" s="250">
        <v>31.841000000000001</v>
      </c>
      <c r="AK19" s="250">
        <v>31.596</v>
      </c>
      <c r="AL19" s="250">
        <v>30.815999999999999</v>
      </c>
      <c r="AM19" s="250">
        <v>30.155999999999999</v>
      </c>
      <c r="AN19" s="250">
        <v>30.091000000000001</v>
      </c>
      <c r="AO19" s="250">
        <v>29.594999999999999</v>
      </c>
      <c r="AP19" s="250">
        <v>29.655000000000001</v>
      </c>
      <c r="AQ19" s="250">
        <v>29.335000000000001</v>
      </c>
      <c r="AR19" s="250">
        <v>29.425000000000001</v>
      </c>
      <c r="AS19" s="250">
        <v>29.004999999999999</v>
      </c>
      <c r="AT19" s="250">
        <v>29.245000000000001</v>
      </c>
      <c r="AU19" s="250">
        <v>27.684999999999999</v>
      </c>
      <c r="AV19" s="250">
        <v>29.145</v>
      </c>
      <c r="AW19" s="250">
        <v>29.004999999999999</v>
      </c>
      <c r="AX19" s="250">
        <v>28.905000000000001</v>
      </c>
      <c r="AY19" s="250">
        <v>28.67</v>
      </c>
      <c r="AZ19" s="250">
        <v>28.02</v>
      </c>
      <c r="BA19" s="250">
        <v>28.14</v>
      </c>
      <c r="BB19" s="250">
        <v>30.324999999999999</v>
      </c>
      <c r="BC19" s="250">
        <v>24.28</v>
      </c>
      <c r="BD19" s="250">
        <v>22.35</v>
      </c>
      <c r="BE19" s="250">
        <v>23.024999999999999</v>
      </c>
      <c r="BF19" s="250">
        <v>23.98</v>
      </c>
      <c r="BG19" s="403">
        <v>23.95</v>
      </c>
      <c r="BH19" s="403">
        <v>24.59</v>
      </c>
      <c r="BI19" s="403">
        <v>25.69</v>
      </c>
      <c r="BJ19" s="403">
        <v>26.504999999999999</v>
      </c>
      <c r="BK19" s="403">
        <v>27.86</v>
      </c>
      <c r="BL19" s="403">
        <v>28.16</v>
      </c>
      <c r="BM19" s="403">
        <v>28.26</v>
      </c>
      <c r="BN19" s="403">
        <v>29.175000000000001</v>
      </c>
      <c r="BO19" s="403">
        <v>29.261825999999999</v>
      </c>
      <c r="BP19" s="403">
        <v>29.250485999999999</v>
      </c>
      <c r="BQ19" s="403">
        <v>29.299146</v>
      </c>
      <c r="BR19" s="403">
        <v>29.307805999999999</v>
      </c>
      <c r="BS19" s="403">
        <v>29.316465000000001</v>
      </c>
      <c r="BT19" s="403">
        <v>29.325125</v>
      </c>
      <c r="BU19" s="403">
        <v>29.333784999999999</v>
      </c>
      <c r="BV19" s="403">
        <v>29.322444000000001</v>
      </c>
    </row>
    <row r="20" spans="1:74" ht="11.1" customHeight="1" x14ac:dyDescent="0.2">
      <c r="C20" s="473"/>
      <c r="D20" s="222"/>
      <c r="E20" s="222"/>
      <c r="F20" s="222"/>
      <c r="G20" s="222"/>
      <c r="H20" s="222"/>
      <c r="I20" s="222"/>
      <c r="J20" s="222"/>
      <c r="K20" s="222"/>
      <c r="L20" s="222"/>
      <c r="M20" s="222"/>
      <c r="N20" s="222"/>
      <c r="O20" s="222"/>
      <c r="P20" s="222"/>
      <c r="Q20" s="222"/>
      <c r="R20" s="222"/>
      <c r="S20" s="222"/>
      <c r="T20" s="222"/>
      <c r="U20" s="222"/>
      <c r="V20" s="222"/>
      <c r="W20" s="222"/>
      <c r="X20" s="222"/>
      <c r="Y20" s="222"/>
      <c r="Z20" s="222"/>
      <c r="AA20" s="222"/>
      <c r="AB20" s="222"/>
      <c r="AC20" s="222"/>
      <c r="AD20" s="222"/>
      <c r="AE20" s="222"/>
      <c r="AF20" s="222"/>
      <c r="AG20" s="222"/>
      <c r="AH20" s="222"/>
      <c r="AI20" s="222"/>
      <c r="AJ20" s="222"/>
      <c r="AK20" s="222"/>
      <c r="AL20" s="222"/>
      <c r="AM20" s="222"/>
      <c r="AN20" s="222"/>
      <c r="AO20" s="222"/>
      <c r="AP20" s="222"/>
      <c r="AQ20" s="222"/>
      <c r="AR20" s="222"/>
      <c r="AS20" s="222"/>
      <c r="AT20" s="222"/>
      <c r="AU20" s="222"/>
      <c r="AV20" s="222"/>
      <c r="AW20" s="222"/>
      <c r="AX20" s="222"/>
      <c r="AY20" s="222"/>
      <c r="AZ20" s="222"/>
      <c r="BA20" s="222"/>
      <c r="BB20" s="222"/>
      <c r="BC20" s="222"/>
      <c r="BD20" s="222"/>
      <c r="BE20" s="222"/>
      <c r="BF20" s="222"/>
      <c r="BG20" s="485"/>
      <c r="BH20" s="485"/>
      <c r="BI20" s="485"/>
      <c r="BJ20" s="485"/>
      <c r="BK20" s="485"/>
      <c r="BL20" s="485"/>
      <c r="BM20" s="485"/>
      <c r="BN20" s="485"/>
      <c r="BO20" s="485"/>
      <c r="BP20" s="485"/>
      <c r="BQ20" s="485"/>
      <c r="BR20" s="485"/>
      <c r="BS20" s="485"/>
      <c r="BT20" s="485"/>
      <c r="BU20" s="485"/>
      <c r="BV20" s="485"/>
    </row>
    <row r="21" spans="1:74" ht="11.1" customHeight="1" x14ac:dyDescent="0.2">
      <c r="A21" s="162" t="s">
        <v>385</v>
      </c>
      <c r="B21" s="172" t="s">
        <v>1024</v>
      </c>
      <c r="C21" s="250">
        <v>5.2322679292999998</v>
      </c>
      <c r="D21" s="250">
        <v>5.1812942231000001</v>
      </c>
      <c r="E21" s="250">
        <v>5.3270877905000003</v>
      </c>
      <c r="F21" s="250">
        <v>5.3081358289000002</v>
      </c>
      <c r="G21" s="250">
        <v>5.1558964726000003</v>
      </c>
      <c r="H21" s="250">
        <v>5.1544573673</v>
      </c>
      <c r="I21" s="250">
        <v>5.2734352818000003</v>
      </c>
      <c r="J21" s="250">
        <v>5.2710547582</v>
      </c>
      <c r="K21" s="250">
        <v>5.2226228460000002</v>
      </c>
      <c r="L21" s="250">
        <v>5.2860927522000001</v>
      </c>
      <c r="M21" s="250">
        <v>5.3722380945000001</v>
      </c>
      <c r="N21" s="250">
        <v>5.2553303384000003</v>
      </c>
      <c r="O21" s="250">
        <v>5.4156663730999997</v>
      </c>
      <c r="P21" s="250">
        <v>5.3337478620000001</v>
      </c>
      <c r="Q21" s="250">
        <v>5.2238343589999996</v>
      </c>
      <c r="R21" s="250">
        <v>5.3567853429000003</v>
      </c>
      <c r="S21" s="250">
        <v>5.3319587780999997</v>
      </c>
      <c r="T21" s="250">
        <v>5.2899539275</v>
      </c>
      <c r="U21" s="250">
        <v>5.3044041030000004</v>
      </c>
      <c r="V21" s="250">
        <v>5.2352452238999998</v>
      </c>
      <c r="W21" s="250">
        <v>5.2540864887999996</v>
      </c>
      <c r="X21" s="250">
        <v>5.1861490206000003</v>
      </c>
      <c r="Y21" s="250">
        <v>5.2899525972000001</v>
      </c>
      <c r="Z21" s="250">
        <v>5.3494408478000004</v>
      </c>
      <c r="AA21" s="250">
        <v>5.3625146775000001</v>
      </c>
      <c r="AB21" s="250">
        <v>5.3745710431999996</v>
      </c>
      <c r="AC21" s="250">
        <v>5.3049381048999997</v>
      </c>
      <c r="AD21" s="250">
        <v>5.2646136694000001</v>
      </c>
      <c r="AE21" s="250">
        <v>5.2501324999000003</v>
      </c>
      <c r="AF21" s="250">
        <v>5.2994501010999997</v>
      </c>
      <c r="AG21" s="250">
        <v>5.2892842677000003</v>
      </c>
      <c r="AH21" s="250">
        <v>5.3028128678000002</v>
      </c>
      <c r="AI21" s="250">
        <v>5.3555109999999999</v>
      </c>
      <c r="AJ21" s="250">
        <v>5.3225110000000004</v>
      </c>
      <c r="AK21" s="250">
        <v>5.3325110000000002</v>
      </c>
      <c r="AL21" s="250">
        <v>5.3175109999999997</v>
      </c>
      <c r="AM21" s="250">
        <v>5.4485099999999997</v>
      </c>
      <c r="AN21" s="250">
        <v>5.4695099999999996</v>
      </c>
      <c r="AO21" s="250">
        <v>5.4975100000000001</v>
      </c>
      <c r="AP21" s="250">
        <v>5.4805099999999998</v>
      </c>
      <c r="AQ21" s="250">
        <v>5.4335100000000001</v>
      </c>
      <c r="AR21" s="250">
        <v>5.49451</v>
      </c>
      <c r="AS21" s="250">
        <v>5.4055099999999996</v>
      </c>
      <c r="AT21" s="250">
        <v>5.3705100000000003</v>
      </c>
      <c r="AU21" s="250">
        <v>4.9475100000000003</v>
      </c>
      <c r="AV21" s="250">
        <v>5.3285099999999996</v>
      </c>
      <c r="AW21" s="250">
        <v>5.3095100000000004</v>
      </c>
      <c r="AX21" s="250">
        <v>5.3825099999999999</v>
      </c>
      <c r="AY21" s="250">
        <v>5.2735099999999999</v>
      </c>
      <c r="AZ21" s="250">
        <v>5.2835099999999997</v>
      </c>
      <c r="BA21" s="250">
        <v>5.2745100000000003</v>
      </c>
      <c r="BB21" s="250">
        <v>5.2165100000000004</v>
      </c>
      <c r="BC21" s="250">
        <v>4.6325099999999999</v>
      </c>
      <c r="BD21" s="250">
        <v>4.8132116382000003</v>
      </c>
      <c r="BE21" s="250">
        <v>4.7870887569000002</v>
      </c>
      <c r="BF21" s="250">
        <v>4.8389277804999997</v>
      </c>
      <c r="BG21" s="403">
        <v>4.8601941619</v>
      </c>
      <c r="BH21" s="403">
        <v>4.8255572129999997</v>
      </c>
      <c r="BI21" s="403">
        <v>4.8918478023</v>
      </c>
      <c r="BJ21" s="403">
        <v>4.9865783377000001</v>
      </c>
      <c r="BK21" s="403">
        <v>5.0693511205000004</v>
      </c>
      <c r="BL21" s="403">
        <v>5.0412560950999996</v>
      </c>
      <c r="BM21" s="403">
        <v>5.0111910955000001</v>
      </c>
      <c r="BN21" s="403">
        <v>4.9812800328</v>
      </c>
      <c r="BO21" s="403">
        <v>4.9617804698999999</v>
      </c>
      <c r="BP21" s="403">
        <v>4.9628213095999998</v>
      </c>
      <c r="BQ21" s="403">
        <v>4.9632928115999997</v>
      </c>
      <c r="BR21" s="403">
        <v>4.9635142228999998</v>
      </c>
      <c r="BS21" s="403">
        <v>4.9638629761999997</v>
      </c>
      <c r="BT21" s="403">
        <v>4.9636318126000001</v>
      </c>
      <c r="BU21" s="403">
        <v>4.9646374743999999</v>
      </c>
      <c r="BV21" s="403">
        <v>4.9653840007000003</v>
      </c>
    </row>
    <row r="22" spans="1:74" ht="11.1" customHeight="1" x14ac:dyDescent="0.2">
      <c r="C22" s="222"/>
      <c r="D22" s="222"/>
      <c r="E22" s="222"/>
      <c r="F22" s="222"/>
      <c r="G22" s="222"/>
      <c r="H22" s="222"/>
      <c r="I22" s="222"/>
      <c r="J22" s="222"/>
      <c r="K22" s="222"/>
      <c r="L22" s="222"/>
      <c r="M22" s="222"/>
      <c r="N22" s="222"/>
      <c r="O22" s="222"/>
      <c r="P22" s="222"/>
      <c r="Q22" s="222"/>
      <c r="R22" s="222"/>
      <c r="S22" s="222"/>
      <c r="T22" s="222"/>
      <c r="U22" s="222"/>
      <c r="V22" s="222"/>
      <c r="W22" s="222"/>
      <c r="X22" s="222"/>
      <c r="Y22" s="222"/>
      <c r="Z22" s="222"/>
      <c r="AA22" s="222"/>
      <c r="AB22" s="222"/>
      <c r="AC22" s="222"/>
      <c r="AD22" s="222"/>
      <c r="AE22" s="222"/>
      <c r="AF22" s="222"/>
      <c r="AG22" s="222"/>
      <c r="AH22" s="222"/>
      <c r="AI22" s="222"/>
      <c r="AJ22" s="222"/>
      <c r="AK22" s="222"/>
      <c r="AL22" s="222"/>
      <c r="AM22" s="222"/>
      <c r="AN22" s="222"/>
      <c r="AO22" s="222"/>
      <c r="AP22" s="222"/>
      <c r="AQ22" s="222"/>
      <c r="AR22" s="222"/>
      <c r="AS22" s="222"/>
      <c r="AT22" s="222"/>
      <c r="AU22" s="222"/>
      <c r="AV22" s="222"/>
      <c r="AW22" s="222"/>
      <c r="AX22" s="222"/>
      <c r="AY22" s="222"/>
      <c r="AZ22" s="222"/>
      <c r="BA22" s="222"/>
      <c r="BB22" s="222"/>
      <c r="BC22" s="222"/>
      <c r="BD22" s="222"/>
      <c r="BE22" s="222"/>
      <c r="BF22" s="222"/>
      <c r="BG22" s="485"/>
      <c r="BH22" s="485"/>
      <c r="BI22" s="485"/>
      <c r="BJ22" s="485"/>
      <c r="BK22" s="485"/>
      <c r="BL22" s="485"/>
      <c r="BM22" s="485"/>
      <c r="BN22" s="485"/>
      <c r="BO22" s="485"/>
      <c r="BP22" s="485"/>
      <c r="BQ22" s="485"/>
      <c r="BR22" s="485"/>
      <c r="BS22" s="485"/>
      <c r="BT22" s="485"/>
      <c r="BU22" s="485"/>
      <c r="BV22" s="485"/>
    </row>
    <row r="23" spans="1:74" ht="11.1" customHeight="1" x14ac:dyDescent="0.2">
      <c r="A23" s="162" t="s">
        <v>303</v>
      </c>
      <c r="B23" s="172" t="s">
        <v>84</v>
      </c>
      <c r="C23" s="250">
        <v>36.721809929000003</v>
      </c>
      <c r="D23" s="250">
        <v>36.246824222999997</v>
      </c>
      <c r="E23" s="250">
        <v>36.486632790999998</v>
      </c>
      <c r="F23" s="250">
        <v>36.574193829000002</v>
      </c>
      <c r="G23" s="250">
        <v>36.447247472999997</v>
      </c>
      <c r="H23" s="250">
        <v>36.879920366999997</v>
      </c>
      <c r="I23" s="250">
        <v>37.083430282000002</v>
      </c>
      <c r="J23" s="250">
        <v>36.954797757999998</v>
      </c>
      <c r="K23" s="250">
        <v>36.958142846000001</v>
      </c>
      <c r="L23" s="250">
        <v>37.285419752000003</v>
      </c>
      <c r="M23" s="250">
        <v>37.763553094000002</v>
      </c>
      <c r="N23" s="250">
        <v>37.505038337999999</v>
      </c>
      <c r="O23" s="250">
        <v>36.725666373000003</v>
      </c>
      <c r="P23" s="250">
        <v>36.525747862000003</v>
      </c>
      <c r="Q23" s="250">
        <v>36.038834358999999</v>
      </c>
      <c r="R23" s="250">
        <v>36.252785342999999</v>
      </c>
      <c r="S23" s="250">
        <v>36.730958778000002</v>
      </c>
      <c r="T23" s="250">
        <v>37.119953928000001</v>
      </c>
      <c r="U23" s="250">
        <v>37.354404103</v>
      </c>
      <c r="V23" s="250">
        <v>37.152245223999998</v>
      </c>
      <c r="W23" s="250">
        <v>37.319086489</v>
      </c>
      <c r="X23" s="250">
        <v>37.056149021000003</v>
      </c>
      <c r="Y23" s="250">
        <v>36.900952597</v>
      </c>
      <c r="Z23" s="250">
        <v>36.826440847999997</v>
      </c>
      <c r="AA23" s="250">
        <v>37.118514677999997</v>
      </c>
      <c r="AB23" s="250">
        <v>36.960571043000002</v>
      </c>
      <c r="AC23" s="250">
        <v>36.713938104999997</v>
      </c>
      <c r="AD23" s="250">
        <v>36.607613669000003</v>
      </c>
      <c r="AE23" s="250">
        <v>36.478132500000001</v>
      </c>
      <c r="AF23" s="250">
        <v>36.528450100999997</v>
      </c>
      <c r="AG23" s="250">
        <v>36.575284267999997</v>
      </c>
      <c r="AH23" s="250">
        <v>36.832812867999998</v>
      </c>
      <c r="AI23" s="250">
        <v>37.021510999999997</v>
      </c>
      <c r="AJ23" s="250">
        <v>37.163511</v>
      </c>
      <c r="AK23" s="250">
        <v>36.928511</v>
      </c>
      <c r="AL23" s="250">
        <v>36.133510999999999</v>
      </c>
      <c r="AM23" s="250">
        <v>35.604509999999998</v>
      </c>
      <c r="AN23" s="250">
        <v>35.560510000000001</v>
      </c>
      <c r="AO23" s="250">
        <v>35.092509999999997</v>
      </c>
      <c r="AP23" s="250">
        <v>35.135509999999996</v>
      </c>
      <c r="AQ23" s="250">
        <v>34.768509999999999</v>
      </c>
      <c r="AR23" s="250">
        <v>34.919510000000002</v>
      </c>
      <c r="AS23" s="250">
        <v>34.410510000000002</v>
      </c>
      <c r="AT23" s="250">
        <v>34.61551</v>
      </c>
      <c r="AU23" s="250">
        <v>32.632510000000003</v>
      </c>
      <c r="AV23" s="250">
        <v>34.473509999999997</v>
      </c>
      <c r="AW23" s="250">
        <v>34.314509999999999</v>
      </c>
      <c r="AX23" s="250">
        <v>34.287509999999997</v>
      </c>
      <c r="AY23" s="250">
        <v>33.943510000000003</v>
      </c>
      <c r="AZ23" s="250">
        <v>33.303510000000003</v>
      </c>
      <c r="BA23" s="250">
        <v>33.41451</v>
      </c>
      <c r="BB23" s="250">
        <v>35.541510000000002</v>
      </c>
      <c r="BC23" s="250">
        <v>28.912510000000001</v>
      </c>
      <c r="BD23" s="250">
        <v>27.163211638</v>
      </c>
      <c r="BE23" s="250">
        <v>27.812088757000001</v>
      </c>
      <c r="BF23" s="250">
        <v>28.818927780999999</v>
      </c>
      <c r="BG23" s="403">
        <v>28.810194161999998</v>
      </c>
      <c r="BH23" s="403">
        <v>29.415557213</v>
      </c>
      <c r="BI23" s="403">
        <v>30.581847801999999</v>
      </c>
      <c r="BJ23" s="403">
        <v>31.491578338</v>
      </c>
      <c r="BK23" s="403">
        <v>32.929351121000003</v>
      </c>
      <c r="BL23" s="403">
        <v>33.201256094999998</v>
      </c>
      <c r="BM23" s="403">
        <v>33.271191096000003</v>
      </c>
      <c r="BN23" s="403">
        <v>34.156280033000002</v>
      </c>
      <c r="BO23" s="403">
        <v>34.22360647</v>
      </c>
      <c r="BP23" s="403">
        <v>34.213307309999998</v>
      </c>
      <c r="BQ23" s="403">
        <v>34.262438811999999</v>
      </c>
      <c r="BR23" s="403">
        <v>34.271320222999996</v>
      </c>
      <c r="BS23" s="403">
        <v>34.280327976000002</v>
      </c>
      <c r="BT23" s="403">
        <v>34.288756812999999</v>
      </c>
      <c r="BU23" s="403">
        <v>34.298422473999999</v>
      </c>
      <c r="BV23" s="403">
        <v>34.287828001000001</v>
      </c>
    </row>
    <row r="24" spans="1:74" ht="11.1" customHeight="1" x14ac:dyDescent="0.2">
      <c r="C24" s="222"/>
      <c r="D24" s="222"/>
      <c r="E24" s="222"/>
      <c r="F24" s="222"/>
      <c r="G24" s="222"/>
      <c r="H24" s="222"/>
      <c r="I24" s="222"/>
      <c r="J24" s="222"/>
      <c r="K24" s="222"/>
      <c r="L24" s="222"/>
      <c r="M24" s="222"/>
      <c r="N24" s="222"/>
      <c r="O24" s="222"/>
      <c r="P24" s="222"/>
      <c r="Q24" s="222"/>
      <c r="R24" s="222"/>
      <c r="S24" s="222"/>
      <c r="T24" s="222"/>
      <c r="U24" s="222"/>
      <c r="V24" s="222"/>
      <c r="W24" s="222"/>
      <c r="X24" s="222"/>
      <c r="Y24" s="222"/>
      <c r="Z24" s="222"/>
      <c r="AA24" s="222"/>
      <c r="AB24" s="222"/>
      <c r="AC24" s="222"/>
      <c r="AD24" s="222"/>
      <c r="AE24" s="222"/>
      <c r="AF24" s="222"/>
      <c r="AG24" s="222"/>
      <c r="AH24" s="222"/>
      <c r="AI24" s="222"/>
      <c r="AJ24" s="222"/>
      <c r="AK24" s="222"/>
      <c r="AL24" s="222"/>
      <c r="AM24" s="222"/>
      <c r="AN24" s="222"/>
      <c r="AO24" s="222"/>
      <c r="AP24" s="222"/>
      <c r="AQ24" s="222"/>
      <c r="AR24" s="222"/>
      <c r="AS24" s="222"/>
      <c r="AT24" s="222"/>
      <c r="AU24" s="222"/>
      <c r="AV24" s="222"/>
      <c r="AW24" s="222"/>
      <c r="AX24" s="222"/>
      <c r="AY24" s="222"/>
      <c r="AZ24" s="222"/>
      <c r="BA24" s="222"/>
      <c r="BB24" s="222"/>
      <c r="BC24" s="222"/>
      <c r="BD24" s="222"/>
      <c r="BE24" s="222"/>
      <c r="BF24" s="222"/>
      <c r="BG24" s="485"/>
      <c r="BH24" s="485"/>
      <c r="BI24" s="485"/>
      <c r="BJ24" s="485"/>
      <c r="BK24" s="485"/>
      <c r="BL24" s="485"/>
      <c r="BM24" s="485"/>
      <c r="BN24" s="485"/>
      <c r="BO24" s="485"/>
      <c r="BP24" s="485"/>
      <c r="BQ24" s="485"/>
      <c r="BR24" s="485"/>
      <c r="BS24" s="485"/>
      <c r="BT24" s="485"/>
      <c r="BU24" s="485"/>
      <c r="BV24" s="485"/>
    </row>
    <row r="25" spans="1:74" ht="11.1" customHeight="1" x14ac:dyDescent="0.2">
      <c r="B25" s="252" t="s">
        <v>329</v>
      </c>
      <c r="C25" s="250"/>
      <c r="D25" s="250"/>
      <c r="E25" s="250"/>
      <c r="F25" s="250"/>
      <c r="G25" s="250"/>
      <c r="H25" s="250"/>
      <c r="I25" s="250"/>
      <c r="J25" s="250"/>
      <c r="K25" s="250"/>
      <c r="L25" s="250"/>
      <c r="M25" s="250"/>
      <c r="N25" s="250"/>
      <c r="O25" s="250"/>
      <c r="P25" s="250"/>
      <c r="Q25" s="250"/>
      <c r="R25" s="250"/>
      <c r="S25" s="250"/>
      <c r="T25" s="250"/>
      <c r="U25" s="250"/>
      <c r="V25" s="250"/>
      <c r="W25" s="250"/>
      <c r="X25" s="250"/>
      <c r="Y25" s="250"/>
      <c r="Z25" s="250"/>
      <c r="AA25" s="250"/>
      <c r="AB25" s="250"/>
      <c r="AC25" s="250"/>
      <c r="AD25" s="250"/>
      <c r="AE25" s="250"/>
      <c r="AF25" s="250"/>
      <c r="AG25" s="250"/>
      <c r="AH25" s="250"/>
      <c r="AI25" s="250"/>
      <c r="AJ25" s="250"/>
      <c r="AK25" s="250"/>
      <c r="AL25" s="250"/>
      <c r="AM25" s="250"/>
      <c r="AN25" s="250"/>
      <c r="AO25" s="250"/>
      <c r="AP25" s="250"/>
      <c r="AQ25" s="250"/>
      <c r="AR25" s="250"/>
      <c r="AS25" s="250"/>
      <c r="AT25" s="250"/>
      <c r="AU25" s="250"/>
      <c r="AV25" s="250"/>
      <c r="AW25" s="250"/>
      <c r="AX25" s="250"/>
      <c r="AY25" s="250"/>
      <c r="AZ25" s="250"/>
      <c r="BA25" s="250"/>
      <c r="BB25" s="250"/>
      <c r="BC25" s="250"/>
      <c r="BD25" s="250"/>
      <c r="BE25" s="250"/>
      <c r="BF25" s="250"/>
      <c r="BG25" s="403"/>
      <c r="BH25" s="403"/>
      <c r="BI25" s="403"/>
      <c r="BJ25" s="403"/>
      <c r="BK25" s="403"/>
      <c r="BL25" s="403"/>
      <c r="BM25" s="403"/>
      <c r="BN25" s="403"/>
      <c r="BO25" s="403"/>
      <c r="BP25" s="403"/>
      <c r="BQ25" s="403"/>
      <c r="BR25" s="403"/>
      <c r="BS25" s="403"/>
      <c r="BT25" s="403"/>
      <c r="BU25" s="403"/>
      <c r="BV25" s="403"/>
    </row>
    <row r="26" spans="1:74" ht="11.1" customHeight="1" x14ac:dyDescent="0.2">
      <c r="A26" s="162" t="s">
        <v>562</v>
      </c>
      <c r="B26" s="173" t="s">
        <v>563</v>
      </c>
      <c r="C26" s="250">
        <v>24.934999999999999</v>
      </c>
      <c r="D26" s="250">
        <v>24.675000000000001</v>
      </c>
      <c r="E26" s="250">
        <v>25.02</v>
      </c>
      <c r="F26" s="250">
        <v>25.05</v>
      </c>
      <c r="G26" s="250">
        <v>25.34</v>
      </c>
      <c r="H26" s="250">
        <v>25.43</v>
      </c>
      <c r="I26" s="250">
        <v>25.52</v>
      </c>
      <c r="J26" s="250">
        <v>25.625</v>
      </c>
      <c r="K26" s="250">
        <v>25.695</v>
      </c>
      <c r="L26" s="250">
        <v>25.77</v>
      </c>
      <c r="M26" s="250">
        <v>25.91</v>
      </c>
      <c r="N26" s="250">
        <v>26.01</v>
      </c>
      <c r="O26" s="250">
        <v>26.03</v>
      </c>
      <c r="P26" s="250">
        <v>26.03</v>
      </c>
      <c r="Q26" s="250">
        <v>26.04</v>
      </c>
      <c r="R26" s="250">
        <v>26.02</v>
      </c>
      <c r="S26" s="250">
        <v>26.02</v>
      </c>
      <c r="T26" s="250">
        <v>26.03</v>
      </c>
      <c r="U26" s="250">
        <v>26.04</v>
      </c>
      <c r="V26" s="250">
        <v>26.04</v>
      </c>
      <c r="W26" s="250">
        <v>26.05</v>
      </c>
      <c r="X26" s="250">
        <v>26.06</v>
      </c>
      <c r="Y26" s="250">
        <v>25.93</v>
      </c>
      <c r="Z26" s="250">
        <v>25.92</v>
      </c>
      <c r="AA26" s="250">
        <v>25.86</v>
      </c>
      <c r="AB26" s="250">
        <v>25.855</v>
      </c>
      <c r="AC26" s="250">
        <v>25.914999999999999</v>
      </c>
      <c r="AD26" s="250">
        <v>25.905000000000001</v>
      </c>
      <c r="AE26" s="250">
        <v>25.925000000000001</v>
      </c>
      <c r="AF26" s="250">
        <v>26</v>
      </c>
      <c r="AG26" s="250">
        <v>25.952000000000002</v>
      </c>
      <c r="AH26" s="250">
        <v>25.78</v>
      </c>
      <c r="AI26" s="250">
        <v>25.71</v>
      </c>
      <c r="AJ26" s="250">
        <v>25.774999999999999</v>
      </c>
      <c r="AK26" s="250">
        <v>25.19</v>
      </c>
      <c r="AL26" s="250">
        <v>25.204999999999998</v>
      </c>
      <c r="AM26" s="250">
        <v>25.655000000000001</v>
      </c>
      <c r="AN26" s="250">
        <v>25.704999999999998</v>
      </c>
      <c r="AO26" s="250">
        <v>25.625</v>
      </c>
      <c r="AP26" s="250">
        <v>25.655000000000001</v>
      </c>
      <c r="AQ26" s="250">
        <v>25.504999999999999</v>
      </c>
      <c r="AR26" s="250">
        <v>25.445</v>
      </c>
      <c r="AS26" s="250">
        <v>25.344999999999999</v>
      </c>
      <c r="AT26" s="250">
        <v>25.344999999999999</v>
      </c>
      <c r="AU26" s="250">
        <v>22.995000000000001</v>
      </c>
      <c r="AV26" s="250">
        <v>24.594999999999999</v>
      </c>
      <c r="AW26" s="250">
        <v>24.734999999999999</v>
      </c>
      <c r="AX26" s="250">
        <v>24.885999999999999</v>
      </c>
      <c r="AY26" s="250">
        <v>25.481999999999999</v>
      </c>
      <c r="AZ26" s="250">
        <v>25.545000000000002</v>
      </c>
      <c r="BA26" s="250">
        <v>25.79</v>
      </c>
      <c r="BB26" s="250">
        <v>25.995000000000001</v>
      </c>
      <c r="BC26" s="250">
        <v>26.030833999999999</v>
      </c>
      <c r="BD26" s="250">
        <v>26.041665999999999</v>
      </c>
      <c r="BE26" s="250">
        <v>26.0275</v>
      </c>
      <c r="BF26" s="250">
        <v>26.063334000000001</v>
      </c>
      <c r="BG26" s="486">
        <v>26.099166</v>
      </c>
      <c r="BH26" s="486">
        <v>26.135000000000002</v>
      </c>
      <c r="BI26" s="486">
        <v>26.170833999999999</v>
      </c>
      <c r="BJ26" s="486">
        <v>26.206665999999998</v>
      </c>
      <c r="BK26" s="486">
        <v>26.2425</v>
      </c>
      <c r="BL26" s="486">
        <v>26.278334000000001</v>
      </c>
      <c r="BM26" s="486">
        <v>26.28</v>
      </c>
      <c r="BN26" s="486">
        <v>26.286110999999998</v>
      </c>
      <c r="BO26" s="486">
        <v>26.292221999999999</v>
      </c>
      <c r="BP26" s="486">
        <v>26.28</v>
      </c>
      <c r="BQ26" s="486">
        <v>26.28</v>
      </c>
      <c r="BR26" s="486">
        <v>26.28</v>
      </c>
      <c r="BS26" s="486">
        <v>26.28</v>
      </c>
      <c r="BT26" s="486">
        <v>26.28</v>
      </c>
      <c r="BU26" s="486">
        <v>26.28</v>
      </c>
      <c r="BV26" s="486">
        <v>26.28</v>
      </c>
    </row>
    <row r="27" spans="1:74" ht="11.1" customHeight="1" x14ac:dyDescent="0.2">
      <c r="A27" s="162" t="s">
        <v>1048</v>
      </c>
      <c r="B27" s="173" t="s">
        <v>1410</v>
      </c>
      <c r="C27" s="250">
        <v>7.9050000000000002</v>
      </c>
      <c r="D27" s="250">
        <v>7.8410000000000002</v>
      </c>
      <c r="E27" s="250">
        <v>7.59</v>
      </c>
      <c r="F27" s="250">
        <v>7.576403</v>
      </c>
      <c r="G27" s="250">
        <v>7.2013509999999998</v>
      </c>
      <c r="H27" s="250">
        <v>7.3454629999999996</v>
      </c>
      <c r="I27" s="250">
        <v>7.21</v>
      </c>
      <c r="J27" s="250">
        <v>7.0090000000000003</v>
      </c>
      <c r="K27" s="250">
        <v>7.0309999999999997</v>
      </c>
      <c r="L27" s="250">
        <v>7.2293269999999996</v>
      </c>
      <c r="M27" s="250">
        <v>7.4316599999999999</v>
      </c>
      <c r="N27" s="250">
        <v>7.29</v>
      </c>
      <c r="O27" s="250">
        <v>7.27</v>
      </c>
      <c r="P27" s="250">
        <v>7.3319999999999999</v>
      </c>
      <c r="Q27" s="250">
        <v>7.04</v>
      </c>
      <c r="R27" s="250">
        <v>7.1159999999999997</v>
      </c>
      <c r="S27" s="250">
        <v>7.4790000000000001</v>
      </c>
      <c r="T27" s="250">
        <v>7.6550000000000002</v>
      </c>
      <c r="U27" s="250">
        <v>7.915</v>
      </c>
      <c r="V27" s="250">
        <v>7.8170000000000002</v>
      </c>
      <c r="W27" s="250">
        <v>7.8449999999999998</v>
      </c>
      <c r="X27" s="250">
        <v>7.82</v>
      </c>
      <c r="Y27" s="250">
        <v>7.7309999999999999</v>
      </c>
      <c r="Z27" s="250">
        <v>7.6070000000000002</v>
      </c>
      <c r="AA27" s="250">
        <v>7.7060000000000004</v>
      </c>
      <c r="AB27" s="250">
        <v>7.601</v>
      </c>
      <c r="AC27" s="250">
        <v>7.4939999999999998</v>
      </c>
      <c r="AD27" s="250">
        <v>7.4480000000000004</v>
      </c>
      <c r="AE27" s="250">
        <v>7.2629999999999999</v>
      </c>
      <c r="AF27" s="250">
        <v>6.8550000000000004</v>
      </c>
      <c r="AG27" s="250">
        <v>6.77</v>
      </c>
      <c r="AH27" s="250">
        <v>7.165</v>
      </c>
      <c r="AI27" s="250">
        <v>7.2960000000000003</v>
      </c>
      <c r="AJ27" s="250">
        <v>7.1909999999999998</v>
      </c>
      <c r="AK27" s="250">
        <v>7.1859999999999999</v>
      </c>
      <c r="AL27" s="250">
        <v>6.9359999999999999</v>
      </c>
      <c r="AM27" s="250">
        <v>6.7560000000000002</v>
      </c>
      <c r="AN27" s="250">
        <v>6.6609999999999996</v>
      </c>
      <c r="AO27" s="250">
        <v>6.7050000000000001</v>
      </c>
      <c r="AP27" s="250">
        <v>6.7850000000000001</v>
      </c>
      <c r="AQ27" s="250">
        <v>6.6150000000000002</v>
      </c>
      <c r="AR27" s="250">
        <v>6.6550000000000002</v>
      </c>
      <c r="AS27" s="250">
        <v>6.6550000000000002</v>
      </c>
      <c r="AT27" s="250">
        <v>6.6950000000000003</v>
      </c>
      <c r="AU27" s="250">
        <v>6.585</v>
      </c>
      <c r="AV27" s="250">
        <v>6.5449999999999999</v>
      </c>
      <c r="AW27" s="250">
        <v>6.5049999999999999</v>
      </c>
      <c r="AX27" s="250">
        <v>6.7450000000000001</v>
      </c>
      <c r="AY27" s="250">
        <v>6.36</v>
      </c>
      <c r="AZ27" s="250">
        <v>5.66</v>
      </c>
      <c r="BA27" s="250">
        <v>5.44</v>
      </c>
      <c r="BB27" s="250">
        <v>5.7050000000000001</v>
      </c>
      <c r="BC27" s="250">
        <v>5.625</v>
      </c>
      <c r="BD27" s="250">
        <v>5.48</v>
      </c>
      <c r="BE27" s="250">
        <v>5.4850000000000003</v>
      </c>
      <c r="BF27" s="250">
        <v>5.47</v>
      </c>
      <c r="BG27" s="486">
        <v>5.45</v>
      </c>
      <c r="BH27" s="486">
        <v>5.43</v>
      </c>
      <c r="BI27" s="486">
        <v>5.52</v>
      </c>
      <c r="BJ27" s="486">
        <v>5.72</v>
      </c>
      <c r="BK27" s="486">
        <v>5.5750000000000002</v>
      </c>
      <c r="BL27" s="486">
        <v>5.6749999999999998</v>
      </c>
      <c r="BM27" s="486">
        <v>5.7750000000000004</v>
      </c>
      <c r="BN27" s="486">
        <v>5.875</v>
      </c>
      <c r="BO27" s="486">
        <v>5.9618260000000003</v>
      </c>
      <c r="BP27" s="486">
        <v>5.9504859999999997</v>
      </c>
      <c r="BQ27" s="486">
        <v>5.9891459999999999</v>
      </c>
      <c r="BR27" s="486">
        <v>5.9978059999999997</v>
      </c>
      <c r="BS27" s="486">
        <v>6.0064650000000004</v>
      </c>
      <c r="BT27" s="486">
        <v>6.0151250000000003</v>
      </c>
      <c r="BU27" s="486">
        <v>6.0237850000000002</v>
      </c>
      <c r="BV27" s="486">
        <v>6.0124440000000003</v>
      </c>
    </row>
    <row r="28" spans="1:74" ht="11.1" customHeight="1" x14ac:dyDescent="0.2">
      <c r="A28" s="162" t="s">
        <v>575</v>
      </c>
      <c r="B28" s="173" t="s">
        <v>83</v>
      </c>
      <c r="C28" s="250">
        <v>32.840000000000003</v>
      </c>
      <c r="D28" s="250">
        <v>32.515999999999998</v>
      </c>
      <c r="E28" s="250">
        <v>32.61</v>
      </c>
      <c r="F28" s="250">
        <v>32.626403000000003</v>
      </c>
      <c r="G28" s="250">
        <v>32.541350999999999</v>
      </c>
      <c r="H28" s="250">
        <v>32.775463000000002</v>
      </c>
      <c r="I28" s="250">
        <v>32.729999999999997</v>
      </c>
      <c r="J28" s="250">
        <v>32.634</v>
      </c>
      <c r="K28" s="250">
        <v>32.725999999999999</v>
      </c>
      <c r="L28" s="250">
        <v>32.999327000000001</v>
      </c>
      <c r="M28" s="250">
        <v>33.341659999999997</v>
      </c>
      <c r="N28" s="250">
        <v>33.299999999999997</v>
      </c>
      <c r="O28" s="250">
        <v>33.299999999999997</v>
      </c>
      <c r="P28" s="250">
        <v>33.362000000000002</v>
      </c>
      <c r="Q28" s="250">
        <v>33.08</v>
      </c>
      <c r="R28" s="250">
        <v>33.136000000000003</v>
      </c>
      <c r="S28" s="250">
        <v>33.499000000000002</v>
      </c>
      <c r="T28" s="250">
        <v>33.685000000000002</v>
      </c>
      <c r="U28" s="250">
        <v>33.954999999999998</v>
      </c>
      <c r="V28" s="250">
        <v>33.856999999999999</v>
      </c>
      <c r="W28" s="250">
        <v>33.895000000000003</v>
      </c>
      <c r="X28" s="250">
        <v>33.880000000000003</v>
      </c>
      <c r="Y28" s="250">
        <v>33.661000000000001</v>
      </c>
      <c r="Z28" s="250">
        <v>33.527000000000001</v>
      </c>
      <c r="AA28" s="250">
        <v>33.566000000000003</v>
      </c>
      <c r="AB28" s="250">
        <v>33.456000000000003</v>
      </c>
      <c r="AC28" s="250">
        <v>33.408999999999999</v>
      </c>
      <c r="AD28" s="250">
        <v>33.353000000000002</v>
      </c>
      <c r="AE28" s="250">
        <v>33.188000000000002</v>
      </c>
      <c r="AF28" s="250">
        <v>32.854999999999997</v>
      </c>
      <c r="AG28" s="250">
        <v>32.722000000000001</v>
      </c>
      <c r="AH28" s="250">
        <v>32.945</v>
      </c>
      <c r="AI28" s="250">
        <v>33.006</v>
      </c>
      <c r="AJ28" s="250">
        <v>32.966000000000001</v>
      </c>
      <c r="AK28" s="250">
        <v>32.375999999999998</v>
      </c>
      <c r="AL28" s="250">
        <v>32.140999999999998</v>
      </c>
      <c r="AM28" s="250">
        <v>32.411000000000001</v>
      </c>
      <c r="AN28" s="250">
        <v>32.366</v>
      </c>
      <c r="AO28" s="250">
        <v>32.33</v>
      </c>
      <c r="AP28" s="250">
        <v>32.44</v>
      </c>
      <c r="AQ28" s="250">
        <v>32.119999999999997</v>
      </c>
      <c r="AR28" s="250">
        <v>32.1</v>
      </c>
      <c r="AS28" s="250">
        <v>32</v>
      </c>
      <c r="AT28" s="250">
        <v>32.04</v>
      </c>
      <c r="AU28" s="250">
        <v>29.58</v>
      </c>
      <c r="AV28" s="250">
        <v>31.14</v>
      </c>
      <c r="AW28" s="250">
        <v>31.24</v>
      </c>
      <c r="AX28" s="250">
        <v>31.631</v>
      </c>
      <c r="AY28" s="250">
        <v>31.841999999999999</v>
      </c>
      <c r="AZ28" s="250">
        <v>31.204999999999998</v>
      </c>
      <c r="BA28" s="250">
        <v>31.23</v>
      </c>
      <c r="BB28" s="250">
        <v>31.7</v>
      </c>
      <c r="BC28" s="250">
        <v>31.655833999999999</v>
      </c>
      <c r="BD28" s="250">
        <v>31.521666</v>
      </c>
      <c r="BE28" s="250">
        <v>31.512499999999999</v>
      </c>
      <c r="BF28" s="250">
        <v>31.533334</v>
      </c>
      <c r="BG28" s="403">
        <v>31.549166</v>
      </c>
      <c r="BH28" s="403">
        <v>31.565000000000001</v>
      </c>
      <c r="BI28" s="403">
        <v>31.690833999999999</v>
      </c>
      <c r="BJ28" s="403">
        <v>31.926666000000001</v>
      </c>
      <c r="BK28" s="403">
        <v>31.817499999999999</v>
      </c>
      <c r="BL28" s="403">
        <v>31.953334000000002</v>
      </c>
      <c r="BM28" s="403">
        <v>32.055</v>
      </c>
      <c r="BN28" s="403">
        <v>32.161110999999998</v>
      </c>
      <c r="BO28" s="403">
        <v>32.254047999999997</v>
      </c>
      <c r="BP28" s="403">
        <v>32.230485999999999</v>
      </c>
      <c r="BQ28" s="403">
        <v>32.269145999999999</v>
      </c>
      <c r="BR28" s="403">
        <v>32.277805999999998</v>
      </c>
      <c r="BS28" s="403">
        <v>32.286465</v>
      </c>
      <c r="BT28" s="403">
        <v>32.295124999999999</v>
      </c>
      <c r="BU28" s="403">
        <v>32.303784999999998</v>
      </c>
      <c r="BV28" s="403">
        <v>32.292444000000003</v>
      </c>
    </row>
    <row r="29" spans="1:74" ht="11.1" customHeight="1" x14ac:dyDescent="0.2">
      <c r="B29" s="172"/>
      <c r="C29" s="250"/>
      <c r="D29" s="250"/>
      <c r="E29" s="250"/>
      <c r="F29" s="250"/>
      <c r="G29" s="250"/>
      <c r="H29" s="250"/>
      <c r="I29" s="250"/>
      <c r="J29" s="250"/>
      <c r="K29" s="250"/>
      <c r="L29" s="250"/>
      <c r="M29" s="250"/>
      <c r="N29" s="250"/>
      <c r="O29" s="250"/>
      <c r="P29" s="250"/>
      <c r="Q29" s="250"/>
      <c r="R29" s="250"/>
      <c r="S29" s="250"/>
      <c r="T29" s="250"/>
      <c r="U29" s="250"/>
      <c r="V29" s="250"/>
      <c r="W29" s="250"/>
      <c r="X29" s="250"/>
      <c r="Y29" s="250"/>
      <c r="Z29" s="250"/>
      <c r="AA29" s="250"/>
      <c r="AB29" s="250"/>
      <c r="AC29" s="250"/>
      <c r="AD29" s="250"/>
      <c r="AE29" s="250"/>
      <c r="AF29" s="250"/>
      <c r="AG29" s="250"/>
      <c r="AH29" s="250"/>
      <c r="AI29" s="250"/>
      <c r="AJ29" s="250"/>
      <c r="AK29" s="250"/>
      <c r="AL29" s="250"/>
      <c r="AM29" s="250"/>
      <c r="AN29" s="250"/>
      <c r="AO29" s="250"/>
      <c r="AP29" s="250"/>
      <c r="AQ29" s="250"/>
      <c r="AR29" s="250"/>
      <c r="AS29" s="250"/>
      <c r="AT29" s="250"/>
      <c r="AU29" s="250"/>
      <c r="AV29" s="250"/>
      <c r="AW29" s="250"/>
      <c r="AX29" s="250"/>
      <c r="AY29" s="250"/>
      <c r="AZ29" s="250"/>
      <c r="BA29" s="250"/>
      <c r="BB29" s="250"/>
      <c r="BC29" s="250"/>
      <c r="BD29" s="250"/>
      <c r="BE29" s="250"/>
      <c r="BF29" s="250"/>
      <c r="BG29" s="403"/>
      <c r="BH29" s="403"/>
      <c r="BI29" s="403"/>
      <c r="BJ29" s="403"/>
      <c r="BK29" s="403"/>
      <c r="BL29" s="403"/>
      <c r="BM29" s="403"/>
      <c r="BN29" s="403"/>
      <c r="BO29" s="403"/>
      <c r="BP29" s="403"/>
      <c r="BQ29" s="403"/>
      <c r="BR29" s="403"/>
      <c r="BS29" s="403"/>
      <c r="BT29" s="403"/>
      <c r="BU29" s="403"/>
      <c r="BV29" s="403"/>
    </row>
    <row r="30" spans="1:74" ht="11.1" customHeight="1" x14ac:dyDescent="0.2">
      <c r="B30" s="252" t="s">
        <v>16</v>
      </c>
      <c r="C30" s="250"/>
      <c r="D30" s="250"/>
      <c r="E30" s="250"/>
      <c r="F30" s="250"/>
      <c r="G30" s="250"/>
      <c r="H30" s="250"/>
      <c r="I30" s="250"/>
      <c r="J30" s="250"/>
      <c r="K30" s="250"/>
      <c r="L30" s="250"/>
      <c r="M30" s="250"/>
      <c r="N30" s="250"/>
      <c r="O30" s="250"/>
      <c r="P30" s="250"/>
      <c r="Q30" s="250"/>
      <c r="R30" s="250"/>
      <c r="S30" s="250"/>
      <c r="T30" s="250"/>
      <c r="U30" s="250"/>
      <c r="V30" s="250"/>
      <c r="W30" s="250"/>
      <c r="X30" s="250"/>
      <c r="Y30" s="250"/>
      <c r="Z30" s="250"/>
      <c r="AA30" s="250"/>
      <c r="AB30" s="250"/>
      <c r="AC30" s="250"/>
      <c r="AD30" s="250"/>
      <c r="AE30" s="250"/>
      <c r="AF30" s="250"/>
      <c r="AG30" s="250"/>
      <c r="AH30" s="250"/>
      <c r="AI30" s="250"/>
      <c r="AJ30" s="250"/>
      <c r="AK30" s="250"/>
      <c r="AL30" s="250"/>
      <c r="AM30" s="250"/>
      <c r="AN30" s="250"/>
      <c r="AO30" s="250"/>
      <c r="AP30" s="250"/>
      <c r="AQ30" s="250"/>
      <c r="AR30" s="250"/>
      <c r="AS30" s="250"/>
      <c r="AT30" s="250"/>
      <c r="AU30" s="250"/>
      <c r="AV30" s="250"/>
      <c r="AW30" s="250"/>
      <c r="AX30" s="250"/>
      <c r="AY30" s="250"/>
      <c r="AZ30" s="250"/>
      <c r="BA30" s="250"/>
      <c r="BB30" s="250"/>
      <c r="BC30" s="250"/>
      <c r="BD30" s="250"/>
      <c r="BE30" s="250"/>
      <c r="BF30" s="250"/>
      <c r="BG30" s="403"/>
      <c r="BH30" s="403"/>
      <c r="BI30" s="403"/>
      <c r="BJ30" s="403"/>
      <c r="BK30" s="403"/>
      <c r="BL30" s="403"/>
      <c r="BM30" s="403"/>
      <c r="BN30" s="403"/>
      <c r="BO30" s="403"/>
      <c r="BP30" s="403"/>
      <c r="BQ30" s="403"/>
      <c r="BR30" s="403"/>
      <c r="BS30" s="403"/>
      <c r="BT30" s="403"/>
      <c r="BU30" s="403"/>
      <c r="BV30" s="403"/>
    </row>
    <row r="31" spans="1:74" ht="11.1" customHeight="1" x14ac:dyDescent="0.2">
      <c r="A31" s="162" t="s">
        <v>564</v>
      </c>
      <c r="B31" s="173" t="s">
        <v>563</v>
      </c>
      <c r="C31" s="250">
        <v>1.35</v>
      </c>
      <c r="D31" s="250">
        <v>1.45</v>
      </c>
      <c r="E31" s="250">
        <v>1.45</v>
      </c>
      <c r="F31" s="250">
        <v>1.36</v>
      </c>
      <c r="G31" s="250">
        <v>1.25</v>
      </c>
      <c r="H31" s="250">
        <v>1.05</v>
      </c>
      <c r="I31" s="250">
        <v>0.92</v>
      </c>
      <c r="J31" s="250">
        <v>0.95</v>
      </c>
      <c r="K31" s="250">
        <v>0.99</v>
      </c>
      <c r="L31" s="250">
        <v>1</v>
      </c>
      <c r="M31" s="250">
        <v>0.95</v>
      </c>
      <c r="N31" s="250">
        <v>1.05</v>
      </c>
      <c r="O31" s="250">
        <v>1.99</v>
      </c>
      <c r="P31" s="250">
        <v>2.17</v>
      </c>
      <c r="Q31" s="250">
        <v>2.2650000000000001</v>
      </c>
      <c r="R31" s="250">
        <v>2.2400000000000002</v>
      </c>
      <c r="S31" s="250">
        <v>2.1</v>
      </c>
      <c r="T31" s="250">
        <v>1.855</v>
      </c>
      <c r="U31" s="250">
        <v>1.905</v>
      </c>
      <c r="V31" s="250">
        <v>1.94</v>
      </c>
      <c r="W31" s="250">
        <v>1.83</v>
      </c>
      <c r="X31" s="250">
        <v>2.0099999999999998</v>
      </c>
      <c r="Y31" s="250">
        <v>2.0499999999999998</v>
      </c>
      <c r="Z31" s="250">
        <v>2.0499999999999998</v>
      </c>
      <c r="AA31" s="250">
        <v>1.81</v>
      </c>
      <c r="AB31" s="250">
        <v>1.87</v>
      </c>
      <c r="AC31" s="250">
        <v>2</v>
      </c>
      <c r="AD31" s="250">
        <v>2.0099999999999998</v>
      </c>
      <c r="AE31" s="250">
        <v>1.96</v>
      </c>
      <c r="AF31" s="250">
        <v>1.6259999999999999</v>
      </c>
      <c r="AG31" s="250">
        <v>1.4359999999999999</v>
      </c>
      <c r="AH31" s="250">
        <v>1.415</v>
      </c>
      <c r="AI31" s="250">
        <v>1.34</v>
      </c>
      <c r="AJ31" s="250">
        <v>1.125</v>
      </c>
      <c r="AK31" s="250">
        <v>0.78</v>
      </c>
      <c r="AL31" s="250">
        <v>1.325</v>
      </c>
      <c r="AM31" s="250">
        <v>2.2549999999999999</v>
      </c>
      <c r="AN31" s="250">
        <v>2.2749999999999999</v>
      </c>
      <c r="AO31" s="250">
        <v>2.7349999999999999</v>
      </c>
      <c r="AP31" s="250">
        <v>2.7850000000000001</v>
      </c>
      <c r="AQ31" s="250">
        <v>2.7850000000000001</v>
      </c>
      <c r="AR31" s="250">
        <v>2.6749999999999998</v>
      </c>
      <c r="AS31" s="250">
        <v>2.9950000000000001</v>
      </c>
      <c r="AT31" s="250">
        <v>2.7949999999999999</v>
      </c>
      <c r="AU31" s="250">
        <v>1.895</v>
      </c>
      <c r="AV31" s="250">
        <v>1.9950000000000001</v>
      </c>
      <c r="AW31" s="250">
        <v>2.2349999999999999</v>
      </c>
      <c r="AX31" s="250">
        <v>2.726</v>
      </c>
      <c r="AY31" s="250">
        <v>3.1720000000000002</v>
      </c>
      <c r="AZ31" s="250">
        <v>3.1850000000000001</v>
      </c>
      <c r="BA31" s="250">
        <v>3.09</v>
      </c>
      <c r="BB31" s="250">
        <v>0.97</v>
      </c>
      <c r="BC31" s="250">
        <v>6.5858340000000002</v>
      </c>
      <c r="BD31" s="250">
        <v>8.2016659999999995</v>
      </c>
      <c r="BE31" s="250">
        <v>7.4175000000000004</v>
      </c>
      <c r="BF31" s="250">
        <v>6.5833339999999998</v>
      </c>
      <c r="BG31" s="486">
        <v>6.5491659999999996</v>
      </c>
      <c r="BH31" s="486">
        <v>6.125</v>
      </c>
      <c r="BI31" s="486">
        <v>5.3608339999999997</v>
      </c>
      <c r="BJ31" s="486">
        <v>4.7966660000000001</v>
      </c>
      <c r="BK31" s="486">
        <v>3.8424999999999998</v>
      </c>
      <c r="BL31" s="486">
        <v>3.678334</v>
      </c>
      <c r="BM31" s="486">
        <v>3.68</v>
      </c>
      <c r="BN31" s="486">
        <v>2.8861110000000001</v>
      </c>
      <c r="BO31" s="486">
        <v>2.8922219999999998</v>
      </c>
      <c r="BP31" s="486">
        <v>2.88</v>
      </c>
      <c r="BQ31" s="486">
        <v>2.88</v>
      </c>
      <c r="BR31" s="486">
        <v>2.88</v>
      </c>
      <c r="BS31" s="486">
        <v>2.88</v>
      </c>
      <c r="BT31" s="486">
        <v>2.88</v>
      </c>
      <c r="BU31" s="486">
        <v>2.88</v>
      </c>
      <c r="BV31" s="486">
        <v>2.88</v>
      </c>
    </row>
    <row r="32" spans="1:74" ht="11.1" customHeight="1" x14ac:dyDescent="0.2">
      <c r="A32" s="162" t="s">
        <v>1049</v>
      </c>
      <c r="B32" s="173" t="s">
        <v>1410</v>
      </c>
      <c r="C32" s="250">
        <v>4.5800000000000002E-4</v>
      </c>
      <c r="D32" s="250">
        <v>4.6999999999999999E-4</v>
      </c>
      <c r="E32" s="250">
        <v>4.55E-4</v>
      </c>
      <c r="F32" s="250">
        <v>3.4499999999999998E-4</v>
      </c>
      <c r="G32" s="250">
        <v>0</v>
      </c>
      <c r="H32" s="250">
        <v>0</v>
      </c>
      <c r="I32" s="250">
        <v>5.0000000000000004E-6</v>
      </c>
      <c r="J32" s="250">
        <v>2.5700000000000001E-4</v>
      </c>
      <c r="K32" s="250">
        <v>4.8000000000000001E-4</v>
      </c>
      <c r="L32" s="250">
        <v>0</v>
      </c>
      <c r="M32" s="250">
        <v>3.4499999999999998E-4</v>
      </c>
      <c r="N32" s="250">
        <v>2.92E-4</v>
      </c>
      <c r="O32" s="250">
        <v>0</v>
      </c>
      <c r="P32" s="250">
        <v>0</v>
      </c>
      <c r="Q32" s="250">
        <v>0</v>
      </c>
      <c r="R32" s="250">
        <v>0</v>
      </c>
      <c r="S32" s="250">
        <v>0</v>
      </c>
      <c r="T32" s="250">
        <v>0</v>
      </c>
      <c r="U32" s="250">
        <v>0</v>
      </c>
      <c r="V32" s="250">
        <v>0</v>
      </c>
      <c r="W32" s="250">
        <v>0</v>
      </c>
      <c r="X32" s="250">
        <v>0</v>
      </c>
      <c r="Y32" s="250">
        <v>0</v>
      </c>
      <c r="Z32" s="250">
        <v>0</v>
      </c>
      <c r="AA32" s="250">
        <v>0</v>
      </c>
      <c r="AB32" s="250">
        <v>0</v>
      </c>
      <c r="AC32" s="250">
        <v>0</v>
      </c>
      <c r="AD32" s="250">
        <v>0</v>
      </c>
      <c r="AE32" s="250">
        <v>0</v>
      </c>
      <c r="AF32" s="250">
        <v>0</v>
      </c>
      <c r="AG32" s="250">
        <v>0</v>
      </c>
      <c r="AH32" s="250">
        <v>0</v>
      </c>
      <c r="AI32" s="250">
        <v>0</v>
      </c>
      <c r="AJ32" s="250">
        <v>0</v>
      </c>
      <c r="AK32" s="250">
        <v>0</v>
      </c>
      <c r="AL32" s="250">
        <v>0</v>
      </c>
      <c r="AM32" s="250">
        <v>0</v>
      </c>
      <c r="AN32" s="250">
        <v>0</v>
      </c>
      <c r="AO32" s="250">
        <v>0</v>
      </c>
      <c r="AP32" s="250">
        <v>0</v>
      </c>
      <c r="AQ32" s="250">
        <v>0</v>
      </c>
      <c r="AR32" s="250">
        <v>0</v>
      </c>
      <c r="AS32" s="250">
        <v>0</v>
      </c>
      <c r="AT32" s="250">
        <v>0</v>
      </c>
      <c r="AU32" s="250">
        <v>0</v>
      </c>
      <c r="AV32" s="250">
        <v>0</v>
      </c>
      <c r="AW32" s="250">
        <v>0</v>
      </c>
      <c r="AX32" s="250">
        <v>0</v>
      </c>
      <c r="AY32" s="250">
        <v>0</v>
      </c>
      <c r="AZ32" s="250">
        <v>0</v>
      </c>
      <c r="BA32" s="250">
        <v>0</v>
      </c>
      <c r="BB32" s="250">
        <v>0.40500000000000003</v>
      </c>
      <c r="BC32" s="250">
        <v>0.79</v>
      </c>
      <c r="BD32" s="250">
        <v>0.97</v>
      </c>
      <c r="BE32" s="250">
        <v>1.07</v>
      </c>
      <c r="BF32" s="250">
        <v>0.97</v>
      </c>
      <c r="BG32" s="486">
        <v>1.05</v>
      </c>
      <c r="BH32" s="486">
        <v>0.85</v>
      </c>
      <c r="BI32" s="486">
        <v>0.64</v>
      </c>
      <c r="BJ32" s="486">
        <v>0.625</v>
      </c>
      <c r="BK32" s="486">
        <v>0.115</v>
      </c>
      <c r="BL32" s="486">
        <v>0.115</v>
      </c>
      <c r="BM32" s="486">
        <v>0.115</v>
      </c>
      <c r="BN32" s="486">
        <v>0.1</v>
      </c>
      <c r="BO32" s="486">
        <v>0.1</v>
      </c>
      <c r="BP32" s="486">
        <v>0.1</v>
      </c>
      <c r="BQ32" s="486">
        <v>0.09</v>
      </c>
      <c r="BR32" s="486">
        <v>0.09</v>
      </c>
      <c r="BS32" s="486">
        <v>0.09</v>
      </c>
      <c r="BT32" s="486">
        <v>0.09</v>
      </c>
      <c r="BU32" s="486">
        <v>0.09</v>
      </c>
      <c r="BV32" s="486">
        <v>0.09</v>
      </c>
    </row>
    <row r="33" spans="1:74" ht="11.1" customHeight="1" x14ac:dyDescent="0.2">
      <c r="A33" s="162" t="s">
        <v>824</v>
      </c>
      <c r="B33" s="173" t="s">
        <v>83</v>
      </c>
      <c r="C33" s="250">
        <v>1.3504579999999999</v>
      </c>
      <c r="D33" s="250">
        <v>1.4504699999999999</v>
      </c>
      <c r="E33" s="250">
        <v>1.450455</v>
      </c>
      <c r="F33" s="250">
        <v>1.3603449999999999</v>
      </c>
      <c r="G33" s="250">
        <v>1.25</v>
      </c>
      <c r="H33" s="250">
        <v>1.05</v>
      </c>
      <c r="I33" s="250">
        <v>0.92000499999999996</v>
      </c>
      <c r="J33" s="250">
        <v>0.95025700000000002</v>
      </c>
      <c r="K33" s="250">
        <v>0.99048000000000003</v>
      </c>
      <c r="L33" s="250">
        <v>1</v>
      </c>
      <c r="M33" s="250">
        <v>0.950345</v>
      </c>
      <c r="N33" s="250">
        <v>1.050292</v>
      </c>
      <c r="O33" s="250">
        <v>1.99</v>
      </c>
      <c r="P33" s="250">
        <v>2.17</v>
      </c>
      <c r="Q33" s="250">
        <v>2.2650000000000001</v>
      </c>
      <c r="R33" s="250">
        <v>2.2400000000000002</v>
      </c>
      <c r="S33" s="250">
        <v>2.1</v>
      </c>
      <c r="T33" s="250">
        <v>1.855</v>
      </c>
      <c r="U33" s="250">
        <v>1.905</v>
      </c>
      <c r="V33" s="250">
        <v>1.94</v>
      </c>
      <c r="W33" s="250">
        <v>1.83</v>
      </c>
      <c r="X33" s="250">
        <v>2.0099999999999998</v>
      </c>
      <c r="Y33" s="250">
        <v>2.0499999999999998</v>
      </c>
      <c r="Z33" s="250">
        <v>2.0499999999999998</v>
      </c>
      <c r="AA33" s="250">
        <v>1.81</v>
      </c>
      <c r="AB33" s="250">
        <v>1.87</v>
      </c>
      <c r="AC33" s="250">
        <v>2</v>
      </c>
      <c r="AD33" s="250">
        <v>2.0099999999999998</v>
      </c>
      <c r="AE33" s="250">
        <v>1.96</v>
      </c>
      <c r="AF33" s="250">
        <v>1.6259999999999999</v>
      </c>
      <c r="AG33" s="250">
        <v>1.4359999999999999</v>
      </c>
      <c r="AH33" s="250">
        <v>1.415</v>
      </c>
      <c r="AI33" s="250">
        <v>1.34</v>
      </c>
      <c r="AJ33" s="250">
        <v>1.125</v>
      </c>
      <c r="AK33" s="250">
        <v>0.78</v>
      </c>
      <c r="AL33" s="250">
        <v>1.325</v>
      </c>
      <c r="AM33" s="250">
        <v>2.2549999999999999</v>
      </c>
      <c r="AN33" s="250">
        <v>2.2749999999999999</v>
      </c>
      <c r="AO33" s="250">
        <v>2.7349999999999999</v>
      </c>
      <c r="AP33" s="250">
        <v>2.7850000000000001</v>
      </c>
      <c r="AQ33" s="250">
        <v>2.7850000000000001</v>
      </c>
      <c r="AR33" s="250">
        <v>2.6749999999999998</v>
      </c>
      <c r="AS33" s="250">
        <v>2.9950000000000001</v>
      </c>
      <c r="AT33" s="250">
        <v>2.7949999999999999</v>
      </c>
      <c r="AU33" s="250">
        <v>1.895</v>
      </c>
      <c r="AV33" s="250">
        <v>1.9950000000000001</v>
      </c>
      <c r="AW33" s="250">
        <v>2.2349999999999999</v>
      </c>
      <c r="AX33" s="250">
        <v>2.726</v>
      </c>
      <c r="AY33" s="250">
        <v>3.1720000000000002</v>
      </c>
      <c r="AZ33" s="250">
        <v>3.1850000000000001</v>
      </c>
      <c r="BA33" s="250">
        <v>3.09</v>
      </c>
      <c r="BB33" s="250">
        <v>1.375</v>
      </c>
      <c r="BC33" s="250">
        <v>7.3758340000000002</v>
      </c>
      <c r="BD33" s="250">
        <v>9.1716660000000001</v>
      </c>
      <c r="BE33" s="250">
        <v>8.4875000000000007</v>
      </c>
      <c r="BF33" s="250">
        <v>7.5533340000000004</v>
      </c>
      <c r="BG33" s="403">
        <v>7.5991660000000003</v>
      </c>
      <c r="BH33" s="403">
        <v>6.9749999999999996</v>
      </c>
      <c r="BI33" s="403">
        <v>6.0008340000000002</v>
      </c>
      <c r="BJ33" s="403">
        <v>5.4216660000000001</v>
      </c>
      <c r="BK33" s="403">
        <v>3.9575</v>
      </c>
      <c r="BL33" s="403">
        <v>3.7933340000000002</v>
      </c>
      <c r="BM33" s="403">
        <v>3.7949999999999999</v>
      </c>
      <c r="BN33" s="403">
        <v>2.9861110000000002</v>
      </c>
      <c r="BO33" s="403">
        <v>2.9922219999999999</v>
      </c>
      <c r="BP33" s="403">
        <v>2.98</v>
      </c>
      <c r="BQ33" s="403">
        <v>2.97</v>
      </c>
      <c r="BR33" s="403">
        <v>2.97</v>
      </c>
      <c r="BS33" s="403">
        <v>2.97</v>
      </c>
      <c r="BT33" s="403">
        <v>2.97</v>
      </c>
      <c r="BU33" s="403">
        <v>2.97</v>
      </c>
      <c r="BV33" s="403">
        <v>2.97</v>
      </c>
    </row>
    <row r="34" spans="1:74" ht="11.1" customHeight="1" x14ac:dyDescent="0.2">
      <c r="B34" s="173"/>
      <c r="C34" s="250"/>
      <c r="D34" s="250"/>
      <c r="E34" s="250"/>
      <c r="F34" s="250"/>
      <c r="G34" s="250"/>
      <c r="H34" s="250"/>
      <c r="I34" s="250"/>
      <c r="J34" s="250"/>
      <c r="K34" s="250"/>
      <c r="L34" s="250"/>
      <c r="M34" s="250"/>
      <c r="N34" s="250"/>
      <c r="O34" s="250"/>
      <c r="P34" s="250"/>
      <c r="Q34" s="250"/>
      <c r="R34" s="250"/>
      <c r="S34" s="250"/>
      <c r="T34" s="250"/>
      <c r="U34" s="250"/>
      <c r="V34" s="250"/>
      <c r="W34" s="250"/>
      <c r="X34" s="250"/>
      <c r="Y34" s="250"/>
      <c r="Z34" s="250"/>
      <c r="AA34" s="250"/>
      <c r="AB34" s="250"/>
      <c r="AC34" s="250"/>
      <c r="AD34" s="250"/>
      <c r="AE34" s="250"/>
      <c r="AF34" s="250"/>
      <c r="AG34" s="250"/>
      <c r="AH34" s="250"/>
      <c r="AI34" s="250"/>
      <c r="AJ34" s="250"/>
      <c r="AK34" s="250"/>
      <c r="AL34" s="250"/>
      <c r="AM34" s="250"/>
      <c r="AN34" s="250"/>
      <c r="AO34" s="250"/>
      <c r="AP34" s="250"/>
      <c r="AQ34" s="250"/>
      <c r="AR34" s="250"/>
      <c r="AS34" s="250"/>
      <c r="AT34" s="250"/>
      <c r="AU34" s="250"/>
      <c r="AV34" s="250"/>
      <c r="AW34" s="250"/>
      <c r="AX34" s="250"/>
      <c r="AY34" s="250"/>
      <c r="AZ34" s="250"/>
      <c r="BA34" s="250"/>
      <c r="BB34" s="250"/>
      <c r="BC34" s="250"/>
      <c r="BD34" s="250"/>
      <c r="BE34" s="250"/>
      <c r="BF34" s="250"/>
      <c r="BG34" s="403"/>
      <c r="BH34" s="403"/>
      <c r="BI34" s="403"/>
      <c r="BJ34" s="403"/>
      <c r="BK34" s="403"/>
      <c r="BL34" s="403"/>
      <c r="BM34" s="403"/>
      <c r="BN34" s="403"/>
      <c r="BO34" s="403"/>
      <c r="BP34" s="403"/>
      <c r="BQ34" s="403"/>
      <c r="BR34" s="403"/>
      <c r="BS34" s="403"/>
      <c r="BT34" s="403"/>
      <c r="BU34" s="403"/>
      <c r="BV34" s="403"/>
    </row>
    <row r="35" spans="1:74" ht="11.1" customHeight="1" x14ac:dyDescent="0.2">
      <c r="A35" s="162" t="s">
        <v>925</v>
      </c>
      <c r="B35" s="174" t="s">
        <v>926</v>
      </c>
      <c r="C35" s="251">
        <v>1.881</v>
      </c>
      <c r="D35" s="251">
        <v>2.153</v>
      </c>
      <c r="E35" s="251">
        <v>2.2516287781000002</v>
      </c>
      <c r="F35" s="251">
        <v>2.444</v>
      </c>
      <c r="G35" s="251">
        <v>2.5842083653999999</v>
      </c>
      <c r="H35" s="251">
        <v>2.2890162817999999</v>
      </c>
      <c r="I35" s="251">
        <v>2.3178361189999999</v>
      </c>
      <c r="J35" s="251">
        <v>2.4166677578</v>
      </c>
      <c r="K35" s="251">
        <v>2.2935110802000001</v>
      </c>
      <c r="L35" s="251">
        <v>1.9973659694000001</v>
      </c>
      <c r="M35" s="251">
        <v>1.9082323097</v>
      </c>
      <c r="N35" s="251">
        <v>1.8971099866000001</v>
      </c>
      <c r="O35" s="251">
        <v>1.814754467</v>
      </c>
      <c r="P35" s="251">
        <v>1.7863269224</v>
      </c>
      <c r="Q35" s="251">
        <v>1.8379136531</v>
      </c>
      <c r="R35" s="251">
        <v>1.8945145165999999</v>
      </c>
      <c r="S35" s="251">
        <v>1.5401293713999999</v>
      </c>
      <c r="T35" s="251">
        <v>1.3697580777</v>
      </c>
      <c r="U35" s="251">
        <v>1.1484004968999999</v>
      </c>
      <c r="V35" s="251">
        <v>1.237056492</v>
      </c>
      <c r="W35" s="251">
        <v>1.125</v>
      </c>
      <c r="X35" s="251">
        <v>1.2250000000000001</v>
      </c>
      <c r="Y35" s="251">
        <v>1.2050000000000001</v>
      </c>
      <c r="Z35" s="251">
        <v>1.19</v>
      </c>
      <c r="AA35" s="251">
        <v>1.155</v>
      </c>
      <c r="AB35" s="251">
        <v>1.23</v>
      </c>
      <c r="AC35" s="251">
        <v>1.2350000000000001</v>
      </c>
      <c r="AD35" s="251">
        <v>1.2350000000000001</v>
      </c>
      <c r="AE35" s="251">
        <v>1.39</v>
      </c>
      <c r="AF35" s="251">
        <v>1.67</v>
      </c>
      <c r="AG35" s="251">
        <v>1.7829999999999999</v>
      </c>
      <c r="AH35" s="251">
        <v>1.53</v>
      </c>
      <c r="AI35" s="251">
        <v>1.46</v>
      </c>
      <c r="AJ35" s="251">
        <v>1.4850000000000001</v>
      </c>
      <c r="AK35" s="251">
        <v>2.12</v>
      </c>
      <c r="AL35" s="251">
        <v>2.415</v>
      </c>
      <c r="AM35" s="251">
        <v>2.5437419354999999</v>
      </c>
      <c r="AN35" s="251">
        <v>2.7168571428999999</v>
      </c>
      <c r="AO35" s="251">
        <v>2.3210000000000002</v>
      </c>
      <c r="AP35" s="251">
        <v>2.2360000000000002</v>
      </c>
      <c r="AQ35" s="251">
        <v>2.6429999999999998</v>
      </c>
      <c r="AR35" s="251">
        <v>2.649</v>
      </c>
      <c r="AS35" s="251">
        <v>2.7410000000000001</v>
      </c>
      <c r="AT35" s="251">
        <v>2.7909999999999999</v>
      </c>
      <c r="AU35" s="251">
        <v>4.2060000000000004</v>
      </c>
      <c r="AV35" s="251">
        <v>2.88</v>
      </c>
      <c r="AW35" s="251">
        <v>2.855</v>
      </c>
      <c r="AX35" s="251">
        <v>2.984</v>
      </c>
      <c r="AY35" s="251">
        <v>3.1579999999999999</v>
      </c>
      <c r="AZ35" s="251">
        <v>3.8149999999999999</v>
      </c>
      <c r="BA35" s="251">
        <v>4.0601612902999999</v>
      </c>
      <c r="BB35" s="251">
        <v>4.0301612902999997</v>
      </c>
      <c r="BC35" s="251">
        <v>4.0901612903000002</v>
      </c>
      <c r="BD35" s="251">
        <v>4.2601612903000001</v>
      </c>
      <c r="BE35" s="251">
        <v>4.3051612903000001</v>
      </c>
      <c r="BF35" s="251">
        <v>4.3101612902999999</v>
      </c>
      <c r="BG35" s="610" t="s">
        <v>1428</v>
      </c>
      <c r="BH35" s="610" t="s">
        <v>1428</v>
      </c>
      <c r="BI35" s="610" t="s">
        <v>1428</v>
      </c>
      <c r="BJ35" s="610" t="s">
        <v>1428</v>
      </c>
      <c r="BK35" s="610" t="s">
        <v>1428</v>
      </c>
      <c r="BL35" s="610" t="s">
        <v>1428</v>
      </c>
      <c r="BM35" s="610" t="s">
        <v>1428</v>
      </c>
      <c r="BN35" s="610" t="s">
        <v>1428</v>
      </c>
      <c r="BO35" s="610" t="s">
        <v>1428</v>
      </c>
      <c r="BP35" s="610" t="s">
        <v>1428</v>
      </c>
      <c r="BQ35" s="610" t="s">
        <v>1428</v>
      </c>
      <c r="BR35" s="610" t="s">
        <v>1428</v>
      </c>
      <c r="BS35" s="610" t="s">
        <v>1428</v>
      </c>
      <c r="BT35" s="610" t="s">
        <v>1428</v>
      </c>
      <c r="BU35" s="610" t="s">
        <v>1428</v>
      </c>
      <c r="BV35" s="610" t="s">
        <v>1428</v>
      </c>
    </row>
    <row r="36" spans="1:74" ht="11.1" customHeight="1" x14ac:dyDescent="0.2">
      <c r="B36" s="172"/>
      <c r="C36" s="250"/>
      <c r="D36" s="250"/>
      <c r="E36" s="250"/>
      <c r="F36" s="250"/>
      <c r="G36" s="250"/>
      <c r="H36" s="250"/>
      <c r="I36" s="250"/>
      <c r="J36" s="250"/>
      <c r="K36" s="250"/>
      <c r="L36" s="250"/>
      <c r="M36" s="250"/>
      <c r="N36" s="250"/>
      <c r="O36" s="250"/>
      <c r="P36" s="250"/>
      <c r="Q36" s="250"/>
      <c r="R36" s="250"/>
      <c r="S36" s="250"/>
      <c r="T36" s="250"/>
      <c r="U36" s="250"/>
      <c r="V36" s="250"/>
      <c r="W36" s="250"/>
      <c r="X36" s="250"/>
      <c r="Y36" s="250"/>
      <c r="Z36" s="250"/>
      <c r="AA36" s="250"/>
      <c r="AB36" s="250"/>
      <c r="AC36" s="250"/>
      <c r="AD36" s="250"/>
      <c r="AE36" s="250"/>
      <c r="AF36" s="250"/>
      <c r="AG36" s="250"/>
      <c r="AH36" s="250"/>
      <c r="AI36" s="250"/>
      <c r="AJ36" s="250"/>
      <c r="AK36" s="250"/>
      <c r="AL36" s="250"/>
      <c r="AM36" s="250"/>
      <c r="AN36" s="250"/>
      <c r="AO36" s="250"/>
      <c r="AP36" s="250"/>
      <c r="AQ36" s="250"/>
      <c r="AR36" s="250"/>
      <c r="AS36" s="250"/>
      <c r="AT36" s="250"/>
      <c r="AU36" s="250"/>
      <c r="AV36" s="250"/>
      <c r="AW36" s="250"/>
      <c r="AX36" s="250"/>
      <c r="AY36" s="403"/>
      <c r="AZ36" s="403"/>
      <c r="BA36" s="403"/>
      <c r="BB36" s="403"/>
      <c r="BC36" s="403"/>
      <c r="BD36" s="250"/>
      <c r="BE36" s="250"/>
      <c r="BF36" s="250"/>
      <c r="BG36" s="403"/>
      <c r="BH36" s="250"/>
      <c r="BI36" s="403"/>
      <c r="BJ36" s="403"/>
      <c r="BK36" s="403"/>
      <c r="BL36" s="403"/>
      <c r="BM36" s="403"/>
      <c r="BN36" s="403"/>
      <c r="BO36" s="403"/>
      <c r="BP36" s="403"/>
      <c r="BQ36" s="403"/>
      <c r="BR36" s="403"/>
      <c r="BS36" s="403"/>
      <c r="BT36" s="403"/>
      <c r="BU36" s="403"/>
      <c r="BV36" s="403"/>
    </row>
    <row r="37" spans="1:74" ht="12" customHeight="1" x14ac:dyDescent="0.25">
      <c r="B37" s="827" t="s">
        <v>908</v>
      </c>
      <c r="C37" s="805"/>
      <c r="D37" s="805"/>
      <c r="E37" s="805"/>
      <c r="F37" s="805"/>
      <c r="G37" s="805"/>
      <c r="H37" s="805"/>
      <c r="I37" s="805"/>
      <c r="J37" s="805"/>
      <c r="K37" s="805"/>
      <c r="L37" s="805"/>
      <c r="M37" s="805"/>
      <c r="N37" s="805"/>
      <c r="O37" s="805"/>
      <c r="P37" s="805"/>
      <c r="Q37" s="805"/>
    </row>
    <row r="38" spans="1:74" ht="12" customHeight="1" x14ac:dyDescent="0.2">
      <c r="B38" s="819" t="s">
        <v>1412</v>
      </c>
      <c r="C38" s="795"/>
      <c r="D38" s="795"/>
      <c r="E38" s="795"/>
      <c r="F38" s="795"/>
      <c r="G38" s="795"/>
      <c r="H38" s="795"/>
      <c r="I38" s="795"/>
      <c r="J38" s="795"/>
      <c r="K38" s="795"/>
      <c r="L38" s="795"/>
      <c r="M38" s="795"/>
      <c r="N38" s="795"/>
      <c r="O38" s="795"/>
      <c r="P38" s="795"/>
      <c r="Q38" s="791"/>
    </row>
    <row r="39" spans="1:74" ht="12" customHeight="1" x14ac:dyDescent="0.2">
      <c r="B39" s="824" t="s">
        <v>1413</v>
      </c>
      <c r="C39" s="824"/>
      <c r="D39" s="824"/>
      <c r="E39" s="824"/>
      <c r="F39" s="824"/>
      <c r="G39" s="824"/>
      <c r="H39" s="824"/>
      <c r="I39" s="824"/>
      <c r="J39" s="824"/>
      <c r="K39" s="824"/>
      <c r="L39" s="824"/>
      <c r="M39" s="824"/>
      <c r="N39" s="824"/>
      <c r="O39" s="824"/>
      <c r="P39" s="824"/>
      <c r="Q39" s="782"/>
    </row>
    <row r="40" spans="1:74" ht="12" customHeight="1" x14ac:dyDescent="0.2">
      <c r="B40" s="823" t="s">
        <v>1047</v>
      </c>
      <c r="C40" s="791"/>
      <c r="D40" s="791"/>
      <c r="E40" s="791"/>
      <c r="F40" s="791"/>
      <c r="G40" s="791"/>
      <c r="H40" s="791"/>
      <c r="I40" s="791"/>
      <c r="J40" s="791"/>
      <c r="K40" s="791"/>
      <c r="L40" s="791"/>
      <c r="M40" s="791"/>
      <c r="N40" s="791"/>
      <c r="O40" s="791"/>
      <c r="P40" s="791"/>
      <c r="Q40" s="791"/>
    </row>
    <row r="41" spans="1:74" s="433" customFormat="1" ht="12" customHeight="1" x14ac:dyDescent="0.25">
      <c r="A41" s="434"/>
      <c r="B41" s="794" t="s">
        <v>851</v>
      </c>
      <c r="C41" s="795"/>
      <c r="D41" s="795"/>
      <c r="E41" s="795"/>
      <c r="F41" s="795"/>
      <c r="G41" s="795"/>
      <c r="H41" s="795"/>
      <c r="I41" s="795"/>
      <c r="J41" s="795"/>
      <c r="K41" s="795"/>
      <c r="L41" s="795"/>
      <c r="M41" s="795"/>
      <c r="N41" s="795"/>
      <c r="O41" s="795"/>
      <c r="P41" s="795"/>
      <c r="Q41" s="791"/>
      <c r="AY41" s="529"/>
      <c r="AZ41" s="529"/>
      <c r="BA41" s="529"/>
      <c r="BB41" s="529"/>
      <c r="BC41" s="529"/>
      <c r="BD41" s="628"/>
      <c r="BE41" s="628"/>
      <c r="BF41" s="628"/>
      <c r="BG41" s="529"/>
      <c r="BH41" s="529"/>
      <c r="BI41" s="529"/>
      <c r="BJ41" s="529"/>
    </row>
    <row r="42" spans="1:74" s="433" customFormat="1" ht="12" customHeight="1" x14ac:dyDescent="0.25">
      <c r="A42" s="434"/>
      <c r="B42" s="820" t="s">
        <v>873</v>
      </c>
      <c r="C42" s="791"/>
      <c r="D42" s="791"/>
      <c r="E42" s="791"/>
      <c r="F42" s="791"/>
      <c r="G42" s="791"/>
      <c r="H42" s="791"/>
      <c r="I42" s="791"/>
      <c r="J42" s="791"/>
      <c r="K42" s="791"/>
      <c r="L42" s="791"/>
      <c r="M42" s="791"/>
      <c r="N42" s="791"/>
      <c r="O42" s="791"/>
      <c r="P42" s="791"/>
      <c r="Q42" s="791"/>
      <c r="AY42" s="529"/>
      <c r="AZ42" s="529"/>
      <c r="BA42" s="529"/>
      <c r="BB42" s="529"/>
      <c r="BC42" s="529"/>
      <c r="BD42" s="628"/>
      <c r="BE42" s="628"/>
      <c r="BF42" s="628"/>
      <c r="BG42" s="529"/>
      <c r="BH42" s="529"/>
      <c r="BI42" s="529"/>
      <c r="BJ42" s="529"/>
    </row>
    <row r="43" spans="1:74" s="433" customFormat="1" ht="12" customHeight="1" x14ac:dyDescent="0.25">
      <c r="A43" s="434"/>
      <c r="B43" s="789" t="s">
        <v>855</v>
      </c>
      <c r="C43" s="790"/>
      <c r="D43" s="790"/>
      <c r="E43" s="790"/>
      <c r="F43" s="790"/>
      <c r="G43" s="790"/>
      <c r="H43" s="790"/>
      <c r="I43" s="790"/>
      <c r="J43" s="790"/>
      <c r="K43" s="790"/>
      <c r="L43" s="790"/>
      <c r="M43" s="790"/>
      <c r="N43" s="790"/>
      <c r="O43" s="790"/>
      <c r="P43" s="790"/>
      <c r="Q43" s="791"/>
      <c r="AY43" s="529"/>
      <c r="AZ43" s="529"/>
      <c r="BA43" s="529"/>
      <c r="BB43" s="529"/>
      <c r="BC43" s="529"/>
      <c r="BD43" s="628"/>
      <c r="BE43" s="628"/>
      <c r="BF43" s="628"/>
      <c r="BG43" s="529"/>
      <c r="BH43" s="529"/>
      <c r="BI43" s="529"/>
      <c r="BJ43" s="529"/>
    </row>
    <row r="44" spans="1:74" s="433" customFormat="1" ht="12" customHeight="1" x14ac:dyDescent="0.25">
      <c r="A44" s="429"/>
      <c r="B44" s="811" t="s">
        <v>949</v>
      </c>
      <c r="C44" s="791"/>
      <c r="D44" s="791"/>
      <c r="E44" s="791"/>
      <c r="F44" s="791"/>
      <c r="G44" s="791"/>
      <c r="H44" s="791"/>
      <c r="I44" s="791"/>
      <c r="J44" s="791"/>
      <c r="K44" s="791"/>
      <c r="L44" s="791"/>
      <c r="M44" s="791"/>
      <c r="N44" s="791"/>
      <c r="O44" s="791"/>
      <c r="P44" s="791"/>
      <c r="Q44" s="791"/>
      <c r="AY44" s="529"/>
      <c r="AZ44" s="529"/>
      <c r="BA44" s="529"/>
      <c r="BB44" s="529"/>
      <c r="BC44" s="529"/>
      <c r="BD44" s="628"/>
      <c r="BE44" s="628"/>
      <c r="BF44" s="628"/>
      <c r="BG44" s="529"/>
      <c r="BH44" s="529"/>
      <c r="BI44" s="529"/>
      <c r="BJ44" s="529"/>
    </row>
    <row r="45" spans="1:74" x14ac:dyDescent="0.2">
      <c r="BK45" s="405"/>
      <c r="BL45" s="405"/>
      <c r="BM45" s="405"/>
      <c r="BN45" s="405"/>
      <c r="BO45" s="405"/>
      <c r="BP45" s="405"/>
      <c r="BQ45" s="405"/>
      <c r="BR45" s="405"/>
      <c r="BS45" s="405"/>
      <c r="BT45" s="405"/>
      <c r="BU45" s="405"/>
      <c r="BV45" s="405"/>
    </row>
    <row r="46" spans="1:74" x14ac:dyDescent="0.2">
      <c r="BK46" s="405"/>
      <c r="BL46" s="405"/>
      <c r="BM46" s="405"/>
      <c r="BN46" s="405"/>
      <c r="BO46" s="405"/>
      <c r="BP46" s="405"/>
      <c r="BQ46" s="405"/>
      <c r="BR46" s="405"/>
      <c r="BS46" s="405"/>
      <c r="BT46" s="405"/>
      <c r="BU46" s="405"/>
      <c r="BV46" s="405"/>
    </row>
    <row r="47" spans="1:74" x14ac:dyDescent="0.2">
      <c r="BK47" s="405"/>
      <c r="BL47" s="405"/>
      <c r="BM47" s="405"/>
      <c r="BN47" s="405"/>
      <c r="BO47" s="405"/>
      <c r="BP47" s="405"/>
      <c r="BQ47" s="405"/>
      <c r="BR47" s="405"/>
      <c r="BS47" s="405"/>
      <c r="BT47" s="405"/>
      <c r="BU47" s="405"/>
      <c r="BV47" s="405"/>
    </row>
    <row r="48" spans="1:74" x14ac:dyDescent="0.2">
      <c r="BK48" s="405"/>
      <c r="BL48" s="405"/>
      <c r="BM48" s="405"/>
      <c r="BN48" s="405"/>
      <c r="BO48" s="405"/>
      <c r="BP48" s="405"/>
      <c r="BQ48" s="405"/>
      <c r="BR48" s="405"/>
      <c r="BS48" s="405"/>
      <c r="BT48" s="405"/>
      <c r="BU48" s="405"/>
      <c r="BV48" s="405"/>
    </row>
    <row r="49" spans="63:74" x14ac:dyDescent="0.2">
      <c r="BK49" s="405"/>
      <c r="BL49" s="405"/>
      <c r="BM49" s="405"/>
      <c r="BN49" s="405"/>
      <c r="BO49" s="405"/>
      <c r="BP49" s="405"/>
      <c r="BQ49" s="405"/>
      <c r="BR49" s="405"/>
      <c r="BS49" s="405"/>
      <c r="BT49" s="405"/>
      <c r="BU49" s="405"/>
      <c r="BV49" s="405"/>
    </row>
    <row r="50" spans="63:74" x14ac:dyDescent="0.2">
      <c r="BK50" s="405"/>
      <c r="BL50" s="405"/>
      <c r="BM50" s="405"/>
      <c r="BN50" s="405"/>
      <c r="BO50" s="405"/>
      <c r="BP50" s="405"/>
      <c r="BQ50" s="405"/>
      <c r="BR50" s="405"/>
      <c r="BS50" s="405"/>
      <c r="BT50" s="405"/>
      <c r="BU50" s="405"/>
      <c r="BV50" s="405"/>
    </row>
    <row r="51" spans="63:74" x14ac:dyDescent="0.2">
      <c r="BK51" s="405"/>
      <c r="BL51" s="405"/>
      <c r="BM51" s="405"/>
      <c r="BN51" s="405"/>
      <c r="BO51" s="405"/>
      <c r="BP51" s="405"/>
      <c r="BQ51" s="405"/>
      <c r="BR51" s="405"/>
      <c r="BS51" s="405"/>
      <c r="BT51" s="405"/>
      <c r="BU51" s="405"/>
      <c r="BV51" s="405"/>
    </row>
    <row r="52" spans="63:74" x14ac:dyDescent="0.2">
      <c r="BK52" s="405"/>
      <c r="BL52" s="405"/>
      <c r="BM52" s="405"/>
      <c r="BN52" s="405"/>
      <c r="BO52" s="405"/>
      <c r="BP52" s="405"/>
      <c r="BQ52" s="405"/>
      <c r="BR52" s="405"/>
      <c r="BS52" s="405"/>
      <c r="BT52" s="405"/>
      <c r="BU52" s="405"/>
      <c r="BV52" s="405"/>
    </row>
    <row r="53" spans="63:74" x14ac:dyDescent="0.2">
      <c r="BK53" s="405"/>
      <c r="BL53" s="405"/>
      <c r="BM53" s="405"/>
      <c r="BN53" s="405"/>
      <c r="BO53" s="405"/>
      <c r="BP53" s="405"/>
      <c r="BQ53" s="405"/>
      <c r="BR53" s="405"/>
      <c r="BS53" s="405"/>
      <c r="BT53" s="405"/>
      <c r="BU53" s="405"/>
      <c r="BV53" s="405"/>
    </row>
    <row r="54" spans="63:74" x14ac:dyDescent="0.2">
      <c r="BK54" s="405"/>
      <c r="BL54" s="405"/>
      <c r="BM54" s="405"/>
      <c r="BN54" s="405"/>
      <c r="BO54" s="405"/>
      <c r="BP54" s="405"/>
      <c r="BQ54" s="405"/>
      <c r="BR54" s="405"/>
      <c r="BS54" s="405"/>
      <c r="BT54" s="405"/>
      <c r="BU54" s="405"/>
      <c r="BV54" s="405"/>
    </row>
    <row r="55" spans="63:74" x14ac:dyDescent="0.2">
      <c r="BK55" s="405"/>
      <c r="BL55" s="405"/>
      <c r="BM55" s="405"/>
      <c r="BN55" s="405"/>
      <c r="BO55" s="405"/>
      <c r="BP55" s="405"/>
      <c r="BQ55" s="405"/>
      <c r="BR55" s="405"/>
      <c r="BS55" s="405"/>
      <c r="BT55" s="405"/>
      <c r="BU55" s="405"/>
      <c r="BV55" s="405"/>
    </row>
    <row r="56" spans="63:74" x14ac:dyDescent="0.2">
      <c r="BK56" s="405"/>
      <c r="BL56" s="405"/>
      <c r="BM56" s="405"/>
      <c r="BN56" s="405"/>
      <c r="BO56" s="405"/>
      <c r="BP56" s="405"/>
      <c r="BQ56" s="405"/>
      <c r="BR56" s="405"/>
      <c r="BS56" s="405"/>
      <c r="BT56" s="405"/>
      <c r="BU56" s="405"/>
      <c r="BV56" s="405"/>
    </row>
    <row r="57" spans="63:74" x14ac:dyDescent="0.2">
      <c r="BK57" s="405"/>
      <c r="BL57" s="405"/>
      <c r="BM57" s="405"/>
      <c r="BN57" s="405"/>
      <c r="BO57" s="405"/>
      <c r="BP57" s="405"/>
      <c r="BQ57" s="405"/>
      <c r="BR57" s="405"/>
      <c r="BS57" s="405"/>
      <c r="BT57" s="405"/>
      <c r="BU57" s="405"/>
      <c r="BV57" s="405"/>
    </row>
    <row r="58" spans="63:74" x14ac:dyDescent="0.2">
      <c r="BK58" s="405"/>
      <c r="BL58" s="405"/>
      <c r="BM58" s="405"/>
      <c r="BN58" s="405"/>
      <c r="BO58" s="405"/>
      <c r="BP58" s="405"/>
      <c r="BQ58" s="405"/>
      <c r="BR58" s="405"/>
      <c r="BS58" s="405"/>
      <c r="BT58" s="405"/>
      <c r="BU58" s="405"/>
      <c r="BV58" s="405"/>
    </row>
    <row r="59" spans="63:74" x14ac:dyDescent="0.2">
      <c r="BK59" s="405"/>
      <c r="BL59" s="405"/>
      <c r="BM59" s="405"/>
      <c r="BN59" s="405"/>
      <c r="BO59" s="405"/>
      <c r="BP59" s="405"/>
      <c r="BQ59" s="405"/>
      <c r="BR59" s="405"/>
      <c r="BS59" s="405"/>
      <c r="BT59" s="405"/>
      <c r="BU59" s="405"/>
      <c r="BV59" s="405"/>
    </row>
    <row r="60" spans="63:74" x14ac:dyDescent="0.2">
      <c r="BK60" s="405"/>
      <c r="BL60" s="405"/>
      <c r="BM60" s="405"/>
      <c r="BN60" s="405"/>
      <c r="BO60" s="405"/>
      <c r="BP60" s="405"/>
      <c r="BQ60" s="405"/>
      <c r="BR60" s="405"/>
      <c r="BS60" s="405"/>
      <c r="BT60" s="405"/>
      <c r="BU60" s="405"/>
      <c r="BV60" s="405"/>
    </row>
    <row r="61" spans="63:74" x14ac:dyDescent="0.2">
      <c r="BK61" s="405"/>
      <c r="BL61" s="405"/>
      <c r="BM61" s="405"/>
      <c r="BN61" s="405"/>
      <c r="BO61" s="405"/>
      <c r="BP61" s="405"/>
      <c r="BQ61" s="405"/>
      <c r="BR61" s="405"/>
      <c r="BS61" s="405"/>
      <c r="BT61" s="405"/>
      <c r="BU61" s="405"/>
      <c r="BV61" s="405"/>
    </row>
    <row r="62" spans="63:74" x14ac:dyDescent="0.2">
      <c r="BK62" s="405"/>
      <c r="BL62" s="405"/>
      <c r="BM62" s="405"/>
      <c r="BN62" s="405"/>
      <c r="BO62" s="405"/>
      <c r="BP62" s="405"/>
      <c r="BQ62" s="405"/>
      <c r="BR62" s="405"/>
      <c r="BS62" s="405"/>
      <c r="BT62" s="405"/>
      <c r="BU62" s="405"/>
      <c r="BV62" s="405"/>
    </row>
    <row r="63" spans="63:74" x14ac:dyDescent="0.2">
      <c r="BK63" s="405"/>
      <c r="BL63" s="405"/>
      <c r="BM63" s="405"/>
      <c r="BN63" s="405"/>
      <c r="BO63" s="405"/>
      <c r="BP63" s="405"/>
      <c r="BQ63" s="405"/>
      <c r="BR63" s="405"/>
      <c r="BS63" s="405"/>
      <c r="BT63" s="405"/>
      <c r="BU63" s="405"/>
      <c r="BV63" s="405"/>
    </row>
    <row r="64" spans="63:74" x14ac:dyDescent="0.2">
      <c r="BK64" s="405"/>
      <c r="BL64" s="405"/>
      <c r="BM64" s="405"/>
      <c r="BN64" s="405"/>
      <c r="BO64" s="405"/>
      <c r="BP64" s="405"/>
      <c r="BQ64" s="405"/>
      <c r="BR64" s="405"/>
      <c r="BS64" s="405"/>
      <c r="BT64" s="405"/>
      <c r="BU64" s="405"/>
      <c r="BV64" s="405"/>
    </row>
    <row r="65" spans="63:74" x14ac:dyDescent="0.2">
      <c r="BK65" s="405"/>
      <c r="BL65" s="405"/>
      <c r="BM65" s="405"/>
      <c r="BN65" s="405"/>
      <c r="BO65" s="405"/>
      <c r="BP65" s="405"/>
      <c r="BQ65" s="405"/>
      <c r="BR65" s="405"/>
      <c r="BS65" s="405"/>
      <c r="BT65" s="405"/>
      <c r="BU65" s="405"/>
      <c r="BV65" s="405"/>
    </row>
    <row r="66" spans="63:74" x14ac:dyDescent="0.2">
      <c r="BK66" s="405"/>
      <c r="BL66" s="405"/>
      <c r="BM66" s="405"/>
      <c r="BN66" s="405"/>
      <c r="BO66" s="405"/>
      <c r="BP66" s="405"/>
      <c r="BQ66" s="405"/>
      <c r="BR66" s="405"/>
      <c r="BS66" s="405"/>
      <c r="BT66" s="405"/>
      <c r="BU66" s="405"/>
      <c r="BV66" s="405"/>
    </row>
    <row r="67" spans="63:74" x14ac:dyDescent="0.2">
      <c r="BK67" s="405"/>
      <c r="BL67" s="405"/>
      <c r="BM67" s="405"/>
      <c r="BN67" s="405"/>
      <c r="BO67" s="405"/>
      <c r="BP67" s="405"/>
      <c r="BQ67" s="405"/>
      <c r="BR67" s="405"/>
      <c r="BS67" s="405"/>
      <c r="BT67" s="405"/>
      <c r="BU67" s="405"/>
      <c r="BV67" s="405"/>
    </row>
    <row r="68" spans="63:74" x14ac:dyDescent="0.2">
      <c r="BK68" s="405"/>
      <c r="BL68" s="405"/>
      <c r="BM68" s="405"/>
      <c r="BN68" s="405"/>
      <c r="BO68" s="405"/>
      <c r="BP68" s="405"/>
      <c r="BQ68" s="405"/>
      <c r="BR68" s="405"/>
      <c r="BS68" s="405"/>
      <c r="BT68" s="405"/>
      <c r="BU68" s="405"/>
      <c r="BV68" s="405"/>
    </row>
    <row r="69" spans="63:74" x14ac:dyDescent="0.2">
      <c r="BK69" s="405"/>
      <c r="BL69" s="405"/>
      <c r="BM69" s="405"/>
      <c r="BN69" s="405"/>
      <c r="BO69" s="405"/>
      <c r="BP69" s="405"/>
      <c r="BQ69" s="405"/>
      <c r="BR69" s="405"/>
      <c r="BS69" s="405"/>
      <c r="BT69" s="405"/>
      <c r="BU69" s="405"/>
      <c r="BV69" s="405"/>
    </row>
    <row r="70" spans="63:74" x14ac:dyDescent="0.2">
      <c r="BK70" s="405"/>
      <c r="BL70" s="405"/>
      <c r="BM70" s="405"/>
      <c r="BN70" s="405"/>
      <c r="BO70" s="405"/>
      <c r="BP70" s="405"/>
      <c r="BQ70" s="405"/>
      <c r="BR70" s="405"/>
      <c r="BS70" s="405"/>
      <c r="BT70" s="405"/>
      <c r="BU70" s="405"/>
      <c r="BV70" s="405"/>
    </row>
    <row r="71" spans="63:74" x14ac:dyDescent="0.2">
      <c r="BK71" s="405"/>
      <c r="BL71" s="405"/>
      <c r="BM71" s="405"/>
      <c r="BN71" s="405"/>
      <c r="BO71" s="405"/>
      <c r="BP71" s="405"/>
      <c r="BQ71" s="405"/>
      <c r="BR71" s="405"/>
      <c r="BS71" s="405"/>
      <c r="BT71" s="405"/>
      <c r="BU71" s="405"/>
      <c r="BV71" s="405"/>
    </row>
    <row r="72" spans="63:74" x14ac:dyDescent="0.2">
      <c r="BK72" s="405"/>
      <c r="BL72" s="405"/>
      <c r="BM72" s="405"/>
      <c r="BN72" s="405"/>
      <c r="BO72" s="405"/>
      <c r="BP72" s="405"/>
      <c r="BQ72" s="405"/>
      <c r="BR72" s="405"/>
      <c r="BS72" s="405"/>
      <c r="BT72" s="405"/>
      <c r="BU72" s="405"/>
      <c r="BV72" s="405"/>
    </row>
    <row r="73" spans="63:74" x14ac:dyDescent="0.2">
      <c r="BK73" s="405"/>
      <c r="BL73" s="405"/>
      <c r="BM73" s="405"/>
      <c r="BN73" s="405"/>
      <c r="BO73" s="405"/>
      <c r="BP73" s="405"/>
      <c r="BQ73" s="405"/>
      <c r="BR73" s="405"/>
      <c r="BS73" s="405"/>
      <c r="BT73" s="405"/>
      <c r="BU73" s="405"/>
      <c r="BV73" s="405"/>
    </row>
    <row r="74" spans="63:74" x14ac:dyDescent="0.2">
      <c r="BK74" s="405"/>
      <c r="BL74" s="405"/>
      <c r="BM74" s="405"/>
      <c r="BN74" s="405"/>
      <c r="BO74" s="405"/>
      <c r="BP74" s="405"/>
      <c r="BQ74" s="405"/>
      <c r="BR74" s="405"/>
      <c r="BS74" s="405"/>
      <c r="BT74" s="405"/>
      <c r="BU74" s="405"/>
      <c r="BV74" s="405"/>
    </row>
    <row r="75" spans="63:74" x14ac:dyDescent="0.2">
      <c r="BK75" s="405"/>
      <c r="BL75" s="405"/>
      <c r="BM75" s="405"/>
      <c r="BN75" s="405"/>
      <c r="BO75" s="405"/>
      <c r="BP75" s="405"/>
      <c r="BQ75" s="405"/>
      <c r="BR75" s="405"/>
      <c r="BS75" s="405"/>
      <c r="BT75" s="405"/>
      <c r="BU75" s="405"/>
      <c r="BV75" s="405"/>
    </row>
    <row r="76" spans="63:74" x14ac:dyDescent="0.2">
      <c r="BK76" s="405"/>
      <c r="BL76" s="405"/>
      <c r="BM76" s="405"/>
      <c r="BN76" s="405"/>
      <c r="BO76" s="405"/>
      <c r="BP76" s="405"/>
      <c r="BQ76" s="405"/>
      <c r="BR76" s="405"/>
      <c r="BS76" s="405"/>
      <c r="BT76" s="405"/>
      <c r="BU76" s="405"/>
      <c r="BV76" s="405"/>
    </row>
    <row r="77" spans="63:74" x14ac:dyDescent="0.2">
      <c r="BK77" s="405"/>
      <c r="BL77" s="405"/>
      <c r="BM77" s="405"/>
      <c r="BN77" s="405"/>
      <c r="BO77" s="405"/>
      <c r="BP77" s="405"/>
      <c r="BQ77" s="405"/>
      <c r="BR77" s="405"/>
      <c r="BS77" s="405"/>
      <c r="BT77" s="405"/>
      <c r="BU77" s="405"/>
      <c r="BV77" s="405"/>
    </row>
    <row r="78" spans="63:74" x14ac:dyDescent="0.2">
      <c r="BK78" s="405"/>
      <c r="BL78" s="405"/>
      <c r="BM78" s="405"/>
      <c r="BN78" s="405"/>
      <c r="BO78" s="405"/>
      <c r="BP78" s="405"/>
      <c r="BQ78" s="405"/>
      <c r="BR78" s="405"/>
      <c r="BS78" s="405"/>
      <c r="BT78" s="405"/>
      <c r="BU78" s="405"/>
      <c r="BV78" s="405"/>
    </row>
    <row r="79" spans="63:74" x14ac:dyDescent="0.2">
      <c r="BK79" s="405"/>
      <c r="BL79" s="405"/>
      <c r="BM79" s="405"/>
      <c r="BN79" s="405"/>
      <c r="BO79" s="405"/>
      <c r="BP79" s="405"/>
      <c r="BQ79" s="405"/>
      <c r="BR79" s="405"/>
      <c r="BS79" s="405"/>
      <c r="BT79" s="405"/>
      <c r="BU79" s="405"/>
      <c r="BV79" s="405"/>
    </row>
    <row r="80" spans="63:74" x14ac:dyDescent="0.2">
      <c r="BK80" s="405"/>
      <c r="BL80" s="405"/>
      <c r="BM80" s="405"/>
      <c r="BN80" s="405"/>
      <c r="BO80" s="405"/>
      <c r="BP80" s="405"/>
      <c r="BQ80" s="405"/>
      <c r="BR80" s="405"/>
      <c r="BS80" s="405"/>
      <c r="BT80" s="405"/>
      <c r="BU80" s="405"/>
      <c r="BV80" s="405"/>
    </row>
    <row r="81" spans="63:74" x14ac:dyDescent="0.2">
      <c r="BK81" s="405"/>
      <c r="BL81" s="405"/>
      <c r="BM81" s="405"/>
      <c r="BN81" s="405"/>
      <c r="BO81" s="405"/>
      <c r="BP81" s="405"/>
      <c r="BQ81" s="405"/>
      <c r="BR81" s="405"/>
      <c r="BS81" s="405"/>
      <c r="BT81" s="405"/>
      <c r="BU81" s="405"/>
      <c r="BV81" s="405"/>
    </row>
    <row r="82" spans="63:74" x14ac:dyDescent="0.2">
      <c r="BK82" s="405"/>
      <c r="BL82" s="405"/>
      <c r="BM82" s="405"/>
      <c r="BN82" s="405"/>
      <c r="BO82" s="405"/>
      <c r="BP82" s="405"/>
      <c r="BQ82" s="405"/>
      <c r="BR82" s="405"/>
      <c r="BS82" s="405"/>
      <c r="BT82" s="405"/>
      <c r="BU82" s="405"/>
      <c r="BV82" s="405"/>
    </row>
    <row r="83" spans="63:74" x14ac:dyDescent="0.2">
      <c r="BK83" s="405"/>
      <c r="BL83" s="405"/>
      <c r="BM83" s="405"/>
      <c r="BN83" s="405"/>
      <c r="BO83" s="405"/>
      <c r="BP83" s="405"/>
      <c r="BQ83" s="405"/>
      <c r="BR83" s="405"/>
      <c r="BS83" s="405"/>
      <c r="BT83" s="405"/>
      <c r="BU83" s="405"/>
      <c r="BV83" s="405"/>
    </row>
    <row r="84" spans="63:74" x14ac:dyDescent="0.2">
      <c r="BK84" s="405"/>
      <c r="BL84" s="405"/>
      <c r="BM84" s="405"/>
      <c r="BN84" s="405"/>
      <c r="BO84" s="405"/>
      <c r="BP84" s="405"/>
      <c r="BQ84" s="405"/>
      <c r="BR84" s="405"/>
      <c r="BS84" s="405"/>
      <c r="BT84" s="405"/>
      <c r="BU84" s="405"/>
      <c r="BV84" s="405"/>
    </row>
    <row r="85" spans="63:74" x14ac:dyDescent="0.2">
      <c r="BK85" s="405"/>
      <c r="BL85" s="405"/>
      <c r="BM85" s="405"/>
      <c r="BN85" s="405"/>
      <c r="BO85" s="405"/>
      <c r="BP85" s="405"/>
      <c r="BQ85" s="405"/>
      <c r="BR85" s="405"/>
      <c r="BS85" s="405"/>
      <c r="BT85" s="405"/>
      <c r="BU85" s="405"/>
      <c r="BV85" s="405"/>
    </row>
    <row r="86" spans="63:74" x14ac:dyDescent="0.2">
      <c r="BK86" s="405"/>
      <c r="BL86" s="405"/>
      <c r="BM86" s="405"/>
      <c r="BN86" s="405"/>
      <c r="BO86" s="405"/>
      <c r="BP86" s="405"/>
      <c r="BQ86" s="405"/>
      <c r="BR86" s="405"/>
      <c r="BS86" s="405"/>
      <c r="BT86" s="405"/>
      <c r="BU86" s="405"/>
      <c r="BV86" s="405"/>
    </row>
    <row r="87" spans="63:74" x14ac:dyDescent="0.2">
      <c r="BK87" s="405"/>
      <c r="BL87" s="405"/>
      <c r="BM87" s="405"/>
      <c r="BN87" s="405"/>
      <c r="BO87" s="405"/>
      <c r="BP87" s="405"/>
      <c r="BQ87" s="405"/>
      <c r="BR87" s="405"/>
      <c r="BS87" s="405"/>
      <c r="BT87" s="405"/>
      <c r="BU87" s="405"/>
      <c r="BV87" s="405"/>
    </row>
    <row r="88" spans="63:74" x14ac:dyDescent="0.2">
      <c r="BK88" s="405"/>
      <c r="BL88" s="405"/>
      <c r="BM88" s="405"/>
      <c r="BN88" s="405"/>
      <c r="BO88" s="405"/>
      <c r="BP88" s="405"/>
      <c r="BQ88" s="405"/>
      <c r="BR88" s="405"/>
      <c r="BS88" s="405"/>
      <c r="BT88" s="405"/>
      <c r="BU88" s="405"/>
      <c r="BV88" s="405"/>
    </row>
    <row r="89" spans="63:74" x14ac:dyDescent="0.2">
      <c r="BK89" s="405"/>
      <c r="BL89" s="405"/>
      <c r="BM89" s="405"/>
      <c r="BN89" s="405"/>
      <c r="BO89" s="405"/>
      <c r="BP89" s="405"/>
      <c r="BQ89" s="405"/>
      <c r="BR89" s="405"/>
      <c r="BS89" s="405"/>
      <c r="BT89" s="405"/>
      <c r="BU89" s="405"/>
      <c r="BV89" s="405"/>
    </row>
    <row r="90" spans="63:74" x14ac:dyDescent="0.2">
      <c r="BK90" s="405"/>
      <c r="BL90" s="405"/>
      <c r="BM90" s="405"/>
      <c r="BN90" s="405"/>
      <c r="BO90" s="405"/>
      <c r="BP90" s="405"/>
      <c r="BQ90" s="405"/>
      <c r="BR90" s="405"/>
      <c r="BS90" s="405"/>
      <c r="BT90" s="405"/>
      <c r="BU90" s="405"/>
      <c r="BV90" s="405"/>
    </row>
    <row r="91" spans="63:74" x14ac:dyDescent="0.2">
      <c r="BK91" s="405"/>
      <c r="BL91" s="405"/>
      <c r="BM91" s="405"/>
      <c r="BN91" s="405"/>
      <c r="BO91" s="405"/>
      <c r="BP91" s="405"/>
      <c r="BQ91" s="405"/>
      <c r="BR91" s="405"/>
      <c r="BS91" s="405"/>
      <c r="BT91" s="405"/>
      <c r="BU91" s="405"/>
      <c r="BV91" s="405"/>
    </row>
    <row r="92" spans="63:74" x14ac:dyDescent="0.2">
      <c r="BK92" s="405"/>
      <c r="BL92" s="405"/>
      <c r="BM92" s="405"/>
      <c r="BN92" s="405"/>
      <c r="BO92" s="405"/>
      <c r="BP92" s="405"/>
      <c r="BQ92" s="405"/>
      <c r="BR92" s="405"/>
      <c r="BS92" s="405"/>
      <c r="BT92" s="405"/>
      <c r="BU92" s="405"/>
      <c r="BV92" s="405"/>
    </row>
    <row r="93" spans="63:74" x14ac:dyDescent="0.2">
      <c r="BK93" s="405"/>
      <c r="BL93" s="405"/>
      <c r="BM93" s="405"/>
      <c r="BN93" s="405"/>
      <c r="BO93" s="405"/>
      <c r="BP93" s="405"/>
      <c r="BQ93" s="405"/>
      <c r="BR93" s="405"/>
      <c r="BS93" s="405"/>
      <c r="BT93" s="405"/>
      <c r="BU93" s="405"/>
      <c r="BV93" s="405"/>
    </row>
    <row r="94" spans="63:74" x14ac:dyDescent="0.2">
      <c r="BK94" s="405"/>
      <c r="BL94" s="405"/>
      <c r="BM94" s="405"/>
      <c r="BN94" s="405"/>
      <c r="BO94" s="405"/>
      <c r="BP94" s="405"/>
      <c r="BQ94" s="405"/>
      <c r="BR94" s="405"/>
      <c r="BS94" s="405"/>
      <c r="BT94" s="405"/>
      <c r="BU94" s="405"/>
      <c r="BV94" s="405"/>
    </row>
    <row r="95" spans="63:74" x14ac:dyDescent="0.2">
      <c r="BK95" s="405"/>
      <c r="BL95" s="405"/>
      <c r="BM95" s="405"/>
      <c r="BN95" s="405"/>
      <c r="BO95" s="405"/>
      <c r="BP95" s="405"/>
      <c r="BQ95" s="405"/>
      <c r="BR95" s="405"/>
      <c r="BS95" s="405"/>
      <c r="BT95" s="405"/>
      <c r="BU95" s="405"/>
      <c r="BV95" s="405"/>
    </row>
    <row r="96" spans="63:74" x14ac:dyDescent="0.2">
      <c r="BK96" s="405"/>
      <c r="BL96" s="405"/>
      <c r="BM96" s="405"/>
      <c r="BN96" s="405"/>
      <c r="BO96" s="405"/>
      <c r="BP96" s="405"/>
      <c r="BQ96" s="405"/>
      <c r="BR96" s="405"/>
      <c r="BS96" s="405"/>
      <c r="BT96" s="405"/>
      <c r="BU96" s="405"/>
      <c r="BV96" s="405"/>
    </row>
    <row r="97" spans="63:74" x14ac:dyDescent="0.2">
      <c r="BK97" s="405"/>
      <c r="BL97" s="405"/>
      <c r="BM97" s="405"/>
      <c r="BN97" s="405"/>
      <c r="BO97" s="405"/>
      <c r="BP97" s="405"/>
      <c r="BQ97" s="405"/>
      <c r="BR97" s="405"/>
      <c r="BS97" s="405"/>
      <c r="BT97" s="405"/>
      <c r="BU97" s="405"/>
      <c r="BV97" s="405"/>
    </row>
    <row r="98" spans="63:74" x14ac:dyDescent="0.2">
      <c r="BK98" s="405"/>
      <c r="BL98" s="405"/>
      <c r="BM98" s="405"/>
      <c r="BN98" s="405"/>
      <c r="BO98" s="405"/>
      <c r="BP98" s="405"/>
      <c r="BQ98" s="405"/>
      <c r="BR98" s="405"/>
      <c r="BS98" s="405"/>
      <c r="BT98" s="405"/>
      <c r="BU98" s="405"/>
      <c r="BV98" s="405"/>
    </row>
    <row r="99" spans="63:74" x14ac:dyDescent="0.2">
      <c r="BK99" s="405"/>
      <c r="BL99" s="405"/>
      <c r="BM99" s="405"/>
      <c r="BN99" s="405"/>
      <c r="BO99" s="405"/>
      <c r="BP99" s="405"/>
      <c r="BQ99" s="405"/>
      <c r="BR99" s="405"/>
      <c r="BS99" s="405"/>
      <c r="BT99" s="405"/>
      <c r="BU99" s="405"/>
      <c r="BV99" s="405"/>
    </row>
    <row r="100" spans="63:74" x14ac:dyDescent="0.2">
      <c r="BK100" s="405"/>
      <c r="BL100" s="405"/>
      <c r="BM100" s="405"/>
      <c r="BN100" s="405"/>
      <c r="BO100" s="405"/>
      <c r="BP100" s="405"/>
      <c r="BQ100" s="405"/>
      <c r="BR100" s="405"/>
      <c r="BS100" s="405"/>
      <c r="BT100" s="405"/>
      <c r="BU100" s="405"/>
      <c r="BV100" s="405"/>
    </row>
    <row r="101" spans="63:74" x14ac:dyDescent="0.2">
      <c r="BK101" s="405"/>
      <c r="BL101" s="405"/>
      <c r="BM101" s="405"/>
      <c r="BN101" s="405"/>
      <c r="BO101" s="405"/>
      <c r="BP101" s="405"/>
      <c r="BQ101" s="405"/>
      <c r="BR101" s="405"/>
      <c r="BS101" s="405"/>
      <c r="BT101" s="405"/>
      <c r="BU101" s="405"/>
      <c r="BV101" s="405"/>
    </row>
    <row r="102" spans="63:74" x14ac:dyDescent="0.2">
      <c r="BK102" s="405"/>
      <c r="BL102" s="405"/>
      <c r="BM102" s="405"/>
      <c r="BN102" s="405"/>
      <c r="BO102" s="405"/>
      <c r="BP102" s="405"/>
      <c r="BQ102" s="405"/>
      <c r="BR102" s="405"/>
      <c r="BS102" s="405"/>
      <c r="BT102" s="405"/>
      <c r="BU102" s="405"/>
      <c r="BV102" s="405"/>
    </row>
    <row r="103" spans="63:74" x14ac:dyDescent="0.2">
      <c r="BK103" s="405"/>
      <c r="BL103" s="405"/>
      <c r="BM103" s="405"/>
      <c r="BN103" s="405"/>
      <c r="BO103" s="405"/>
      <c r="BP103" s="405"/>
      <c r="BQ103" s="405"/>
      <c r="BR103" s="405"/>
      <c r="BS103" s="405"/>
      <c r="BT103" s="405"/>
      <c r="BU103" s="405"/>
      <c r="BV103" s="405"/>
    </row>
    <row r="104" spans="63:74" x14ac:dyDescent="0.2">
      <c r="BK104" s="405"/>
      <c r="BL104" s="405"/>
      <c r="BM104" s="405"/>
      <c r="BN104" s="405"/>
      <c r="BO104" s="405"/>
      <c r="BP104" s="405"/>
      <c r="BQ104" s="405"/>
      <c r="BR104" s="405"/>
      <c r="BS104" s="405"/>
      <c r="BT104" s="405"/>
      <c r="BU104" s="405"/>
      <c r="BV104" s="405"/>
    </row>
    <row r="105" spans="63:74" x14ac:dyDescent="0.2">
      <c r="BK105" s="405"/>
      <c r="BL105" s="405"/>
      <c r="BM105" s="405"/>
      <c r="BN105" s="405"/>
      <c r="BO105" s="405"/>
      <c r="BP105" s="405"/>
      <c r="BQ105" s="405"/>
      <c r="BR105" s="405"/>
      <c r="BS105" s="405"/>
      <c r="BT105" s="405"/>
      <c r="BU105" s="405"/>
      <c r="BV105" s="405"/>
    </row>
    <row r="106" spans="63:74" x14ac:dyDescent="0.2">
      <c r="BK106" s="405"/>
      <c r="BL106" s="405"/>
      <c r="BM106" s="405"/>
      <c r="BN106" s="405"/>
      <c r="BO106" s="405"/>
      <c r="BP106" s="405"/>
      <c r="BQ106" s="405"/>
      <c r="BR106" s="405"/>
      <c r="BS106" s="405"/>
      <c r="BT106" s="405"/>
      <c r="BU106" s="405"/>
      <c r="BV106" s="405"/>
    </row>
    <row r="107" spans="63:74" x14ac:dyDescent="0.2">
      <c r="BK107" s="405"/>
      <c r="BL107" s="405"/>
      <c r="BM107" s="405"/>
      <c r="BN107" s="405"/>
      <c r="BO107" s="405"/>
      <c r="BP107" s="405"/>
      <c r="BQ107" s="405"/>
      <c r="BR107" s="405"/>
      <c r="BS107" s="405"/>
      <c r="BT107" s="405"/>
      <c r="BU107" s="405"/>
      <c r="BV107" s="405"/>
    </row>
    <row r="108" spans="63:74" x14ac:dyDescent="0.2">
      <c r="BK108" s="405"/>
      <c r="BL108" s="405"/>
      <c r="BM108" s="405"/>
      <c r="BN108" s="405"/>
      <c r="BO108" s="405"/>
      <c r="BP108" s="405"/>
      <c r="BQ108" s="405"/>
      <c r="BR108" s="405"/>
      <c r="BS108" s="405"/>
      <c r="BT108" s="405"/>
      <c r="BU108" s="405"/>
      <c r="BV108" s="405"/>
    </row>
    <row r="109" spans="63:74" x14ac:dyDescent="0.2">
      <c r="BK109" s="405"/>
      <c r="BL109" s="405"/>
      <c r="BM109" s="405"/>
      <c r="BN109" s="405"/>
      <c r="BO109" s="405"/>
      <c r="BP109" s="405"/>
      <c r="BQ109" s="405"/>
      <c r="BR109" s="405"/>
      <c r="BS109" s="405"/>
      <c r="BT109" s="405"/>
      <c r="BU109" s="405"/>
      <c r="BV109" s="405"/>
    </row>
    <row r="110" spans="63:74" x14ac:dyDescent="0.2">
      <c r="BK110" s="405"/>
      <c r="BL110" s="405"/>
      <c r="BM110" s="405"/>
      <c r="BN110" s="405"/>
      <c r="BO110" s="405"/>
      <c r="BP110" s="405"/>
      <c r="BQ110" s="405"/>
      <c r="BR110" s="405"/>
      <c r="BS110" s="405"/>
      <c r="BT110" s="405"/>
      <c r="BU110" s="405"/>
      <c r="BV110" s="405"/>
    </row>
    <row r="111" spans="63:74" x14ac:dyDescent="0.2">
      <c r="BK111" s="405"/>
      <c r="BL111" s="405"/>
      <c r="BM111" s="405"/>
      <c r="BN111" s="405"/>
      <c r="BO111" s="405"/>
      <c r="BP111" s="405"/>
      <c r="BQ111" s="405"/>
      <c r="BR111" s="405"/>
      <c r="BS111" s="405"/>
      <c r="BT111" s="405"/>
      <c r="BU111" s="405"/>
      <c r="BV111" s="405"/>
    </row>
    <row r="112" spans="63:74" x14ac:dyDescent="0.2">
      <c r="BK112" s="405"/>
      <c r="BL112" s="405"/>
      <c r="BM112" s="405"/>
      <c r="BN112" s="405"/>
      <c r="BO112" s="405"/>
      <c r="BP112" s="405"/>
      <c r="BQ112" s="405"/>
      <c r="BR112" s="405"/>
      <c r="BS112" s="405"/>
      <c r="BT112" s="405"/>
      <c r="BU112" s="405"/>
      <c r="BV112" s="405"/>
    </row>
    <row r="113" spans="63:74" x14ac:dyDescent="0.2">
      <c r="BK113" s="405"/>
      <c r="BL113" s="405"/>
      <c r="BM113" s="405"/>
      <c r="BN113" s="405"/>
      <c r="BO113" s="405"/>
      <c r="BP113" s="405"/>
      <c r="BQ113" s="405"/>
      <c r="BR113" s="405"/>
      <c r="BS113" s="405"/>
      <c r="BT113" s="405"/>
      <c r="BU113" s="405"/>
      <c r="BV113" s="405"/>
    </row>
    <row r="114" spans="63:74" x14ac:dyDescent="0.2">
      <c r="BK114" s="405"/>
      <c r="BL114" s="405"/>
      <c r="BM114" s="405"/>
      <c r="BN114" s="405"/>
      <c r="BO114" s="405"/>
      <c r="BP114" s="405"/>
      <c r="BQ114" s="405"/>
      <c r="BR114" s="405"/>
      <c r="BS114" s="405"/>
      <c r="BT114" s="405"/>
      <c r="BU114" s="405"/>
      <c r="BV114" s="405"/>
    </row>
    <row r="115" spans="63:74" x14ac:dyDescent="0.2">
      <c r="BK115" s="405"/>
      <c r="BL115" s="405"/>
      <c r="BM115" s="405"/>
      <c r="BN115" s="405"/>
      <c r="BO115" s="405"/>
      <c r="BP115" s="405"/>
      <c r="BQ115" s="405"/>
      <c r="BR115" s="405"/>
      <c r="BS115" s="405"/>
      <c r="BT115" s="405"/>
      <c r="BU115" s="405"/>
      <c r="BV115" s="405"/>
    </row>
    <row r="116" spans="63:74" x14ac:dyDescent="0.2">
      <c r="BK116" s="405"/>
      <c r="BL116" s="405"/>
      <c r="BM116" s="405"/>
      <c r="BN116" s="405"/>
      <c r="BO116" s="405"/>
      <c r="BP116" s="405"/>
      <c r="BQ116" s="405"/>
      <c r="BR116" s="405"/>
      <c r="BS116" s="405"/>
      <c r="BT116" s="405"/>
      <c r="BU116" s="405"/>
      <c r="BV116" s="405"/>
    </row>
    <row r="117" spans="63:74" x14ac:dyDescent="0.2">
      <c r="BK117" s="405"/>
      <c r="BL117" s="405"/>
      <c r="BM117" s="405"/>
      <c r="BN117" s="405"/>
      <c r="BO117" s="405"/>
      <c r="BP117" s="405"/>
      <c r="BQ117" s="405"/>
      <c r="BR117" s="405"/>
      <c r="BS117" s="405"/>
      <c r="BT117" s="405"/>
      <c r="BU117" s="405"/>
      <c r="BV117" s="405"/>
    </row>
    <row r="118" spans="63:74" x14ac:dyDescent="0.2">
      <c r="BK118" s="405"/>
      <c r="BL118" s="405"/>
      <c r="BM118" s="405"/>
      <c r="BN118" s="405"/>
      <c r="BO118" s="405"/>
      <c r="BP118" s="405"/>
      <c r="BQ118" s="405"/>
      <c r="BR118" s="405"/>
      <c r="BS118" s="405"/>
      <c r="BT118" s="405"/>
      <c r="BU118" s="405"/>
      <c r="BV118" s="405"/>
    </row>
    <row r="119" spans="63:74" x14ac:dyDescent="0.2">
      <c r="BK119" s="405"/>
      <c r="BL119" s="405"/>
      <c r="BM119" s="405"/>
      <c r="BN119" s="405"/>
      <c r="BO119" s="405"/>
      <c r="BP119" s="405"/>
      <c r="BQ119" s="405"/>
      <c r="BR119" s="405"/>
      <c r="BS119" s="405"/>
      <c r="BT119" s="405"/>
      <c r="BU119" s="405"/>
      <c r="BV119" s="405"/>
    </row>
    <row r="120" spans="63:74" x14ac:dyDescent="0.2">
      <c r="BK120" s="405"/>
      <c r="BL120" s="405"/>
      <c r="BM120" s="405"/>
      <c r="BN120" s="405"/>
      <c r="BO120" s="405"/>
      <c r="BP120" s="405"/>
      <c r="BQ120" s="405"/>
      <c r="BR120" s="405"/>
      <c r="BS120" s="405"/>
      <c r="BT120" s="405"/>
      <c r="BU120" s="405"/>
      <c r="BV120" s="405"/>
    </row>
    <row r="121" spans="63:74" x14ac:dyDescent="0.2">
      <c r="BK121" s="405"/>
      <c r="BL121" s="405"/>
      <c r="BM121" s="405"/>
      <c r="BN121" s="405"/>
      <c r="BO121" s="405"/>
      <c r="BP121" s="405"/>
      <c r="BQ121" s="405"/>
      <c r="BR121" s="405"/>
      <c r="BS121" s="405"/>
      <c r="BT121" s="405"/>
      <c r="BU121" s="405"/>
      <c r="BV121" s="405"/>
    </row>
    <row r="122" spans="63:74" x14ac:dyDescent="0.2">
      <c r="BK122" s="405"/>
      <c r="BL122" s="405"/>
      <c r="BM122" s="405"/>
      <c r="BN122" s="405"/>
      <c r="BO122" s="405"/>
      <c r="BP122" s="405"/>
      <c r="BQ122" s="405"/>
      <c r="BR122" s="405"/>
      <c r="BS122" s="405"/>
      <c r="BT122" s="405"/>
      <c r="BU122" s="405"/>
      <c r="BV122" s="405"/>
    </row>
    <row r="123" spans="63:74" x14ac:dyDescent="0.2">
      <c r="BK123" s="405"/>
      <c r="BL123" s="405"/>
      <c r="BM123" s="405"/>
      <c r="BN123" s="405"/>
      <c r="BO123" s="405"/>
      <c r="BP123" s="405"/>
      <c r="BQ123" s="405"/>
      <c r="BR123" s="405"/>
      <c r="BS123" s="405"/>
      <c r="BT123" s="405"/>
      <c r="BU123" s="405"/>
      <c r="BV123" s="405"/>
    </row>
    <row r="124" spans="63:74" x14ac:dyDescent="0.2">
      <c r="BK124" s="405"/>
      <c r="BL124" s="405"/>
      <c r="BM124" s="405"/>
      <c r="BN124" s="405"/>
      <c r="BO124" s="405"/>
      <c r="BP124" s="405"/>
      <c r="BQ124" s="405"/>
      <c r="BR124" s="405"/>
      <c r="BS124" s="405"/>
      <c r="BT124" s="405"/>
      <c r="BU124" s="405"/>
      <c r="BV124" s="405"/>
    </row>
    <row r="125" spans="63:74" x14ac:dyDescent="0.2">
      <c r="BK125" s="405"/>
      <c r="BL125" s="405"/>
      <c r="BM125" s="405"/>
      <c r="BN125" s="405"/>
      <c r="BO125" s="405"/>
      <c r="BP125" s="405"/>
      <c r="BQ125" s="405"/>
      <c r="BR125" s="405"/>
      <c r="BS125" s="405"/>
      <c r="BT125" s="405"/>
      <c r="BU125" s="405"/>
      <c r="BV125" s="405"/>
    </row>
    <row r="126" spans="63:74" x14ac:dyDescent="0.2">
      <c r="BK126" s="405"/>
      <c r="BL126" s="405"/>
      <c r="BM126" s="405"/>
      <c r="BN126" s="405"/>
      <c r="BO126" s="405"/>
      <c r="BP126" s="405"/>
      <c r="BQ126" s="405"/>
      <c r="BR126" s="405"/>
      <c r="BS126" s="405"/>
      <c r="BT126" s="405"/>
      <c r="BU126" s="405"/>
      <c r="BV126" s="405"/>
    </row>
  </sheetData>
  <mergeCells count="16">
    <mergeCell ref="A1:A2"/>
    <mergeCell ref="AM3:AX3"/>
    <mergeCell ref="AY3:BJ3"/>
    <mergeCell ref="BK3:BV3"/>
    <mergeCell ref="B1:AL1"/>
    <mergeCell ref="C3:N3"/>
    <mergeCell ref="O3:Z3"/>
    <mergeCell ref="AA3:AL3"/>
    <mergeCell ref="B44:Q44"/>
    <mergeCell ref="B37:Q37"/>
    <mergeCell ref="B41:Q41"/>
    <mergeCell ref="B42:Q42"/>
    <mergeCell ref="B43:Q43"/>
    <mergeCell ref="B38:Q38"/>
    <mergeCell ref="B40:Q40"/>
    <mergeCell ref="B39:P39"/>
  </mergeCells>
  <phoneticPr fontId="3" type="noConversion"/>
  <hyperlinks>
    <hyperlink ref="A1:A2" location="Contents!A1" display="Table of Contents"/>
  </hyperlinks>
  <pageMargins left="0.25" right="0.25" top="0.25" bottom="0.25" header="0.5" footer="0.5"/>
  <pageSetup scale="3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BV53"/>
  <sheetViews>
    <sheetView workbookViewId="0">
      <pane xSplit="2" ySplit="4" topLeftCell="AY5" activePane="bottomRight" state="frozen"/>
      <selection activeCell="BF63" sqref="BF63"/>
      <selection pane="topRight" activeCell="BF63" sqref="BF63"/>
      <selection pane="bottomLeft" activeCell="BF63" sqref="BF63"/>
      <selection pane="bottomRight" activeCell="B1" sqref="B1:BV1"/>
    </sheetView>
  </sheetViews>
  <sheetFormatPr defaultColWidth="8.5546875" defaultRowHeight="10.199999999999999" x14ac:dyDescent="0.2"/>
  <cols>
    <col min="1" max="1" width="11.5546875" style="162" customWidth="1"/>
    <col min="2" max="2" width="35.77734375" style="153" customWidth="1"/>
    <col min="3" max="50" width="6.5546875" style="153" customWidth="1"/>
    <col min="51" max="55" width="6.5546875" style="487" customWidth="1"/>
    <col min="56" max="58" width="6.5546875" style="623" customWidth="1"/>
    <col min="59" max="62" width="6.5546875" style="487" customWidth="1"/>
    <col min="63" max="74" width="6.5546875" style="153" customWidth="1"/>
    <col min="75" max="16384" width="8.5546875" style="153"/>
  </cols>
  <sheetData>
    <row r="1" spans="1:74" ht="12.75" customHeight="1" x14ac:dyDescent="0.25">
      <c r="A1" s="797" t="s">
        <v>809</v>
      </c>
      <c r="B1" s="830" t="s">
        <v>1418</v>
      </c>
      <c r="C1" s="830"/>
      <c r="D1" s="830"/>
      <c r="E1" s="830"/>
      <c r="F1" s="830"/>
      <c r="G1" s="830"/>
      <c r="H1" s="830"/>
      <c r="I1" s="830"/>
      <c r="J1" s="830"/>
      <c r="K1" s="830"/>
      <c r="L1" s="830"/>
      <c r="M1" s="830"/>
      <c r="N1" s="830"/>
      <c r="O1" s="830"/>
      <c r="P1" s="830"/>
      <c r="Q1" s="830"/>
      <c r="R1" s="830"/>
      <c r="S1" s="830"/>
      <c r="T1" s="830"/>
      <c r="U1" s="830"/>
      <c r="V1" s="830"/>
      <c r="W1" s="830"/>
      <c r="X1" s="830"/>
      <c r="Y1" s="830"/>
      <c r="Z1" s="830"/>
      <c r="AA1" s="830"/>
      <c r="AB1" s="830"/>
      <c r="AC1" s="830"/>
      <c r="AD1" s="830"/>
      <c r="AE1" s="830"/>
      <c r="AF1" s="830"/>
      <c r="AG1" s="830"/>
      <c r="AH1" s="830"/>
      <c r="AI1" s="830"/>
      <c r="AJ1" s="830"/>
      <c r="AK1" s="830"/>
      <c r="AL1" s="830"/>
      <c r="AM1" s="830"/>
      <c r="AN1" s="830"/>
      <c r="AO1" s="830"/>
      <c r="AP1" s="830"/>
      <c r="AQ1" s="830"/>
      <c r="AR1" s="830"/>
      <c r="AS1" s="830"/>
      <c r="AT1" s="830"/>
      <c r="AU1" s="830"/>
      <c r="AV1" s="830"/>
      <c r="AW1" s="830"/>
      <c r="AX1" s="830"/>
      <c r="AY1" s="830"/>
      <c r="AZ1" s="830"/>
      <c r="BA1" s="830"/>
      <c r="BB1" s="830"/>
      <c r="BC1" s="830"/>
      <c r="BD1" s="830"/>
      <c r="BE1" s="830"/>
      <c r="BF1" s="830"/>
      <c r="BG1" s="830"/>
      <c r="BH1" s="830"/>
      <c r="BI1" s="830"/>
      <c r="BJ1" s="830"/>
      <c r="BK1" s="830"/>
      <c r="BL1" s="830"/>
      <c r="BM1" s="830"/>
      <c r="BN1" s="830"/>
      <c r="BO1" s="830"/>
      <c r="BP1" s="830"/>
      <c r="BQ1" s="830"/>
      <c r="BR1" s="830"/>
      <c r="BS1" s="830"/>
      <c r="BT1" s="830"/>
      <c r="BU1" s="830"/>
      <c r="BV1" s="830"/>
    </row>
    <row r="2" spans="1:74" ht="12.75" customHeight="1" x14ac:dyDescent="0.25">
      <c r="A2" s="798"/>
      <c r="B2" s="532" t="str">
        <f>"U.S. Energy Information Administration  |  Short-Term Energy Outlook  - "&amp;Dates!D1</f>
        <v>U.S. Energy Information Administration  |  Short-Term Energy Outlook  - September 2020</v>
      </c>
      <c r="C2" s="533"/>
      <c r="D2" s="533"/>
      <c r="E2" s="533"/>
      <c r="F2" s="533"/>
      <c r="G2" s="533"/>
      <c r="H2" s="533"/>
      <c r="I2" s="596"/>
      <c r="J2" s="597"/>
      <c r="K2" s="597"/>
      <c r="L2" s="597"/>
      <c r="M2" s="597"/>
      <c r="N2" s="597"/>
      <c r="O2" s="597"/>
      <c r="P2" s="597"/>
      <c r="Q2" s="597"/>
      <c r="R2" s="597"/>
      <c r="S2" s="597"/>
      <c r="T2" s="597"/>
      <c r="U2" s="597"/>
      <c r="V2" s="597"/>
      <c r="W2" s="597"/>
      <c r="X2" s="597"/>
      <c r="Y2" s="597"/>
      <c r="Z2" s="597"/>
      <c r="AA2" s="597"/>
      <c r="AB2" s="597"/>
      <c r="AC2" s="597"/>
      <c r="AD2" s="597"/>
      <c r="AE2" s="597"/>
      <c r="AF2" s="597"/>
      <c r="AG2" s="597"/>
      <c r="AH2" s="597"/>
      <c r="AI2" s="597"/>
      <c r="AJ2" s="597"/>
      <c r="AK2" s="597"/>
      <c r="AL2" s="597"/>
      <c r="AM2" s="598"/>
      <c r="AN2" s="598"/>
      <c r="AO2" s="598"/>
      <c r="AP2" s="598"/>
      <c r="AQ2" s="598"/>
      <c r="AR2" s="598"/>
      <c r="AS2" s="598"/>
      <c r="AT2" s="598"/>
      <c r="AU2" s="598"/>
      <c r="AV2" s="598"/>
      <c r="AW2" s="598"/>
      <c r="AX2" s="598"/>
      <c r="AY2" s="599"/>
      <c r="AZ2" s="599"/>
      <c r="BA2" s="599"/>
      <c r="BB2" s="599"/>
      <c r="BC2" s="599"/>
      <c r="BD2" s="635"/>
      <c r="BE2" s="635"/>
      <c r="BF2" s="635"/>
      <c r="BG2" s="599"/>
      <c r="BH2" s="599"/>
      <c r="BI2" s="599"/>
      <c r="BJ2" s="599"/>
      <c r="BK2" s="598"/>
      <c r="BL2" s="598"/>
      <c r="BM2" s="598"/>
      <c r="BN2" s="598"/>
      <c r="BO2" s="598"/>
      <c r="BP2" s="598"/>
      <c r="BQ2" s="598"/>
      <c r="BR2" s="598"/>
      <c r="BS2" s="598"/>
      <c r="BT2" s="598"/>
      <c r="BU2" s="598"/>
      <c r="BV2" s="600"/>
    </row>
    <row r="3" spans="1:74" ht="13.2" x14ac:dyDescent="0.25">
      <c r="B3" s="468"/>
      <c r="C3" s="806">
        <f>Dates!D3</f>
        <v>2016</v>
      </c>
      <c r="D3" s="802"/>
      <c r="E3" s="802"/>
      <c r="F3" s="802"/>
      <c r="G3" s="802"/>
      <c r="H3" s="802"/>
      <c r="I3" s="802"/>
      <c r="J3" s="802"/>
      <c r="K3" s="802"/>
      <c r="L3" s="802"/>
      <c r="M3" s="802"/>
      <c r="N3" s="803"/>
      <c r="O3" s="806">
        <f>C3+1</f>
        <v>2017</v>
      </c>
      <c r="P3" s="807"/>
      <c r="Q3" s="807"/>
      <c r="R3" s="807"/>
      <c r="S3" s="807"/>
      <c r="T3" s="807"/>
      <c r="U3" s="807"/>
      <c r="V3" s="807"/>
      <c r="W3" s="807"/>
      <c r="X3" s="802"/>
      <c r="Y3" s="802"/>
      <c r="Z3" s="803"/>
      <c r="AA3" s="799">
        <f>O3+1</f>
        <v>2018</v>
      </c>
      <c r="AB3" s="802"/>
      <c r="AC3" s="802"/>
      <c r="AD3" s="802"/>
      <c r="AE3" s="802"/>
      <c r="AF3" s="802"/>
      <c r="AG3" s="802"/>
      <c r="AH3" s="802"/>
      <c r="AI3" s="802"/>
      <c r="AJ3" s="802"/>
      <c r="AK3" s="802"/>
      <c r="AL3" s="803"/>
      <c r="AM3" s="799">
        <f>AA3+1</f>
        <v>2019</v>
      </c>
      <c r="AN3" s="802"/>
      <c r="AO3" s="802"/>
      <c r="AP3" s="802"/>
      <c r="AQ3" s="802"/>
      <c r="AR3" s="802"/>
      <c r="AS3" s="802"/>
      <c r="AT3" s="802"/>
      <c r="AU3" s="802"/>
      <c r="AV3" s="802"/>
      <c r="AW3" s="802"/>
      <c r="AX3" s="803"/>
      <c r="AY3" s="799">
        <f>AM3+1</f>
        <v>2020</v>
      </c>
      <c r="AZ3" s="800"/>
      <c r="BA3" s="800"/>
      <c r="BB3" s="800"/>
      <c r="BC3" s="800"/>
      <c r="BD3" s="800"/>
      <c r="BE3" s="800"/>
      <c r="BF3" s="800"/>
      <c r="BG3" s="800"/>
      <c r="BH3" s="800"/>
      <c r="BI3" s="800"/>
      <c r="BJ3" s="801"/>
      <c r="BK3" s="799">
        <f>AY3+1</f>
        <v>2021</v>
      </c>
      <c r="BL3" s="802"/>
      <c r="BM3" s="802"/>
      <c r="BN3" s="802"/>
      <c r="BO3" s="802"/>
      <c r="BP3" s="802"/>
      <c r="BQ3" s="802"/>
      <c r="BR3" s="802"/>
      <c r="BS3" s="802"/>
      <c r="BT3" s="802"/>
      <c r="BU3" s="802"/>
      <c r="BV3" s="803"/>
    </row>
    <row r="4" spans="1:74" x14ac:dyDescent="0.2">
      <c r="B4" s="469"/>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AY5" s="153"/>
      <c r="BG5" s="623"/>
      <c r="BH5" s="623"/>
      <c r="BI5" s="623"/>
    </row>
    <row r="6" spans="1:74" ht="11.1" customHeight="1" x14ac:dyDescent="0.2">
      <c r="A6" s="162" t="s">
        <v>606</v>
      </c>
      <c r="B6" s="172" t="s">
        <v>239</v>
      </c>
      <c r="C6" s="250">
        <v>23.580817839000002</v>
      </c>
      <c r="D6" s="250">
        <v>24.366608828</v>
      </c>
      <c r="E6" s="250">
        <v>24.226283355</v>
      </c>
      <c r="F6" s="250">
        <v>23.702920333000002</v>
      </c>
      <c r="G6" s="250">
        <v>23.751719225999999</v>
      </c>
      <c r="H6" s="250">
        <v>24.436534000000002</v>
      </c>
      <c r="I6" s="250">
        <v>24.302513548</v>
      </c>
      <c r="J6" s="250">
        <v>24.973960129000002</v>
      </c>
      <c r="K6" s="250">
        <v>24.305253666999999</v>
      </c>
      <c r="L6" s="250">
        <v>24.084186355</v>
      </c>
      <c r="M6" s="250">
        <v>24.162928999999998</v>
      </c>
      <c r="N6" s="250">
        <v>24.688909323000001</v>
      </c>
      <c r="O6" s="250">
        <v>23.703752038000001</v>
      </c>
      <c r="P6" s="250">
        <v>23.673379163</v>
      </c>
      <c r="Q6" s="250">
        <v>24.562126811999999</v>
      </c>
      <c r="R6" s="250">
        <v>23.827385877000001</v>
      </c>
      <c r="S6" s="250">
        <v>24.619054263999999</v>
      </c>
      <c r="T6" s="250">
        <v>25.149273544</v>
      </c>
      <c r="U6" s="250">
        <v>24.641604231999999</v>
      </c>
      <c r="V6" s="250">
        <v>24.851163553999999</v>
      </c>
      <c r="W6" s="250">
        <v>24.138371877000001</v>
      </c>
      <c r="X6" s="250">
        <v>24.471589296000001</v>
      </c>
      <c r="Y6" s="250">
        <v>24.90133221</v>
      </c>
      <c r="Z6" s="250">
        <v>24.804715877</v>
      </c>
      <c r="AA6" s="250">
        <v>24.987720645</v>
      </c>
      <c r="AB6" s="250">
        <v>24.228383570999998</v>
      </c>
      <c r="AC6" s="250">
        <v>25.187036418999998</v>
      </c>
      <c r="AD6" s="250">
        <v>24.446953333</v>
      </c>
      <c r="AE6" s="250">
        <v>24.823204709999999</v>
      </c>
      <c r="AF6" s="250">
        <v>25.362902333000001</v>
      </c>
      <c r="AG6" s="250">
        <v>25.364146968</v>
      </c>
      <c r="AH6" s="250">
        <v>26.009971645</v>
      </c>
      <c r="AI6" s="250">
        <v>24.797175667000001</v>
      </c>
      <c r="AJ6" s="250">
        <v>25.445501774</v>
      </c>
      <c r="AK6" s="250">
        <v>25.364378667</v>
      </c>
      <c r="AL6" s="250">
        <v>24.54260829</v>
      </c>
      <c r="AM6" s="250">
        <v>24.935883</v>
      </c>
      <c r="AN6" s="250">
        <v>24.812477000000001</v>
      </c>
      <c r="AO6" s="250">
        <v>24.502417000000001</v>
      </c>
      <c r="AP6" s="250">
        <v>24.770994000000002</v>
      </c>
      <c r="AQ6" s="250">
        <v>24.684183000000001</v>
      </c>
      <c r="AR6" s="250">
        <v>25.128867</v>
      </c>
      <c r="AS6" s="250">
        <v>25.315355</v>
      </c>
      <c r="AT6" s="250">
        <v>25.947448000000001</v>
      </c>
      <c r="AU6" s="250">
        <v>24.781925000000001</v>
      </c>
      <c r="AV6" s="250">
        <v>25.202612999999999</v>
      </c>
      <c r="AW6" s="250">
        <v>25.1785</v>
      </c>
      <c r="AX6" s="250">
        <v>24.981164</v>
      </c>
      <c r="AY6" s="250">
        <v>24.167377999999999</v>
      </c>
      <c r="AZ6" s="250">
        <v>24.321856</v>
      </c>
      <c r="BA6" s="250">
        <v>22.396864999999998</v>
      </c>
      <c r="BB6" s="250">
        <v>17.785706000000001</v>
      </c>
      <c r="BC6" s="250">
        <v>19.311333999999999</v>
      </c>
      <c r="BD6" s="250">
        <v>21.202369747999999</v>
      </c>
      <c r="BE6" s="250">
        <v>22.251328834999999</v>
      </c>
      <c r="BF6" s="250">
        <v>22.699132723999998</v>
      </c>
      <c r="BG6" s="403">
        <v>23.162163703000001</v>
      </c>
      <c r="BH6" s="403">
        <v>23.667209504999999</v>
      </c>
      <c r="BI6" s="403">
        <v>23.666031612000001</v>
      </c>
      <c r="BJ6" s="403">
        <v>23.894382718999999</v>
      </c>
      <c r="BK6" s="403">
        <v>23.577140403000001</v>
      </c>
      <c r="BL6" s="403">
        <v>24.007975050999999</v>
      </c>
      <c r="BM6" s="403">
        <v>23.967490805000001</v>
      </c>
      <c r="BN6" s="403">
        <v>23.644670512000001</v>
      </c>
      <c r="BO6" s="403">
        <v>24.017030130999999</v>
      </c>
      <c r="BP6" s="403">
        <v>24.468213900999999</v>
      </c>
      <c r="BQ6" s="403">
        <v>24.601262783999999</v>
      </c>
      <c r="BR6" s="403">
        <v>25.075328755000001</v>
      </c>
      <c r="BS6" s="403">
        <v>24.419550959999999</v>
      </c>
      <c r="BT6" s="403">
        <v>24.768837276999999</v>
      </c>
      <c r="BU6" s="403">
        <v>24.891418199</v>
      </c>
      <c r="BV6" s="403">
        <v>24.587746071000002</v>
      </c>
    </row>
    <row r="7" spans="1:74" ht="11.1" customHeight="1" x14ac:dyDescent="0.2">
      <c r="A7" s="162" t="s">
        <v>286</v>
      </c>
      <c r="B7" s="173" t="s">
        <v>345</v>
      </c>
      <c r="C7" s="250">
        <v>2.4557419354999999</v>
      </c>
      <c r="D7" s="250">
        <v>2.4195517241000002</v>
      </c>
      <c r="E7" s="250">
        <v>2.3890322580999999</v>
      </c>
      <c r="F7" s="250">
        <v>2.3460000000000001</v>
      </c>
      <c r="G7" s="250">
        <v>2.3898709676999998</v>
      </c>
      <c r="H7" s="250">
        <v>2.4773666667000001</v>
      </c>
      <c r="I7" s="250">
        <v>2.4866774193999999</v>
      </c>
      <c r="J7" s="250">
        <v>2.6171290322999998</v>
      </c>
      <c r="K7" s="250">
        <v>2.5428333332999999</v>
      </c>
      <c r="L7" s="250">
        <v>2.4322903226000001</v>
      </c>
      <c r="M7" s="250">
        <v>2.4744666667000002</v>
      </c>
      <c r="N7" s="250">
        <v>2.5523548386999999</v>
      </c>
      <c r="O7" s="250">
        <v>2.3911935484</v>
      </c>
      <c r="P7" s="250">
        <v>2.3696428571000001</v>
      </c>
      <c r="Q7" s="250">
        <v>2.4168387096999999</v>
      </c>
      <c r="R7" s="250">
        <v>2.2014333332999998</v>
      </c>
      <c r="S7" s="250">
        <v>2.4533870968000002</v>
      </c>
      <c r="T7" s="250">
        <v>2.4792333332999998</v>
      </c>
      <c r="U7" s="250">
        <v>2.505483871</v>
      </c>
      <c r="V7" s="250">
        <v>2.6016129031999999</v>
      </c>
      <c r="W7" s="250">
        <v>2.5175666667000001</v>
      </c>
      <c r="X7" s="250">
        <v>2.5226451612999998</v>
      </c>
      <c r="Y7" s="250">
        <v>2.6053000000000002</v>
      </c>
      <c r="Z7" s="250">
        <v>2.4930645161</v>
      </c>
      <c r="AA7" s="250">
        <v>2.4542580644999998</v>
      </c>
      <c r="AB7" s="250">
        <v>2.4815</v>
      </c>
      <c r="AC7" s="250">
        <v>2.3306129032</v>
      </c>
      <c r="AD7" s="250">
        <v>2.3505666666999998</v>
      </c>
      <c r="AE7" s="250">
        <v>2.5031612903</v>
      </c>
      <c r="AF7" s="250">
        <v>2.4690333333000001</v>
      </c>
      <c r="AG7" s="250">
        <v>2.6423225806000001</v>
      </c>
      <c r="AH7" s="250">
        <v>2.6325806452</v>
      </c>
      <c r="AI7" s="250">
        <v>2.6878666667000002</v>
      </c>
      <c r="AJ7" s="250">
        <v>2.7310645161</v>
      </c>
      <c r="AK7" s="250">
        <v>2.6126333332999998</v>
      </c>
      <c r="AL7" s="250">
        <v>2.4032903226000002</v>
      </c>
      <c r="AM7" s="250">
        <v>2.3195000000000001</v>
      </c>
      <c r="AN7" s="250">
        <v>2.3733</v>
      </c>
      <c r="AO7" s="250">
        <v>2.2361</v>
      </c>
      <c r="AP7" s="250">
        <v>2.3388</v>
      </c>
      <c r="AQ7" s="250">
        <v>2.2124000000000001</v>
      </c>
      <c r="AR7" s="250">
        <v>2.4077999999999999</v>
      </c>
      <c r="AS7" s="250">
        <v>2.4636999999999998</v>
      </c>
      <c r="AT7" s="250">
        <v>2.6970999999999998</v>
      </c>
      <c r="AU7" s="250">
        <v>2.5428999999999999</v>
      </c>
      <c r="AV7" s="250">
        <v>2.4941</v>
      </c>
      <c r="AW7" s="250">
        <v>2.4531000000000001</v>
      </c>
      <c r="AX7" s="250">
        <v>2.5122</v>
      </c>
      <c r="AY7" s="250">
        <v>2.2984</v>
      </c>
      <c r="AZ7" s="250">
        <v>2.5021</v>
      </c>
      <c r="BA7" s="250">
        <v>2.1934</v>
      </c>
      <c r="BB7" s="250">
        <v>1.6600999999999999</v>
      </c>
      <c r="BC7" s="250">
        <v>1.7859</v>
      </c>
      <c r="BD7" s="250">
        <v>2.0216789899999998</v>
      </c>
      <c r="BE7" s="250">
        <v>2.0962158369999999</v>
      </c>
      <c r="BF7" s="250">
        <v>2.2679395000000002</v>
      </c>
      <c r="BG7" s="403">
        <v>2.275390003</v>
      </c>
      <c r="BH7" s="403">
        <v>2.2730413519999999</v>
      </c>
      <c r="BI7" s="403">
        <v>2.295566193</v>
      </c>
      <c r="BJ7" s="403">
        <v>2.3020360129999999</v>
      </c>
      <c r="BK7" s="403">
        <v>2.3660078160000002</v>
      </c>
      <c r="BL7" s="403">
        <v>2.4151802130000002</v>
      </c>
      <c r="BM7" s="403">
        <v>2.3116850289999999</v>
      </c>
      <c r="BN7" s="403">
        <v>2.256830227</v>
      </c>
      <c r="BO7" s="403">
        <v>2.3181063430000002</v>
      </c>
      <c r="BP7" s="403">
        <v>2.3794110590000002</v>
      </c>
      <c r="BQ7" s="403">
        <v>2.4017128310000002</v>
      </c>
      <c r="BR7" s="403">
        <v>2.4598727249999999</v>
      </c>
      <c r="BS7" s="403">
        <v>2.4134348929999998</v>
      </c>
      <c r="BT7" s="403">
        <v>2.388887671</v>
      </c>
      <c r="BU7" s="403">
        <v>2.4077753940000002</v>
      </c>
      <c r="BV7" s="403">
        <v>2.4123112309999999</v>
      </c>
    </row>
    <row r="8" spans="1:74" ht="11.1" customHeight="1" x14ac:dyDescent="0.2">
      <c r="A8" s="162" t="s">
        <v>607</v>
      </c>
      <c r="B8" s="173" t="s">
        <v>346</v>
      </c>
      <c r="C8" s="250">
        <v>2.0526129032</v>
      </c>
      <c r="D8" s="250">
        <v>2.0907931033999998</v>
      </c>
      <c r="E8" s="250">
        <v>2.0993870968000001</v>
      </c>
      <c r="F8" s="250">
        <v>2.0070333332999999</v>
      </c>
      <c r="G8" s="250">
        <v>2.0240322581000001</v>
      </c>
      <c r="H8" s="250">
        <v>2.1033333333000002</v>
      </c>
      <c r="I8" s="250">
        <v>2.030516129</v>
      </c>
      <c r="J8" s="250">
        <v>2.0723870968</v>
      </c>
      <c r="K8" s="250">
        <v>1.9959333333</v>
      </c>
      <c r="L8" s="250">
        <v>1.9921290323</v>
      </c>
      <c r="M8" s="250">
        <v>2.0199333333</v>
      </c>
      <c r="N8" s="250">
        <v>2.1429354839000001</v>
      </c>
      <c r="O8" s="250">
        <v>1.9794516128999999</v>
      </c>
      <c r="P8" s="250">
        <v>2.1030714285999998</v>
      </c>
      <c r="Q8" s="250">
        <v>2.0749032258</v>
      </c>
      <c r="R8" s="250">
        <v>2.0203666667000002</v>
      </c>
      <c r="S8" s="250">
        <v>2.0891612902999999</v>
      </c>
      <c r="T8" s="250">
        <v>2.0985333332999998</v>
      </c>
      <c r="U8" s="250">
        <v>2.0069354839</v>
      </c>
      <c r="V8" s="250">
        <v>1.9880967742</v>
      </c>
      <c r="W8" s="250">
        <v>1.9699333333</v>
      </c>
      <c r="X8" s="250">
        <v>1.9490322580999999</v>
      </c>
      <c r="Y8" s="250">
        <v>1.9785333332999999</v>
      </c>
      <c r="Z8" s="250">
        <v>1.9779354839000001</v>
      </c>
      <c r="AA8" s="250">
        <v>1.9783225806</v>
      </c>
      <c r="AB8" s="250">
        <v>2.0581785714</v>
      </c>
      <c r="AC8" s="250">
        <v>2.0900645161</v>
      </c>
      <c r="AD8" s="250">
        <v>2.0498666666999998</v>
      </c>
      <c r="AE8" s="250">
        <v>2.0626774193999999</v>
      </c>
      <c r="AF8" s="250">
        <v>2.0935999999999999</v>
      </c>
      <c r="AG8" s="250">
        <v>2.0295483871000002</v>
      </c>
      <c r="AH8" s="250">
        <v>2.0089999999999999</v>
      </c>
      <c r="AI8" s="250">
        <v>2.0165000000000002</v>
      </c>
      <c r="AJ8" s="250">
        <v>1.9700322581</v>
      </c>
      <c r="AK8" s="250">
        <v>1.9952333333000001</v>
      </c>
      <c r="AL8" s="250">
        <v>1.8258709677</v>
      </c>
      <c r="AM8" s="250">
        <v>1.9914000000000001</v>
      </c>
      <c r="AN8" s="250">
        <v>2.145308</v>
      </c>
      <c r="AO8" s="250">
        <v>2.0800700000000001</v>
      </c>
      <c r="AP8" s="250">
        <v>2.089594</v>
      </c>
      <c r="AQ8" s="250">
        <v>2.074694</v>
      </c>
      <c r="AR8" s="250">
        <v>2.0570879999999998</v>
      </c>
      <c r="AS8" s="250">
        <v>2.107081</v>
      </c>
      <c r="AT8" s="250">
        <v>2.0824340000000001</v>
      </c>
      <c r="AU8" s="250">
        <v>1.9805410000000001</v>
      </c>
      <c r="AV8" s="250">
        <v>1.984526</v>
      </c>
      <c r="AW8" s="250">
        <v>1.9792479999999999</v>
      </c>
      <c r="AX8" s="250">
        <v>2.016095</v>
      </c>
      <c r="AY8" s="250">
        <v>1.953635</v>
      </c>
      <c r="AZ8" s="250">
        <v>1.9708859999999999</v>
      </c>
      <c r="BA8" s="250">
        <v>1.9096919999999999</v>
      </c>
      <c r="BB8" s="250">
        <v>1.424617</v>
      </c>
      <c r="BC8" s="250">
        <v>1.4122060000000001</v>
      </c>
      <c r="BD8" s="250">
        <v>1.7354827580000001</v>
      </c>
      <c r="BE8" s="250">
        <v>1.7681471630000001</v>
      </c>
      <c r="BF8" s="250">
        <v>1.767156145</v>
      </c>
      <c r="BG8" s="403">
        <v>1.7897236999999999</v>
      </c>
      <c r="BH8" s="403">
        <v>1.848538153</v>
      </c>
      <c r="BI8" s="403">
        <v>1.844555419</v>
      </c>
      <c r="BJ8" s="403">
        <v>1.9533967059999999</v>
      </c>
      <c r="BK8" s="403">
        <v>1.8371625869999999</v>
      </c>
      <c r="BL8" s="403">
        <v>1.8964248379999999</v>
      </c>
      <c r="BM8" s="403">
        <v>1.8847057760000001</v>
      </c>
      <c r="BN8" s="403">
        <v>1.8790702850000001</v>
      </c>
      <c r="BO8" s="403">
        <v>1.8892037880000001</v>
      </c>
      <c r="BP8" s="403">
        <v>1.9178928420000001</v>
      </c>
      <c r="BQ8" s="403">
        <v>1.9117499529999999</v>
      </c>
      <c r="BR8" s="403">
        <v>1.89347603</v>
      </c>
      <c r="BS8" s="403">
        <v>1.858676067</v>
      </c>
      <c r="BT8" s="403">
        <v>1.877019606</v>
      </c>
      <c r="BU8" s="403">
        <v>1.856052805</v>
      </c>
      <c r="BV8" s="403">
        <v>1.9633648400000001</v>
      </c>
    </row>
    <row r="9" spans="1:74" ht="11.1" customHeight="1" x14ac:dyDescent="0.2">
      <c r="A9" s="162" t="s">
        <v>284</v>
      </c>
      <c r="B9" s="173" t="s">
        <v>347</v>
      </c>
      <c r="C9" s="250">
        <v>19.062802999999999</v>
      </c>
      <c r="D9" s="250">
        <v>19.846603999999999</v>
      </c>
      <c r="E9" s="250">
        <v>19.728204000000002</v>
      </c>
      <c r="F9" s="250">
        <v>19.340226999999999</v>
      </c>
      <c r="G9" s="250">
        <v>19.328156</v>
      </c>
      <c r="H9" s="250">
        <v>19.846174000000001</v>
      </c>
      <c r="I9" s="250">
        <v>19.775659999999998</v>
      </c>
      <c r="J9" s="250">
        <v>20.274784</v>
      </c>
      <c r="K9" s="250">
        <v>19.756827000000001</v>
      </c>
      <c r="L9" s="250">
        <v>19.650106999999998</v>
      </c>
      <c r="M9" s="250">
        <v>19.658868999999999</v>
      </c>
      <c r="N9" s="250">
        <v>19.983958999999999</v>
      </c>
      <c r="O9" s="250">
        <v>19.322845999999998</v>
      </c>
      <c r="P9" s="250">
        <v>19.190404000000001</v>
      </c>
      <c r="Q9" s="250">
        <v>20.060123999999998</v>
      </c>
      <c r="R9" s="250">
        <v>19.595324999999999</v>
      </c>
      <c r="S9" s="250">
        <v>20.066244999999999</v>
      </c>
      <c r="T9" s="250">
        <v>20.561246000000001</v>
      </c>
      <c r="U9" s="250">
        <v>20.118924</v>
      </c>
      <c r="V9" s="250">
        <v>20.251193000000001</v>
      </c>
      <c r="W9" s="250">
        <v>19.640611</v>
      </c>
      <c r="X9" s="250">
        <v>19.989650999999999</v>
      </c>
      <c r="Y9" s="250">
        <v>20.307238000000002</v>
      </c>
      <c r="Z9" s="250">
        <v>20.323454999999999</v>
      </c>
      <c r="AA9" s="250">
        <v>20.54514</v>
      </c>
      <c r="AB9" s="250">
        <v>19.678705000000001</v>
      </c>
      <c r="AC9" s="250">
        <v>20.756359</v>
      </c>
      <c r="AD9" s="250">
        <v>20.036519999999999</v>
      </c>
      <c r="AE9" s="250">
        <v>20.247366</v>
      </c>
      <c r="AF9" s="250">
        <v>20.790268999999999</v>
      </c>
      <c r="AG9" s="250">
        <v>20.682276000000002</v>
      </c>
      <c r="AH9" s="250">
        <v>21.358391000000001</v>
      </c>
      <c r="AI9" s="250">
        <v>20.082809000000001</v>
      </c>
      <c r="AJ9" s="250">
        <v>20.734404999999999</v>
      </c>
      <c r="AK9" s="250">
        <v>20.746511999999999</v>
      </c>
      <c r="AL9" s="250">
        <v>20.303446999999998</v>
      </c>
      <c r="AM9" s="250">
        <v>20.614982999999999</v>
      </c>
      <c r="AN9" s="250">
        <v>20.283868999999999</v>
      </c>
      <c r="AO9" s="250">
        <v>20.176247</v>
      </c>
      <c r="AP9" s="250">
        <v>20.332599999999999</v>
      </c>
      <c r="AQ9" s="250">
        <v>20.387089</v>
      </c>
      <c r="AR9" s="250">
        <v>20.653979</v>
      </c>
      <c r="AS9" s="250">
        <v>20.734573999999999</v>
      </c>
      <c r="AT9" s="250">
        <v>21.157914000000002</v>
      </c>
      <c r="AU9" s="250">
        <v>20.248484000000001</v>
      </c>
      <c r="AV9" s="250">
        <v>20.713986999999999</v>
      </c>
      <c r="AW9" s="250">
        <v>20.736152000000001</v>
      </c>
      <c r="AX9" s="250">
        <v>20.442869000000002</v>
      </c>
      <c r="AY9" s="250">
        <v>19.905342999999998</v>
      </c>
      <c r="AZ9" s="250">
        <v>19.83887</v>
      </c>
      <c r="BA9" s="250">
        <v>18.283773</v>
      </c>
      <c r="BB9" s="250">
        <v>14.690989</v>
      </c>
      <c r="BC9" s="250">
        <v>16.103228000000001</v>
      </c>
      <c r="BD9" s="250">
        <v>17.435207999999999</v>
      </c>
      <c r="BE9" s="250">
        <v>18.376965835</v>
      </c>
      <c r="BF9" s="250">
        <v>18.654037078999998</v>
      </c>
      <c r="BG9" s="403">
        <v>19.087050000000001</v>
      </c>
      <c r="BH9" s="403">
        <v>19.535630000000001</v>
      </c>
      <c r="BI9" s="403">
        <v>19.515910000000002</v>
      </c>
      <c r="BJ9" s="403">
        <v>19.62895</v>
      </c>
      <c r="BK9" s="403">
        <v>19.363969999999998</v>
      </c>
      <c r="BL9" s="403">
        <v>19.68637</v>
      </c>
      <c r="BM9" s="403">
        <v>19.761099999999999</v>
      </c>
      <c r="BN9" s="403">
        <v>19.49877</v>
      </c>
      <c r="BO9" s="403">
        <v>19.799720000000001</v>
      </c>
      <c r="BP9" s="403">
        <v>20.160910000000001</v>
      </c>
      <c r="BQ9" s="403">
        <v>20.277799999999999</v>
      </c>
      <c r="BR9" s="403">
        <v>20.711980000000001</v>
      </c>
      <c r="BS9" s="403">
        <v>20.137440000000002</v>
      </c>
      <c r="BT9" s="403">
        <v>20.492930000000001</v>
      </c>
      <c r="BU9" s="403">
        <v>20.61759</v>
      </c>
      <c r="BV9" s="403">
        <v>20.202069999999999</v>
      </c>
    </row>
    <row r="10" spans="1:74" ht="11.1" customHeight="1" x14ac:dyDescent="0.2">
      <c r="AY10" s="153"/>
      <c r="AZ10" s="153"/>
      <c r="BA10" s="153"/>
      <c r="BB10" s="153"/>
      <c r="BC10" s="153"/>
      <c r="BD10" s="153"/>
      <c r="BE10" s="153"/>
      <c r="BF10" s="153"/>
      <c r="BG10" s="153"/>
      <c r="BH10" s="153"/>
      <c r="BI10" s="153"/>
      <c r="BJ10" s="153"/>
    </row>
    <row r="11" spans="1:74" ht="11.1" customHeight="1" x14ac:dyDescent="0.2">
      <c r="A11" s="162" t="s">
        <v>608</v>
      </c>
      <c r="B11" s="172" t="s">
        <v>389</v>
      </c>
      <c r="C11" s="250">
        <v>6.7058718595000002</v>
      </c>
      <c r="D11" s="250">
        <v>7.0854655050000002</v>
      </c>
      <c r="E11" s="250">
        <v>7.0311508271000003</v>
      </c>
      <c r="F11" s="250">
        <v>7.0350214634999997</v>
      </c>
      <c r="G11" s="250">
        <v>6.9553365381000001</v>
      </c>
      <c r="H11" s="250">
        <v>7.1425591221999998</v>
      </c>
      <c r="I11" s="250">
        <v>7.0610667051</v>
      </c>
      <c r="J11" s="250">
        <v>7.1701410274999997</v>
      </c>
      <c r="K11" s="250">
        <v>7.0953659169999996</v>
      </c>
      <c r="L11" s="250">
        <v>6.9018066128999997</v>
      </c>
      <c r="M11" s="250">
        <v>6.9473575182999996</v>
      </c>
      <c r="N11" s="250">
        <v>7.0930435747000002</v>
      </c>
      <c r="O11" s="250">
        <v>6.4897715299999996</v>
      </c>
      <c r="P11" s="250">
        <v>6.7946902147000001</v>
      </c>
      <c r="Q11" s="250">
        <v>6.9522211838999999</v>
      </c>
      <c r="R11" s="250">
        <v>6.7837566817999999</v>
      </c>
      <c r="S11" s="250">
        <v>6.8484988148000001</v>
      </c>
      <c r="T11" s="250">
        <v>7.0456491077000001</v>
      </c>
      <c r="U11" s="250">
        <v>6.9743859954999996</v>
      </c>
      <c r="V11" s="250">
        <v>7.0731908141000002</v>
      </c>
      <c r="W11" s="250">
        <v>7.0839693645999997</v>
      </c>
      <c r="X11" s="250">
        <v>6.9571127074000003</v>
      </c>
      <c r="Y11" s="250">
        <v>6.9339662509000002</v>
      </c>
      <c r="Z11" s="250">
        <v>6.9284219050000004</v>
      </c>
      <c r="AA11" s="250">
        <v>6.5126969104999999</v>
      </c>
      <c r="AB11" s="250">
        <v>6.7650381046000003</v>
      </c>
      <c r="AC11" s="250">
        <v>6.8196795528000003</v>
      </c>
      <c r="AD11" s="250">
        <v>6.8103815288999998</v>
      </c>
      <c r="AE11" s="250">
        <v>6.7353144249000003</v>
      </c>
      <c r="AF11" s="250">
        <v>6.8968761146000004</v>
      </c>
      <c r="AG11" s="250">
        <v>6.8689447023000003</v>
      </c>
      <c r="AH11" s="250">
        <v>6.9153822749999998</v>
      </c>
      <c r="AI11" s="250">
        <v>6.9253933315999996</v>
      </c>
      <c r="AJ11" s="250">
        <v>6.9409214204999996</v>
      </c>
      <c r="AK11" s="250">
        <v>6.8142462533000003</v>
      </c>
      <c r="AL11" s="250">
        <v>6.9077010850000002</v>
      </c>
      <c r="AM11" s="250">
        <v>6.5039352287999996</v>
      </c>
      <c r="AN11" s="250">
        <v>6.7647539990999999</v>
      </c>
      <c r="AO11" s="250">
        <v>6.8285322917000002</v>
      </c>
      <c r="AP11" s="250">
        <v>6.8247749170000001</v>
      </c>
      <c r="AQ11" s="250">
        <v>6.7496226799999999</v>
      </c>
      <c r="AR11" s="250">
        <v>6.8945481590000002</v>
      </c>
      <c r="AS11" s="250">
        <v>6.9054997881000002</v>
      </c>
      <c r="AT11" s="250">
        <v>6.9280505670999997</v>
      </c>
      <c r="AU11" s="250">
        <v>6.9173232589999998</v>
      </c>
      <c r="AV11" s="250">
        <v>6.9705815655999999</v>
      </c>
      <c r="AW11" s="250">
        <v>6.8760917529999999</v>
      </c>
      <c r="AX11" s="250">
        <v>6.9263516073</v>
      </c>
      <c r="AY11" s="250">
        <v>6.1078942913000001</v>
      </c>
      <c r="AZ11" s="250">
        <v>6.3334264814000001</v>
      </c>
      <c r="BA11" s="250">
        <v>6.2316585818999997</v>
      </c>
      <c r="BB11" s="250">
        <v>5.7545873803000003</v>
      </c>
      <c r="BC11" s="250">
        <v>5.6317808832000003</v>
      </c>
      <c r="BD11" s="250">
        <v>6.0892732489999997</v>
      </c>
      <c r="BE11" s="250">
        <v>6.1827558549999999</v>
      </c>
      <c r="BF11" s="250">
        <v>6.3008818140000002</v>
      </c>
      <c r="BG11" s="403">
        <v>6.4668685320000003</v>
      </c>
      <c r="BH11" s="403">
        <v>6.5336406550000001</v>
      </c>
      <c r="BI11" s="403">
        <v>6.4438891859999998</v>
      </c>
      <c r="BJ11" s="403">
        <v>6.5500513700000003</v>
      </c>
      <c r="BK11" s="403">
        <v>6.2621103189999996</v>
      </c>
      <c r="BL11" s="403">
        <v>6.5503757690000004</v>
      </c>
      <c r="BM11" s="403">
        <v>6.6194369249999996</v>
      </c>
      <c r="BN11" s="403">
        <v>6.6267614229999996</v>
      </c>
      <c r="BO11" s="403">
        <v>6.5757645030000003</v>
      </c>
      <c r="BP11" s="403">
        <v>6.7467328630000001</v>
      </c>
      <c r="BQ11" s="403">
        <v>6.7573315940000001</v>
      </c>
      <c r="BR11" s="403">
        <v>6.7914637989999997</v>
      </c>
      <c r="BS11" s="403">
        <v>6.8261989549999997</v>
      </c>
      <c r="BT11" s="403">
        <v>6.8442015090000003</v>
      </c>
      <c r="BU11" s="403">
        <v>6.7358227089999998</v>
      </c>
      <c r="BV11" s="403">
        <v>6.8424824830000004</v>
      </c>
    </row>
    <row r="12" spans="1:74" ht="11.1" customHeight="1" x14ac:dyDescent="0.2">
      <c r="A12" s="162" t="s">
        <v>609</v>
      </c>
      <c r="B12" s="173" t="s">
        <v>349</v>
      </c>
      <c r="C12" s="250">
        <v>2.7888755590000001</v>
      </c>
      <c r="D12" s="250">
        <v>3.0602297119999999</v>
      </c>
      <c r="E12" s="250">
        <v>3.0772460170999998</v>
      </c>
      <c r="F12" s="250">
        <v>3.0549279854</v>
      </c>
      <c r="G12" s="250">
        <v>2.9553329641000001</v>
      </c>
      <c r="H12" s="250">
        <v>3.0654432124</v>
      </c>
      <c r="I12" s="250">
        <v>2.9958787982000001</v>
      </c>
      <c r="J12" s="250">
        <v>3.1106568393999998</v>
      </c>
      <c r="K12" s="250">
        <v>3.1579761361999998</v>
      </c>
      <c r="L12" s="250">
        <v>3.0161624805999998</v>
      </c>
      <c r="M12" s="250">
        <v>2.9960879078999998</v>
      </c>
      <c r="N12" s="250">
        <v>3.0575365904999998</v>
      </c>
      <c r="O12" s="250">
        <v>2.7551703780999999</v>
      </c>
      <c r="P12" s="250">
        <v>2.9603702111999999</v>
      </c>
      <c r="Q12" s="250">
        <v>3.1314185023999999</v>
      </c>
      <c r="R12" s="250">
        <v>2.8742730064000002</v>
      </c>
      <c r="S12" s="250">
        <v>2.9932573311000001</v>
      </c>
      <c r="T12" s="250">
        <v>3.099726355</v>
      </c>
      <c r="U12" s="250">
        <v>3.0236724565999999</v>
      </c>
      <c r="V12" s="250">
        <v>3.1535135234</v>
      </c>
      <c r="W12" s="250">
        <v>3.1552546331000002</v>
      </c>
      <c r="X12" s="250">
        <v>3.1147178979999999</v>
      </c>
      <c r="Y12" s="250">
        <v>3.0781942396000002</v>
      </c>
      <c r="Z12" s="250">
        <v>3.0038817240000002</v>
      </c>
      <c r="AA12" s="250">
        <v>2.827773004</v>
      </c>
      <c r="AB12" s="250">
        <v>3.0211161075000001</v>
      </c>
      <c r="AC12" s="250">
        <v>3.0723911657</v>
      </c>
      <c r="AD12" s="250">
        <v>3.0443554796000001</v>
      </c>
      <c r="AE12" s="250">
        <v>2.9832440534</v>
      </c>
      <c r="AF12" s="250">
        <v>3.0828646153000001</v>
      </c>
      <c r="AG12" s="250">
        <v>3.0617049692</v>
      </c>
      <c r="AH12" s="250">
        <v>3.1249111299000001</v>
      </c>
      <c r="AI12" s="250">
        <v>3.1730987222999998</v>
      </c>
      <c r="AJ12" s="250">
        <v>3.1757798518999998</v>
      </c>
      <c r="AK12" s="250">
        <v>3.0655773662999999</v>
      </c>
      <c r="AL12" s="250">
        <v>3.0936127205999999</v>
      </c>
      <c r="AM12" s="250">
        <v>2.8841302440000001</v>
      </c>
      <c r="AN12" s="250">
        <v>3.0838847810000001</v>
      </c>
      <c r="AO12" s="250">
        <v>3.1379872190000002</v>
      </c>
      <c r="AP12" s="250">
        <v>3.1107905790000001</v>
      </c>
      <c r="AQ12" s="250">
        <v>3.0494895930000001</v>
      </c>
      <c r="AR12" s="250">
        <v>3.1521782200000001</v>
      </c>
      <c r="AS12" s="250">
        <v>3.1311605120000001</v>
      </c>
      <c r="AT12" s="250">
        <v>3.1960704600000001</v>
      </c>
      <c r="AU12" s="250">
        <v>3.2453441920000001</v>
      </c>
      <c r="AV12" s="250">
        <v>3.247811515</v>
      </c>
      <c r="AW12" s="250">
        <v>3.1346603659999999</v>
      </c>
      <c r="AX12" s="250">
        <v>3.1624480479999999</v>
      </c>
      <c r="AY12" s="250">
        <v>2.7062006200000002</v>
      </c>
      <c r="AZ12" s="250">
        <v>2.8897443429999998</v>
      </c>
      <c r="BA12" s="250">
        <v>2.8148270919999998</v>
      </c>
      <c r="BB12" s="250">
        <v>2.5851252640000002</v>
      </c>
      <c r="BC12" s="250">
        <v>2.422192651</v>
      </c>
      <c r="BD12" s="250">
        <v>2.6927920740000002</v>
      </c>
      <c r="BE12" s="250">
        <v>2.737785954</v>
      </c>
      <c r="BF12" s="250">
        <v>2.8921314859999998</v>
      </c>
      <c r="BG12" s="403">
        <v>3.0092635730000001</v>
      </c>
      <c r="BH12" s="403">
        <v>3.047085279</v>
      </c>
      <c r="BI12" s="403">
        <v>2.9510443720000001</v>
      </c>
      <c r="BJ12" s="403">
        <v>2.9858053500000001</v>
      </c>
      <c r="BK12" s="403">
        <v>2.7921301829999998</v>
      </c>
      <c r="BL12" s="403">
        <v>2.9983341700000001</v>
      </c>
      <c r="BM12" s="403">
        <v>3.0597874639999998</v>
      </c>
      <c r="BN12" s="403">
        <v>3.0403688209999999</v>
      </c>
      <c r="BO12" s="403">
        <v>2.986880384</v>
      </c>
      <c r="BP12" s="403">
        <v>3.09507259</v>
      </c>
      <c r="BQ12" s="403">
        <v>3.080922744</v>
      </c>
      <c r="BR12" s="403">
        <v>3.151512635</v>
      </c>
      <c r="BS12" s="403">
        <v>3.2065901120000002</v>
      </c>
      <c r="BT12" s="403">
        <v>3.2154081140000002</v>
      </c>
      <c r="BU12" s="403">
        <v>3.1100393359999998</v>
      </c>
      <c r="BV12" s="403">
        <v>3.1438635750000001</v>
      </c>
    </row>
    <row r="13" spans="1:74" ht="11.1" customHeight="1" x14ac:dyDescent="0.2">
      <c r="AY13" s="153"/>
      <c r="AZ13" s="153"/>
      <c r="BA13" s="153"/>
      <c r="BB13" s="153"/>
      <c r="BC13" s="153"/>
      <c r="BD13" s="153"/>
      <c r="BE13" s="153"/>
      <c r="BF13" s="153"/>
      <c r="BG13" s="153"/>
      <c r="BH13" s="153"/>
      <c r="BI13" s="153"/>
      <c r="BJ13" s="153"/>
    </row>
    <row r="14" spans="1:74" ht="11.1" customHeight="1" x14ac:dyDescent="0.2">
      <c r="A14" s="162" t="s">
        <v>610</v>
      </c>
      <c r="B14" s="172" t="s">
        <v>390</v>
      </c>
      <c r="C14" s="250">
        <v>13.637357444999999</v>
      </c>
      <c r="D14" s="250">
        <v>14.624521385</v>
      </c>
      <c r="E14" s="250">
        <v>14.675394067999999</v>
      </c>
      <c r="F14" s="250">
        <v>14.770339245000001</v>
      </c>
      <c r="G14" s="250">
        <v>14.411886601000001</v>
      </c>
      <c r="H14" s="250">
        <v>14.854013179000001</v>
      </c>
      <c r="I14" s="250">
        <v>14.852139155</v>
      </c>
      <c r="J14" s="250">
        <v>15.391910687999999</v>
      </c>
      <c r="K14" s="250">
        <v>15.329187596000001</v>
      </c>
      <c r="L14" s="250">
        <v>15.089576724</v>
      </c>
      <c r="M14" s="250">
        <v>14.852993585</v>
      </c>
      <c r="N14" s="250">
        <v>14.832693938</v>
      </c>
      <c r="O14" s="250">
        <v>14.305983012</v>
      </c>
      <c r="P14" s="250">
        <v>14.724341518999999</v>
      </c>
      <c r="Q14" s="250">
        <v>14.951004730999999</v>
      </c>
      <c r="R14" s="250">
        <v>14.695565029000001</v>
      </c>
      <c r="S14" s="250">
        <v>15.117320470999999</v>
      </c>
      <c r="T14" s="250">
        <v>15.605837452999999</v>
      </c>
      <c r="U14" s="250">
        <v>15.503296495000001</v>
      </c>
      <c r="V14" s="250">
        <v>15.452051178</v>
      </c>
      <c r="W14" s="250">
        <v>15.858619955</v>
      </c>
      <c r="X14" s="250">
        <v>15.405198963</v>
      </c>
      <c r="Y14" s="250">
        <v>15.411493676999999</v>
      </c>
      <c r="Z14" s="250">
        <v>15.019456089</v>
      </c>
      <c r="AA14" s="250">
        <v>14.182619256000001</v>
      </c>
      <c r="AB14" s="250">
        <v>15.421464936</v>
      </c>
      <c r="AC14" s="250">
        <v>15.098010432000001</v>
      </c>
      <c r="AD14" s="250">
        <v>15.045820298000001</v>
      </c>
      <c r="AE14" s="250">
        <v>14.855465851</v>
      </c>
      <c r="AF14" s="250">
        <v>15.208031166</v>
      </c>
      <c r="AG14" s="250">
        <v>15.613364113999999</v>
      </c>
      <c r="AH14" s="250">
        <v>15.511820476</v>
      </c>
      <c r="AI14" s="250">
        <v>15.288317418</v>
      </c>
      <c r="AJ14" s="250">
        <v>15.400234714</v>
      </c>
      <c r="AK14" s="250">
        <v>14.976862989000001</v>
      </c>
      <c r="AL14" s="250">
        <v>14.429525388</v>
      </c>
      <c r="AM14" s="250">
        <v>14.711228478000001</v>
      </c>
      <c r="AN14" s="250">
        <v>15.099001791999999</v>
      </c>
      <c r="AO14" s="250">
        <v>14.635803496999999</v>
      </c>
      <c r="AP14" s="250">
        <v>15.201382367000001</v>
      </c>
      <c r="AQ14" s="250">
        <v>14.692866346000001</v>
      </c>
      <c r="AR14" s="250">
        <v>14.939581451</v>
      </c>
      <c r="AS14" s="250">
        <v>15.698363067000001</v>
      </c>
      <c r="AT14" s="250">
        <v>15.285590723</v>
      </c>
      <c r="AU14" s="250">
        <v>15.318160451000001</v>
      </c>
      <c r="AV14" s="250">
        <v>15.301755522000001</v>
      </c>
      <c r="AW14" s="250">
        <v>14.766038781000001</v>
      </c>
      <c r="AX14" s="250">
        <v>14.465785264999999</v>
      </c>
      <c r="AY14" s="250">
        <v>14.15985422</v>
      </c>
      <c r="AZ14" s="250">
        <v>14.638573463</v>
      </c>
      <c r="BA14" s="250">
        <v>13.450081889</v>
      </c>
      <c r="BB14" s="250">
        <v>11.056405830999999</v>
      </c>
      <c r="BC14" s="250">
        <v>11.331546790999999</v>
      </c>
      <c r="BD14" s="250">
        <v>12.882006091999999</v>
      </c>
      <c r="BE14" s="250">
        <v>13.531305095</v>
      </c>
      <c r="BF14" s="250">
        <v>13.495619291000001</v>
      </c>
      <c r="BG14" s="403">
        <v>14.164916857</v>
      </c>
      <c r="BH14" s="403">
        <v>14.009102333</v>
      </c>
      <c r="BI14" s="403">
        <v>13.706051576</v>
      </c>
      <c r="BJ14" s="403">
        <v>13.520200609</v>
      </c>
      <c r="BK14" s="403">
        <v>13.20665337</v>
      </c>
      <c r="BL14" s="403">
        <v>14.146263825</v>
      </c>
      <c r="BM14" s="403">
        <v>13.959321542</v>
      </c>
      <c r="BN14" s="403">
        <v>14.034427566</v>
      </c>
      <c r="BO14" s="403">
        <v>13.849735333</v>
      </c>
      <c r="BP14" s="403">
        <v>14.391630502</v>
      </c>
      <c r="BQ14" s="403">
        <v>14.607044932000001</v>
      </c>
      <c r="BR14" s="403">
        <v>14.473698354</v>
      </c>
      <c r="BS14" s="403">
        <v>14.951713235</v>
      </c>
      <c r="BT14" s="403">
        <v>14.750116273</v>
      </c>
      <c r="BU14" s="403">
        <v>14.408254437</v>
      </c>
      <c r="BV14" s="403">
        <v>14.201178936</v>
      </c>
    </row>
    <row r="15" spans="1:74" ht="11.1" customHeight="1" x14ac:dyDescent="0.2">
      <c r="AY15" s="153"/>
      <c r="AZ15" s="153"/>
      <c r="BA15" s="153"/>
      <c r="BB15" s="153"/>
      <c r="BC15" s="153"/>
      <c r="BD15" s="153"/>
      <c r="BE15" s="153"/>
      <c r="BF15" s="153"/>
      <c r="BG15" s="153"/>
      <c r="BH15" s="153"/>
      <c r="BI15" s="153"/>
      <c r="BJ15" s="153"/>
    </row>
    <row r="16" spans="1:74" ht="11.1" customHeight="1" x14ac:dyDescent="0.2">
      <c r="A16" s="162" t="s">
        <v>611</v>
      </c>
      <c r="B16" s="172" t="s">
        <v>947</v>
      </c>
      <c r="C16" s="250">
        <v>4.3383003685999997</v>
      </c>
      <c r="D16" s="250">
        <v>4.5892005902999999</v>
      </c>
      <c r="E16" s="250">
        <v>4.4679884918999999</v>
      </c>
      <c r="F16" s="250">
        <v>4.3414205541999999</v>
      </c>
      <c r="G16" s="250">
        <v>4.4165551125000002</v>
      </c>
      <c r="H16" s="250">
        <v>4.6298264995</v>
      </c>
      <c r="I16" s="250">
        <v>4.7729672304999999</v>
      </c>
      <c r="J16" s="250">
        <v>4.9488184493</v>
      </c>
      <c r="K16" s="250">
        <v>4.7300148365999997</v>
      </c>
      <c r="L16" s="250">
        <v>4.7568352209000002</v>
      </c>
      <c r="M16" s="250">
        <v>4.7828592903000002</v>
      </c>
      <c r="N16" s="250">
        <v>4.7835407217999997</v>
      </c>
      <c r="O16" s="250">
        <v>4.3704491524</v>
      </c>
      <c r="P16" s="250">
        <v>4.668258099</v>
      </c>
      <c r="Q16" s="250">
        <v>4.5264611117999998</v>
      </c>
      <c r="R16" s="250">
        <v>4.6501315878999998</v>
      </c>
      <c r="S16" s="250">
        <v>4.6783095914999997</v>
      </c>
      <c r="T16" s="250">
        <v>4.9362969355999997</v>
      </c>
      <c r="U16" s="250">
        <v>5.0102991032000004</v>
      </c>
      <c r="V16" s="250">
        <v>4.9928551119</v>
      </c>
      <c r="W16" s="250">
        <v>5.0119688472000004</v>
      </c>
      <c r="X16" s="250">
        <v>4.9115938812</v>
      </c>
      <c r="Y16" s="250">
        <v>4.8960586059000004</v>
      </c>
      <c r="Z16" s="250">
        <v>4.8337476991999999</v>
      </c>
      <c r="AA16" s="250">
        <v>4.9673229760000002</v>
      </c>
      <c r="AB16" s="250">
        <v>5.1943243280000004</v>
      </c>
      <c r="AC16" s="250">
        <v>5.0553031390000003</v>
      </c>
      <c r="AD16" s="250">
        <v>4.9710484429999999</v>
      </c>
      <c r="AE16" s="250">
        <v>5.0947027619999998</v>
      </c>
      <c r="AF16" s="250">
        <v>5.2970209370000001</v>
      </c>
      <c r="AG16" s="250">
        <v>5.4712212830000002</v>
      </c>
      <c r="AH16" s="250">
        <v>5.5622696789999999</v>
      </c>
      <c r="AI16" s="250">
        <v>5.4842628199999996</v>
      </c>
      <c r="AJ16" s="250">
        <v>5.2945752390000003</v>
      </c>
      <c r="AK16" s="250">
        <v>5.3632817890000002</v>
      </c>
      <c r="AL16" s="250">
        <v>5.4220675829999996</v>
      </c>
      <c r="AM16" s="250">
        <v>5.0362018800000001</v>
      </c>
      <c r="AN16" s="250">
        <v>5.2681037020000003</v>
      </c>
      <c r="AO16" s="250">
        <v>5.1268371070000001</v>
      </c>
      <c r="AP16" s="250">
        <v>5.0409273280000004</v>
      </c>
      <c r="AQ16" s="250">
        <v>5.1674351009999997</v>
      </c>
      <c r="AR16" s="250">
        <v>5.3739091180000003</v>
      </c>
      <c r="AS16" s="250">
        <v>5.549412341</v>
      </c>
      <c r="AT16" s="250">
        <v>5.6429487050000002</v>
      </c>
      <c r="AU16" s="250">
        <v>5.5630288080000003</v>
      </c>
      <c r="AV16" s="250">
        <v>5.3695276390000002</v>
      </c>
      <c r="AW16" s="250">
        <v>5.4396401750000001</v>
      </c>
      <c r="AX16" s="250">
        <v>5.4993719590000003</v>
      </c>
      <c r="AY16" s="250">
        <v>4.8876228670000001</v>
      </c>
      <c r="AZ16" s="250">
        <v>5.0915198989999997</v>
      </c>
      <c r="BA16" s="250">
        <v>4.8409100460000003</v>
      </c>
      <c r="BB16" s="250">
        <v>4.3264913759999999</v>
      </c>
      <c r="BC16" s="250">
        <v>4.4535859919999998</v>
      </c>
      <c r="BD16" s="250">
        <v>4.8999722800000001</v>
      </c>
      <c r="BE16" s="250">
        <v>5.25420263</v>
      </c>
      <c r="BF16" s="250">
        <v>5.4323422170000004</v>
      </c>
      <c r="BG16" s="403">
        <v>5.3991390509999997</v>
      </c>
      <c r="BH16" s="403">
        <v>5.214411267</v>
      </c>
      <c r="BI16" s="403">
        <v>5.289788959</v>
      </c>
      <c r="BJ16" s="403">
        <v>5.3528483700000002</v>
      </c>
      <c r="BK16" s="403">
        <v>4.9659231119999996</v>
      </c>
      <c r="BL16" s="403">
        <v>5.208142746</v>
      </c>
      <c r="BM16" s="403">
        <v>5.0726529420000004</v>
      </c>
      <c r="BN16" s="403">
        <v>4.9909649839999997</v>
      </c>
      <c r="BO16" s="403">
        <v>5.124633029</v>
      </c>
      <c r="BP16" s="403">
        <v>5.3381555660000002</v>
      </c>
      <c r="BQ16" s="403">
        <v>5.5133533510000001</v>
      </c>
      <c r="BR16" s="403">
        <v>5.6135507699999998</v>
      </c>
      <c r="BS16" s="403">
        <v>5.5351880769999999</v>
      </c>
      <c r="BT16" s="403">
        <v>5.3427775039999998</v>
      </c>
      <c r="BU16" s="403">
        <v>5.416874999</v>
      </c>
      <c r="BV16" s="403">
        <v>5.4796380669999998</v>
      </c>
    </row>
    <row r="17" spans="1:74" ht="11.1" customHeight="1" x14ac:dyDescent="0.2">
      <c r="A17" s="162" t="s">
        <v>612</v>
      </c>
      <c r="B17" s="173" t="s">
        <v>377</v>
      </c>
      <c r="C17" s="250">
        <v>3.3144827344999999</v>
      </c>
      <c r="D17" s="250">
        <v>3.5286767471</v>
      </c>
      <c r="E17" s="250">
        <v>3.3934728340999998</v>
      </c>
      <c r="F17" s="250">
        <v>3.2253029586999999</v>
      </c>
      <c r="G17" s="250">
        <v>3.2832191002000002</v>
      </c>
      <c r="H17" s="250">
        <v>3.5064701724999998</v>
      </c>
      <c r="I17" s="250">
        <v>3.6492570892999998</v>
      </c>
      <c r="J17" s="250">
        <v>3.8000317854999999</v>
      </c>
      <c r="K17" s="250">
        <v>3.5640238302</v>
      </c>
      <c r="L17" s="250">
        <v>3.4976923097000001</v>
      </c>
      <c r="M17" s="250">
        <v>3.5549572482</v>
      </c>
      <c r="N17" s="250">
        <v>3.6204166643</v>
      </c>
      <c r="O17" s="250">
        <v>3.3505438430000001</v>
      </c>
      <c r="P17" s="250">
        <v>3.5713068571000002</v>
      </c>
      <c r="Q17" s="250">
        <v>3.4699289791000001</v>
      </c>
      <c r="R17" s="250">
        <v>3.5490848711999998</v>
      </c>
      <c r="S17" s="250">
        <v>3.5861291225</v>
      </c>
      <c r="T17" s="250">
        <v>3.8402199400999999</v>
      </c>
      <c r="U17" s="250">
        <v>3.8878357955</v>
      </c>
      <c r="V17" s="250">
        <v>3.8878357955</v>
      </c>
      <c r="W17" s="250">
        <v>3.8878357955</v>
      </c>
      <c r="X17" s="250">
        <v>3.7289533715999998</v>
      </c>
      <c r="Y17" s="250">
        <v>3.7289533715999998</v>
      </c>
      <c r="Z17" s="250">
        <v>3.7289533715999998</v>
      </c>
      <c r="AA17" s="250">
        <v>3.4521883560000002</v>
      </c>
      <c r="AB17" s="250">
        <v>3.6966667270000002</v>
      </c>
      <c r="AC17" s="250">
        <v>3.5834641029999998</v>
      </c>
      <c r="AD17" s="250">
        <v>3.499802909</v>
      </c>
      <c r="AE17" s="250">
        <v>3.6418028919999998</v>
      </c>
      <c r="AF17" s="250">
        <v>3.8489855959999999</v>
      </c>
      <c r="AG17" s="250">
        <v>3.9133619959999999</v>
      </c>
      <c r="AH17" s="250">
        <v>4.0370497939999996</v>
      </c>
      <c r="AI17" s="250">
        <v>3.9404466669999998</v>
      </c>
      <c r="AJ17" s="250">
        <v>3.7487083619999999</v>
      </c>
      <c r="AK17" s="250">
        <v>3.818221146</v>
      </c>
      <c r="AL17" s="250">
        <v>3.864703279</v>
      </c>
      <c r="AM17" s="250">
        <v>3.5210672600000001</v>
      </c>
      <c r="AN17" s="250">
        <v>3.7704461010000001</v>
      </c>
      <c r="AO17" s="250">
        <v>3.6549980710000001</v>
      </c>
      <c r="AP17" s="250">
        <v>3.5696817940000001</v>
      </c>
      <c r="AQ17" s="250">
        <v>3.7145352310000002</v>
      </c>
      <c r="AR17" s="250">
        <v>3.9258737770000001</v>
      </c>
      <c r="AS17" s="250">
        <v>3.9915530540000002</v>
      </c>
      <c r="AT17" s="250">
        <v>4.11772882</v>
      </c>
      <c r="AU17" s="250">
        <v>4.0192126549999996</v>
      </c>
      <c r="AV17" s="250">
        <v>3.8236607619999998</v>
      </c>
      <c r="AW17" s="250">
        <v>3.8945795319999998</v>
      </c>
      <c r="AX17" s="250">
        <v>3.9420076549999998</v>
      </c>
      <c r="AY17" s="250">
        <v>3.448155394</v>
      </c>
      <c r="AZ17" s="250">
        <v>3.671798125</v>
      </c>
      <c r="BA17" s="250">
        <v>3.4469868199999998</v>
      </c>
      <c r="BB17" s="250">
        <v>2.959934531</v>
      </c>
      <c r="BC17" s="250">
        <v>3.1034478750000001</v>
      </c>
      <c r="BD17" s="250">
        <v>3.5322164850000002</v>
      </c>
      <c r="BE17" s="250">
        <v>3.7801641269999999</v>
      </c>
      <c r="BF17" s="250">
        <v>3.9889989880000001</v>
      </c>
      <c r="BG17" s="403">
        <v>3.933223119</v>
      </c>
      <c r="BH17" s="403">
        <v>3.7463116990000001</v>
      </c>
      <c r="BI17" s="403">
        <v>3.8222886460000001</v>
      </c>
      <c r="BJ17" s="403">
        <v>3.8735066429999998</v>
      </c>
      <c r="BK17" s="403">
        <v>3.5213329070000001</v>
      </c>
      <c r="BL17" s="403">
        <v>3.7799189439999998</v>
      </c>
      <c r="BM17" s="403">
        <v>3.6687691070000001</v>
      </c>
      <c r="BN17" s="403">
        <v>3.5875010239999998</v>
      </c>
      <c r="BO17" s="403">
        <v>3.73853978</v>
      </c>
      <c r="BP17" s="403">
        <v>3.9564572569999998</v>
      </c>
      <c r="BQ17" s="403">
        <v>4.026793595</v>
      </c>
      <c r="BR17" s="403">
        <v>4.1580688260000001</v>
      </c>
      <c r="BS17" s="403">
        <v>4.0619290130000003</v>
      </c>
      <c r="BT17" s="403">
        <v>3.8674927669999999</v>
      </c>
      <c r="BU17" s="403">
        <v>3.9423715060000002</v>
      </c>
      <c r="BV17" s="403">
        <v>3.9933659970000002</v>
      </c>
    </row>
    <row r="18" spans="1:74" ht="11.1" customHeight="1" x14ac:dyDescent="0.2">
      <c r="AY18" s="153"/>
      <c r="AZ18" s="153"/>
      <c r="BA18" s="153"/>
      <c r="BB18" s="153"/>
      <c r="BC18" s="153"/>
      <c r="BD18" s="153"/>
      <c r="BE18" s="153"/>
      <c r="BF18" s="153"/>
      <c r="BG18" s="153"/>
      <c r="BH18" s="153"/>
      <c r="BI18" s="153"/>
      <c r="BJ18" s="153"/>
    </row>
    <row r="19" spans="1:74" ht="11.1" customHeight="1" x14ac:dyDescent="0.2">
      <c r="A19" s="162" t="s">
        <v>613</v>
      </c>
      <c r="B19" s="172" t="s">
        <v>391</v>
      </c>
      <c r="C19" s="250">
        <v>7.9440645406000003</v>
      </c>
      <c r="D19" s="250">
        <v>7.7363851113999997</v>
      </c>
      <c r="E19" s="250">
        <v>8.0394177075000002</v>
      </c>
      <c r="F19" s="250">
        <v>7.9371468282000004</v>
      </c>
      <c r="G19" s="250">
        <v>8.5418788315</v>
      </c>
      <c r="H19" s="250">
        <v>8.8033586318000001</v>
      </c>
      <c r="I19" s="250">
        <v>8.7396016855000003</v>
      </c>
      <c r="J19" s="250">
        <v>9.0176020115999993</v>
      </c>
      <c r="K19" s="250">
        <v>8.4257597173000001</v>
      </c>
      <c r="L19" s="250">
        <v>8.3542492241000001</v>
      </c>
      <c r="M19" s="250">
        <v>7.9856063860999997</v>
      </c>
      <c r="N19" s="250">
        <v>8.0560721690000001</v>
      </c>
      <c r="O19" s="250">
        <v>8.1985934621999998</v>
      </c>
      <c r="P19" s="250">
        <v>8.1327247582000002</v>
      </c>
      <c r="Q19" s="250">
        <v>8.1143126635999998</v>
      </c>
      <c r="R19" s="250">
        <v>8.2122128478</v>
      </c>
      <c r="S19" s="250">
        <v>8.7789166920999993</v>
      </c>
      <c r="T19" s="250">
        <v>9.1794127316999994</v>
      </c>
      <c r="U19" s="250">
        <v>9.1193431214</v>
      </c>
      <c r="V19" s="250">
        <v>9.0972324226999994</v>
      </c>
      <c r="W19" s="250">
        <v>8.8853660369000007</v>
      </c>
      <c r="X19" s="250">
        <v>8.7209326061999999</v>
      </c>
      <c r="Y19" s="250">
        <v>8.4156740767000002</v>
      </c>
      <c r="Z19" s="250">
        <v>8.3568187544000008</v>
      </c>
      <c r="AA19" s="250">
        <v>7.8948229685999998</v>
      </c>
      <c r="AB19" s="250">
        <v>7.8700755443999997</v>
      </c>
      <c r="AC19" s="250">
        <v>7.8498020635000003</v>
      </c>
      <c r="AD19" s="250">
        <v>8.0079806002999998</v>
      </c>
      <c r="AE19" s="250">
        <v>8.4681296574000005</v>
      </c>
      <c r="AF19" s="250">
        <v>8.8041913710999999</v>
      </c>
      <c r="AG19" s="250">
        <v>8.8615720300999996</v>
      </c>
      <c r="AH19" s="250">
        <v>8.8386892181000007</v>
      </c>
      <c r="AI19" s="250">
        <v>8.6772531061000002</v>
      </c>
      <c r="AJ19" s="250">
        <v>8.3865844791999997</v>
      </c>
      <c r="AK19" s="250">
        <v>8.0192102539000008</v>
      </c>
      <c r="AL19" s="250">
        <v>8.0696554618</v>
      </c>
      <c r="AM19" s="250">
        <v>8.0940958721000005</v>
      </c>
      <c r="AN19" s="250">
        <v>8.1119251699999992</v>
      </c>
      <c r="AO19" s="250">
        <v>8.0583483534999996</v>
      </c>
      <c r="AP19" s="250">
        <v>8.2453433846999999</v>
      </c>
      <c r="AQ19" s="250">
        <v>8.6811037266</v>
      </c>
      <c r="AR19" s="250">
        <v>9.0167411143000002</v>
      </c>
      <c r="AS19" s="250">
        <v>9.0689356202999996</v>
      </c>
      <c r="AT19" s="250">
        <v>9.0679871591999994</v>
      </c>
      <c r="AU19" s="250">
        <v>8.9298358886999996</v>
      </c>
      <c r="AV19" s="250">
        <v>8.5997554847999993</v>
      </c>
      <c r="AW19" s="250">
        <v>8.2332243586999994</v>
      </c>
      <c r="AX19" s="250">
        <v>8.2705696720000006</v>
      </c>
      <c r="AY19" s="250">
        <v>7.7143245428</v>
      </c>
      <c r="AZ19" s="250">
        <v>7.7127335593000002</v>
      </c>
      <c r="BA19" s="250">
        <v>7.3063960668999997</v>
      </c>
      <c r="BB19" s="250">
        <v>6.9900533776999998</v>
      </c>
      <c r="BC19" s="250">
        <v>7.4692333335000001</v>
      </c>
      <c r="BD19" s="250">
        <v>8.1740559089999998</v>
      </c>
      <c r="BE19" s="250">
        <v>8.3937368459999995</v>
      </c>
      <c r="BF19" s="250">
        <v>8.5280224019999995</v>
      </c>
      <c r="BG19" s="403">
        <v>8.4585865410000007</v>
      </c>
      <c r="BH19" s="403">
        <v>8.1768311300000001</v>
      </c>
      <c r="BI19" s="403">
        <v>7.8318292950000004</v>
      </c>
      <c r="BJ19" s="403">
        <v>7.8713724579999997</v>
      </c>
      <c r="BK19" s="403">
        <v>7.7152208980000001</v>
      </c>
      <c r="BL19" s="403">
        <v>7.739612545</v>
      </c>
      <c r="BM19" s="403">
        <v>7.699785329</v>
      </c>
      <c r="BN19" s="403">
        <v>7.869243011</v>
      </c>
      <c r="BO19" s="403">
        <v>8.3032007629999995</v>
      </c>
      <c r="BP19" s="403">
        <v>8.6536103509999993</v>
      </c>
      <c r="BQ19" s="403">
        <v>8.6936522099999998</v>
      </c>
      <c r="BR19" s="403">
        <v>8.7178001300000005</v>
      </c>
      <c r="BS19" s="403">
        <v>8.5648967920000008</v>
      </c>
      <c r="BT19" s="403">
        <v>8.2589447679999992</v>
      </c>
      <c r="BU19" s="403">
        <v>7.9053343470000002</v>
      </c>
      <c r="BV19" s="403">
        <v>7.9444341549999997</v>
      </c>
    </row>
    <row r="20" spans="1:74" ht="11.1" customHeight="1" x14ac:dyDescent="0.2">
      <c r="AY20" s="153"/>
      <c r="AZ20" s="153"/>
      <c r="BA20" s="153"/>
      <c r="BB20" s="153"/>
      <c r="BC20" s="153"/>
      <c r="BD20" s="153"/>
      <c r="BE20" s="153"/>
      <c r="BF20" s="153"/>
      <c r="BG20" s="153"/>
      <c r="BH20" s="153"/>
      <c r="BI20" s="153"/>
      <c r="BJ20" s="153"/>
    </row>
    <row r="21" spans="1:74" ht="11.1" customHeight="1" x14ac:dyDescent="0.2">
      <c r="A21" s="162" t="s">
        <v>614</v>
      </c>
      <c r="B21" s="172" t="s">
        <v>392</v>
      </c>
      <c r="C21" s="250">
        <v>32.512004505</v>
      </c>
      <c r="D21" s="250">
        <v>35.337035499000002</v>
      </c>
      <c r="E21" s="250">
        <v>34.260883141000001</v>
      </c>
      <c r="F21" s="250">
        <v>34.583757837999997</v>
      </c>
      <c r="G21" s="250">
        <v>33.607972336000003</v>
      </c>
      <c r="H21" s="250">
        <v>32.508996494000002</v>
      </c>
      <c r="I21" s="250">
        <v>32.152879136999999</v>
      </c>
      <c r="J21" s="250">
        <v>33.418760554000002</v>
      </c>
      <c r="K21" s="250">
        <v>33.032307273999997</v>
      </c>
      <c r="L21" s="250">
        <v>32.213694273000002</v>
      </c>
      <c r="M21" s="250">
        <v>34.510403197000002</v>
      </c>
      <c r="N21" s="250">
        <v>35.433512190999998</v>
      </c>
      <c r="O21" s="250">
        <v>34.125159856000003</v>
      </c>
      <c r="P21" s="250">
        <v>34.660459775</v>
      </c>
      <c r="Q21" s="250">
        <v>35.527457265000002</v>
      </c>
      <c r="R21" s="250">
        <v>34.262019004999999</v>
      </c>
      <c r="S21" s="250">
        <v>34.985138618000001</v>
      </c>
      <c r="T21" s="250">
        <v>34.868954635000001</v>
      </c>
      <c r="U21" s="250">
        <v>33.667463013000003</v>
      </c>
      <c r="V21" s="250">
        <v>33.570108343999998</v>
      </c>
      <c r="W21" s="250">
        <v>34.964308613</v>
      </c>
      <c r="X21" s="250">
        <v>33.90580155</v>
      </c>
      <c r="Y21" s="250">
        <v>36.500829009999997</v>
      </c>
      <c r="Z21" s="250">
        <v>35.359087883999997</v>
      </c>
      <c r="AA21" s="250">
        <v>35.619239698999998</v>
      </c>
      <c r="AB21" s="250">
        <v>36.872588374999999</v>
      </c>
      <c r="AC21" s="250">
        <v>36.052419573999998</v>
      </c>
      <c r="AD21" s="250">
        <v>35.827449657000003</v>
      </c>
      <c r="AE21" s="250">
        <v>35.622191854999997</v>
      </c>
      <c r="AF21" s="250">
        <v>35.186657937</v>
      </c>
      <c r="AG21" s="250">
        <v>34.973061252999997</v>
      </c>
      <c r="AH21" s="250">
        <v>34.524797116999999</v>
      </c>
      <c r="AI21" s="250">
        <v>35.045116950000001</v>
      </c>
      <c r="AJ21" s="250">
        <v>34.530609544999997</v>
      </c>
      <c r="AK21" s="250">
        <v>35.807767757000001</v>
      </c>
      <c r="AL21" s="250">
        <v>36.935620278999998</v>
      </c>
      <c r="AM21" s="250">
        <v>36.090064951999999</v>
      </c>
      <c r="AN21" s="250">
        <v>37.061802192000002</v>
      </c>
      <c r="AO21" s="250">
        <v>36.321210348999998</v>
      </c>
      <c r="AP21" s="250">
        <v>36.470151487999999</v>
      </c>
      <c r="AQ21" s="250">
        <v>35.988539015000001</v>
      </c>
      <c r="AR21" s="250">
        <v>35.574080385000002</v>
      </c>
      <c r="AS21" s="250">
        <v>35.652177883</v>
      </c>
      <c r="AT21" s="250">
        <v>35.254374327999997</v>
      </c>
      <c r="AU21" s="250">
        <v>35.58704642</v>
      </c>
      <c r="AV21" s="250">
        <v>34.947034752</v>
      </c>
      <c r="AW21" s="250">
        <v>36.895501359000001</v>
      </c>
      <c r="AX21" s="250">
        <v>37.708670263999998</v>
      </c>
      <c r="AY21" s="250">
        <v>35.196096093000001</v>
      </c>
      <c r="AZ21" s="250">
        <v>34.645969766999997</v>
      </c>
      <c r="BA21" s="250">
        <v>32.682680767999997</v>
      </c>
      <c r="BB21" s="250">
        <v>30.771035868999999</v>
      </c>
      <c r="BC21" s="250">
        <v>31.737736052999999</v>
      </c>
      <c r="BD21" s="250">
        <v>32.651085531</v>
      </c>
      <c r="BE21" s="250">
        <v>33.454223671000001</v>
      </c>
      <c r="BF21" s="250">
        <v>33.608885843000003</v>
      </c>
      <c r="BG21" s="403">
        <v>34.670271863000004</v>
      </c>
      <c r="BH21" s="403">
        <v>34.367747858000001</v>
      </c>
      <c r="BI21" s="403">
        <v>35.941504367</v>
      </c>
      <c r="BJ21" s="403">
        <v>37.000905512999999</v>
      </c>
      <c r="BK21" s="403">
        <v>35.918262800999997</v>
      </c>
      <c r="BL21" s="403">
        <v>37.275394427999998</v>
      </c>
      <c r="BM21" s="403">
        <v>36.784748428999997</v>
      </c>
      <c r="BN21" s="403">
        <v>36.612474529000004</v>
      </c>
      <c r="BO21" s="403">
        <v>36.309744743000003</v>
      </c>
      <c r="BP21" s="403">
        <v>36.031030281</v>
      </c>
      <c r="BQ21" s="403">
        <v>35.813462786999999</v>
      </c>
      <c r="BR21" s="403">
        <v>35.441881475000002</v>
      </c>
      <c r="BS21" s="403">
        <v>36.165019100999999</v>
      </c>
      <c r="BT21" s="403">
        <v>35.526981710999998</v>
      </c>
      <c r="BU21" s="403">
        <v>37.102719305000001</v>
      </c>
      <c r="BV21" s="403">
        <v>37.910641871000003</v>
      </c>
    </row>
    <row r="22" spans="1:74" ht="11.1" customHeight="1" x14ac:dyDescent="0.2">
      <c r="A22" s="162" t="s">
        <v>293</v>
      </c>
      <c r="B22" s="173" t="s">
        <v>341</v>
      </c>
      <c r="C22" s="250">
        <v>11.669654116</v>
      </c>
      <c r="D22" s="250">
        <v>13.697185601999999</v>
      </c>
      <c r="E22" s="250">
        <v>13.112451495</v>
      </c>
      <c r="F22" s="250">
        <v>13.673284133999999</v>
      </c>
      <c r="G22" s="250">
        <v>13.387712549</v>
      </c>
      <c r="H22" s="250">
        <v>12.933787663</v>
      </c>
      <c r="I22" s="250">
        <v>12.380446909</v>
      </c>
      <c r="J22" s="250">
        <v>13.040167523999999</v>
      </c>
      <c r="K22" s="250">
        <v>13.134076529</v>
      </c>
      <c r="L22" s="250">
        <v>12.006944054</v>
      </c>
      <c r="M22" s="250">
        <v>13.428744706</v>
      </c>
      <c r="N22" s="250">
        <v>14.050825086</v>
      </c>
      <c r="O22" s="250">
        <v>13.113177082</v>
      </c>
      <c r="P22" s="250">
        <v>13.174905278000001</v>
      </c>
      <c r="Q22" s="250">
        <v>13.812413640999999</v>
      </c>
      <c r="R22" s="250">
        <v>13.428385386</v>
      </c>
      <c r="S22" s="250">
        <v>14.056099744999999</v>
      </c>
      <c r="T22" s="250">
        <v>13.963389136</v>
      </c>
      <c r="U22" s="250">
        <v>13.054608418999999</v>
      </c>
      <c r="V22" s="250">
        <v>12.886119937</v>
      </c>
      <c r="W22" s="250">
        <v>14.222384134</v>
      </c>
      <c r="X22" s="250">
        <v>13.184165341</v>
      </c>
      <c r="Y22" s="250">
        <v>14.715356455</v>
      </c>
      <c r="Z22" s="250">
        <v>13.219516443</v>
      </c>
      <c r="AA22" s="250">
        <v>13.70374758</v>
      </c>
      <c r="AB22" s="250">
        <v>14.121038649999999</v>
      </c>
      <c r="AC22" s="250">
        <v>14.037613820000001</v>
      </c>
      <c r="AD22" s="250">
        <v>14.332272870000001</v>
      </c>
      <c r="AE22" s="250">
        <v>14.12828698</v>
      </c>
      <c r="AF22" s="250">
        <v>13.971571389999999</v>
      </c>
      <c r="AG22" s="250">
        <v>13.919394329999999</v>
      </c>
      <c r="AH22" s="250">
        <v>13.49563539</v>
      </c>
      <c r="AI22" s="250">
        <v>14.23160481</v>
      </c>
      <c r="AJ22" s="250">
        <v>13.40155691</v>
      </c>
      <c r="AK22" s="250">
        <v>14.24614495</v>
      </c>
      <c r="AL22" s="250">
        <v>14.648219729999999</v>
      </c>
      <c r="AM22" s="250">
        <v>14.19858142</v>
      </c>
      <c r="AN22" s="250">
        <v>14.629234500000001</v>
      </c>
      <c r="AO22" s="250">
        <v>14.54131029</v>
      </c>
      <c r="AP22" s="250">
        <v>14.84464277</v>
      </c>
      <c r="AQ22" s="250">
        <v>14.63154209</v>
      </c>
      <c r="AR22" s="250">
        <v>14.467202070000001</v>
      </c>
      <c r="AS22" s="250">
        <v>14.41091333</v>
      </c>
      <c r="AT22" s="250">
        <v>13.969741600000001</v>
      </c>
      <c r="AU22" s="250">
        <v>14.729074260000001</v>
      </c>
      <c r="AV22" s="250">
        <v>13.86690789</v>
      </c>
      <c r="AW22" s="250">
        <v>14.73833703</v>
      </c>
      <c r="AX22" s="250">
        <v>15.151446930000001</v>
      </c>
      <c r="AY22" s="250">
        <v>13.86557994</v>
      </c>
      <c r="AZ22" s="250">
        <v>12.97016919</v>
      </c>
      <c r="BA22" s="250">
        <v>12.913867890000001</v>
      </c>
      <c r="BB22" s="250">
        <v>13.436258840000001</v>
      </c>
      <c r="BC22" s="250">
        <v>13.28197698</v>
      </c>
      <c r="BD22" s="250">
        <v>13.46191353</v>
      </c>
      <c r="BE22" s="250">
        <v>14.08485085</v>
      </c>
      <c r="BF22" s="250">
        <v>13.947662190000001</v>
      </c>
      <c r="BG22" s="403">
        <v>14.74673823</v>
      </c>
      <c r="BH22" s="403">
        <v>14.0128106</v>
      </c>
      <c r="BI22" s="403">
        <v>14.912736069999999</v>
      </c>
      <c r="BJ22" s="403">
        <v>15.34495136</v>
      </c>
      <c r="BK22" s="403">
        <v>14.577935119999999</v>
      </c>
      <c r="BL22" s="403">
        <v>15.03940542</v>
      </c>
      <c r="BM22" s="403">
        <v>14.962475599999999</v>
      </c>
      <c r="BN22" s="403">
        <v>15.288185779999999</v>
      </c>
      <c r="BO22" s="403">
        <v>15.07855161</v>
      </c>
      <c r="BP22" s="403">
        <v>14.91808546</v>
      </c>
      <c r="BQ22" s="403">
        <v>14.86825837</v>
      </c>
      <c r="BR22" s="403">
        <v>14.41963548</v>
      </c>
      <c r="BS22" s="403">
        <v>15.21121778</v>
      </c>
      <c r="BT22" s="403">
        <v>14.32584149</v>
      </c>
      <c r="BU22" s="403">
        <v>15.231905250000001</v>
      </c>
      <c r="BV22" s="403">
        <v>15.664767960000001</v>
      </c>
    </row>
    <row r="23" spans="1:74" ht="11.1" customHeight="1" x14ac:dyDescent="0.2">
      <c r="A23" s="162" t="s">
        <v>288</v>
      </c>
      <c r="B23" s="173" t="s">
        <v>615</v>
      </c>
      <c r="C23" s="250">
        <v>4.3861612902999996</v>
      </c>
      <c r="D23" s="250">
        <v>4.673</v>
      </c>
      <c r="E23" s="250">
        <v>4.3975161290000004</v>
      </c>
      <c r="F23" s="250">
        <v>3.9636666667</v>
      </c>
      <c r="G23" s="250">
        <v>3.5696129031999999</v>
      </c>
      <c r="H23" s="250">
        <v>3.5518999999999998</v>
      </c>
      <c r="I23" s="250">
        <v>3.7695806452</v>
      </c>
      <c r="J23" s="250">
        <v>3.8511290322999998</v>
      </c>
      <c r="K23" s="250">
        <v>3.7135666666999998</v>
      </c>
      <c r="L23" s="250">
        <v>3.7681290323000001</v>
      </c>
      <c r="M23" s="250">
        <v>4.1482000000000001</v>
      </c>
      <c r="N23" s="250">
        <v>4.5867096774</v>
      </c>
      <c r="O23" s="250">
        <v>4.1673870967999997</v>
      </c>
      <c r="P23" s="250">
        <v>4.5548214286000004</v>
      </c>
      <c r="Q23" s="250">
        <v>4.2699032258000003</v>
      </c>
      <c r="R23" s="250">
        <v>3.8311666667000002</v>
      </c>
      <c r="S23" s="250">
        <v>3.5437419354999999</v>
      </c>
      <c r="T23" s="250">
        <v>3.5138333333</v>
      </c>
      <c r="U23" s="250">
        <v>3.6263870967999998</v>
      </c>
      <c r="V23" s="250">
        <v>3.7366774193999999</v>
      </c>
      <c r="W23" s="250">
        <v>3.6689333333</v>
      </c>
      <c r="X23" s="250">
        <v>3.6391935484000002</v>
      </c>
      <c r="Y23" s="250">
        <v>4.1383666666999996</v>
      </c>
      <c r="Z23" s="250">
        <v>4.5405483871000003</v>
      </c>
      <c r="AA23" s="250">
        <v>4.300516129</v>
      </c>
      <c r="AB23" s="250">
        <v>4.6036428570999997</v>
      </c>
      <c r="AC23" s="250">
        <v>4.0751290322999996</v>
      </c>
      <c r="AD23" s="250">
        <v>3.5968666667</v>
      </c>
      <c r="AE23" s="250">
        <v>3.43</v>
      </c>
      <c r="AF23" s="250">
        <v>3.2311999999999999</v>
      </c>
      <c r="AG23" s="250">
        <v>3.4980000000000002</v>
      </c>
      <c r="AH23" s="250">
        <v>3.5927741934999999</v>
      </c>
      <c r="AI23" s="250">
        <v>3.4896666666999998</v>
      </c>
      <c r="AJ23" s="250">
        <v>3.6167096773999998</v>
      </c>
      <c r="AK23" s="250">
        <v>3.8548</v>
      </c>
      <c r="AL23" s="250">
        <v>4.1917741934999997</v>
      </c>
      <c r="AM23" s="250">
        <v>4.0535483871000002</v>
      </c>
      <c r="AN23" s="250">
        <v>4.2978928570999999</v>
      </c>
      <c r="AO23" s="250">
        <v>3.8169354839</v>
      </c>
      <c r="AP23" s="250">
        <v>3.5719666666999998</v>
      </c>
      <c r="AQ23" s="250">
        <v>3.3067419354999998</v>
      </c>
      <c r="AR23" s="250">
        <v>3.2981333333</v>
      </c>
      <c r="AS23" s="250">
        <v>3.3910645161000001</v>
      </c>
      <c r="AT23" s="250">
        <v>3.4247096774000001</v>
      </c>
      <c r="AU23" s="250">
        <v>3.4733666667</v>
      </c>
      <c r="AV23" s="250">
        <v>3.3489032258</v>
      </c>
      <c r="AW23" s="250">
        <v>3.7365333333000001</v>
      </c>
      <c r="AX23" s="250">
        <v>4.1484838709999998</v>
      </c>
      <c r="AY23" s="250">
        <v>3.7093548386999999</v>
      </c>
      <c r="AZ23" s="250">
        <v>3.9429655172000002</v>
      </c>
      <c r="BA23" s="250">
        <v>3.425516129</v>
      </c>
      <c r="BB23" s="250">
        <v>3.0783666667</v>
      </c>
      <c r="BC23" s="250">
        <v>2.7280967742</v>
      </c>
      <c r="BD23" s="250">
        <v>2.7312226609999999</v>
      </c>
      <c r="BE23" s="250">
        <v>2.9843467929999998</v>
      </c>
      <c r="BF23" s="250">
        <v>3.094444298</v>
      </c>
      <c r="BG23" s="403">
        <v>3.0299978190000001</v>
      </c>
      <c r="BH23" s="403">
        <v>3.056209671</v>
      </c>
      <c r="BI23" s="403">
        <v>3.2963549159999999</v>
      </c>
      <c r="BJ23" s="403">
        <v>3.7846476409999998</v>
      </c>
      <c r="BK23" s="403">
        <v>3.5719430550000002</v>
      </c>
      <c r="BL23" s="403">
        <v>3.8267336639999998</v>
      </c>
      <c r="BM23" s="403">
        <v>3.516126367</v>
      </c>
      <c r="BN23" s="403">
        <v>3.1725664820000001</v>
      </c>
      <c r="BO23" s="403">
        <v>2.904806003</v>
      </c>
      <c r="BP23" s="403">
        <v>2.9332900890000002</v>
      </c>
      <c r="BQ23" s="403">
        <v>3.0630450929999999</v>
      </c>
      <c r="BR23" s="403">
        <v>3.1606433900000002</v>
      </c>
      <c r="BS23" s="403">
        <v>3.0779966760000002</v>
      </c>
      <c r="BT23" s="403">
        <v>3.103653971</v>
      </c>
      <c r="BU23" s="403">
        <v>3.3425154969999999</v>
      </c>
      <c r="BV23" s="403">
        <v>3.5910624530000002</v>
      </c>
    </row>
    <row r="24" spans="1:74" ht="11.1" customHeight="1" x14ac:dyDescent="0.2">
      <c r="A24" s="162" t="s">
        <v>616</v>
      </c>
      <c r="B24" s="173" t="s">
        <v>342</v>
      </c>
      <c r="C24" s="250">
        <v>4.1111770972999997</v>
      </c>
      <c r="D24" s="250">
        <v>4.4268258208000004</v>
      </c>
      <c r="E24" s="250">
        <v>4.4362192873000001</v>
      </c>
      <c r="F24" s="250">
        <v>4.3144364224</v>
      </c>
      <c r="G24" s="250">
        <v>4.2779275581</v>
      </c>
      <c r="H24" s="250">
        <v>4.2981334562000004</v>
      </c>
      <c r="I24" s="250">
        <v>4.0076148307999997</v>
      </c>
      <c r="J24" s="250">
        <v>4.2751005050000002</v>
      </c>
      <c r="K24" s="250">
        <v>3.9472619528999999</v>
      </c>
      <c r="L24" s="250">
        <v>4.2368896834000003</v>
      </c>
      <c r="M24" s="250">
        <v>4.3290191340000002</v>
      </c>
      <c r="N24" s="250">
        <v>4.1465072392</v>
      </c>
      <c r="O24" s="250">
        <v>3.9354843245</v>
      </c>
      <c r="P24" s="250">
        <v>4.3909469026999997</v>
      </c>
      <c r="Q24" s="250">
        <v>4.3929119154</v>
      </c>
      <c r="R24" s="250">
        <v>4.3899185046999998</v>
      </c>
      <c r="S24" s="250">
        <v>4.5567019452000004</v>
      </c>
      <c r="T24" s="250">
        <v>4.3566476283000002</v>
      </c>
      <c r="U24" s="250">
        <v>4.0606855716999997</v>
      </c>
      <c r="V24" s="250">
        <v>4.2136138983000002</v>
      </c>
      <c r="W24" s="250">
        <v>4.3141079510000004</v>
      </c>
      <c r="X24" s="250">
        <v>4.3744941416999996</v>
      </c>
      <c r="Y24" s="250">
        <v>4.5789314934999998</v>
      </c>
      <c r="Z24" s="250">
        <v>4.4941830224999997</v>
      </c>
      <c r="AA24" s="250">
        <v>4.6037311550000002</v>
      </c>
      <c r="AB24" s="250">
        <v>4.931235858</v>
      </c>
      <c r="AC24" s="250">
        <v>4.9236301779999998</v>
      </c>
      <c r="AD24" s="250">
        <v>4.8332197739999998</v>
      </c>
      <c r="AE24" s="250">
        <v>4.924412534</v>
      </c>
      <c r="AF24" s="250">
        <v>4.9522748989999998</v>
      </c>
      <c r="AG24" s="250">
        <v>4.6007255909999998</v>
      </c>
      <c r="AH24" s="250">
        <v>4.4914689010000002</v>
      </c>
      <c r="AI24" s="250">
        <v>4.4935606090000002</v>
      </c>
      <c r="AJ24" s="250">
        <v>4.7508513419999998</v>
      </c>
      <c r="AK24" s="250">
        <v>4.6993776260000004</v>
      </c>
      <c r="AL24" s="250">
        <v>4.9944020489999996</v>
      </c>
      <c r="AM24" s="250">
        <v>4.7347125810000001</v>
      </c>
      <c r="AN24" s="250">
        <v>4.9627632139999998</v>
      </c>
      <c r="AO24" s="250">
        <v>4.9654151610000001</v>
      </c>
      <c r="AP24" s="250">
        <v>4.9700564800000002</v>
      </c>
      <c r="AQ24" s="250">
        <v>5.0316480290000003</v>
      </c>
      <c r="AR24" s="250">
        <v>4.8552281080000004</v>
      </c>
      <c r="AS24" s="250">
        <v>4.7967328489999996</v>
      </c>
      <c r="AT24" s="250">
        <v>4.6773970220000001</v>
      </c>
      <c r="AU24" s="250">
        <v>4.5077813899999999</v>
      </c>
      <c r="AV24" s="250">
        <v>4.6918350960000001</v>
      </c>
      <c r="AW24" s="250">
        <v>5.1216786120000002</v>
      </c>
      <c r="AX24" s="250">
        <v>5.0236457919999999</v>
      </c>
      <c r="AY24" s="250">
        <v>4.7714075290000002</v>
      </c>
      <c r="AZ24" s="250">
        <v>4.9775293449999998</v>
      </c>
      <c r="BA24" s="250">
        <v>4.1673431790000004</v>
      </c>
      <c r="BB24" s="250">
        <v>2.8767198839999999</v>
      </c>
      <c r="BC24" s="250">
        <v>3.9536865190000001</v>
      </c>
      <c r="BD24" s="250">
        <v>4.4791937490000002</v>
      </c>
      <c r="BE24" s="250">
        <v>4.2382631350000004</v>
      </c>
      <c r="BF24" s="250">
        <v>4.3033588390000004</v>
      </c>
      <c r="BG24" s="403">
        <v>4.4713212750000002</v>
      </c>
      <c r="BH24" s="403">
        <v>4.636225756</v>
      </c>
      <c r="BI24" s="403">
        <v>4.840398617</v>
      </c>
      <c r="BJ24" s="403">
        <v>4.9041528630000002</v>
      </c>
      <c r="BK24" s="403">
        <v>4.7618493580000001</v>
      </c>
      <c r="BL24" s="403">
        <v>5.1195481010000004</v>
      </c>
      <c r="BM24" s="403">
        <v>5.1216521869999996</v>
      </c>
      <c r="BN24" s="403">
        <v>5.0511544810000002</v>
      </c>
      <c r="BO24" s="403">
        <v>5.1307035729999999</v>
      </c>
      <c r="BP24" s="403">
        <v>5.0519609980000002</v>
      </c>
      <c r="BQ24" s="403">
        <v>4.7935945430000002</v>
      </c>
      <c r="BR24" s="403">
        <v>4.6899137309999999</v>
      </c>
      <c r="BS24" s="403">
        <v>4.7729593489999997</v>
      </c>
      <c r="BT24" s="403">
        <v>4.9020103439999998</v>
      </c>
      <c r="BU24" s="403">
        <v>5.1101111130000003</v>
      </c>
      <c r="BV24" s="403">
        <v>5.1707065219999997</v>
      </c>
    </row>
    <row r="25" spans="1:74" ht="11.1" customHeight="1" x14ac:dyDescent="0.2">
      <c r="AY25" s="153"/>
      <c r="AZ25" s="153"/>
      <c r="BA25" s="153"/>
      <c r="BB25" s="153"/>
      <c r="BC25" s="153"/>
      <c r="BD25" s="153"/>
      <c r="BE25" s="153"/>
      <c r="BF25" s="153"/>
      <c r="BG25" s="153"/>
      <c r="BH25" s="153"/>
      <c r="BI25" s="153"/>
      <c r="BJ25" s="153"/>
    </row>
    <row r="26" spans="1:74" ht="11.1" customHeight="1" x14ac:dyDescent="0.2">
      <c r="A26" s="162" t="s">
        <v>617</v>
      </c>
      <c r="B26" s="172" t="s">
        <v>393</v>
      </c>
      <c r="C26" s="250">
        <v>4.1798288060999997</v>
      </c>
      <c r="D26" s="250">
        <v>4.2249115039999996</v>
      </c>
      <c r="E26" s="250">
        <v>4.1953153447</v>
      </c>
      <c r="F26" s="250">
        <v>4.1798552245999998</v>
      </c>
      <c r="G26" s="250">
        <v>4.2271370019000001</v>
      </c>
      <c r="H26" s="250">
        <v>4.2249435619</v>
      </c>
      <c r="I26" s="250">
        <v>4.0294224874999998</v>
      </c>
      <c r="J26" s="250">
        <v>4.1589524289000002</v>
      </c>
      <c r="K26" s="250">
        <v>4.0252377954999998</v>
      </c>
      <c r="L26" s="250">
        <v>4.0832150863000001</v>
      </c>
      <c r="M26" s="250">
        <v>4.3582253368000003</v>
      </c>
      <c r="N26" s="250">
        <v>4.1479315555999996</v>
      </c>
      <c r="O26" s="250">
        <v>4.1544891872000003</v>
      </c>
      <c r="P26" s="250">
        <v>4.3581374326000004</v>
      </c>
      <c r="Q26" s="250">
        <v>4.3717085899999999</v>
      </c>
      <c r="R26" s="250">
        <v>4.2880059580000003</v>
      </c>
      <c r="S26" s="250">
        <v>4.1839638726999997</v>
      </c>
      <c r="T26" s="250">
        <v>4.2075142766999996</v>
      </c>
      <c r="U26" s="250">
        <v>4.0371505662000002</v>
      </c>
      <c r="V26" s="250">
        <v>4.1321596584</v>
      </c>
      <c r="W26" s="250">
        <v>4.2236927140000002</v>
      </c>
      <c r="X26" s="250">
        <v>4.1467697702999997</v>
      </c>
      <c r="Y26" s="250">
        <v>4.1456841030999998</v>
      </c>
      <c r="Z26" s="250">
        <v>4.3161988197000003</v>
      </c>
      <c r="AA26" s="250">
        <v>4.4329872339999996</v>
      </c>
      <c r="AB26" s="250">
        <v>4.4754493100000001</v>
      </c>
      <c r="AC26" s="250">
        <v>4.4520086010000002</v>
      </c>
      <c r="AD26" s="250">
        <v>4.4458140549999996</v>
      </c>
      <c r="AE26" s="250">
        <v>4.3937588009999997</v>
      </c>
      <c r="AF26" s="250">
        <v>4.4686594380000004</v>
      </c>
      <c r="AG26" s="250">
        <v>4.3126986550000002</v>
      </c>
      <c r="AH26" s="250">
        <v>4.3190533369999997</v>
      </c>
      <c r="AI26" s="250">
        <v>4.3836630000000003</v>
      </c>
      <c r="AJ26" s="250">
        <v>4.5140615239999997</v>
      </c>
      <c r="AK26" s="250">
        <v>4.5620577019999997</v>
      </c>
      <c r="AL26" s="250">
        <v>4.4776542600000004</v>
      </c>
      <c r="AM26" s="250">
        <v>4.4723781340000004</v>
      </c>
      <c r="AN26" s="250">
        <v>4.5280312800000004</v>
      </c>
      <c r="AO26" s="250">
        <v>4.5153632930000001</v>
      </c>
      <c r="AP26" s="250">
        <v>4.51915114</v>
      </c>
      <c r="AQ26" s="250">
        <v>4.4750637979999999</v>
      </c>
      <c r="AR26" s="250">
        <v>4.5592835259999998</v>
      </c>
      <c r="AS26" s="250">
        <v>4.4070147979999996</v>
      </c>
      <c r="AT26" s="250">
        <v>4.4191094460000002</v>
      </c>
      <c r="AU26" s="250">
        <v>4.4894713550000001</v>
      </c>
      <c r="AV26" s="250">
        <v>4.6257996490000002</v>
      </c>
      <c r="AW26" s="250">
        <v>4.6769752259999997</v>
      </c>
      <c r="AX26" s="250">
        <v>4.5920429690000004</v>
      </c>
      <c r="AY26" s="250">
        <v>4.3325639950000001</v>
      </c>
      <c r="AZ26" s="250">
        <v>4.3750692610000002</v>
      </c>
      <c r="BA26" s="250">
        <v>4.3136190450000003</v>
      </c>
      <c r="BB26" s="250">
        <v>4.183209078</v>
      </c>
      <c r="BC26" s="250">
        <v>4.1442318140000003</v>
      </c>
      <c r="BD26" s="250">
        <v>4.3424196750000004</v>
      </c>
      <c r="BE26" s="250">
        <v>4.2113264179999996</v>
      </c>
      <c r="BF26" s="250">
        <v>4.2416931140000003</v>
      </c>
      <c r="BG26" s="403">
        <v>4.3285926789999998</v>
      </c>
      <c r="BH26" s="403">
        <v>4.4740617220000001</v>
      </c>
      <c r="BI26" s="403">
        <v>4.5293334700000001</v>
      </c>
      <c r="BJ26" s="403">
        <v>4.4475335090000003</v>
      </c>
      <c r="BK26" s="403">
        <v>4.4023125710000004</v>
      </c>
      <c r="BL26" s="403">
        <v>4.4590775980000004</v>
      </c>
      <c r="BM26" s="403">
        <v>4.4477767019999996</v>
      </c>
      <c r="BN26" s="403">
        <v>4.4517159819999996</v>
      </c>
      <c r="BO26" s="403">
        <v>4.4086183700000001</v>
      </c>
      <c r="BP26" s="403">
        <v>4.4927236549999998</v>
      </c>
      <c r="BQ26" s="403">
        <v>4.3433125290000003</v>
      </c>
      <c r="BR26" s="403">
        <v>4.3550141419999999</v>
      </c>
      <c r="BS26" s="403">
        <v>4.4245289850000002</v>
      </c>
      <c r="BT26" s="403">
        <v>4.5588174329999998</v>
      </c>
      <c r="BU26" s="403">
        <v>4.6091573769999998</v>
      </c>
      <c r="BV26" s="403">
        <v>4.5254821779999999</v>
      </c>
    </row>
    <row r="27" spans="1:74" ht="11.1" customHeight="1" x14ac:dyDescent="0.2">
      <c r="AY27" s="153"/>
      <c r="AZ27" s="153"/>
      <c r="BA27" s="153"/>
      <c r="BB27" s="153"/>
      <c r="BC27" s="153"/>
      <c r="BD27" s="153"/>
      <c r="BE27" s="153"/>
      <c r="BF27" s="153"/>
      <c r="BG27" s="153"/>
      <c r="BH27" s="153"/>
      <c r="BI27" s="153"/>
      <c r="BJ27" s="153"/>
    </row>
    <row r="28" spans="1:74" ht="11.1" customHeight="1" x14ac:dyDescent="0.2">
      <c r="A28" s="162" t="s">
        <v>290</v>
      </c>
      <c r="B28" s="172" t="s">
        <v>544</v>
      </c>
      <c r="C28" s="250">
        <v>45.492290635000003</v>
      </c>
      <c r="D28" s="250">
        <v>47.746612669999998</v>
      </c>
      <c r="E28" s="250">
        <v>47.121533739</v>
      </c>
      <c r="F28" s="250">
        <v>46.180529225999997</v>
      </c>
      <c r="G28" s="250">
        <v>45.519270442</v>
      </c>
      <c r="H28" s="250">
        <v>46.584080843999999</v>
      </c>
      <c r="I28" s="250">
        <v>46.571396696000001</v>
      </c>
      <c r="J28" s="250">
        <v>48.143860042</v>
      </c>
      <c r="K28" s="250">
        <v>47.210110614000001</v>
      </c>
      <c r="L28" s="250">
        <v>46.677975402000001</v>
      </c>
      <c r="M28" s="250">
        <v>47.240968352000003</v>
      </c>
      <c r="N28" s="250">
        <v>48.212240876000003</v>
      </c>
      <c r="O28" s="250">
        <v>46.053602542</v>
      </c>
      <c r="P28" s="250">
        <v>47.046389800999997</v>
      </c>
      <c r="Q28" s="250">
        <v>47.773191064000002</v>
      </c>
      <c r="R28" s="250">
        <v>46.127153178999997</v>
      </c>
      <c r="S28" s="250">
        <v>47.183507612</v>
      </c>
      <c r="T28" s="250">
        <v>48.165281444000001</v>
      </c>
      <c r="U28" s="250">
        <v>47.677179867</v>
      </c>
      <c r="V28" s="250">
        <v>47.942219940000001</v>
      </c>
      <c r="W28" s="250">
        <v>47.621159915</v>
      </c>
      <c r="X28" s="250">
        <v>47.359435417999997</v>
      </c>
      <c r="Y28" s="250">
        <v>48.522506241999999</v>
      </c>
      <c r="Z28" s="250">
        <v>48.457495436000002</v>
      </c>
      <c r="AA28" s="250">
        <v>47.492146171000002</v>
      </c>
      <c r="AB28" s="250">
        <v>48.348281610000001</v>
      </c>
      <c r="AC28" s="250">
        <v>48.309862682000002</v>
      </c>
      <c r="AD28" s="250">
        <v>46.984361200999999</v>
      </c>
      <c r="AE28" s="250">
        <v>47.098787563999998</v>
      </c>
      <c r="AF28" s="250">
        <v>47.731927282000001</v>
      </c>
      <c r="AG28" s="250">
        <v>48.357383992000003</v>
      </c>
      <c r="AH28" s="250">
        <v>49.009525603999997</v>
      </c>
      <c r="AI28" s="250">
        <v>47.319708550999998</v>
      </c>
      <c r="AJ28" s="250">
        <v>48.149430156000001</v>
      </c>
      <c r="AK28" s="250">
        <v>48.072916220000003</v>
      </c>
      <c r="AL28" s="250">
        <v>47.086095567999998</v>
      </c>
      <c r="AM28" s="250">
        <v>47.745805703000002</v>
      </c>
      <c r="AN28" s="250">
        <v>48.189516476999998</v>
      </c>
      <c r="AO28" s="250">
        <v>46.799529771000003</v>
      </c>
      <c r="AP28" s="250">
        <v>47.373235211000001</v>
      </c>
      <c r="AQ28" s="250">
        <v>46.449368466999999</v>
      </c>
      <c r="AR28" s="250">
        <v>47.095593420999997</v>
      </c>
      <c r="AS28" s="250">
        <v>48.297211089999998</v>
      </c>
      <c r="AT28" s="250">
        <v>48.674119435000001</v>
      </c>
      <c r="AU28" s="250">
        <v>47.254316615</v>
      </c>
      <c r="AV28" s="250">
        <v>47.696165596</v>
      </c>
      <c r="AW28" s="250">
        <v>47.773157615999999</v>
      </c>
      <c r="AX28" s="250">
        <v>47.683673935000002</v>
      </c>
      <c r="AY28" s="250">
        <v>46.000480441000001</v>
      </c>
      <c r="AZ28" s="250">
        <v>46.841563252</v>
      </c>
      <c r="BA28" s="250">
        <v>42.999335041999998</v>
      </c>
      <c r="BB28" s="250">
        <v>35.042109230000001</v>
      </c>
      <c r="BC28" s="250">
        <v>36.957289533000001</v>
      </c>
      <c r="BD28" s="250">
        <v>40.239256429999998</v>
      </c>
      <c r="BE28" s="250">
        <v>42.237941284999998</v>
      </c>
      <c r="BF28" s="250">
        <v>42.887110243000002</v>
      </c>
      <c r="BG28" s="403">
        <v>43.948809834000002</v>
      </c>
      <c r="BH28" s="403">
        <v>44.410106454000001</v>
      </c>
      <c r="BI28" s="403">
        <v>44.528118395</v>
      </c>
      <c r="BJ28" s="403">
        <v>45.074049113999997</v>
      </c>
      <c r="BK28" s="403">
        <v>44.150605868</v>
      </c>
      <c r="BL28" s="403">
        <v>45.920521452000003</v>
      </c>
      <c r="BM28" s="403">
        <v>45.294156543</v>
      </c>
      <c r="BN28" s="403">
        <v>44.473682975999999</v>
      </c>
      <c r="BO28" s="403">
        <v>44.491907585</v>
      </c>
      <c r="BP28" s="403">
        <v>45.496470567999999</v>
      </c>
      <c r="BQ28" s="403">
        <v>45.960616469000001</v>
      </c>
      <c r="BR28" s="403">
        <v>46.492072931000003</v>
      </c>
      <c r="BS28" s="403">
        <v>46.140101659999999</v>
      </c>
      <c r="BT28" s="403">
        <v>46.364556835000002</v>
      </c>
      <c r="BU28" s="403">
        <v>46.565086530999999</v>
      </c>
      <c r="BV28" s="403">
        <v>46.316453766999999</v>
      </c>
    </row>
    <row r="29" spans="1:74" ht="11.1" customHeight="1" x14ac:dyDescent="0.2">
      <c r="A29" s="162" t="s">
        <v>296</v>
      </c>
      <c r="B29" s="172" t="s">
        <v>545</v>
      </c>
      <c r="C29" s="250">
        <v>47.405954727999998</v>
      </c>
      <c r="D29" s="250">
        <v>50.217515753000001</v>
      </c>
      <c r="E29" s="250">
        <v>49.774899196</v>
      </c>
      <c r="F29" s="250">
        <v>50.369932259999999</v>
      </c>
      <c r="G29" s="250">
        <v>50.393215204000001</v>
      </c>
      <c r="H29" s="250">
        <v>50.016150643000003</v>
      </c>
      <c r="I29" s="250">
        <v>49.339193252999998</v>
      </c>
      <c r="J29" s="250">
        <v>50.936285245999997</v>
      </c>
      <c r="K29" s="250">
        <v>49.733016188999997</v>
      </c>
      <c r="L29" s="250">
        <v>48.805588094000001</v>
      </c>
      <c r="M29" s="250">
        <v>50.359405961999997</v>
      </c>
      <c r="N29" s="250">
        <v>50.823462595999999</v>
      </c>
      <c r="O29" s="250">
        <v>49.294595696000002</v>
      </c>
      <c r="P29" s="250">
        <v>49.965601159999999</v>
      </c>
      <c r="Q29" s="250">
        <v>51.232101294000003</v>
      </c>
      <c r="R29" s="250">
        <v>50.591923807999997</v>
      </c>
      <c r="S29" s="250">
        <v>52.027694711999999</v>
      </c>
      <c r="T29" s="250">
        <v>52.827657238999997</v>
      </c>
      <c r="U29" s="250">
        <v>51.276362659</v>
      </c>
      <c r="V29" s="250">
        <v>51.226541142999999</v>
      </c>
      <c r="W29" s="250">
        <v>52.545137492999999</v>
      </c>
      <c r="X29" s="250">
        <v>51.159563355000003</v>
      </c>
      <c r="Y29" s="250">
        <v>52.682531693000001</v>
      </c>
      <c r="Z29" s="250">
        <v>51.160951593</v>
      </c>
      <c r="AA29" s="250">
        <v>51.105263518000001</v>
      </c>
      <c r="AB29" s="250">
        <v>52.479042560000003</v>
      </c>
      <c r="AC29" s="250">
        <v>52.204397100000001</v>
      </c>
      <c r="AD29" s="250">
        <v>52.571086715</v>
      </c>
      <c r="AE29" s="250">
        <v>52.893980495999998</v>
      </c>
      <c r="AF29" s="250">
        <v>53.492412014999999</v>
      </c>
      <c r="AG29" s="250">
        <v>53.107625013000003</v>
      </c>
      <c r="AH29" s="250">
        <v>52.672458143999997</v>
      </c>
      <c r="AI29" s="250">
        <v>53.281473742000003</v>
      </c>
      <c r="AJ29" s="250">
        <v>52.363058539999997</v>
      </c>
      <c r="AK29" s="250">
        <v>52.834889191000002</v>
      </c>
      <c r="AL29" s="250">
        <v>53.698736779000001</v>
      </c>
      <c r="AM29" s="250">
        <v>52.097981840999999</v>
      </c>
      <c r="AN29" s="250">
        <v>53.456578657999998</v>
      </c>
      <c r="AO29" s="250">
        <v>53.188982119999999</v>
      </c>
      <c r="AP29" s="250">
        <v>53.699489413000002</v>
      </c>
      <c r="AQ29" s="250">
        <v>53.989445199999999</v>
      </c>
      <c r="AR29" s="250">
        <v>54.391417332000003</v>
      </c>
      <c r="AS29" s="250">
        <v>54.299547408000002</v>
      </c>
      <c r="AT29" s="250">
        <v>53.871389493000002</v>
      </c>
      <c r="AU29" s="250">
        <v>54.332474566999998</v>
      </c>
      <c r="AV29" s="250">
        <v>53.320902015999998</v>
      </c>
      <c r="AW29" s="250">
        <v>54.292814036999999</v>
      </c>
      <c r="AX29" s="250">
        <v>54.760281800999998</v>
      </c>
      <c r="AY29" s="250">
        <v>50.565253568999999</v>
      </c>
      <c r="AZ29" s="250">
        <v>50.277585178999999</v>
      </c>
      <c r="BA29" s="250">
        <v>48.222876354999997</v>
      </c>
      <c r="BB29" s="250">
        <v>45.825379681999998</v>
      </c>
      <c r="BC29" s="250">
        <v>47.122159332999999</v>
      </c>
      <c r="BD29" s="250">
        <v>50.001926054000002</v>
      </c>
      <c r="BE29" s="250">
        <v>51.040938064999999</v>
      </c>
      <c r="BF29" s="250">
        <v>51.419467161999997</v>
      </c>
      <c r="BG29" s="403">
        <v>52.701729391999997</v>
      </c>
      <c r="BH29" s="403">
        <v>52.032898015999997</v>
      </c>
      <c r="BI29" s="403">
        <v>52.88031007</v>
      </c>
      <c r="BJ29" s="403">
        <v>53.563245434000002</v>
      </c>
      <c r="BK29" s="403">
        <v>51.897017605999999</v>
      </c>
      <c r="BL29" s="403">
        <v>53.466320510000003</v>
      </c>
      <c r="BM29" s="403">
        <v>53.257056130999999</v>
      </c>
      <c r="BN29" s="403">
        <v>53.756575030999997</v>
      </c>
      <c r="BO29" s="403">
        <v>54.096819287000002</v>
      </c>
      <c r="BP29" s="403">
        <v>54.625626551000003</v>
      </c>
      <c r="BQ29" s="403">
        <v>54.368803718000002</v>
      </c>
      <c r="BR29" s="403">
        <v>53.976664493999998</v>
      </c>
      <c r="BS29" s="403">
        <v>54.746994444999999</v>
      </c>
      <c r="BT29" s="403">
        <v>53.686119640000001</v>
      </c>
      <c r="BU29" s="403">
        <v>54.504494842</v>
      </c>
      <c r="BV29" s="403">
        <v>55.175149994000002</v>
      </c>
    </row>
    <row r="30" spans="1:74" ht="11.1" customHeight="1" x14ac:dyDescent="0.2">
      <c r="B30" s="172"/>
      <c r="AY30" s="153"/>
      <c r="AZ30" s="153"/>
      <c r="BA30" s="153"/>
      <c r="BB30" s="153"/>
      <c r="BC30" s="153"/>
      <c r="BD30" s="153"/>
      <c r="BE30" s="153"/>
      <c r="BF30" s="153"/>
      <c r="BG30" s="153"/>
      <c r="BH30" s="153"/>
      <c r="BI30" s="153"/>
      <c r="BJ30" s="153"/>
    </row>
    <row r="31" spans="1:74" ht="11.1" customHeight="1" x14ac:dyDescent="0.2">
      <c r="A31" s="162" t="s">
        <v>297</v>
      </c>
      <c r="B31" s="172" t="s">
        <v>546</v>
      </c>
      <c r="C31" s="250">
        <v>92.898245363000001</v>
      </c>
      <c r="D31" s="250">
        <v>97.964128422000002</v>
      </c>
      <c r="E31" s="250">
        <v>96.896432935000007</v>
      </c>
      <c r="F31" s="250">
        <v>96.550461486000003</v>
      </c>
      <c r="G31" s="250">
        <v>95.912485646999997</v>
      </c>
      <c r="H31" s="250">
        <v>96.600231488000006</v>
      </c>
      <c r="I31" s="250">
        <v>95.910589948999998</v>
      </c>
      <c r="J31" s="250">
        <v>99.080145287999997</v>
      </c>
      <c r="K31" s="250">
        <v>96.943126802999998</v>
      </c>
      <c r="L31" s="250">
        <v>95.483563496000002</v>
      </c>
      <c r="M31" s="250">
        <v>97.600374313000003</v>
      </c>
      <c r="N31" s="250">
        <v>99.035703472999998</v>
      </c>
      <c r="O31" s="250">
        <v>95.348198237999995</v>
      </c>
      <c r="P31" s="250">
        <v>97.011990960999995</v>
      </c>
      <c r="Q31" s="250">
        <v>99.005292358000005</v>
      </c>
      <c r="R31" s="250">
        <v>96.719076986999994</v>
      </c>
      <c r="S31" s="250">
        <v>99.211202323999998</v>
      </c>
      <c r="T31" s="250">
        <v>100.99293867999999</v>
      </c>
      <c r="U31" s="250">
        <v>98.953542526000007</v>
      </c>
      <c r="V31" s="250">
        <v>99.168761083000007</v>
      </c>
      <c r="W31" s="250">
        <v>100.16629741</v>
      </c>
      <c r="X31" s="250">
        <v>98.518998773999996</v>
      </c>
      <c r="Y31" s="250">
        <v>101.20503793</v>
      </c>
      <c r="Z31" s="250">
        <v>99.618447028999995</v>
      </c>
      <c r="AA31" s="250">
        <v>98.597409689000003</v>
      </c>
      <c r="AB31" s="250">
        <v>100.82732417</v>
      </c>
      <c r="AC31" s="250">
        <v>100.51425978</v>
      </c>
      <c r="AD31" s="250">
        <v>99.555447916000006</v>
      </c>
      <c r="AE31" s="250">
        <v>99.992768060000003</v>
      </c>
      <c r="AF31" s="250">
        <v>101.2243393</v>
      </c>
      <c r="AG31" s="250">
        <v>101.46500899999999</v>
      </c>
      <c r="AH31" s="250">
        <v>101.68198375</v>
      </c>
      <c r="AI31" s="250">
        <v>100.60118229</v>
      </c>
      <c r="AJ31" s="250">
        <v>100.51248870000001</v>
      </c>
      <c r="AK31" s="250">
        <v>100.90780540999999</v>
      </c>
      <c r="AL31" s="250">
        <v>100.78483235</v>
      </c>
      <c r="AM31" s="250">
        <v>99.843787543999994</v>
      </c>
      <c r="AN31" s="250">
        <v>101.64609514</v>
      </c>
      <c r="AO31" s="250">
        <v>99.988511891000002</v>
      </c>
      <c r="AP31" s="250">
        <v>101.07272462</v>
      </c>
      <c r="AQ31" s="250">
        <v>100.43881367</v>
      </c>
      <c r="AR31" s="250">
        <v>101.48701075</v>
      </c>
      <c r="AS31" s="250">
        <v>102.59675850000001</v>
      </c>
      <c r="AT31" s="250">
        <v>102.54550893</v>
      </c>
      <c r="AU31" s="250">
        <v>101.58679118000001</v>
      </c>
      <c r="AV31" s="250">
        <v>101.01706761</v>
      </c>
      <c r="AW31" s="250">
        <v>102.06597164999999</v>
      </c>
      <c r="AX31" s="250">
        <v>102.44395574000001</v>
      </c>
      <c r="AY31" s="250">
        <v>96.56573401</v>
      </c>
      <c r="AZ31" s="250">
        <v>97.119148430999999</v>
      </c>
      <c r="BA31" s="250">
        <v>91.222211396999995</v>
      </c>
      <c r="BB31" s="250">
        <v>80.867488911999999</v>
      </c>
      <c r="BC31" s="250">
        <v>84.079448866000007</v>
      </c>
      <c r="BD31" s="250">
        <v>90.241182484000007</v>
      </c>
      <c r="BE31" s="250">
        <v>93.278879349999997</v>
      </c>
      <c r="BF31" s="250">
        <v>94.306577404999999</v>
      </c>
      <c r="BG31" s="403">
        <v>96.650539226000006</v>
      </c>
      <c r="BH31" s="403">
        <v>96.443004470000005</v>
      </c>
      <c r="BI31" s="403">
        <v>97.408428465</v>
      </c>
      <c r="BJ31" s="403">
        <v>98.637294548</v>
      </c>
      <c r="BK31" s="403">
        <v>96.047623474000005</v>
      </c>
      <c r="BL31" s="403">
        <v>99.386841962000005</v>
      </c>
      <c r="BM31" s="403">
        <v>98.551212673999999</v>
      </c>
      <c r="BN31" s="403">
        <v>98.230258007000003</v>
      </c>
      <c r="BO31" s="403">
        <v>98.588726871999995</v>
      </c>
      <c r="BP31" s="403">
        <v>100.12209712000001</v>
      </c>
      <c r="BQ31" s="403">
        <v>100.32942018999999</v>
      </c>
      <c r="BR31" s="403">
        <v>100.46873743</v>
      </c>
      <c r="BS31" s="403">
        <v>100.88709611</v>
      </c>
      <c r="BT31" s="403">
        <v>100.05067648000001</v>
      </c>
      <c r="BU31" s="403">
        <v>101.06958136999999</v>
      </c>
      <c r="BV31" s="403">
        <v>101.49160376</v>
      </c>
    </row>
    <row r="32" spans="1:74" ht="11.1" customHeight="1" x14ac:dyDescent="0.2">
      <c r="B32" s="172"/>
      <c r="C32" s="250"/>
      <c r="D32" s="250"/>
      <c r="E32" s="250"/>
      <c r="F32" s="250"/>
      <c r="G32" s="250"/>
      <c r="H32" s="250"/>
      <c r="I32" s="250"/>
      <c r="J32" s="250"/>
      <c r="K32" s="250"/>
      <c r="L32" s="250"/>
      <c r="M32" s="250"/>
      <c r="N32" s="250"/>
      <c r="O32" s="250"/>
      <c r="P32" s="250"/>
      <c r="Q32" s="250"/>
      <c r="R32" s="250"/>
      <c r="S32" s="250"/>
      <c r="T32" s="250"/>
      <c r="U32" s="250"/>
      <c r="V32" s="250"/>
      <c r="W32" s="250"/>
      <c r="X32" s="250"/>
      <c r="Y32" s="250"/>
      <c r="Z32" s="250"/>
      <c r="AA32" s="250"/>
      <c r="AB32" s="250"/>
      <c r="AC32" s="250"/>
      <c r="AD32" s="250"/>
      <c r="AE32" s="250"/>
      <c r="AF32" s="250"/>
      <c r="AG32" s="250"/>
      <c r="AH32" s="250"/>
      <c r="AI32" s="250"/>
      <c r="AJ32" s="250"/>
      <c r="AK32" s="250"/>
      <c r="AL32" s="250"/>
      <c r="AM32" s="250"/>
      <c r="AN32" s="250"/>
      <c r="AO32" s="250"/>
      <c r="AP32" s="250"/>
      <c r="AQ32" s="250"/>
      <c r="AR32" s="250"/>
      <c r="AS32" s="250"/>
      <c r="AT32" s="250"/>
      <c r="AU32" s="250"/>
      <c r="AV32" s="250"/>
      <c r="AW32" s="250"/>
      <c r="AX32" s="250"/>
      <c r="AY32" s="250"/>
      <c r="AZ32" s="250"/>
      <c r="BA32" s="250"/>
      <c r="BB32" s="250"/>
      <c r="BC32" s="250"/>
      <c r="BD32" s="250"/>
      <c r="BE32" s="250"/>
      <c r="BF32" s="250"/>
      <c r="BG32" s="403"/>
      <c r="BH32" s="403"/>
      <c r="BI32" s="403"/>
      <c r="BJ32" s="403"/>
      <c r="BK32" s="403"/>
      <c r="BL32" s="403"/>
      <c r="BM32" s="403"/>
      <c r="BN32" s="403"/>
      <c r="BO32" s="403"/>
      <c r="BP32" s="403"/>
      <c r="BQ32" s="403"/>
      <c r="BR32" s="403"/>
      <c r="BS32" s="403"/>
      <c r="BT32" s="403"/>
      <c r="BU32" s="403"/>
      <c r="BV32" s="403"/>
    </row>
    <row r="33" spans="1:74" ht="11.1" customHeight="1" x14ac:dyDescent="0.2">
      <c r="B33" s="172" t="s">
        <v>311</v>
      </c>
      <c r="C33" s="250"/>
      <c r="D33" s="250"/>
      <c r="E33" s="250"/>
      <c r="F33" s="250"/>
      <c r="G33" s="250"/>
      <c r="H33" s="250"/>
      <c r="I33" s="250"/>
      <c r="J33" s="250"/>
      <c r="K33" s="250"/>
      <c r="L33" s="250"/>
      <c r="M33" s="250"/>
      <c r="N33" s="250"/>
      <c r="O33" s="250"/>
      <c r="P33" s="250"/>
      <c r="Q33" s="250"/>
      <c r="R33" s="250"/>
      <c r="S33" s="250"/>
      <c r="T33" s="250"/>
      <c r="U33" s="250"/>
      <c r="V33" s="250"/>
      <c r="W33" s="250"/>
      <c r="X33" s="250"/>
      <c r="Y33" s="250"/>
      <c r="Z33" s="250"/>
      <c r="AA33" s="250"/>
      <c r="AB33" s="250"/>
      <c r="AC33" s="250"/>
      <c r="AD33" s="250"/>
      <c r="AE33" s="250"/>
      <c r="AF33" s="250"/>
      <c r="AG33" s="250"/>
      <c r="AH33" s="250"/>
      <c r="AI33" s="250"/>
      <c r="AJ33" s="250"/>
      <c r="AK33" s="250"/>
      <c r="AL33" s="250"/>
      <c r="AM33" s="250"/>
      <c r="AN33" s="250"/>
      <c r="AO33" s="250"/>
      <c r="AP33" s="250"/>
      <c r="AQ33" s="250"/>
      <c r="AR33" s="250"/>
      <c r="AS33" s="250"/>
      <c r="AT33" s="250"/>
      <c r="AU33" s="250"/>
      <c r="AV33" s="250"/>
      <c r="AW33" s="250"/>
      <c r="AX33" s="250"/>
      <c r="AY33" s="250"/>
      <c r="AZ33" s="250"/>
      <c r="BA33" s="250"/>
      <c r="BB33" s="250"/>
      <c r="BC33" s="250"/>
      <c r="BD33" s="250"/>
      <c r="BE33" s="250"/>
      <c r="BF33" s="250"/>
      <c r="BG33" s="403"/>
      <c r="BH33" s="403"/>
      <c r="BI33" s="403"/>
      <c r="BJ33" s="403"/>
      <c r="BK33" s="403"/>
      <c r="BL33" s="403"/>
      <c r="BM33" s="403"/>
      <c r="BN33" s="403"/>
      <c r="BO33" s="403"/>
      <c r="BP33" s="403"/>
      <c r="BQ33" s="403"/>
      <c r="BR33" s="403"/>
      <c r="BS33" s="403"/>
      <c r="BT33" s="403"/>
      <c r="BU33" s="403"/>
      <c r="BV33" s="403"/>
    </row>
    <row r="34" spans="1:74" ht="11.1" customHeight="1" x14ac:dyDescent="0.2">
      <c r="A34" s="162" t="s">
        <v>618</v>
      </c>
      <c r="B34" s="173" t="s">
        <v>1140</v>
      </c>
      <c r="C34" s="250">
        <v>102.52468227999999</v>
      </c>
      <c r="D34" s="250">
        <v>102.79503766000001</v>
      </c>
      <c r="E34" s="250">
        <v>103.05902643</v>
      </c>
      <c r="F34" s="250">
        <v>103.32744639000001</v>
      </c>
      <c r="G34" s="250">
        <v>103.5706036</v>
      </c>
      <c r="H34" s="250">
        <v>103.79929586999999</v>
      </c>
      <c r="I34" s="250">
        <v>103.97336667</v>
      </c>
      <c r="J34" s="250">
        <v>104.20324642</v>
      </c>
      <c r="K34" s="250">
        <v>104.44877862</v>
      </c>
      <c r="L34" s="250">
        <v>104.70403311</v>
      </c>
      <c r="M34" s="250">
        <v>104.98531778</v>
      </c>
      <c r="N34" s="250">
        <v>105.2867025</v>
      </c>
      <c r="O34" s="250">
        <v>105.63342</v>
      </c>
      <c r="P34" s="250">
        <v>105.95608025999999</v>
      </c>
      <c r="Q34" s="250">
        <v>106.27991600999999</v>
      </c>
      <c r="R34" s="250">
        <v>106.63532416</v>
      </c>
      <c r="S34" s="250">
        <v>106.93871323</v>
      </c>
      <c r="T34" s="250">
        <v>107.22048012</v>
      </c>
      <c r="U34" s="250">
        <v>107.47683055</v>
      </c>
      <c r="V34" s="250">
        <v>107.71819879</v>
      </c>
      <c r="W34" s="250">
        <v>107.94079056</v>
      </c>
      <c r="X34" s="250">
        <v>108.03649029</v>
      </c>
      <c r="Y34" s="250">
        <v>108.3026158</v>
      </c>
      <c r="Z34" s="250">
        <v>108.63105151000001</v>
      </c>
      <c r="AA34" s="250">
        <v>109.13900399000001</v>
      </c>
      <c r="AB34" s="250">
        <v>109.50415519000001</v>
      </c>
      <c r="AC34" s="250">
        <v>109.84371169000001</v>
      </c>
      <c r="AD34" s="250">
        <v>110.22075091000001</v>
      </c>
      <c r="AE34" s="250">
        <v>110.46180989</v>
      </c>
      <c r="AF34" s="250">
        <v>110.62996609</v>
      </c>
      <c r="AG34" s="250">
        <v>110.65716148</v>
      </c>
      <c r="AH34" s="250">
        <v>110.73055558999999</v>
      </c>
      <c r="AI34" s="250">
        <v>110.78209041</v>
      </c>
      <c r="AJ34" s="250">
        <v>110.61883174</v>
      </c>
      <c r="AK34" s="250">
        <v>110.77134864</v>
      </c>
      <c r="AL34" s="250">
        <v>111.04670691</v>
      </c>
      <c r="AM34" s="250">
        <v>111.67045894</v>
      </c>
      <c r="AN34" s="250">
        <v>112.02233566</v>
      </c>
      <c r="AO34" s="250">
        <v>112.32788945999999</v>
      </c>
      <c r="AP34" s="250">
        <v>112.63883045</v>
      </c>
      <c r="AQ34" s="250">
        <v>112.81295582</v>
      </c>
      <c r="AR34" s="250">
        <v>112.90197569999999</v>
      </c>
      <c r="AS34" s="250">
        <v>112.85455897</v>
      </c>
      <c r="AT34" s="250">
        <v>112.81186617</v>
      </c>
      <c r="AU34" s="250">
        <v>112.72256618</v>
      </c>
      <c r="AV34" s="250">
        <v>112.95822699</v>
      </c>
      <c r="AW34" s="250">
        <v>112.49703667999999</v>
      </c>
      <c r="AX34" s="250">
        <v>111.7105632</v>
      </c>
      <c r="AY34" s="250">
        <v>110.69407698000001</v>
      </c>
      <c r="AZ34" s="250">
        <v>109.18558439</v>
      </c>
      <c r="BA34" s="250">
        <v>107.28035584</v>
      </c>
      <c r="BB34" s="250">
        <v>102.70160686</v>
      </c>
      <c r="BC34" s="250">
        <v>101.71049472999999</v>
      </c>
      <c r="BD34" s="250">
        <v>102.03023499</v>
      </c>
      <c r="BE34" s="250">
        <v>105.85932337</v>
      </c>
      <c r="BF34" s="250">
        <v>107.15189660999999</v>
      </c>
      <c r="BG34" s="403">
        <v>108.10645045</v>
      </c>
      <c r="BH34" s="403">
        <v>108.23207385000001</v>
      </c>
      <c r="BI34" s="403">
        <v>108.87877215</v>
      </c>
      <c r="BJ34" s="403">
        <v>109.55563433</v>
      </c>
      <c r="BK34" s="403">
        <v>110.40264535</v>
      </c>
      <c r="BL34" s="403">
        <v>111.03484654</v>
      </c>
      <c r="BM34" s="403">
        <v>111.59222289</v>
      </c>
      <c r="BN34" s="403">
        <v>112.0663177</v>
      </c>
      <c r="BO34" s="403">
        <v>112.48038683999999</v>
      </c>
      <c r="BP34" s="403">
        <v>112.82597362</v>
      </c>
      <c r="BQ34" s="403">
        <v>113.0263738</v>
      </c>
      <c r="BR34" s="403">
        <v>113.29252408000001</v>
      </c>
      <c r="BS34" s="403">
        <v>113.54772020999999</v>
      </c>
      <c r="BT34" s="403">
        <v>113.65549493</v>
      </c>
      <c r="BU34" s="403">
        <v>113.99113318000001</v>
      </c>
      <c r="BV34" s="403">
        <v>114.41816772999999</v>
      </c>
    </row>
    <row r="35" spans="1:74" ht="11.1" customHeight="1" x14ac:dyDescent="0.2">
      <c r="A35" s="162" t="s">
        <v>619</v>
      </c>
      <c r="B35" s="173" t="s">
        <v>845</v>
      </c>
      <c r="C35" s="477">
        <v>2.7608120045</v>
      </c>
      <c r="D35" s="477">
        <v>2.7995080250000002</v>
      </c>
      <c r="E35" s="477">
        <v>2.8182934405000002</v>
      </c>
      <c r="F35" s="477">
        <v>2.7960631901999999</v>
      </c>
      <c r="G35" s="477">
        <v>2.7913887238999999</v>
      </c>
      <c r="H35" s="477">
        <v>2.7830022701999999</v>
      </c>
      <c r="I35" s="477">
        <v>2.7282261361</v>
      </c>
      <c r="J35" s="477">
        <v>2.7445289784</v>
      </c>
      <c r="K35" s="477">
        <v>2.7889494523999998</v>
      </c>
      <c r="L35" s="477">
        <v>2.9149324109000001</v>
      </c>
      <c r="M35" s="477">
        <v>2.9749687013999999</v>
      </c>
      <c r="N35" s="477">
        <v>3.0227244278000001</v>
      </c>
      <c r="O35" s="477">
        <v>3.0321846877</v>
      </c>
      <c r="P35" s="477">
        <v>3.0750926030999999</v>
      </c>
      <c r="Q35" s="477">
        <v>3.1252862493000002</v>
      </c>
      <c r="R35" s="477">
        <v>3.2013544182999998</v>
      </c>
      <c r="S35" s="477">
        <v>3.2519938150000001</v>
      </c>
      <c r="T35" s="477">
        <v>3.2959609392</v>
      </c>
      <c r="U35" s="477">
        <v>3.3695781836999998</v>
      </c>
      <c r="V35" s="477">
        <v>3.3731697300999999</v>
      </c>
      <c r="W35" s="477">
        <v>3.3432769536000002</v>
      </c>
      <c r="X35" s="477">
        <v>3.1827400414000002</v>
      </c>
      <c r="Y35" s="477">
        <v>3.1597732782999999</v>
      </c>
      <c r="Z35" s="477">
        <v>3.1764210770000001</v>
      </c>
      <c r="AA35" s="477">
        <v>3.3186315354000002</v>
      </c>
      <c r="AB35" s="477">
        <v>3.3486279651999999</v>
      </c>
      <c r="AC35" s="477">
        <v>3.3532164939000002</v>
      </c>
      <c r="AD35" s="477">
        <v>3.3623255482999999</v>
      </c>
      <c r="AE35" s="477">
        <v>3.2945007088999998</v>
      </c>
      <c r="AF35" s="477">
        <v>3.1798831391000002</v>
      </c>
      <c r="AG35" s="477">
        <v>2.9590851482999998</v>
      </c>
      <c r="AH35" s="477">
        <v>2.7965161275999999</v>
      </c>
      <c r="AI35" s="477">
        <v>2.6322763054</v>
      </c>
      <c r="AJ35" s="477">
        <v>2.3902492934000001</v>
      </c>
      <c r="AK35" s="477">
        <v>2.2794766535000002</v>
      </c>
      <c r="AL35" s="477">
        <v>2.2237245868</v>
      </c>
      <c r="AM35" s="477">
        <v>2.3194777833</v>
      </c>
      <c r="AN35" s="477">
        <v>2.2996209233</v>
      </c>
      <c r="AO35" s="477">
        <v>2.2615566546000001</v>
      </c>
      <c r="AP35" s="477">
        <v>2.1938514470000001</v>
      </c>
      <c r="AQ35" s="477">
        <v>2.1284694965000002</v>
      </c>
      <c r="AR35" s="477">
        <v>2.0537018049000002</v>
      </c>
      <c r="AS35" s="477">
        <v>1.9857706995</v>
      </c>
      <c r="AT35" s="477">
        <v>1.8796172042999999</v>
      </c>
      <c r="AU35" s="477">
        <v>1.7516150498</v>
      </c>
      <c r="AV35" s="477">
        <v>2.1148254950999998</v>
      </c>
      <c r="AW35" s="477">
        <v>1.5578830245999999</v>
      </c>
      <c r="AX35" s="477">
        <v>0.59781718019999996</v>
      </c>
      <c r="AY35" s="477">
        <v>-0.87434220832999998</v>
      </c>
      <c r="AZ35" s="477">
        <v>-2.5323086251000002</v>
      </c>
      <c r="BA35" s="477">
        <v>-4.4935711376</v>
      </c>
      <c r="BB35" s="477">
        <v>-8.8222006121999996</v>
      </c>
      <c r="BC35" s="477">
        <v>-9.8414769929000006</v>
      </c>
      <c r="BD35" s="477">
        <v>-9.6293626731999993</v>
      </c>
      <c r="BE35" s="477">
        <v>-6.1984519426000002</v>
      </c>
      <c r="BF35" s="477">
        <v>-5.0171757152999996</v>
      </c>
      <c r="BG35" s="478">
        <v>-4.0951123524000002</v>
      </c>
      <c r="BH35" s="478">
        <v>-4.1839831176000004</v>
      </c>
      <c r="BI35" s="478">
        <v>-3.2163198533999999</v>
      </c>
      <c r="BJ35" s="478">
        <v>-1.9290287439</v>
      </c>
      <c r="BK35" s="478">
        <v>-0.26327662697999998</v>
      </c>
      <c r="BL35" s="478">
        <v>1.6936870971</v>
      </c>
      <c r="BM35" s="478">
        <v>4.0192512553000004</v>
      </c>
      <c r="BN35" s="478">
        <v>9.1183683784999996</v>
      </c>
      <c r="BO35" s="478">
        <v>10.588771724000001</v>
      </c>
      <c r="BP35" s="478">
        <v>10.580921069</v>
      </c>
      <c r="BQ35" s="478">
        <v>6.7703535240999999</v>
      </c>
      <c r="BR35" s="478">
        <v>5.7307688071999996</v>
      </c>
      <c r="BS35" s="478">
        <v>5.0332517007000002</v>
      </c>
      <c r="BT35" s="478">
        <v>5.0109185628999997</v>
      </c>
      <c r="BU35" s="478">
        <v>4.695461688</v>
      </c>
      <c r="BV35" s="478">
        <v>4.4384147189999998</v>
      </c>
    </row>
    <row r="36" spans="1:74" ht="11.1" customHeight="1" x14ac:dyDescent="0.2">
      <c r="A36" s="162" t="s">
        <v>846</v>
      </c>
      <c r="B36" s="173" t="s">
        <v>1141</v>
      </c>
      <c r="C36" s="250">
        <v>101.6725419</v>
      </c>
      <c r="D36" s="250">
        <v>101.83906148</v>
      </c>
      <c r="E36" s="250">
        <v>102.00428719999999</v>
      </c>
      <c r="F36" s="250">
        <v>102.18444156</v>
      </c>
      <c r="G36" s="250">
        <v>102.33491268</v>
      </c>
      <c r="H36" s="250">
        <v>102.47192305999999</v>
      </c>
      <c r="I36" s="250">
        <v>102.53777632000001</v>
      </c>
      <c r="J36" s="250">
        <v>102.6911375</v>
      </c>
      <c r="K36" s="250">
        <v>102.87431022</v>
      </c>
      <c r="L36" s="250">
        <v>103.10063044</v>
      </c>
      <c r="M36" s="250">
        <v>103.33342426</v>
      </c>
      <c r="N36" s="250">
        <v>103.58602763</v>
      </c>
      <c r="O36" s="250">
        <v>103.87553004</v>
      </c>
      <c r="P36" s="250">
        <v>104.15493542999999</v>
      </c>
      <c r="Q36" s="250">
        <v>104.44133327999999</v>
      </c>
      <c r="R36" s="250">
        <v>104.78422933</v>
      </c>
      <c r="S36" s="250">
        <v>105.0474828</v>
      </c>
      <c r="T36" s="250">
        <v>105.28059942</v>
      </c>
      <c r="U36" s="250">
        <v>105.46748495</v>
      </c>
      <c r="V36" s="250">
        <v>105.65239858</v>
      </c>
      <c r="W36" s="250">
        <v>105.81924604</v>
      </c>
      <c r="X36" s="250">
        <v>105.86989594000001</v>
      </c>
      <c r="Y36" s="250">
        <v>106.07420965</v>
      </c>
      <c r="Z36" s="250">
        <v>106.33405577000001</v>
      </c>
      <c r="AA36" s="250">
        <v>106.71836827</v>
      </c>
      <c r="AB36" s="250">
        <v>107.0375787</v>
      </c>
      <c r="AC36" s="250">
        <v>107.36062104</v>
      </c>
      <c r="AD36" s="250">
        <v>107.82510545</v>
      </c>
      <c r="AE36" s="250">
        <v>108.052604</v>
      </c>
      <c r="AF36" s="250">
        <v>108.18072684000001</v>
      </c>
      <c r="AG36" s="250">
        <v>108.13456840000001</v>
      </c>
      <c r="AH36" s="250">
        <v>108.12011902</v>
      </c>
      <c r="AI36" s="250">
        <v>108.06247310000001</v>
      </c>
      <c r="AJ36" s="250">
        <v>107.69443013999999</v>
      </c>
      <c r="AK36" s="250">
        <v>107.75079157</v>
      </c>
      <c r="AL36" s="250">
        <v>107.96435686</v>
      </c>
      <c r="AM36" s="250">
        <v>108.57158832</v>
      </c>
      <c r="AN36" s="250">
        <v>108.92221462000001</v>
      </c>
      <c r="AO36" s="250">
        <v>109.25269806</v>
      </c>
      <c r="AP36" s="250">
        <v>109.65025914</v>
      </c>
      <c r="AQ36" s="250">
        <v>109.87504149</v>
      </c>
      <c r="AR36" s="250">
        <v>110.0142656</v>
      </c>
      <c r="AS36" s="250">
        <v>110.0663442</v>
      </c>
      <c r="AT36" s="250">
        <v>110.03564231</v>
      </c>
      <c r="AU36" s="250">
        <v>109.92057266</v>
      </c>
      <c r="AV36" s="250">
        <v>109.71551925999999</v>
      </c>
      <c r="AW36" s="250">
        <v>109.43592605000001</v>
      </c>
      <c r="AX36" s="250">
        <v>109.07617705</v>
      </c>
      <c r="AY36" s="250">
        <v>109.95487287</v>
      </c>
      <c r="AZ36" s="250">
        <v>108.44586183</v>
      </c>
      <c r="BA36" s="250">
        <v>105.86774455</v>
      </c>
      <c r="BB36" s="250">
        <v>98.184719720000004</v>
      </c>
      <c r="BC36" s="250">
        <v>96.495240937999995</v>
      </c>
      <c r="BD36" s="250">
        <v>96.763506894000002</v>
      </c>
      <c r="BE36" s="250">
        <v>102.38495829999999</v>
      </c>
      <c r="BF36" s="250">
        <v>104.0221332</v>
      </c>
      <c r="BG36" s="403">
        <v>105.07047231</v>
      </c>
      <c r="BH36" s="403">
        <v>104.68259183000001</v>
      </c>
      <c r="BI36" s="403">
        <v>105.18879722</v>
      </c>
      <c r="BJ36" s="403">
        <v>105.74170467</v>
      </c>
      <c r="BK36" s="403">
        <v>106.43714335999999</v>
      </c>
      <c r="BL36" s="403">
        <v>107.01158306000001</v>
      </c>
      <c r="BM36" s="403">
        <v>107.56085295</v>
      </c>
      <c r="BN36" s="403">
        <v>108.18041875999999</v>
      </c>
      <c r="BO36" s="403">
        <v>108.60774970999999</v>
      </c>
      <c r="BP36" s="403">
        <v>108.93831154999999</v>
      </c>
      <c r="BQ36" s="403">
        <v>109.10025847999999</v>
      </c>
      <c r="BR36" s="403">
        <v>109.29116642</v>
      </c>
      <c r="BS36" s="403">
        <v>109.43918958</v>
      </c>
      <c r="BT36" s="403">
        <v>109.33369062</v>
      </c>
      <c r="BU36" s="403">
        <v>109.55392222</v>
      </c>
      <c r="BV36" s="403">
        <v>109.88924703000001</v>
      </c>
    </row>
    <row r="37" spans="1:74" ht="11.1" customHeight="1" x14ac:dyDescent="0.2">
      <c r="A37" s="162" t="s">
        <v>847</v>
      </c>
      <c r="B37" s="173" t="s">
        <v>845</v>
      </c>
      <c r="C37" s="477">
        <v>1.9098536290999999</v>
      </c>
      <c r="D37" s="477">
        <v>1.8346790643999999</v>
      </c>
      <c r="E37" s="477">
        <v>1.7716769365</v>
      </c>
      <c r="F37" s="477">
        <v>1.722834414</v>
      </c>
      <c r="G37" s="477">
        <v>1.6823004958000001</v>
      </c>
      <c r="H37" s="477">
        <v>1.6520792176000001</v>
      </c>
      <c r="I37" s="477">
        <v>1.5842979567</v>
      </c>
      <c r="J37" s="477">
        <v>1.6103677597999999</v>
      </c>
      <c r="K37" s="477">
        <v>1.682264371</v>
      </c>
      <c r="L37" s="477">
        <v>1.8687217334999999</v>
      </c>
      <c r="M37" s="477">
        <v>1.9803458142999999</v>
      </c>
      <c r="N37" s="477">
        <v>2.085919541</v>
      </c>
      <c r="O37" s="477">
        <v>2.1667483626999999</v>
      </c>
      <c r="P37" s="477">
        <v>2.2740527250000002</v>
      </c>
      <c r="Q37" s="477">
        <v>2.3891604495999998</v>
      </c>
      <c r="R37" s="477">
        <v>2.5442109652</v>
      </c>
      <c r="S37" s="477">
        <v>2.6506790742000002</v>
      </c>
      <c r="T37" s="477">
        <v>2.7409228578999998</v>
      </c>
      <c r="U37" s="477">
        <v>2.8571993016000001</v>
      </c>
      <c r="V37" s="477">
        <v>2.8836578773000001</v>
      </c>
      <c r="W37" s="477">
        <v>2.8626542627</v>
      </c>
      <c r="X37" s="477">
        <v>2.6859830873999999</v>
      </c>
      <c r="Y37" s="477">
        <v>2.6523706276999999</v>
      </c>
      <c r="Z37" s="477">
        <v>2.6528945993000002</v>
      </c>
      <c r="AA37" s="477">
        <v>2.7367737431000001</v>
      </c>
      <c r="AB37" s="477">
        <v>2.7676492284999998</v>
      </c>
      <c r="AC37" s="477">
        <v>2.7951460064</v>
      </c>
      <c r="AD37" s="477">
        <v>2.9020360613</v>
      </c>
      <c r="AE37" s="477">
        <v>2.8607265234999999</v>
      </c>
      <c r="AF37" s="477">
        <v>2.7546646171</v>
      </c>
      <c r="AG37" s="477">
        <v>2.5288205671999999</v>
      </c>
      <c r="AH37" s="477">
        <v>2.3356975060999998</v>
      </c>
      <c r="AI37" s="477">
        <v>2.1198667935</v>
      </c>
      <c r="AJ37" s="477">
        <v>1.7233739425000001</v>
      </c>
      <c r="AK37" s="477">
        <v>1.5805745053</v>
      </c>
      <c r="AL37" s="477">
        <v>1.5331881034999999</v>
      </c>
      <c r="AM37" s="477">
        <v>1.7365520856000001</v>
      </c>
      <c r="AN37" s="477">
        <v>1.7607236103999999</v>
      </c>
      <c r="AO37" s="477">
        <v>1.7623566258000001</v>
      </c>
      <c r="AP37" s="477">
        <v>1.6926982596</v>
      </c>
      <c r="AQ37" s="477">
        <v>1.6866206051999999</v>
      </c>
      <c r="AR37" s="477">
        <v>1.6948848569999999</v>
      </c>
      <c r="AS37" s="477">
        <v>1.7864553626999999</v>
      </c>
      <c r="AT37" s="477">
        <v>1.771662219</v>
      </c>
      <c r="AU37" s="477">
        <v>1.7194679204000001</v>
      </c>
      <c r="AV37" s="477">
        <v>1.8766886255999999</v>
      </c>
      <c r="AW37" s="477">
        <v>1.5639184239999999</v>
      </c>
      <c r="AX37" s="477">
        <v>1.0298030013999999</v>
      </c>
      <c r="AY37" s="477">
        <v>1.274075997</v>
      </c>
      <c r="AZ37" s="477">
        <v>-0.43733299819999999</v>
      </c>
      <c r="BA37" s="477">
        <v>-3.0982790953000001</v>
      </c>
      <c r="BB37" s="477">
        <v>-10.456463584</v>
      </c>
      <c r="BC37" s="477">
        <v>-12.177288279000001</v>
      </c>
      <c r="BD37" s="477">
        <v>-12.044582251</v>
      </c>
      <c r="BE37" s="477">
        <v>-6.9788689364999996</v>
      </c>
      <c r="BF37" s="477">
        <v>-5.4650556746000003</v>
      </c>
      <c r="BG37" s="478">
        <v>-4.4123681564000004</v>
      </c>
      <c r="BH37" s="478">
        <v>-4.5872520718000001</v>
      </c>
      <c r="BI37" s="478">
        <v>-3.8809273910000002</v>
      </c>
      <c r="BJ37" s="478">
        <v>-3.0570125081000001</v>
      </c>
      <c r="BK37" s="478">
        <v>-3.1992483928</v>
      </c>
      <c r="BL37" s="478">
        <v>-1.3225758392</v>
      </c>
      <c r="BM37" s="478">
        <v>1.5992674675</v>
      </c>
      <c r="BN37" s="478">
        <v>10.180503715</v>
      </c>
      <c r="BO37" s="478">
        <v>12.552441610000001</v>
      </c>
      <c r="BP37" s="478">
        <v>12.582020891999999</v>
      </c>
      <c r="BQ37" s="478">
        <v>6.5588737798999999</v>
      </c>
      <c r="BR37" s="478">
        <v>5.0653000999</v>
      </c>
      <c r="BS37" s="478">
        <v>4.1578924736999996</v>
      </c>
      <c r="BT37" s="478">
        <v>4.4430489467000003</v>
      </c>
      <c r="BU37" s="478">
        <v>4.1498002787999999</v>
      </c>
      <c r="BV37" s="478">
        <v>3.9223335500999998</v>
      </c>
    </row>
    <row r="38" spans="1:74" ht="11.1" customHeight="1" x14ac:dyDescent="0.2">
      <c r="A38" s="162" t="s">
        <v>848</v>
      </c>
      <c r="B38" s="173" t="s">
        <v>1142</v>
      </c>
      <c r="C38" s="250">
        <v>103.33347456</v>
      </c>
      <c r="D38" s="250">
        <v>103.70322348000001</v>
      </c>
      <c r="E38" s="250">
        <v>104.06192274</v>
      </c>
      <c r="F38" s="250">
        <v>104.41521890999999</v>
      </c>
      <c r="G38" s="250">
        <v>104.74758391</v>
      </c>
      <c r="H38" s="250">
        <v>105.0646643</v>
      </c>
      <c r="I38" s="250">
        <v>105.34338119</v>
      </c>
      <c r="J38" s="250">
        <v>105.64720156999999</v>
      </c>
      <c r="K38" s="250">
        <v>105.95304652999999</v>
      </c>
      <c r="L38" s="250">
        <v>106.23639849</v>
      </c>
      <c r="M38" s="250">
        <v>106.5646808</v>
      </c>
      <c r="N38" s="250">
        <v>106.91337587</v>
      </c>
      <c r="O38" s="250">
        <v>107.31565154</v>
      </c>
      <c r="P38" s="250">
        <v>107.68029627</v>
      </c>
      <c r="Q38" s="250">
        <v>108.04047789000001</v>
      </c>
      <c r="R38" s="250">
        <v>108.40795948</v>
      </c>
      <c r="S38" s="250">
        <v>108.7503926</v>
      </c>
      <c r="T38" s="250">
        <v>109.07954032000001</v>
      </c>
      <c r="U38" s="250">
        <v>109.40357718</v>
      </c>
      <c r="V38" s="250">
        <v>109.70002318</v>
      </c>
      <c r="W38" s="250">
        <v>109.97705286999999</v>
      </c>
      <c r="X38" s="250">
        <v>110.11678722000001</v>
      </c>
      <c r="Y38" s="250">
        <v>110.44339354</v>
      </c>
      <c r="Z38" s="250">
        <v>110.83899280999999</v>
      </c>
      <c r="AA38" s="250">
        <v>111.46823139999999</v>
      </c>
      <c r="AB38" s="250">
        <v>111.87833179</v>
      </c>
      <c r="AC38" s="250">
        <v>112.23394034</v>
      </c>
      <c r="AD38" s="250">
        <v>112.52481543</v>
      </c>
      <c r="AE38" s="250">
        <v>112.77912154000001</v>
      </c>
      <c r="AF38" s="250">
        <v>112.98661703000001</v>
      </c>
      <c r="AG38" s="250">
        <v>113.08571087999999</v>
      </c>
      <c r="AH38" s="250">
        <v>113.24577841</v>
      </c>
      <c r="AI38" s="250">
        <v>113.4052286</v>
      </c>
      <c r="AJ38" s="250">
        <v>113.44486745</v>
      </c>
      <c r="AK38" s="250">
        <v>113.69247844</v>
      </c>
      <c r="AL38" s="250">
        <v>114.02886758</v>
      </c>
      <c r="AM38" s="250">
        <v>114.66878092</v>
      </c>
      <c r="AN38" s="250">
        <v>115.02166683</v>
      </c>
      <c r="AO38" s="250">
        <v>115.30227135</v>
      </c>
      <c r="AP38" s="250">
        <v>115.52695257000001</v>
      </c>
      <c r="AQ38" s="250">
        <v>115.65072575000001</v>
      </c>
      <c r="AR38" s="250">
        <v>115.68994898</v>
      </c>
      <c r="AS38" s="250">
        <v>115.54415145999999</v>
      </c>
      <c r="AT38" s="250">
        <v>115.48962788999999</v>
      </c>
      <c r="AU38" s="250">
        <v>115.42590745</v>
      </c>
      <c r="AV38" s="250">
        <v>116.09338113</v>
      </c>
      <c r="AW38" s="250">
        <v>115.45597376000001</v>
      </c>
      <c r="AX38" s="250">
        <v>114.25407629999999</v>
      </c>
      <c r="AY38" s="250">
        <v>111.37651654</v>
      </c>
      <c r="AZ38" s="250">
        <v>109.87901809</v>
      </c>
      <c r="BA38" s="250">
        <v>108.65040873</v>
      </c>
      <c r="BB38" s="250">
        <v>107.16845103999999</v>
      </c>
      <c r="BC38" s="250">
        <v>106.86929790000001</v>
      </c>
      <c r="BD38" s="250">
        <v>107.23071191</v>
      </c>
      <c r="BE38" s="250">
        <v>109.24393743</v>
      </c>
      <c r="BF38" s="250">
        <v>110.18305244</v>
      </c>
      <c r="BG38" s="403">
        <v>111.03930131</v>
      </c>
      <c r="BH38" s="403">
        <v>111.68390051</v>
      </c>
      <c r="BI38" s="403">
        <v>112.47100474</v>
      </c>
      <c r="BJ38" s="403">
        <v>113.27183048000001</v>
      </c>
      <c r="BK38" s="403">
        <v>114.27113111</v>
      </c>
      <c r="BL38" s="403">
        <v>114.96083483</v>
      </c>
      <c r="BM38" s="403">
        <v>115.52569502999999</v>
      </c>
      <c r="BN38" s="403">
        <v>115.85238654</v>
      </c>
      <c r="BO38" s="403">
        <v>116.25255355</v>
      </c>
      <c r="BP38" s="403">
        <v>116.61287091</v>
      </c>
      <c r="BQ38" s="403">
        <v>116.85158706</v>
      </c>
      <c r="BR38" s="403">
        <v>117.19351878000001</v>
      </c>
      <c r="BS38" s="403">
        <v>117.55691449</v>
      </c>
      <c r="BT38" s="403">
        <v>117.88060924</v>
      </c>
      <c r="BU38" s="403">
        <v>118.33280671</v>
      </c>
      <c r="BV38" s="403">
        <v>118.85234192</v>
      </c>
    </row>
    <row r="39" spans="1:74" ht="11.1" customHeight="1" x14ac:dyDescent="0.2">
      <c r="A39" s="162" t="s">
        <v>849</v>
      </c>
      <c r="B39" s="173" t="s">
        <v>845</v>
      </c>
      <c r="C39" s="477">
        <v>3.5684559041999999</v>
      </c>
      <c r="D39" s="477">
        <v>3.7161919015999998</v>
      </c>
      <c r="E39" s="477">
        <v>3.8134050649</v>
      </c>
      <c r="F39" s="477">
        <v>3.8168891478</v>
      </c>
      <c r="G39" s="477">
        <v>3.8466183859999998</v>
      </c>
      <c r="H39" s="477">
        <v>3.8591604676000002</v>
      </c>
      <c r="I39" s="477">
        <v>3.8171161378999998</v>
      </c>
      <c r="J39" s="477">
        <v>3.8239166855</v>
      </c>
      <c r="K39" s="477">
        <v>3.8418121940000001</v>
      </c>
      <c r="L39" s="477">
        <v>3.9098465744999999</v>
      </c>
      <c r="M39" s="477">
        <v>3.9203123809</v>
      </c>
      <c r="N39" s="477">
        <v>3.9125762357</v>
      </c>
      <c r="O39" s="477">
        <v>3.8537143846999999</v>
      </c>
      <c r="P39" s="477">
        <v>3.8350522321999998</v>
      </c>
      <c r="Q39" s="477">
        <v>3.8232573965999999</v>
      </c>
      <c r="R39" s="477">
        <v>3.8239067152000001</v>
      </c>
      <c r="S39" s="477">
        <v>3.8213852233000001</v>
      </c>
      <c r="T39" s="477">
        <v>3.8213380704</v>
      </c>
      <c r="U39" s="477">
        <v>3.8542487881</v>
      </c>
      <c r="V39" s="477">
        <v>3.8361845416999998</v>
      </c>
      <c r="W39" s="477">
        <v>3.7979147110999998</v>
      </c>
      <c r="X39" s="477">
        <v>3.6525981527</v>
      </c>
      <c r="Y39" s="477">
        <v>3.6397732461999999</v>
      </c>
      <c r="Z39" s="477">
        <v>3.6717734393999999</v>
      </c>
      <c r="AA39" s="477">
        <v>3.8695006821</v>
      </c>
      <c r="AB39" s="477">
        <v>3.8986106710000001</v>
      </c>
      <c r="AC39" s="477">
        <v>3.8813808746</v>
      </c>
      <c r="AD39" s="477">
        <v>3.7975587541000002</v>
      </c>
      <c r="AE39" s="477">
        <v>3.7045649619000001</v>
      </c>
      <c r="AF39" s="477">
        <v>3.5818602658000001</v>
      </c>
      <c r="AG39" s="477">
        <v>3.3656428710999999</v>
      </c>
      <c r="AH39" s="477">
        <v>3.2322283296999998</v>
      </c>
      <c r="AI39" s="477">
        <v>3.1171736639000001</v>
      </c>
      <c r="AJ39" s="477">
        <v>3.0223186763999998</v>
      </c>
      <c r="AK39" s="477">
        <v>2.9418553656999999</v>
      </c>
      <c r="AL39" s="477">
        <v>2.8779355458999998</v>
      </c>
      <c r="AM39" s="477">
        <v>2.8712660823</v>
      </c>
      <c r="AN39" s="477">
        <v>2.8096012800999999</v>
      </c>
      <c r="AO39" s="477">
        <v>2.7338708773999998</v>
      </c>
      <c r="AP39" s="477">
        <v>2.6679778352999999</v>
      </c>
      <c r="AQ39" s="477">
        <v>2.5462197011000001</v>
      </c>
      <c r="AR39" s="477">
        <v>2.3926125247000001</v>
      </c>
      <c r="AS39" s="477">
        <v>2.173962178</v>
      </c>
      <c r="AT39" s="477">
        <v>1.9813978986</v>
      </c>
      <c r="AU39" s="477">
        <v>1.7818215951</v>
      </c>
      <c r="AV39" s="477">
        <v>2.3346262755999998</v>
      </c>
      <c r="AW39" s="477">
        <v>1.5511099271</v>
      </c>
      <c r="AX39" s="477">
        <v>0.19750149869</v>
      </c>
      <c r="AY39" s="477">
        <v>-2.8711078590999999</v>
      </c>
      <c r="AZ39" s="477">
        <v>-4.4710260945</v>
      </c>
      <c r="BA39" s="477">
        <v>-5.7690646897000004</v>
      </c>
      <c r="BB39" s="477">
        <v>-7.2351095086999999</v>
      </c>
      <c r="BC39" s="477">
        <v>-7.5930590068999999</v>
      </c>
      <c r="BD39" s="477">
        <v>-7.3119896294000002</v>
      </c>
      <c r="BE39" s="477">
        <v>-5.452646412</v>
      </c>
      <c r="BF39" s="477">
        <v>-4.5948502390000003</v>
      </c>
      <c r="BG39" s="478">
        <v>-3.8003653063999998</v>
      </c>
      <c r="BH39" s="478">
        <v>-3.798218796</v>
      </c>
      <c r="BI39" s="478">
        <v>-2.5853742509000002</v>
      </c>
      <c r="BJ39" s="478">
        <v>-0.85970308707999998</v>
      </c>
      <c r="BK39" s="478">
        <v>2.5989451410000002</v>
      </c>
      <c r="BL39" s="478">
        <v>4.6249200500000001</v>
      </c>
      <c r="BM39" s="478">
        <v>6.3278973184999998</v>
      </c>
      <c r="BN39" s="478">
        <v>8.1030708352000005</v>
      </c>
      <c r="BO39" s="478">
        <v>8.7801228572000003</v>
      </c>
      <c r="BP39" s="478">
        <v>8.7495073365000007</v>
      </c>
      <c r="BQ39" s="478">
        <v>6.9639101341999998</v>
      </c>
      <c r="BR39" s="478">
        <v>6.3625631865000001</v>
      </c>
      <c r="BS39" s="478">
        <v>5.8696453476999997</v>
      </c>
      <c r="BT39" s="478">
        <v>5.5484350945000003</v>
      </c>
      <c r="BU39" s="478">
        <v>5.2118339130000004</v>
      </c>
      <c r="BV39" s="478">
        <v>4.9266542420999997</v>
      </c>
    </row>
    <row r="40" spans="1:74" ht="11.1" customHeight="1" x14ac:dyDescent="0.2">
      <c r="B40" s="172"/>
      <c r="AY40" s="153"/>
      <c r="AZ40" s="153"/>
      <c r="BA40" s="153"/>
      <c r="BB40" s="153"/>
      <c r="BC40" s="153"/>
      <c r="BD40" s="153"/>
      <c r="BE40" s="153"/>
      <c r="BF40" s="153"/>
      <c r="BG40" s="153"/>
      <c r="BH40" s="153"/>
      <c r="BI40" s="153"/>
      <c r="BJ40" s="153"/>
    </row>
    <row r="41" spans="1:74" ht="11.1" customHeight="1" x14ac:dyDescent="0.2">
      <c r="B41" s="252" t="s">
        <v>877</v>
      </c>
      <c r="AY41" s="153"/>
      <c r="AZ41" s="153"/>
      <c r="BA41" s="153"/>
      <c r="BB41" s="153"/>
      <c r="BC41" s="153"/>
      <c r="BD41" s="153"/>
      <c r="BE41" s="153"/>
      <c r="BF41" s="153"/>
      <c r="BG41" s="153"/>
      <c r="BH41" s="153"/>
      <c r="BI41" s="153"/>
      <c r="BJ41" s="153"/>
    </row>
    <row r="42" spans="1:74" ht="11.1" customHeight="1" x14ac:dyDescent="0.2">
      <c r="A42" s="162" t="s">
        <v>878</v>
      </c>
      <c r="B42" s="173" t="s">
        <v>1143</v>
      </c>
      <c r="C42" s="250">
        <v>105.25840466</v>
      </c>
      <c r="D42" s="250">
        <v>105.34185608999999</v>
      </c>
      <c r="E42" s="250">
        <v>105.06271449</v>
      </c>
      <c r="F42" s="250">
        <v>103.6713811</v>
      </c>
      <c r="G42" s="250">
        <v>103.22925252</v>
      </c>
      <c r="H42" s="250">
        <v>102.98672999</v>
      </c>
      <c r="I42" s="250">
        <v>102.92417854999999</v>
      </c>
      <c r="J42" s="250">
        <v>103.09559433</v>
      </c>
      <c r="K42" s="250">
        <v>103.48134238</v>
      </c>
      <c r="L42" s="250">
        <v>104.62505627</v>
      </c>
      <c r="M42" s="250">
        <v>105.03174365</v>
      </c>
      <c r="N42" s="250">
        <v>105.2450381</v>
      </c>
      <c r="O42" s="250">
        <v>105.21425164</v>
      </c>
      <c r="P42" s="250">
        <v>105.07877621999999</v>
      </c>
      <c r="Q42" s="250">
        <v>104.78792385</v>
      </c>
      <c r="R42" s="250">
        <v>104.1597117</v>
      </c>
      <c r="S42" s="250">
        <v>103.69459259</v>
      </c>
      <c r="T42" s="250">
        <v>103.21058365</v>
      </c>
      <c r="U42" s="250">
        <v>102.4071244</v>
      </c>
      <c r="V42" s="250">
        <v>102.11075623000001</v>
      </c>
      <c r="W42" s="250">
        <v>102.02091863</v>
      </c>
      <c r="X42" s="250">
        <v>102.72651116</v>
      </c>
      <c r="Y42" s="250">
        <v>102.60806005000001</v>
      </c>
      <c r="Z42" s="250">
        <v>102.25446484</v>
      </c>
      <c r="AA42" s="250">
        <v>100.7795507</v>
      </c>
      <c r="AB42" s="250">
        <v>100.62029846</v>
      </c>
      <c r="AC42" s="250">
        <v>100.89053327000001</v>
      </c>
      <c r="AD42" s="250">
        <v>102.05925897</v>
      </c>
      <c r="AE42" s="250">
        <v>102.836715</v>
      </c>
      <c r="AF42" s="250">
        <v>103.69190519</v>
      </c>
      <c r="AG42" s="250">
        <v>105.04440934</v>
      </c>
      <c r="AH42" s="250">
        <v>105.74038304</v>
      </c>
      <c r="AI42" s="250">
        <v>106.19940606</v>
      </c>
      <c r="AJ42" s="250">
        <v>106.34509167</v>
      </c>
      <c r="AK42" s="250">
        <v>106.3875034</v>
      </c>
      <c r="AL42" s="250">
        <v>106.25025452</v>
      </c>
      <c r="AM42" s="250">
        <v>105.45916185</v>
      </c>
      <c r="AN42" s="250">
        <v>105.31822909</v>
      </c>
      <c r="AO42" s="250">
        <v>105.3532731</v>
      </c>
      <c r="AP42" s="250">
        <v>105.81812373</v>
      </c>
      <c r="AQ42" s="250">
        <v>106.01474883</v>
      </c>
      <c r="AR42" s="250">
        <v>106.19697827</v>
      </c>
      <c r="AS42" s="250">
        <v>106.44667311000001</v>
      </c>
      <c r="AT42" s="250">
        <v>106.53871544</v>
      </c>
      <c r="AU42" s="250">
        <v>106.55496632000001</v>
      </c>
      <c r="AV42" s="250">
        <v>106.28845113</v>
      </c>
      <c r="AW42" s="250">
        <v>106.30835005</v>
      </c>
      <c r="AX42" s="250">
        <v>106.40768846</v>
      </c>
      <c r="AY42" s="250">
        <v>106.50450271</v>
      </c>
      <c r="AZ42" s="250">
        <v>106.82419287</v>
      </c>
      <c r="BA42" s="250">
        <v>107.28479529000001</v>
      </c>
      <c r="BB42" s="250">
        <v>108.51730308</v>
      </c>
      <c r="BC42" s="250">
        <v>108.78648513</v>
      </c>
      <c r="BD42" s="250">
        <v>108.72333458</v>
      </c>
      <c r="BE42" s="250">
        <v>107.84199556</v>
      </c>
      <c r="BF42" s="250">
        <v>107.47857169</v>
      </c>
      <c r="BG42" s="403">
        <v>107.1472071</v>
      </c>
      <c r="BH42" s="403">
        <v>106.86968733</v>
      </c>
      <c r="BI42" s="403">
        <v>106.58610217</v>
      </c>
      <c r="BJ42" s="403">
        <v>106.31823713999999</v>
      </c>
      <c r="BK42" s="403">
        <v>106.02556201</v>
      </c>
      <c r="BL42" s="403">
        <v>105.81953493</v>
      </c>
      <c r="BM42" s="403">
        <v>105.65962567</v>
      </c>
      <c r="BN42" s="403">
        <v>105.6227198</v>
      </c>
      <c r="BO42" s="403">
        <v>105.497382</v>
      </c>
      <c r="BP42" s="403">
        <v>105.36049783999999</v>
      </c>
      <c r="BQ42" s="403">
        <v>105.20361035000001</v>
      </c>
      <c r="BR42" s="403">
        <v>105.04997622</v>
      </c>
      <c r="BS42" s="403">
        <v>104.89113845999999</v>
      </c>
      <c r="BT42" s="403">
        <v>104.71320265999999</v>
      </c>
      <c r="BU42" s="403">
        <v>104.55437847</v>
      </c>
      <c r="BV42" s="403">
        <v>104.40077144999999</v>
      </c>
    </row>
    <row r="43" spans="1:74" ht="11.1" customHeight="1" x14ac:dyDescent="0.2">
      <c r="A43" s="162" t="s">
        <v>879</v>
      </c>
      <c r="B43" s="470" t="s">
        <v>11</v>
      </c>
      <c r="C43" s="471">
        <v>5.9215660463999997</v>
      </c>
      <c r="D43" s="471">
        <v>5.2260651888999998</v>
      </c>
      <c r="E43" s="471">
        <v>4.5233249122999997</v>
      </c>
      <c r="F43" s="471">
        <v>3.8894772476999999</v>
      </c>
      <c r="G43" s="471">
        <v>3.087781347</v>
      </c>
      <c r="H43" s="471">
        <v>2.2143205069</v>
      </c>
      <c r="I43" s="471">
        <v>0.65299093496000005</v>
      </c>
      <c r="J43" s="471">
        <v>0.13251310621000001</v>
      </c>
      <c r="K43" s="471">
        <v>6.2717016806000002E-3</v>
      </c>
      <c r="L43" s="471">
        <v>1.0850408789999999</v>
      </c>
      <c r="M43" s="471">
        <v>1.1186366813999999</v>
      </c>
      <c r="N43" s="471">
        <v>0.92858460825</v>
      </c>
      <c r="O43" s="471">
        <v>-4.1947266626999997E-2</v>
      </c>
      <c r="P43" s="471">
        <v>-0.24973916448</v>
      </c>
      <c r="Q43" s="471">
        <v>-0.26154914967999998</v>
      </c>
      <c r="R43" s="471">
        <v>0.47103703754999998</v>
      </c>
      <c r="S43" s="471">
        <v>0.45078313525000002</v>
      </c>
      <c r="T43" s="471">
        <v>0.21736165536999999</v>
      </c>
      <c r="U43" s="471">
        <v>-0.50236413120000001</v>
      </c>
      <c r="V43" s="471">
        <v>-0.95526691547999998</v>
      </c>
      <c r="W43" s="471">
        <v>-1.4112918418</v>
      </c>
      <c r="X43" s="471">
        <v>-1.8146180065999999</v>
      </c>
      <c r="Y43" s="471">
        <v>-2.3075724690000001</v>
      </c>
      <c r="Z43" s="471">
        <v>-2.8415337243000001</v>
      </c>
      <c r="AA43" s="471">
        <v>-4.2149241794999996</v>
      </c>
      <c r="AB43" s="471">
        <v>-4.2429859888000001</v>
      </c>
      <c r="AC43" s="471">
        <v>-3.7193127188999999</v>
      </c>
      <c r="AD43" s="471">
        <v>-2.0165692661999999</v>
      </c>
      <c r="AE43" s="471">
        <v>-0.82731178874</v>
      </c>
      <c r="AF43" s="471">
        <v>0.46634901221000002</v>
      </c>
      <c r="AG43" s="471">
        <v>2.5752944046000001</v>
      </c>
      <c r="AH43" s="471">
        <v>3.5545979105000001</v>
      </c>
      <c r="AI43" s="471">
        <v>4.0957163312000002</v>
      </c>
      <c r="AJ43" s="471">
        <v>3.5225381193</v>
      </c>
      <c r="AK43" s="471">
        <v>3.6833786318000001</v>
      </c>
      <c r="AL43" s="471">
        <v>3.9076921268000002</v>
      </c>
      <c r="AM43" s="471">
        <v>4.6434133812000002</v>
      </c>
      <c r="AN43" s="471">
        <v>4.6689690877999999</v>
      </c>
      <c r="AO43" s="471">
        <v>4.4233484348000003</v>
      </c>
      <c r="AP43" s="471">
        <v>3.6830218067999998</v>
      </c>
      <c r="AQ43" s="471">
        <v>3.0903688771</v>
      </c>
      <c r="AR43" s="471">
        <v>2.4158810409</v>
      </c>
      <c r="AS43" s="471">
        <v>1.3349247042000001</v>
      </c>
      <c r="AT43" s="471">
        <v>0.75499291939000002</v>
      </c>
      <c r="AU43" s="471">
        <v>0.33480437344000002</v>
      </c>
      <c r="AV43" s="471">
        <v>-5.3261078966999997E-2</v>
      </c>
      <c r="AW43" s="471">
        <v>-7.4400991594000002E-2</v>
      </c>
      <c r="AX43" s="471">
        <v>0.14817277064000001</v>
      </c>
      <c r="AY43" s="471">
        <v>0.99122811780999998</v>
      </c>
      <c r="AZ43" s="471">
        <v>1.429917492</v>
      </c>
      <c r="BA43" s="471">
        <v>1.8333765363000001</v>
      </c>
      <c r="BB43" s="471">
        <v>2.5507722625999998</v>
      </c>
      <c r="BC43" s="471">
        <v>2.6144817906000002</v>
      </c>
      <c r="BD43" s="471">
        <v>2.3789342697999998</v>
      </c>
      <c r="BE43" s="471">
        <v>1.3108182781</v>
      </c>
      <c r="BF43" s="471">
        <v>0.88217343542000004</v>
      </c>
      <c r="BG43" s="472">
        <v>0.55580777315999996</v>
      </c>
      <c r="BH43" s="472">
        <v>0.54684793813999999</v>
      </c>
      <c r="BI43" s="472">
        <v>0.26127027788000001</v>
      </c>
      <c r="BJ43" s="472">
        <v>-8.4064717408000006E-2</v>
      </c>
      <c r="BK43" s="472">
        <v>-0.44969056848</v>
      </c>
      <c r="BL43" s="472">
        <v>-0.94047791460999997</v>
      </c>
      <c r="BM43" s="472">
        <v>-1.5148182053000001</v>
      </c>
      <c r="BN43" s="472">
        <v>-2.6673933123000002</v>
      </c>
      <c r="BO43" s="472">
        <v>-3.0234483005000001</v>
      </c>
      <c r="BP43" s="472">
        <v>-3.0930220732999998</v>
      </c>
      <c r="BQ43" s="472">
        <v>-2.4465285499</v>
      </c>
      <c r="BR43" s="472">
        <v>-2.2596089934000001</v>
      </c>
      <c r="BS43" s="472">
        <v>-2.1055785815000001</v>
      </c>
      <c r="BT43" s="472">
        <v>-2.0178637383</v>
      </c>
      <c r="BU43" s="472">
        <v>-1.9061806934000001</v>
      </c>
      <c r="BV43" s="472">
        <v>-1.8035153128000001</v>
      </c>
    </row>
    <row r="44" spans="1:74" ht="11.1" customHeight="1" x14ac:dyDescent="0.2"/>
    <row r="45" spans="1:74" ht="13.2" x14ac:dyDescent="0.25">
      <c r="B45" s="808" t="s">
        <v>826</v>
      </c>
      <c r="C45" s="805"/>
      <c r="D45" s="805"/>
      <c r="E45" s="805"/>
      <c r="F45" s="805"/>
      <c r="G45" s="805"/>
      <c r="H45" s="805"/>
      <c r="I45" s="805"/>
      <c r="J45" s="805"/>
      <c r="K45" s="805"/>
      <c r="L45" s="805"/>
      <c r="M45" s="805"/>
      <c r="N45" s="805"/>
      <c r="O45" s="805"/>
      <c r="P45" s="805"/>
      <c r="Q45" s="805"/>
    </row>
    <row r="46" spans="1:74" ht="12.75" customHeight="1" x14ac:dyDescent="0.2">
      <c r="B46" s="819" t="s">
        <v>661</v>
      </c>
      <c r="C46" s="795"/>
      <c r="D46" s="795"/>
      <c r="E46" s="795"/>
      <c r="F46" s="795"/>
      <c r="G46" s="795"/>
      <c r="H46" s="795"/>
      <c r="I46" s="795"/>
      <c r="J46" s="795"/>
      <c r="K46" s="795"/>
      <c r="L46" s="795"/>
      <c r="M46" s="795"/>
      <c r="N46" s="795"/>
      <c r="O46" s="795"/>
      <c r="P46" s="795"/>
      <c r="Q46" s="791"/>
    </row>
    <row r="47" spans="1:74" ht="12.75" customHeight="1" x14ac:dyDescent="0.2">
      <c r="B47" s="819" t="s">
        <v>1405</v>
      </c>
      <c r="C47" s="791"/>
      <c r="D47" s="791"/>
      <c r="E47" s="791"/>
      <c r="F47" s="791"/>
      <c r="G47" s="791"/>
      <c r="H47" s="791"/>
      <c r="I47" s="791"/>
      <c r="J47" s="791"/>
      <c r="K47" s="791"/>
      <c r="L47" s="791"/>
      <c r="M47" s="791"/>
      <c r="N47" s="791"/>
      <c r="O47" s="791"/>
      <c r="P47" s="791"/>
      <c r="Q47" s="791"/>
    </row>
    <row r="48" spans="1:74" ht="12.75" customHeight="1" x14ac:dyDescent="0.2">
      <c r="B48" s="819" t="s">
        <v>1404</v>
      </c>
      <c r="C48" s="791"/>
      <c r="D48" s="791"/>
      <c r="E48" s="791"/>
      <c r="F48" s="791"/>
      <c r="G48" s="791"/>
      <c r="H48" s="791"/>
      <c r="I48" s="791"/>
      <c r="J48" s="791"/>
      <c r="K48" s="791"/>
      <c r="L48" s="791"/>
      <c r="M48" s="791"/>
      <c r="N48" s="791"/>
      <c r="O48" s="791"/>
      <c r="P48" s="791"/>
      <c r="Q48" s="791"/>
    </row>
    <row r="49" spans="2:17" ht="23.85" customHeight="1" x14ac:dyDescent="0.2">
      <c r="B49" s="824" t="s">
        <v>1139</v>
      </c>
      <c r="C49" s="824"/>
      <c r="D49" s="824"/>
      <c r="E49" s="824"/>
      <c r="F49" s="824"/>
      <c r="G49" s="824"/>
      <c r="H49" s="824"/>
      <c r="I49" s="824"/>
      <c r="J49" s="824"/>
      <c r="K49" s="824"/>
      <c r="L49" s="824"/>
      <c r="M49" s="824"/>
      <c r="N49" s="824"/>
      <c r="O49" s="824"/>
      <c r="P49" s="824"/>
      <c r="Q49" s="824"/>
    </row>
    <row r="50" spans="2:17" ht="13.2" x14ac:dyDescent="0.2">
      <c r="B50" s="794" t="s">
        <v>851</v>
      </c>
      <c r="C50" s="795"/>
      <c r="D50" s="795"/>
      <c r="E50" s="795"/>
      <c r="F50" s="795"/>
      <c r="G50" s="795"/>
      <c r="H50" s="795"/>
      <c r="I50" s="795"/>
      <c r="J50" s="795"/>
      <c r="K50" s="795"/>
      <c r="L50" s="795"/>
      <c r="M50" s="795"/>
      <c r="N50" s="795"/>
      <c r="O50" s="795"/>
      <c r="P50" s="795"/>
      <c r="Q50" s="791"/>
    </row>
    <row r="51" spans="2:17" ht="14.85" customHeight="1" x14ac:dyDescent="0.2">
      <c r="B51" s="820" t="s">
        <v>873</v>
      </c>
      <c r="C51" s="791"/>
      <c r="D51" s="791"/>
      <c r="E51" s="791"/>
      <c r="F51" s="791"/>
      <c r="G51" s="791"/>
      <c r="H51" s="791"/>
      <c r="I51" s="791"/>
      <c r="J51" s="791"/>
      <c r="K51" s="791"/>
      <c r="L51" s="791"/>
      <c r="M51" s="791"/>
      <c r="N51" s="791"/>
      <c r="O51" s="791"/>
      <c r="P51" s="791"/>
      <c r="Q51" s="791"/>
    </row>
    <row r="52" spans="2:17" ht="13.2" x14ac:dyDescent="0.2">
      <c r="B52" s="789" t="s">
        <v>855</v>
      </c>
      <c r="C52" s="790"/>
      <c r="D52" s="790"/>
      <c r="E52" s="790"/>
      <c r="F52" s="790"/>
      <c r="G52" s="790"/>
      <c r="H52" s="790"/>
      <c r="I52" s="790"/>
      <c r="J52" s="790"/>
      <c r="K52" s="790"/>
      <c r="L52" s="790"/>
      <c r="M52" s="790"/>
      <c r="N52" s="790"/>
      <c r="O52" s="790"/>
      <c r="P52" s="790"/>
      <c r="Q52" s="791"/>
    </row>
    <row r="53" spans="2:17" ht="13.35" customHeight="1" x14ac:dyDescent="0.2">
      <c r="B53" s="811" t="s">
        <v>949</v>
      </c>
      <c r="C53" s="791"/>
      <c r="D53" s="791"/>
      <c r="E53" s="791"/>
      <c r="F53" s="791"/>
      <c r="G53" s="791"/>
      <c r="H53" s="791"/>
      <c r="I53" s="791"/>
      <c r="J53" s="791"/>
      <c r="K53" s="791"/>
      <c r="L53" s="791"/>
      <c r="M53" s="791"/>
      <c r="N53" s="791"/>
      <c r="O53" s="791"/>
      <c r="P53" s="791"/>
      <c r="Q53" s="791"/>
    </row>
  </sheetData>
  <mergeCells count="17">
    <mergeCell ref="BK3:BV3"/>
    <mergeCell ref="B1:BV1"/>
    <mergeCell ref="C3:N3"/>
    <mergeCell ref="O3:Z3"/>
    <mergeCell ref="AA3:AL3"/>
    <mergeCell ref="AM3:AX3"/>
    <mergeCell ref="A1:A2"/>
    <mergeCell ref="AY3:BJ3"/>
    <mergeCell ref="B53:Q53"/>
    <mergeCell ref="B48:Q48"/>
    <mergeCell ref="B50:Q50"/>
    <mergeCell ref="B51:Q51"/>
    <mergeCell ref="B52:Q52"/>
    <mergeCell ref="B49:Q49"/>
    <mergeCell ref="B45:Q45"/>
    <mergeCell ref="B46:Q46"/>
    <mergeCell ref="B47:Q47"/>
  </mergeCells>
  <phoneticPr fontId="3" type="noConversion"/>
  <hyperlinks>
    <hyperlink ref="A1:A2" location="Contents!A1" display="Table of Contents"/>
  </hyperlinks>
  <pageMargins left="0.75" right="0.75" top="1" bottom="1" header="0.5" footer="0.5"/>
  <pageSetup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7">
    <pageSetUpPr fitToPage="1"/>
  </sheetPr>
  <dimension ref="A1:BV140"/>
  <sheetViews>
    <sheetView showGridLines="0" zoomScaleNormal="100" workbookViewId="0">
      <pane xSplit="2" ySplit="4" topLeftCell="BB20" activePane="bottomRight" state="frozen"/>
      <selection activeCell="BF63" sqref="BF63"/>
      <selection pane="topRight" activeCell="BF63" sqref="BF63"/>
      <selection pane="bottomLeft" activeCell="BF63" sqref="BF63"/>
      <selection pane="bottomRight" activeCell="B1" sqref="B1:AL1"/>
    </sheetView>
  </sheetViews>
  <sheetFormatPr defaultColWidth="9.5546875" defaultRowHeight="10.199999999999999" x14ac:dyDescent="0.2"/>
  <cols>
    <col min="1" max="1" width="14.5546875" style="70" customWidth="1"/>
    <col min="2" max="2" width="40" style="47" customWidth="1"/>
    <col min="3" max="50" width="6.5546875" style="47" customWidth="1"/>
    <col min="51" max="55" width="6.5546875" style="402" customWidth="1"/>
    <col min="56" max="58" width="6.5546875" style="636" customWidth="1"/>
    <col min="59" max="62" width="6.5546875" style="402" customWidth="1"/>
    <col min="63" max="74" width="6.5546875" style="47" customWidth="1"/>
    <col min="75" max="16384" width="9.5546875" style="47"/>
  </cols>
  <sheetData>
    <row r="1" spans="1:74" ht="13.35" customHeight="1" x14ac:dyDescent="0.25">
      <c r="A1" s="797" t="s">
        <v>809</v>
      </c>
      <c r="B1" s="834" t="s">
        <v>924</v>
      </c>
      <c r="C1" s="835"/>
      <c r="D1" s="835"/>
      <c r="E1" s="835"/>
      <c r="F1" s="835"/>
      <c r="G1" s="835"/>
      <c r="H1" s="835"/>
      <c r="I1" s="835"/>
      <c r="J1" s="835"/>
      <c r="K1" s="835"/>
      <c r="L1" s="835"/>
      <c r="M1" s="835"/>
      <c r="N1" s="835"/>
      <c r="O1" s="835"/>
      <c r="P1" s="835"/>
      <c r="Q1" s="835"/>
      <c r="R1" s="835"/>
      <c r="S1" s="835"/>
      <c r="T1" s="835"/>
      <c r="U1" s="835"/>
      <c r="V1" s="835"/>
      <c r="W1" s="835"/>
      <c r="X1" s="835"/>
      <c r="Y1" s="835"/>
      <c r="Z1" s="835"/>
      <c r="AA1" s="835"/>
      <c r="AB1" s="835"/>
      <c r="AC1" s="835"/>
      <c r="AD1" s="835"/>
      <c r="AE1" s="835"/>
      <c r="AF1" s="835"/>
      <c r="AG1" s="835"/>
      <c r="AH1" s="835"/>
      <c r="AI1" s="835"/>
      <c r="AJ1" s="835"/>
      <c r="AK1" s="835"/>
      <c r="AL1" s="835"/>
      <c r="AM1" s="298"/>
    </row>
    <row r="2" spans="1:74" ht="13.2" x14ac:dyDescent="0.25">
      <c r="A2" s="798"/>
      <c r="B2" s="532" t="str">
        <f>"U.S. Energy Information Administration  |  Short-Term Energy Outlook  - "&amp;Dates!D1</f>
        <v>U.S. Energy Information Administration  |  Short-Term Energy Outlook  - September 2020</v>
      </c>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c r="AK2" s="533"/>
      <c r="AL2" s="533"/>
      <c r="AM2" s="298"/>
    </row>
    <row r="3" spans="1:74" s="12" customFormat="1" ht="13.2" x14ac:dyDescent="0.25">
      <c r="A3" s="14"/>
      <c r="B3" s="15"/>
      <c r="C3" s="806">
        <f>Dates!D3</f>
        <v>2016</v>
      </c>
      <c r="D3" s="802"/>
      <c r="E3" s="802"/>
      <c r="F3" s="802"/>
      <c r="G3" s="802"/>
      <c r="H3" s="802"/>
      <c r="I3" s="802"/>
      <c r="J3" s="802"/>
      <c r="K3" s="802"/>
      <c r="L3" s="802"/>
      <c r="M3" s="802"/>
      <c r="N3" s="803"/>
      <c r="O3" s="806">
        <f>C3+1</f>
        <v>2017</v>
      </c>
      <c r="P3" s="807"/>
      <c r="Q3" s="807"/>
      <c r="R3" s="807"/>
      <c r="S3" s="807"/>
      <c r="T3" s="807"/>
      <c r="U3" s="807"/>
      <c r="V3" s="807"/>
      <c r="W3" s="807"/>
      <c r="X3" s="802"/>
      <c r="Y3" s="802"/>
      <c r="Z3" s="803"/>
      <c r="AA3" s="799">
        <f>O3+1</f>
        <v>2018</v>
      </c>
      <c r="AB3" s="802"/>
      <c r="AC3" s="802"/>
      <c r="AD3" s="802"/>
      <c r="AE3" s="802"/>
      <c r="AF3" s="802"/>
      <c r="AG3" s="802"/>
      <c r="AH3" s="802"/>
      <c r="AI3" s="802"/>
      <c r="AJ3" s="802"/>
      <c r="AK3" s="802"/>
      <c r="AL3" s="803"/>
      <c r="AM3" s="799">
        <f>AA3+1</f>
        <v>2019</v>
      </c>
      <c r="AN3" s="802"/>
      <c r="AO3" s="802"/>
      <c r="AP3" s="802"/>
      <c r="AQ3" s="802"/>
      <c r="AR3" s="802"/>
      <c r="AS3" s="802"/>
      <c r="AT3" s="802"/>
      <c r="AU3" s="802"/>
      <c r="AV3" s="802"/>
      <c r="AW3" s="802"/>
      <c r="AX3" s="803"/>
      <c r="AY3" s="799">
        <f>AM3+1</f>
        <v>2020</v>
      </c>
      <c r="AZ3" s="800"/>
      <c r="BA3" s="800"/>
      <c r="BB3" s="800"/>
      <c r="BC3" s="800"/>
      <c r="BD3" s="800"/>
      <c r="BE3" s="800"/>
      <c r="BF3" s="800"/>
      <c r="BG3" s="800"/>
      <c r="BH3" s="800"/>
      <c r="BI3" s="800"/>
      <c r="BJ3" s="801"/>
      <c r="BK3" s="799">
        <f>AY3+1</f>
        <v>2021</v>
      </c>
      <c r="BL3" s="802"/>
      <c r="BM3" s="802"/>
      <c r="BN3" s="802"/>
      <c r="BO3" s="802"/>
      <c r="BP3" s="802"/>
      <c r="BQ3" s="802"/>
      <c r="BR3" s="802"/>
      <c r="BS3" s="802"/>
      <c r="BT3" s="802"/>
      <c r="BU3" s="802"/>
      <c r="BV3" s="803"/>
    </row>
    <row r="4" spans="1:74" s="12" customFormat="1" x14ac:dyDescent="0.2">
      <c r="A4" s="16"/>
      <c r="B4" s="17"/>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A5" s="57"/>
      <c r="B5" s="59" t="s">
        <v>782</v>
      </c>
      <c r="C5" s="58"/>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422"/>
      <c r="AZ5" s="422"/>
      <c r="BA5" s="422"/>
      <c r="BB5" s="422"/>
      <c r="BC5" s="422"/>
      <c r="BD5" s="58"/>
      <c r="BE5" s="58"/>
      <c r="BF5" s="58"/>
      <c r="BG5" s="58"/>
      <c r="BH5" s="422"/>
      <c r="BI5" s="422"/>
      <c r="BJ5" s="422"/>
      <c r="BK5" s="422"/>
      <c r="BL5" s="422"/>
      <c r="BM5" s="422"/>
      <c r="BN5" s="422"/>
      <c r="BO5" s="422"/>
      <c r="BP5" s="422"/>
      <c r="BQ5" s="422"/>
      <c r="BR5" s="422"/>
      <c r="BS5" s="422"/>
      <c r="BT5" s="422"/>
      <c r="BU5" s="422"/>
      <c r="BV5" s="422"/>
    </row>
    <row r="6" spans="1:74" ht="11.1" customHeight="1" x14ac:dyDescent="0.2">
      <c r="A6" s="57"/>
      <c r="B6" s="44" t="s">
        <v>751</v>
      </c>
      <c r="C6" s="60"/>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746"/>
      <c r="AY6" s="746"/>
      <c r="AZ6" s="746"/>
      <c r="BA6" s="746"/>
      <c r="BB6" s="746"/>
      <c r="BC6" s="746"/>
      <c r="BD6" s="746"/>
      <c r="BE6" s="746"/>
      <c r="BF6" s="746"/>
      <c r="BG6" s="746"/>
      <c r="BH6" s="746"/>
      <c r="BI6" s="746"/>
      <c r="BJ6" s="746"/>
      <c r="BK6" s="746"/>
      <c r="BL6" s="746"/>
      <c r="BM6" s="746"/>
      <c r="BN6" s="746"/>
      <c r="BO6" s="746"/>
      <c r="BP6" s="746"/>
      <c r="BQ6" s="746"/>
      <c r="BR6" s="746"/>
      <c r="BS6" s="746"/>
      <c r="BT6" s="746"/>
      <c r="BU6" s="746"/>
      <c r="BV6" s="746"/>
    </row>
    <row r="7" spans="1:74" ht="11.1" customHeight="1" x14ac:dyDescent="0.2">
      <c r="A7" s="61" t="s">
        <v>511</v>
      </c>
      <c r="B7" s="175" t="s">
        <v>121</v>
      </c>
      <c r="C7" s="215">
        <v>9.1971179999999997</v>
      </c>
      <c r="D7" s="215">
        <v>9.0555339999999998</v>
      </c>
      <c r="E7" s="215">
        <v>9.0890360000000001</v>
      </c>
      <c r="F7" s="215">
        <v>8.8688310000000001</v>
      </c>
      <c r="G7" s="215">
        <v>8.8227019999999996</v>
      </c>
      <c r="H7" s="215">
        <v>8.6541200000000007</v>
      </c>
      <c r="I7" s="215">
        <v>8.6457379999999997</v>
      </c>
      <c r="J7" s="215">
        <v>8.6762239999999995</v>
      </c>
      <c r="K7" s="215">
        <v>8.5338390000000004</v>
      </c>
      <c r="L7" s="215">
        <v>8.8341209999999997</v>
      </c>
      <c r="M7" s="215">
        <v>8.8974799999999998</v>
      </c>
      <c r="N7" s="215">
        <v>8.797784</v>
      </c>
      <c r="O7" s="215">
        <v>8.8633089999999992</v>
      </c>
      <c r="P7" s="215">
        <v>9.1026900000000008</v>
      </c>
      <c r="Q7" s="215">
        <v>9.1622000000000003</v>
      </c>
      <c r="R7" s="215">
        <v>9.1002700000000001</v>
      </c>
      <c r="S7" s="215">
        <v>9.1825460000000003</v>
      </c>
      <c r="T7" s="215">
        <v>9.1065900000000006</v>
      </c>
      <c r="U7" s="215">
        <v>9.2350600000000007</v>
      </c>
      <c r="V7" s="215">
        <v>9.2484660000000005</v>
      </c>
      <c r="W7" s="215">
        <v>9.5118550000000006</v>
      </c>
      <c r="X7" s="215">
        <v>9.6532400000000003</v>
      </c>
      <c r="Y7" s="215">
        <v>10.070655</v>
      </c>
      <c r="Z7" s="215">
        <v>9.9732780000000005</v>
      </c>
      <c r="AA7" s="215">
        <v>10.017673</v>
      </c>
      <c r="AB7" s="215">
        <v>10.281402999999999</v>
      </c>
      <c r="AC7" s="215">
        <v>10.504038</v>
      </c>
      <c r="AD7" s="215">
        <v>10.510258</v>
      </c>
      <c r="AE7" s="215">
        <v>10.459527</v>
      </c>
      <c r="AF7" s="215">
        <v>10.649082</v>
      </c>
      <c r="AG7" s="215">
        <v>10.890995999999999</v>
      </c>
      <c r="AH7" s="215">
        <v>11.360519</v>
      </c>
      <c r="AI7" s="215">
        <v>11.497683</v>
      </c>
      <c r="AJ7" s="215">
        <v>11.631364</v>
      </c>
      <c r="AK7" s="215">
        <v>11.999309</v>
      </c>
      <c r="AL7" s="215">
        <v>12.037535999999999</v>
      </c>
      <c r="AM7" s="215">
        <v>11.865012999999999</v>
      </c>
      <c r="AN7" s="215">
        <v>11.678834</v>
      </c>
      <c r="AO7" s="215">
        <v>11.937306</v>
      </c>
      <c r="AP7" s="215">
        <v>12.134698</v>
      </c>
      <c r="AQ7" s="215">
        <v>12.163192</v>
      </c>
      <c r="AR7" s="215">
        <v>12.087543999999999</v>
      </c>
      <c r="AS7" s="215">
        <v>11.819095000000001</v>
      </c>
      <c r="AT7" s="215">
        <v>12.424769</v>
      </c>
      <c r="AU7" s="215">
        <v>12.495187</v>
      </c>
      <c r="AV7" s="215">
        <v>12.672552</v>
      </c>
      <c r="AW7" s="215">
        <v>12.859780000000001</v>
      </c>
      <c r="AX7" s="215">
        <v>12.802096000000001</v>
      </c>
      <c r="AY7" s="215">
        <v>12.754821</v>
      </c>
      <c r="AZ7" s="215">
        <v>12.745602</v>
      </c>
      <c r="BA7" s="215">
        <v>12.737068000000001</v>
      </c>
      <c r="BB7" s="215">
        <v>12.009976999999999</v>
      </c>
      <c r="BC7" s="215">
        <v>10.016158000000001</v>
      </c>
      <c r="BD7" s="215">
        <v>10.436196000000001</v>
      </c>
      <c r="BE7" s="215">
        <v>10.737451406</v>
      </c>
      <c r="BF7" s="215">
        <v>10.802893702</v>
      </c>
      <c r="BG7" s="323">
        <v>11.20299</v>
      </c>
      <c r="BH7" s="323">
        <v>11.03722</v>
      </c>
      <c r="BI7" s="323">
        <v>11.13856</v>
      </c>
      <c r="BJ7" s="323">
        <v>11.057309999999999</v>
      </c>
      <c r="BK7" s="323">
        <v>10.97068</v>
      </c>
      <c r="BL7" s="323">
        <v>10.88705</v>
      </c>
      <c r="BM7" s="323">
        <v>11.02336</v>
      </c>
      <c r="BN7" s="323">
        <v>10.982480000000001</v>
      </c>
      <c r="BO7" s="323">
        <v>10.960940000000001</v>
      </c>
      <c r="BP7" s="323">
        <v>10.96618</v>
      </c>
      <c r="BQ7" s="323">
        <v>10.988429999999999</v>
      </c>
      <c r="BR7" s="323">
        <v>11.049530000000001</v>
      </c>
      <c r="BS7" s="323">
        <v>11.205270000000001</v>
      </c>
      <c r="BT7" s="323">
        <v>11.1585</v>
      </c>
      <c r="BU7" s="323">
        <v>11.367000000000001</v>
      </c>
      <c r="BV7" s="323">
        <v>11.432079999999999</v>
      </c>
    </row>
    <row r="8" spans="1:74" ht="11.1" customHeight="1" x14ac:dyDescent="0.2">
      <c r="A8" s="61" t="s">
        <v>512</v>
      </c>
      <c r="B8" s="175" t="s">
        <v>402</v>
      </c>
      <c r="C8" s="215">
        <v>0.51565700000000003</v>
      </c>
      <c r="D8" s="215">
        <v>0.50736000000000003</v>
      </c>
      <c r="E8" s="215">
        <v>0.51102199999999998</v>
      </c>
      <c r="F8" s="215">
        <v>0.48884100000000003</v>
      </c>
      <c r="G8" s="215">
        <v>0.50510900000000003</v>
      </c>
      <c r="H8" s="215">
        <v>0.47008499999999998</v>
      </c>
      <c r="I8" s="215">
        <v>0.43818699999999999</v>
      </c>
      <c r="J8" s="215">
        <v>0.46016499999999999</v>
      </c>
      <c r="K8" s="215">
        <v>0.45325500000000002</v>
      </c>
      <c r="L8" s="215">
        <v>0.49623</v>
      </c>
      <c r="M8" s="215">
        <v>0.514432</v>
      </c>
      <c r="N8" s="215">
        <v>0.52091200000000004</v>
      </c>
      <c r="O8" s="215">
        <v>0.51790499999999995</v>
      </c>
      <c r="P8" s="215">
        <v>0.515486</v>
      </c>
      <c r="Q8" s="215">
        <v>0.52579399999999998</v>
      </c>
      <c r="R8" s="215">
        <v>0.52529099999999995</v>
      </c>
      <c r="S8" s="215">
        <v>0.50753700000000002</v>
      </c>
      <c r="T8" s="215">
        <v>0.46144000000000002</v>
      </c>
      <c r="U8" s="215">
        <v>0.42263099999999998</v>
      </c>
      <c r="V8" s="215">
        <v>0.45069100000000001</v>
      </c>
      <c r="W8" s="215">
        <v>0.482157</v>
      </c>
      <c r="X8" s="215">
        <v>0.50662399999999996</v>
      </c>
      <c r="Y8" s="215">
        <v>0.50991500000000001</v>
      </c>
      <c r="Z8" s="215">
        <v>0.51234800000000003</v>
      </c>
      <c r="AA8" s="215">
        <v>0.50769600000000004</v>
      </c>
      <c r="AB8" s="215">
        <v>0.51309800000000005</v>
      </c>
      <c r="AC8" s="215">
        <v>0.51219199999999998</v>
      </c>
      <c r="AD8" s="215">
        <v>0.49740699999999999</v>
      </c>
      <c r="AE8" s="215">
        <v>0.49571500000000002</v>
      </c>
      <c r="AF8" s="215">
        <v>0.450706</v>
      </c>
      <c r="AG8" s="215">
        <v>0.39473399999999997</v>
      </c>
      <c r="AH8" s="215">
        <v>0.42770799999999998</v>
      </c>
      <c r="AI8" s="215">
        <v>0.47142299999999998</v>
      </c>
      <c r="AJ8" s="215">
        <v>0.48655500000000002</v>
      </c>
      <c r="AK8" s="215">
        <v>0.49729499999999999</v>
      </c>
      <c r="AL8" s="215">
        <v>0.49566199999999999</v>
      </c>
      <c r="AM8" s="215">
        <v>0.496226</v>
      </c>
      <c r="AN8" s="215">
        <v>0.48759200000000003</v>
      </c>
      <c r="AO8" s="215">
        <v>0.48107100000000003</v>
      </c>
      <c r="AP8" s="215">
        <v>0.47547200000000001</v>
      </c>
      <c r="AQ8" s="215">
        <v>0.47444999999999998</v>
      </c>
      <c r="AR8" s="215">
        <v>0.45476499999999997</v>
      </c>
      <c r="AS8" s="215">
        <v>0.44849899999999998</v>
      </c>
      <c r="AT8" s="215">
        <v>0.381745</v>
      </c>
      <c r="AU8" s="215">
        <v>0.44939299999999999</v>
      </c>
      <c r="AV8" s="215">
        <v>0.47478399999999998</v>
      </c>
      <c r="AW8" s="215">
        <v>0.48411100000000001</v>
      </c>
      <c r="AX8" s="215">
        <v>0.48136899999999999</v>
      </c>
      <c r="AY8" s="215">
        <v>0.48244900000000002</v>
      </c>
      <c r="AZ8" s="215">
        <v>0.47666599999999998</v>
      </c>
      <c r="BA8" s="215">
        <v>0.469553</v>
      </c>
      <c r="BB8" s="215">
        <v>0.46270299999999998</v>
      </c>
      <c r="BC8" s="215">
        <v>0.40412100000000001</v>
      </c>
      <c r="BD8" s="215">
        <v>0.36097499999999999</v>
      </c>
      <c r="BE8" s="215">
        <v>0.40510071809999998</v>
      </c>
      <c r="BF8" s="215">
        <v>0.43505562263999997</v>
      </c>
      <c r="BG8" s="323">
        <v>0.49783413261999998</v>
      </c>
      <c r="BH8" s="323">
        <v>0.48819009644</v>
      </c>
      <c r="BI8" s="323">
        <v>0.49085092139999997</v>
      </c>
      <c r="BJ8" s="323">
        <v>0.47896677266999999</v>
      </c>
      <c r="BK8" s="323">
        <v>0.49716001310000002</v>
      </c>
      <c r="BL8" s="323">
        <v>0.49306795988000002</v>
      </c>
      <c r="BM8" s="323">
        <v>0.49917190622000002</v>
      </c>
      <c r="BN8" s="323">
        <v>0.49371617492999997</v>
      </c>
      <c r="BO8" s="323">
        <v>0.48573009102999998</v>
      </c>
      <c r="BP8" s="323">
        <v>0.47390370811999999</v>
      </c>
      <c r="BQ8" s="323">
        <v>0.41941621896999998</v>
      </c>
      <c r="BR8" s="323">
        <v>0.44617810027999999</v>
      </c>
      <c r="BS8" s="323">
        <v>0.52015012747</v>
      </c>
      <c r="BT8" s="323">
        <v>0.50072615496999995</v>
      </c>
      <c r="BU8" s="323">
        <v>0.49782092092000002</v>
      </c>
      <c r="BV8" s="323">
        <v>0.48226229116000002</v>
      </c>
    </row>
    <row r="9" spans="1:74" ht="11.1" customHeight="1" x14ac:dyDescent="0.2">
      <c r="A9" s="61" t="s">
        <v>513</v>
      </c>
      <c r="B9" s="175" t="s">
        <v>238</v>
      </c>
      <c r="C9" s="215">
        <v>1.593156</v>
      </c>
      <c r="D9" s="215">
        <v>1.549744</v>
      </c>
      <c r="E9" s="215">
        <v>1.6117429999999999</v>
      </c>
      <c r="F9" s="215">
        <v>1.57376</v>
      </c>
      <c r="G9" s="215">
        <v>1.5928370000000001</v>
      </c>
      <c r="H9" s="215">
        <v>1.5509649999999999</v>
      </c>
      <c r="I9" s="215">
        <v>1.568127</v>
      </c>
      <c r="J9" s="215">
        <v>1.6181540000000001</v>
      </c>
      <c r="K9" s="215">
        <v>1.508737</v>
      </c>
      <c r="L9" s="215">
        <v>1.6065149999999999</v>
      </c>
      <c r="M9" s="215">
        <v>1.6831849999999999</v>
      </c>
      <c r="N9" s="215">
        <v>1.724855</v>
      </c>
      <c r="O9" s="215">
        <v>1.7394369999999999</v>
      </c>
      <c r="P9" s="215">
        <v>1.753617</v>
      </c>
      <c r="Q9" s="215">
        <v>1.7753479999999999</v>
      </c>
      <c r="R9" s="215">
        <v>1.664444</v>
      </c>
      <c r="S9" s="215">
        <v>1.684928</v>
      </c>
      <c r="T9" s="215">
        <v>1.6313260000000001</v>
      </c>
      <c r="U9" s="215">
        <v>1.756802</v>
      </c>
      <c r="V9" s="215">
        <v>1.7186079999999999</v>
      </c>
      <c r="W9" s="215">
        <v>1.6933499999999999</v>
      </c>
      <c r="X9" s="215">
        <v>1.482453</v>
      </c>
      <c r="Y9" s="215">
        <v>1.698094</v>
      </c>
      <c r="Z9" s="215">
        <v>1.5693379999999999</v>
      </c>
      <c r="AA9" s="215">
        <v>1.637634</v>
      </c>
      <c r="AB9" s="215">
        <v>1.7126349999999999</v>
      </c>
      <c r="AC9" s="215">
        <v>1.704723</v>
      </c>
      <c r="AD9" s="215">
        <v>1.6027009999999999</v>
      </c>
      <c r="AE9" s="215">
        <v>1.5363929999999999</v>
      </c>
      <c r="AF9" s="215">
        <v>1.663767</v>
      </c>
      <c r="AG9" s="215">
        <v>1.866994</v>
      </c>
      <c r="AH9" s="215">
        <v>1.954907</v>
      </c>
      <c r="AI9" s="215">
        <v>1.7976780000000001</v>
      </c>
      <c r="AJ9" s="215">
        <v>1.7514959999999999</v>
      </c>
      <c r="AK9" s="215">
        <v>1.950248</v>
      </c>
      <c r="AL9" s="215">
        <v>1.9064890000000001</v>
      </c>
      <c r="AM9" s="215">
        <v>1.9173659999999999</v>
      </c>
      <c r="AN9" s="215">
        <v>1.7367360000000001</v>
      </c>
      <c r="AO9" s="215">
        <v>1.9251119999999999</v>
      </c>
      <c r="AP9" s="215">
        <v>1.962815</v>
      </c>
      <c r="AQ9" s="215">
        <v>1.9138930000000001</v>
      </c>
      <c r="AR9" s="215">
        <v>1.9155709999999999</v>
      </c>
      <c r="AS9" s="215">
        <v>1.53226</v>
      </c>
      <c r="AT9" s="215">
        <v>2.0450599999999999</v>
      </c>
      <c r="AU9" s="215">
        <v>1.9173500000000001</v>
      </c>
      <c r="AV9" s="215">
        <v>1.9145570000000001</v>
      </c>
      <c r="AW9" s="215">
        <v>2.0006110000000001</v>
      </c>
      <c r="AX9" s="215">
        <v>1.972947</v>
      </c>
      <c r="AY9" s="215">
        <v>1.981495</v>
      </c>
      <c r="AZ9" s="215">
        <v>1.971158</v>
      </c>
      <c r="BA9" s="215">
        <v>1.930739</v>
      </c>
      <c r="BB9" s="215">
        <v>1.911754</v>
      </c>
      <c r="BC9" s="215">
        <v>1.611945</v>
      </c>
      <c r="BD9" s="215">
        <v>1.563364</v>
      </c>
      <c r="BE9" s="215">
        <v>1.5556413887</v>
      </c>
      <c r="BF9" s="215">
        <v>1.3961242518999999</v>
      </c>
      <c r="BG9" s="323">
        <v>1.8793759701999999</v>
      </c>
      <c r="BH9" s="323">
        <v>1.791607277</v>
      </c>
      <c r="BI9" s="323">
        <v>1.9634082285000001</v>
      </c>
      <c r="BJ9" s="323">
        <v>1.9911438336</v>
      </c>
      <c r="BK9" s="323">
        <v>1.9805653811999999</v>
      </c>
      <c r="BL9" s="323">
        <v>1.974954165</v>
      </c>
      <c r="BM9" s="323">
        <v>1.9652842558000001</v>
      </c>
      <c r="BN9" s="323">
        <v>1.9561512051000001</v>
      </c>
      <c r="BO9" s="323">
        <v>1.9475234225</v>
      </c>
      <c r="BP9" s="323">
        <v>1.9102816831</v>
      </c>
      <c r="BQ9" s="323">
        <v>1.8930382367</v>
      </c>
      <c r="BR9" s="323">
        <v>1.837799915</v>
      </c>
      <c r="BS9" s="323">
        <v>1.8397047094000001</v>
      </c>
      <c r="BT9" s="323">
        <v>1.7495523168</v>
      </c>
      <c r="BU9" s="323">
        <v>1.9183442727</v>
      </c>
      <c r="BV9" s="323">
        <v>1.9736254424999999</v>
      </c>
    </row>
    <row r="10" spans="1:74" ht="11.1" customHeight="1" x14ac:dyDescent="0.2">
      <c r="A10" s="61" t="s">
        <v>514</v>
      </c>
      <c r="B10" s="175" t="s">
        <v>120</v>
      </c>
      <c r="C10" s="215">
        <v>7.0883050000000001</v>
      </c>
      <c r="D10" s="215">
        <v>6.9984299999999999</v>
      </c>
      <c r="E10" s="215">
        <v>6.9662709999999999</v>
      </c>
      <c r="F10" s="215">
        <v>6.8062300000000002</v>
      </c>
      <c r="G10" s="215">
        <v>6.7247560000000002</v>
      </c>
      <c r="H10" s="215">
        <v>6.63307</v>
      </c>
      <c r="I10" s="215">
        <v>6.639424</v>
      </c>
      <c r="J10" s="215">
        <v>6.5979049999999999</v>
      </c>
      <c r="K10" s="215">
        <v>6.571847</v>
      </c>
      <c r="L10" s="215">
        <v>6.731376</v>
      </c>
      <c r="M10" s="215">
        <v>6.6998629999999997</v>
      </c>
      <c r="N10" s="215">
        <v>6.5520170000000002</v>
      </c>
      <c r="O10" s="215">
        <v>6.6059669999999997</v>
      </c>
      <c r="P10" s="215">
        <v>6.8335869999999996</v>
      </c>
      <c r="Q10" s="215">
        <v>6.8610579999999999</v>
      </c>
      <c r="R10" s="215">
        <v>6.9105350000000003</v>
      </c>
      <c r="S10" s="215">
        <v>6.990081</v>
      </c>
      <c r="T10" s="215">
        <v>7.0138239999999996</v>
      </c>
      <c r="U10" s="215">
        <v>7.0556270000000003</v>
      </c>
      <c r="V10" s="215">
        <v>7.079167</v>
      </c>
      <c r="W10" s="215">
        <v>7.3363480000000001</v>
      </c>
      <c r="X10" s="215">
        <v>7.6641630000000003</v>
      </c>
      <c r="Y10" s="215">
        <v>7.8626459999999998</v>
      </c>
      <c r="Z10" s="215">
        <v>7.8915920000000002</v>
      </c>
      <c r="AA10" s="215">
        <v>7.8723429999999999</v>
      </c>
      <c r="AB10" s="215">
        <v>8.0556699999999992</v>
      </c>
      <c r="AC10" s="215">
        <v>8.2871229999999994</v>
      </c>
      <c r="AD10" s="215">
        <v>8.4101499999999998</v>
      </c>
      <c r="AE10" s="215">
        <v>8.4274190000000004</v>
      </c>
      <c r="AF10" s="215">
        <v>8.5346089999999997</v>
      </c>
      <c r="AG10" s="215">
        <v>8.6292679999999997</v>
      </c>
      <c r="AH10" s="215">
        <v>8.9779040000000006</v>
      </c>
      <c r="AI10" s="215">
        <v>9.2285819999999994</v>
      </c>
      <c r="AJ10" s="215">
        <v>9.3933129999999991</v>
      </c>
      <c r="AK10" s="215">
        <v>9.5517660000000006</v>
      </c>
      <c r="AL10" s="215">
        <v>9.6353849999999994</v>
      </c>
      <c r="AM10" s="215">
        <v>9.4514209999999999</v>
      </c>
      <c r="AN10" s="215">
        <v>9.4545060000000003</v>
      </c>
      <c r="AO10" s="215">
        <v>9.5311229999999991</v>
      </c>
      <c r="AP10" s="215">
        <v>9.6964109999999994</v>
      </c>
      <c r="AQ10" s="215">
        <v>9.7748489999999997</v>
      </c>
      <c r="AR10" s="215">
        <v>9.7172079999999994</v>
      </c>
      <c r="AS10" s="215">
        <v>9.838336</v>
      </c>
      <c r="AT10" s="215">
        <v>9.9979639999999996</v>
      </c>
      <c r="AU10" s="215">
        <v>10.128444</v>
      </c>
      <c r="AV10" s="215">
        <v>10.283211</v>
      </c>
      <c r="AW10" s="215">
        <v>10.375057999999999</v>
      </c>
      <c r="AX10" s="215">
        <v>10.34778</v>
      </c>
      <c r="AY10" s="215">
        <v>10.290877</v>
      </c>
      <c r="AZ10" s="215">
        <v>10.297777999999999</v>
      </c>
      <c r="BA10" s="215">
        <v>10.336776</v>
      </c>
      <c r="BB10" s="215">
        <v>9.6355199999999996</v>
      </c>
      <c r="BC10" s="215">
        <v>8.0000920000000004</v>
      </c>
      <c r="BD10" s="215">
        <v>8.5118569999999991</v>
      </c>
      <c r="BE10" s="215">
        <v>8.7767092996000002</v>
      </c>
      <c r="BF10" s="215">
        <v>8.9717138274000003</v>
      </c>
      <c r="BG10" s="323">
        <v>8.8257757375000008</v>
      </c>
      <c r="BH10" s="323">
        <v>8.7574211803999997</v>
      </c>
      <c r="BI10" s="323">
        <v>8.6843038078999992</v>
      </c>
      <c r="BJ10" s="323">
        <v>8.5872020596999992</v>
      </c>
      <c r="BK10" s="323">
        <v>8.4929566822000009</v>
      </c>
      <c r="BL10" s="323">
        <v>8.4190251919999994</v>
      </c>
      <c r="BM10" s="323">
        <v>8.5589035655999997</v>
      </c>
      <c r="BN10" s="323">
        <v>8.5326097924000006</v>
      </c>
      <c r="BO10" s="323">
        <v>8.5276904919999996</v>
      </c>
      <c r="BP10" s="323">
        <v>8.5819916639000002</v>
      </c>
      <c r="BQ10" s="323">
        <v>8.6759795235000006</v>
      </c>
      <c r="BR10" s="323">
        <v>8.7655569666000002</v>
      </c>
      <c r="BS10" s="323">
        <v>8.8454142318999995</v>
      </c>
      <c r="BT10" s="323">
        <v>8.9082215066000003</v>
      </c>
      <c r="BU10" s="323">
        <v>8.9508336127000003</v>
      </c>
      <c r="BV10" s="323">
        <v>8.9761942878000003</v>
      </c>
    </row>
    <row r="11" spans="1:74" ht="11.1" customHeight="1" x14ac:dyDescent="0.2">
      <c r="A11" s="61" t="s">
        <v>748</v>
      </c>
      <c r="B11" s="175" t="s">
        <v>122</v>
      </c>
      <c r="C11" s="215">
        <v>7.1254619999999997</v>
      </c>
      <c r="D11" s="215">
        <v>7.4596780000000003</v>
      </c>
      <c r="E11" s="215">
        <v>7.416506</v>
      </c>
      <c r="F11" s="215">
        <v>6.987679</v>
      </c>
      <c r="G11" s="215">
        <v>7.1398349999999997</v>
      </c>
      <c r="H11" s="215">
        <v>7.0295759999999996</v>
      </c>
      <c r="I11" s="215">
        <v>7.5604620000000002</v>
      </c>
      <c r="J11" s="215">
        <v>7.2951889999999997</v>
      </c>
      <c r="K11" s="215">
        <v>7.2657489999999996</v>
      </c>
      <c r="L11" s="215">
        <v>7.0681960000000004</v>
      </c>
      <c r="M11" s="215">
        <v>7.417357</v>
      </c>
      <c r="N11" s="215">
        <v>7.3489389999999997</v>
      </c>
      <c r="O11" s="215">
        <v>7.7666180000000002</v>
      </c>
      <c r="P11" s="215">
        <v>6.7309130000000001</v>
      </c>
      <c r="Q11" s="215">
        <v>7.2349480000000002</v>
      </c>
      <c r="R11" s="215">
        <v>7.0765719999999996</v>
      </c>
      <c r="S11" s="215">
        <v>7.3889500000000004</v>
      </c>
      <c r="T11" s="215">
        <v>7.224145</v>
      </c>
      <c r="U11" s="215">
        <v>6.9589410000000003</v>
      </c>
      <c r="V11" s="215">
        <v>7.1055869999999999</v>
      </c>
      <c r="W11" s="215">
        <v>5.860284</v>
      </c>
      <c r="X11" s="215">
        <v>5.9607109999999999</v>
      </c>
      <c r="Y11" s="215">
        <v>6.1302180000000002</v>
      </c>
      <c r="Z11" s="215">
        <v>6.2600389999999999</v>
      </c>
      <c r="AA11" s="215">
        <v>6.6558380000000001</v>
      </c>
      <c r="AB11" s="215">
        <v>5.7626109999999997</v>
      </c>
      <c r="AC11" s="215">
        <v>5.650512</v>
      </c>
      <c r="AD11" s="215">
        <v>6.3342210000000003</v>
      </c>
      <c r="AE11" s="215">
        <v>5.7670110000000001</v>
      </c>
      <c r="AF11" s="215">
        <v>6.2085739999999996</v>
      </c>
      <c r="AG11" s="215">
        <v>5.6292080000000002</v>
      </c>
      <c r="AH11" s="215">
        <v>6.1302110000000001</v>
      </c>
      <c r="AI11" s="215">
        <v>5.578074</v>
      </c>
      <c r="AJ11" s="215">
        <v>5.097556</v>
      </c>
      <c r="AK11" s="215">
        <v>5.1412800000000001</v>
      </c>
      <c r="AL11" s="215">
        <v>4.7062280000000003</v>
      </c>
      <c r="AM11" s="215">
        <v>4.9153419999999999</v>
      </c>
      <c r="AN11" s="215">
        <v>3.7550110000000001</v>
      </c>
      <c r="AO11" s="215">
        <v>4.1100700000000003</v>
      </c>
      <c r="AP11" s="215">
        <v>4.0878839999999999</v>
      </c>
      <c r="AQ11" s="215">
        <v>4.1950570000000003</v>
      </c>
      <c r="AR11" s="215">
        <v>4.0522790000000004</v>
      </c>
      <c r="AS11" s="215">
        <v>4.232246</v>
      </c>
      <c r="AT11" s="215">
        <v>4.1892469999999999</v>
      </c>
      <c r="AU11" s="215">
        <v>3.3901720000000002</v>
      </c>
      <c r="AV11" s="215">
        <v>2.8297590000000001</v>
      </c>
      <c r="AW11" s="215">
        <v>2.737447</v>
      </c>
      <c r="AX11" s="215">
        <v>3.2964319999999998</v>
      </c>
      <c r="AY11" s="215">
        <v>3.1577459999999999</v>
      </c>
      <c r="AZ11" s="215">
        <v>2.811439</v>
      </c>
      <c r="BA11" s="215">
        <v>2.7393239999999999</v>
      </c>
      <c r="BB11" s="215">
        <v>2.4423560000000002</v>
      </c>
      <c r="BC11" s="215">
        <v>3.158274</v>
      </c>
      <c r="BD11" s="215">
        <v>3.644476</v>
      </c>
      <c r="BE11" s="215">
        <v>2.9089677419000002</v>
      </c>
      <c r="BF11" s="215">
        <v>2.7206442581000001</v>
      </c>
      <c r="BG11" s="323">
        <v>2.6420940000000002</v>
      </c>
      <c r="BH11" s="323">
        <v>4.0176379999999998</v>
      </c>
      <c r="BI11" s="323">
        <v>4.3718149999999998</v>
      </c>
      <c r="BJ11" s="323">
        <v>4.782025</v>
      </c>
      <c r="BK11" s="323">
        <v>4.763255</v>
      </c>
      <c r="BL11" s="323">
        <v>4.3644759999999998</v>
      </c>
      <c r="BM11" s="323">
        <v>4.6742470000000003</v>
      </c>
      <c r="BN11" s="323">
        <v>4.9168909999999997</v>
      </c>
      <c r="BO11" s="323">
        <v>5.2115179999999999</v>
      </c>
      <c r="BP11" s="323">
        <v>4.7655349999999999</v>
      </c>
      <c r="BQ11" s="323">
        <v>5.4689899999999998</v>
      </c>
      <c r="BR11" s="323">
        <v>5.3262080000000003</v>
      </c>
      <c r="BS11" s="323">
        <v>5.2476700000000003</v>
      </c>
      <c r="BT11" s="323">
        <v>5.160793</v>
      </c>
      <c r="BU11" s="323">
        <v>5.0549540000000004</v>
      </c>
      <c r="BV11" s="323">
        <v>5.0483010000000004</v>
      </c>
    </row>
    <row r="12" spans="1:74" ht="11.1" customHeight="1" x14ac:dyDescent="0.2">
      <c r="A12" s="61" t="s">
        <v>750</v>
      </c>
      <c r="B12" s="175" t="s">
        <v>126</v>
      </c>
      <c r="C12" s="215">
        <v>9.6774193549999994E-5</v>
      </c>
      <c r="D12" s="215">
        <v>6.8965517240000005E-5</v>
      </c>
      <c r="E12" s="215">
        <v>6.4516129034000001E-5</v>
      </c>
      <c r="F12" s="215">
        <v>1.6666666666999999E-4</v>
      </c>
      <c r="G12" s="215">
        <v>9.6774193546000006E-5</v>
      </c>
      <c r="H12" s="215">
        <v>1.3333333332999999E-4</v>
      </c>
      <c r="I12" s="215">
        <v>1.2903225807E-4</v>
      </c>
      <c r="J12" s="215">
        <v>9.6774193549999994E-5</v>
      </c>
      <c r="K12" s="215">
        <v>9.9999999998000004E-5</v>
      </c>
      <c r="L12" s="215">
        <v>9.6774193549999994E-5</v>
      </c>
      <c r="M12" s="215">
        <v>1E-4</v>
      </c>
      <c r="N12" s="215">
        <v>6.4516129031E-5</v>
      </c>
      <c r="O12" s="215">
        <v>1.2903225807E-4</v>
      </c>
      <c r="P12" s="215">
        <v>9.0357142857000004E-3</v>
      </c>
      <c r="Q12" s="215">
        <v>0.10693548387</v>
      </c>
      <c r="R12" s="215">
        <v>9.0766666667000007E-2</v>
      </c>
      <c r="S12" s="215">
        <v>0.13900000000000001</v>
      </c>
      <c r="T12" s="215">
        <v>0.17680000000000001</v>
      </c>
      <c r="U12" s="215">
        <v>9.3870967742000003E-3</v>
      </c>
      <c r="V12" s="215">
        <v>2.7096774194000002E-3</v>
      </c>
      <c r="W12" s="215">
        <v>0.17196666666999999</v>
      </c>
      <c r="X12" s="215">
        <v>0.15125806452000001</v>
      </c>
      <c r="Y12" s="215">
        <v>0.25576666666999998</v>
      </c>
      <c r="Z12" s="215">
        <v>-5.0096774194E-2</v>
      </c>
      <c r="AA12" s="215">
        <v>-4.5258064516E-2</v>
      </c>
      <c r="AB12" s="215">
        <v>-4.3714285713999997E-2</v>
      </c>
      <c r="AC12" s="215">
        <v>6.4516129031E-5</v>
      </c>
      <c r="AD12" s="215">
        <v>4.9666666667000002E-2</v>
      </c>
      <c r="AE12" s="215">
        <v>0.1225483871</v>
      </c>
      <c r="AF12" s="215">
        <v>5.0666666666999999E-3</v>
      </c>
      <c r="AG12" s="215">
        <v>6.4516129031E-5</v>
      </c>
      <c r="AH12" s="215">
        <v>6.4516129034000001E-5</v>
      </c>
      <c r="AI12" s="215">
        <v>6.6666666664999994E-5</v>
      </c>
      <c r="AJ12" s="215">
        <v>0.16674193547999999</v>
      </c>
      <c r="AK12" s="215">
        <v>0.17576666666999999</v>
      </c>
      <c r="AL12" s="215">
        <v>1.3806451613000001E-2</v>
      </c>
      <c r="AM12" s="215">
        <v>0</v>
      </c>
      <c r="AN12" s="215">
        <v>4.6428571429000002E-4</v>
      </c>
      <c r="AO12" s="215">
        <v>0</v>
      </c>
      <c r="AP12" s="215">
        <v>1.7933333332999998E-2</v>
      </c>
      <c r="AQ12" s="215">
        <v>0.12161290323</v>
      </c>
      <c r="AR12" s="215">
        <v>0</v>
      </c>
      <c r="AS12" s="215">
        <v>0</v>
      </c>
      <c r="AT12" s="215">
        <v>0</v>
      </c>
      <c r="AU12" s="215">
        <v>0</v>
      </c>
      <c r="AV12" s="215">
        <v>0.11822580645</v>
      </c>
      <c r="AW12" s="215">
        <v>0.20619999999999999</v>
      </c>
      <c r="AX12" s="215">
        <v>0</v>
      </c>
      <c r="AY12" s="215">
        <v>0</v>
      </c>
      <c r="AZ12" s="215">
        <v>0</v>
      </c>
      <c r="BA12" s="215">
        <v>0</v>
      </c>
      <c r="BB12" s="215">
        <v>-9.5299999999999996E-2</v>
      </c>
      <c r="BC12" s="215">
        <v>-0.33870967742000002</v>
      </c>
      <c r="BD12" s="215">
        <v>-0.25656666667</v>
      </c>
      <c r="BE12" s="215">
        <v>6.5253456221000001E-3</v>
      </c>
      <c r="BF12" s="215">
        <v>0.26655342649000002</v>
      </c>
      <c r="BG12" s="323">
        <v>0.2133333</v>
      </c>
      <c r="BH12" s="323">
        <v>5.1612900000000003E-2</v>
      </c>
      <c r="BI12" s="323">
        <v>3.6666700000000003E-2</v>
      </c>
      <c r="BJ12" s="323">
        <v>9.2626700000000006E-2</v>
      </c>
      <c r="BK12" s="323">
        <v>9.2626700000000006E-2</v>
      </c>
      <c r="BL12" s="323">
        <v>0.102551</v>
      </c>
      <c r="BM12" s="323">
        <v>9.2626700000000006E-2</v>
      </c>
      <c r="BN12" s="323">
        <v>9.5714300000000002E-2</v>
      </c>
      <c r="BO12" s="323">
        <v>9.2626700000000006E-2</v>
      </c>
      <c r="BP12" s="323">
        <v>9.5714300000000002E-2</v>
      </c>
      <c r="BQ12" s="323">
        <v>0</v>
      </c>
      <c r="BR12" s="323">
        <v>0</v>
      </c>
      <c r="BS12" s="323">
        <v>0</v>
      </c>
      <c r="BT12" s="323">
        <v>2.58065E-2</v>
      </c>
      <c r="BU12" s="323">
        <v>2.6666700000000002E-2</v>
      </c>
      <c r="BV12" s="323">
        <v>2.58065E-2</v>
      </c>
    </row>
    <row r="13" spans="1:74" ht="11.1" customHeight="1" x14ac:dyDescent="0.2">
      <c r="A13" s="61" t="s">
        <v>749</v>
      </c>
      <c r="B13" s="175" t="s">
        <v>403</v>
      </c>
      <c r="C13" s="215">
        <v>-0.72732258064999999</v>
      </c>
      <c r="D13" s="215">
        <v>-0.70296551724</v>
      </c>
      <c r="E13" s="215">
        <v>-0.40832258064999999</v>
      </c>
      <c r="F13" s="215">
        <v>-0.15040000000000001</v>
      </c>
      <c r="G13" s="215">
        <v>-8.1870967742000006E-2</v>
      </c>
      <c r="H13" s="215">
        <v>0.36680000000000001</v>
      </c>
      <c r="I13" s="215">
        <v>0.23867741935</v>
      </c>
      <c r="J13" s="215">
        <v>0.21880645161000001</v>
      </c>
      <c r="K13" s="215">
        <v>0.50460000000000005</v>
      </c>
      <c r="L13" s="215">
        <v>-0.63438709677000005</v>
      </c>
      <c r="M13" s="215">
        <v>1.5633333332999998E-2</v>
      </c>
      <c r="N13" s="215">
        <v>0.19716129031999999</v>
      </c>
      <c r="O13" s="215">
        <v>-0.71535483871000005</v>
      </c>
      <c r="P13" s="215">
        <v>-0.66503571428999997</v>
      </c>
      <c r="Q13" s="215">
        <v>-0.42503225806</v>
      </c>
      <c r="R13" s="215">
        <v>0.47696666666999998</v>
      </c>
      <c r="S13" s="215">
        <v>0.24122580645</v>
      </c>
      <c r="T13" s="215">
        <v>0.50836666666999997</v>
      </c>
      <c r="U13" s="215">
        <v>0.58535483871000005</v>
      </c>
      <c r="V13" s="215">
        <v>0.75577419354999997</v>
      </c>
      <c r="W13" s="215">
        <v>-0.32019999999999998</v>
      </c>
      <c r="X13" s="215">
        <v>0.31796774193999999</v>
      </c>
      <c r="Y13" s="215">
        <v>0.22256666667</v>
      </c>
      <c r="Z13" s="215">
        <v>1.0131612903</v>
      </c>
      <c r="AA13" s="215">
        <v>2.8580645161E-2</v>
      </c>
      <c r="AB13" s="215">
        <v>-0.11010714286000001</v>
      </c>
      <c r="AC13" s="215">
        <v>-3.5354838710000003E-2</v>
      </c>
      <c r="AD13" s="215">
        <v>-0.38796666667000002</v>
      </c>
      <c r="AE13" s="215">
        <v>7.6806451612999996E-2</v>
      </c>
      <c r="AF13" s="215">
        <v>0.63483333333000003</v>
      </c>
      <c r="AG13" s="215">
        <v>0.17777419354999999</v>
      </c>
      <c r="AH13" s="215">
        <v>6.6387096773999996E-2</v>
      </c>
      <c r="AI13" s="215">
        <v>-0.30336666667000001</v>
      </c>
      <c r="AJ13" s="215">
        <v>-0.55238709676999997</v>
      </c>
      <c r="AK13" s="215">
        <v>-0.51903333333000001</v>
      </c>
      <c r="AL13" s="215">
        <v>0.22187096774000001</v>
      </c>
      <c r="AM13" s="215">
        <v>-0.20874193548</v>
      </c>
      <c r="AN13" s="215">
        <v>-9.6000000000000002E-2</v>
      </c>
      <c r="AO13" s="215">
        <v>-0.23322580644999999</v>
      </c>
      <c r="AP13" s="215">
        <v>-0.36373333333000002</v>
      </c>
      <c r="AQ13" s="215">
        <v>-0.36525806451999998</v>
      </c>
      <c r="AR13" s="215">
        <v>0.58930000000000005</v>
      </c>
      <c r="AS13" s="215">
        <v>0.70509677419000005</v>
      </c>
      <c r="AT13" s="215">
        <v>0.37</v>
      </c>
      <c r="AU13" s="215">
        <v>0.15013333333000001</v>
      </c>
      <c r="AV13" s="215">
        <v>-0.57267741935000005</v>
      </c>
      <c r="AW13" s="215">
        <v>-8.4000000000000005E-2</v>
      </c>
      <c r="AX13" s="215">
        <v>0.42306451613000001</v>
      </c>
      <c r="AY13" s="215">
        <v>-0.32458064516000001</v>
      </c>
      <c r="AZ13" s="215">
        <v>-0.39279310345000001</v>
      </c>
      <c r="BA13" s="215">
        <v>-0.91061290322999999</v>
      </c>
      <c r="BB13" s="215">
        <v>-1.5569999999999999</v>
      </c>
      <c r="BC13" s="215">
        <v>0.26461290322999997</v>
      </c>
      <c r="BD13" s="215">
        <v>-0.36549999999999999</v>
      </c>
      <c r="BE13" s="215">
        <v>0.45079262672999998</v>
      </c>
      <c r="BF13" s="215">
        <v>0.76610570834000002</v>
      </c>
      <c r="BG13" s="323">
        <v>0.24963540000000001</v>
      </c>
      <c r="BH13" s="323">
        <v>-0.20280000000000001</v>
      </c>
      <c r="BI13" s="323">
        <v>3.9948999999999998E-2</v>
      </c>
      <c r="BJ13" s="323">
        <v>0.40254440000000002</v>
      </c>
      <c r="BK13" s="323">
        <v>-2.8240700000000001E-2</v>
      </c>
      <c r="BL13" s="323">
        <v>-0.3810905</v>
      </c>
      <c r="BM13" s="323">
        <v>-0.36976229999999999</v>
      </c>
      <c r="BN13" s="323">
        <v>-7.8110600000000002E-2</v>
      </c>
      <c r="BO13" s="323">
        <v>1.3984699999999999E-2</v>
      </c>
      <c r="BP13" s="323">
        <v>0.52930480000000002</v>
      </c>
      <c r="BQ13" s="323">
        <v>0.479182</v>
      </c>
      <c r="BR13" s="323">
        <v>0.24527080000000001</v>
      </c>
      <c r="BS13" s="323">
        <v>-2.8235E-2</v>
      </c>
      <c r="BT13" s="323">
        <v>-0.47858230000000002</v>
      </c>
      <c r="BU13" s="323">
        <v>-3.7593499999999998E-3</v>
      </c>
      <c r="BV13" s="323">
        <v>0.44022719999999999</v>
      </c>
    </row>
    <row r="14" spans="1:74" ht="11.1" customHeight="1" x14ac:dyDescent="0.2">
      <c r="A14" s="61" t="s">
        <v>516</v>
      </c>
      <c r="B14" s="175" t="s">
        <v>123</v>
      </c>
      <c r="C14" s="215">
        <v>0.35593580645</v>
      </c>
      <c r="D14" s="215">
        <v>3.0512551724000001E-2</v>
      </c>
      <c r="E14" s="215">
        <v>-1.4831935484000001E-2</v>
      </c>
      <c r="F14" s="215">
        <v>0.21399033333</v>
      </c>
      <c r="G14" s="215">
        <v>0.35604419355</v>
      </c>
      <c r="H14" s="215">
        <v>0.38197066667000001</v>
      </c>
      <c r="I14" s="215">
        <v>0.17618754839</v>
      </c>
      <c r="J14" s="215">
        <v>0.40303877419</v>
      </c>
      <c r="K14" s="215">
        <v>3.5545E-2</v>
      </c>
      <c r="L14" s="215">
        <v>0.18632832258000001</v>
      </c>
      <c r="M14" s="215">
        <v>-9.5337333332999999E-2</v>
      </c>
      <c r="N14" s="215">
        <v>0.17192219354999999</v>
      </c>
      <c r="O14" s="215">
        <v>0.20352480645000001</v>
      </c>
      <c r="P14" s="215">
        <v>0.31550400000000001</v>
      </c>
      <c r="Q14" s="215">
        <v>-3.1115225805999999E-2</v>
      </c>
      <c r="R14" s="215">
        <v>0.20985766667</v>
      </c>
      <c r="S14" s="215">
        <v>0.27066519355000002</v>
      </c>
      <c r="T14" s="215">
        <v>0.18816533332999999</v>
      </c>
      <c r="U14" s="215">
        <v>0.52870906451999999</v>
      </c>
      <c r="V14" s="215">
        <v>-0.13202087097000001</v>
      </c>
      <c r="W14" s="215">
        <v>0.23629433332999999</v>
      </c>
      <c r="X14" s="215">
        <v>-2.1982806452E-2</v>
      </c>
      <c r="Y14" s="215">
        <v>0.16039366666999999</v>
      </c>
      <c r="Z14" s="215">
        <v>7.8005483870999995E-2</v>
      </c>
      <c r="AA14" s="215">
        <v>-5.7639580645000001E-2</v>
      </c>
      <c r="AB14" s="215">
        <v>4.6057428571000002E-2</v>
      </c>
      <c r="AC14" s="215">
        <v>0.54586932257999998</v>
      </c>
      <c r="AD14" s="215">
        <v>0.260021</v>
      </c>
      <c r="AE14" s="215">
        <v>0.54284916129000005</v>
      </c>
      <c r="AF14" s="215">
        <v>0.16811100000000001</v>
      </c>
      <c r="AG14" s="215">
        <v>0.65895729032000006</v>
      </c>
      <c r="AH14" s="215">
        <v>6.5721387096999997E-2</v>
      </c>
      <c r="AI14" s="215">
        <v>0.21840999999999999</v>
      </c>
      <c r="AJ14" s="215">
        <v>6.8951161289999993E-2</v>
      </c>
      <c r="AK14" s="215">
        <v>0.36477766667</v>
      </c>
      <c r="AL14" s="215">
        <v>0.42994558064999999</v>
      </c>
      <c r="AM14" s="215">
        <v>0.21135493548000001</v>
      </c>
      <c r="AN14" s="215">
        <v>0.50744071429000004</v>
      </c>
      <c r="AO14" s="215">
        <v>0.12052680645</v>
      </c>
      <c r="AP14" s="215">
        <v>0.464418</v>
      </c>
      <c r="AQ14" s="215">
        <v>0.60484816128999996</v>
      </c>
      <c r="AR14" s="215">
        <v>0.50667700000000004</v>
      </c>
      <c r="AS14" s="215">
        <v>0.41875622580999999</v>
      </c>
      <c r="AT14" s="215">
        <v>0.31282300000000002</v>
      </c>
      <c r="AU14" s="215">
        <v>0.36760766667</v>
      </c>
      <c r="AV14" s="215">
        <v>0.63301161289999996</v>
      </c>
      <c r="AW14" s="215">
        <v>0.76234000000000002</v>
      </c>
      <c r="AX14" s="215">
        <v>0.27095548387000001</v>
      </c>
      <c r="AY14" s="215">
        <v>0.64288464515999999</v>
      </c>
      <c r="AZ14" s="215">
        <v>0.70240710345000001</v>
      </c>
      <c r="BA14" s="215">
        <v>0.66051090322999995</v>
      </c>
      <c r="BB14" s="215">
        <v>-1.3632999999999999E-2</v>
      </c>
      <c r="BC14" s="215">
        <v>-0.14252822580999999</v>
      </c>
      <c r="BD14" s="215">
        <v>0.27342766667000001</v>
      </c>
      <c r="BE14" s="215">
        <v>0.33435965345000002</v>
      </c>
      <c r="BF14" s="215">
        <v>-0.28213257866000002</v>
      </c>
      <c r="BG14" s="323">
        <v>0.21405370000000001</v>
      </c>
      <c r="BH14" s="323">
        <v>0.14800189999999999</v>
      </c>
      <c r="BI14" s="323">
        <v>0.14845630000000001</v>
      </c>
      <c r="BJ14" s="323">
        <v>0.1610231</v>
      </c>
      <c r="BK14" s="323">
        <v>0.23782120000000001</v>
      </c>
      <c r="BL14" s="323">
        <v>0.19917380000000001</v>
      </c>
      <c r="BM14" s="323">
        <v>0.22451199999999999</v>
      </c>
      <c r="BN14" s="323">
        <v>0.15075530000000001</v>
      </c>
      <c r="BO14" s="323">
        <v>0.21702949999999999</v>
      </c>
      <c r="BP14" s="323">
        <v>0.27837329999999999</v>
      </c>
      <c r="BQ14" s="323">
        <v>0.23597409999999999</v>
      </c>
      <c r="BR14" s="323">
        <v>0.1963104</v>
      </c>
      <c r="BS14" s="323">
        <v>0.24405370000000001</v>
      </c>
      <c r="BT14" s="323">
        <v>0.1580019</v>
      </c>
      <c r="BU14" s="323">
        <v>0.15845629999999999</v>
      </c>
      <c r="BV14" s="323">
        <v>0.17102310000000001</v>
      </c>
    </row>
    <row r="15" spans="1:74" ht="11.1" customHeight="1" x14ac:dyDescent="0.2">
      <c r="A15" s="61" t="s">
        <v>517</v>
      </c>
      <c r="B15" s="175" t="s">
        <v>171</v>
      </c>
      <c r="C15" s="215">
        <v>15.95129</v>
      </c>
      <c r="D15" s="215">
        <v>15.842828000000001</v>
      </c>
      <c r="E15" s="215">
        <v>16.082452</v>
      </c>
      <c r="F15" s="215">
        <v>15.920267000000001</v>
      </c>
      <c r="G15" s="215">
        <v>16.236806999999999</v>
      </c>
      <c r="H15" s="215">
        <v>16.432600000000001</v>
      </c>
      <c r="I15" s="215">
        <v>16.621193999999999</v>
      </c>
      <c r="J15" s="215">
        <v>16.593354999999999</v>
      </c>
      <c r="K15" s="215">
        <v>16.339832999999999</v>
      </c>
      <c r="L15" s="215">
        <v>15.454355</v>
      </c>
      <c r="M15" s="215">
        <v>16.235233000000001</v>
      </c>
      <c r="N15" s="215">
        <v>16.515871000000001</v>
      </c>
      <c r="O15" s="215">
        <v>16.118226</v>
      </c>
      <c r="P15" s="215">
        <v>15.493107</v>
      </c>
      <c r="Q15" s="215">
        <v>16.047936</v>
      </c>
      <c r="R15" s="215">
        <v>16.954433000000002</v>
      </c>
      <c r="S15" s="215">
        <v>17.222387000000001</v>
      </c>
      <c r="T15" s="215">
        <v>17.204066999999998</v>
      </c>
      <c r="U15" s="215">
        <v>17.317451999999999</v>
      </c>
      <c r="V15" s="215">
        <v>16.980516000000001</v>
      </c>
      <c r="W15" s="215">
        <v>15.4602</v>
      </c>
      <c r="X15" s="215">
        <v>16.061194</v>
      </c>
      <c r="Y15" s="215">
        <v>16.839600000000001</v>
      </c>
      <c r="Z15" s="215">
        <v>17.274387000000001</v>
      </c>
      <c r="AA15" s="215">
        <v>16.599194000000001</v>
      </c>
      <c r="AB15" s="215">
        <v>15.936249999999999</v>
      </c>
      <c r="AC15" s="215">
        <v>16.665129</v>
      </c>
      <c r="AD15" s="215">
        <v>16.766200000000001</v>
      </c>
      <c r="AE15" s="215">
        <v>16.968741999999999</v>
      </c>
      <c r="AF15" s="215">
        <v>17.665666999999999</v>
      </c>
      <c r="AG15" s="215">
        <v>17.356999999999999</v>
      </c>
      <c r="AH15" s="215">
        <v>17.622903000000001</v>
      </c>
      <c r="AI15" s="215">
        <v>16.990867000000001</v>
      </c>
      <c r="AJ15" s="215">
        <v>16.412226</v>
      </c>
      <c r="AK15" s="215">
        <v>17.162099999999999</v>
      </c>
      <c r="AL15" s="215">
        <v>17.409386999999999</v>
      </c>
      <c r="AM15" s="215">
        <v>16.782968</v>
      </c>
      <c r="AN15" s="215">
        <v>15.845750000000001</v>
      </c>
      <c r="AO15" s="215">
        <v>15.934677000000001</v>
      </c>
      <c r="AP15" s="215">
        <v>16.341200000000001</v>
      </c>
      <c r="AQ15" s="215">
        <v>16.719452</v>
      </c>
      <c r="AR15" s="215">
        <v>17.235800000000001</v>
      </c>
      <c r="AS15" s="215">
        <v>17.175194000000001</v>
      </c>
      <c r="AT15" s="215">
        <v>17.296838999999999</v>
      </c>
      <c r="AU15" s="215">
        <v>16.403099999999998</v>
      </c>
      <c r="AV15" s="215">
        <v>15.680871</v>
      </c>
      <c r="AW15" s="215">
        <v>16.481767000000001</v>
      </c>
      <c r="AX15" s="215">
        <v>16.792548</v>
      </c>
      <c r="AY15" s="215">
        <v>16.230871</v>
      </c>
      <c r="AZ15" s="215">
        <v>15.866655</v>
      </c>
      <c r="BA15" s="215">
        <v>15.226290000000001</v>
      </c>
      <c r="BB15" s="215">
        <v>12.7864</v>
      </c>
      <c r="BC15" s="215">
        <v>12.957807000000001</v>
      </c>
      <c r="BD15" s="215">
        <v>13.732032999999999</v>
      </c>
      <c r="BE15" s="215">
        <v>14.438096774</v>
      </c>
      <c r="BF15" s="215">
        <v>14.274064515999999</v>
      </c>
      <c r="BG15" s="323">
        <v>14.5221</v>
      </c>
      <c r="BH15" s="323">
        <v>15.05167</v>
      </c>
      <c r="BI15" s="323">
        <v>15.73545</v>
      </c>
      <c r="BJ15" s="323">
        <v>16.495529999999999</v>
      </c>
      <c r="BK15" s="323">
        <v>16.03614</v>
      </c>
      <c r="BL15" s="323">
        <v>15.17216</v>
      </c>
      <c r="BM15" s="323">
        <v>15.64498</v>
      </c>
      <c r="BN15" s="323">
        <v>16.067730000000001</v>
      </c>
      <c r="BO15" s="323">
        <v>16.496099999999998</v>
      </c>
      <c r="BP15" s="323">
        <v>16.635100000000001</v>
      </c>
      <c r="BQ15" s="323">
        <v>17.17258</v>
      </c>
      <c r="BR15" s="323">
        <v>16.817319999999999</v>
      </c>
      <c r="BS15" s="323">
        <v>16.668759999999999</v>
      </c>
      <c r="BT15" s="323">
        <v>16.024519999999999</v>
      </c>
      <c r="BU15" s="323">
        <v>16.60332</v>
      </c>
      <c r="BV15" s="323">
        <v>17.117439999999998</v>
      </c>
    </row>
    <row r="16" spans="1:74" ht="11.1" customHeight="1" x14ac:dyDescent="0.2">
      <c r="A16" s="57"/>
      <c r="B16" s="44" t="s">
        <v>752</v>
      </c>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63"/>
      <c r="AS16" s="63"/>
      <c r="AT16" s="63"/>
      <c r="AU16" s="63"/>
      <c r="AV16" s="215"/>
      <c r="AW16" s="215"/>
      <c r="AX16" s="215"/>
      <c r="AY16" s="215"/>
      <c r="AZ16" s="215"/>
      <c r="BA16" s="215"/>
      <c r="BB16" s="215"/>
      <c r="BC16" s="215"/>
      <c r="BD16" s="215"/>
      <c r="BE16" s="215"/>
      <c r="BF16" s="215"/>
      <c r="BG16" s="401"/>
      <c r="BH16" s="401"/>
      <c r="BI16" s="401"/>
      <c r="BJ16" s="401"/>
      <c r="BK16" s="401"/>
      <c r="BL16" s="401"/>
      <c r="BM16" s="401"/>
      <c r="BN16" s="401"/>
      <c r="BO16" s="401"/>
      <c r="BP16" s="401"/>
      <c r="BQ16" s="401"/>
      <c r="BR16" s="401"/>
      <c r="BS16" s="401"/>
      <c r="BT16" s="401"/>
      <c r="BU16" s="401"/>
      <c r="BV16" s="401"/>
    </row>
    <row r="17" spans="1:74" ht="11.1" customHeight="1" x14ac:dyDescent="0.2">
      <c r="A17" s="61" t="s">
        <v>519</v>
      </c>
      <c r="B17" s="175" t="s">
        <v>404</v>
      </c>
      <c r="C17" s="215">
        <v>1.116614</v>
      </c>
      <c r="D17" s="215">
        <v>1.070379</v>
      </c>
      <c r="E17" s="215">
        <v>1.0491280000000001</v>
      </c>
      <c r="F17" s="215">
        <v>1.0950979999999999</v>
      </c>
      <c r="G17" s="215">
        <v>1.1603540000000001</v>
      </c>
      <c r="H17" s="215">
        <v>1.1139669999999999</v>
      </c>
      <c r="I17" s="215">
        <v>1.1902569999999999</v>
      </c>
      <c r="J17" s="215">
        <v>1.1487769999999999</v>
      </c>
      <c r="K17" s="215">
        <v>1.122369</v>
      </c>
      <c r="L17" s="215">
        <v>1.088838</v>
      </c>
      <c r="M17" s="215">
        <v>1.1125670000000001</v>
      </c>
      <c r="N17" s="215">
        <v>1.143324</v>
      </c>
      <c r="O17" s="215">
        <v>1.1390020000000001</v>
      </c>
      <c r="P17" s="215">
        <v>1.0624990000000001</v>
      </c>
      <c r="Q17" s="215">
        <v>1.112063</v>
      </c>
      <c r="R17" s="215">
        <v>1.145969</v>
      </c>
      <c r="S17" s="215">
        <v>1.1351610000000001</v>
      </c>
      <c r="T17" s="215">
        <v>1.1592009999999999</v>
      </c>
      <c r="U17" s="215">
        <v>1.1010310000000001</v>
      </c>
      <c r="V17" s="215">
        <v>1.112841</v>
      </c>
      <c r="W17" s="215">
        <v>1.0098</v>
      </c>
      <c r="X17" s="215">
        <v>1.081485</v>
      </c>
      <c r="Y17" s="215">
        <v>1.146164</v>
      </c>
      <c r="Z17" s="215">
        <v>1.125775</v>
      </c>
      <c r="AA17" s="215">
        <v>1.1024210000000001</v>
      </c>
      <c r="AB17" s="215">
        <v>1.0965020000000001</v>
      </c>
      <c r="AC17" s="215">
        <v>1.095742</v>
      </c>
      <c r="AD17" s="215">
        <v>1.113267</v>
      </c>
      <c r="AE17" s="215">
        <v>1.1414200000000001</v>
      </c>
      <c r="AF17" s="215">
        <v>1.1328990000000001</v>
      </c>
      <c r="AG17" s="215">
        <v>1.1689050000000001</v>
      </c>
      <c r="AH17" s="215">
        <v>1.1854849999999999</v>
      </c>
      <c r="AI17" s="215">
        <v>1.1408659999999999</v>
      </c>
      <c r="AJ17" s="215">
        <v>1.1155809999999999</v>
      </c>
      <c r="AK17" s="215">
        <v>1.1494329999999999</v>
      </c>
      <c r="AL17" s="215">
        <v>1.210356</v>
      </c>
      <c r="AM17" s="215">
        <v>1.108708</v>
      </c>
      <c r="AN17" s="215">
        <v>1.007071</v>
      </c>
      <c r="AO17" s="215">
        <v>1.0383579999999999</v>
      </c>
      <c r="AP17" s="215">
        <v>1.0650999999999999</v>
      </c>
      <c r="AQ17" s="215">
        <v>1.064227</v>
      </c>
      <c r="AR17" s="215">
        <v>1.0761670000000001</v>
      </c>
      <c r="AS17" s="215">
        <v>1.066033</v>
      </c>
      <c r="AT17" s="215">
        <v>1.098679</v>
      </c>
      <c r="AU17" s="215">
        <v>1.0174989999999999</v>
      </c>
      <c r="AV17" s="215">
        <v>1.0142260000000001</v>
      </c>
      <c r="AW17" s="215">
        <v>1.1312009999999999</v>
      </c>
      <c r="AX17" s="215">
        <v>1.1334200000000001</v>
      </c>
      <c r="AY17" s="215">
        <v>1.1360269999999999</v>
      </c>
      <c r="AZ17" s="215">
        <v>0.93948100000000001</v>
      </c>
      <c r="BA17" s="215">
        <v>0.97841800000000001</v>
      </c>
      <c r="BB17" s="215">
        <v>0.76726499999999997</v>
      </c>
      <c r="BC17" s="215">
        <v>0.80670799999999998</v>
      </c>
      <c r="BD17" s="215">
        <v>0.872498</v>
      </c>
      <c r="BE17" s="215">
        <v>0.99217120000000003</v>
      </c>
      <c r="BF17" s="215">
        <v>1.029342</v>
      </c>
      <c r="BG17" s="323">
        <v>0.99655280000000002</v>
      </c>
      <c r="BH17" s="323">
        <v>1.070273</v>
      </c>
      <c r="BI17" s="323">
        <v>1.1049720000000001</v>
      </c>
      <c r="BJ17" s="323">
        <v>1.1630229999999999</v>
      </c>
      <c r="BK17" s="323">
        <v>1.15046</v>
      </c>
      <c r="BL17" s="323">
        <v>1.0626450000000001</v>
      </c>
      <c r="BM17" s="323">
        <v>1.0714699999999999</v>
      </c>
      <c r="BN17" s="323">
        <v>1.110309</v>
      </c>
      <c r="BO17" s="323">
        <v>1.147308</v>
      </c>
      <c r="BP17" s="323">
        <v>1.1577500000000001</v>
      </c>
      <c r="BQ17" s="323">
        <v>1.1223449999999999</v>
      </c>
      <c r="BR17" s="323">
        <v>1.1354550000000001</v>
      </c>
      <c r="BS17" s="323">
        <v>1.128428</v>
      </c>
      <c r="BT17" s="323">
        <v>1.0865880000000001</v>
      </c>
      <c r="BU17" s="323">
        <v>1.1312770000000001</v>
      </c>
      <c r="BV17" s="323">
        <v>1.1710419999999999</v>
      </c>
    </row>
    <row r="18" spans="1:74" ht="11.1" customHeight="1" x14ac:dyDescent="0.2">
      <c r="A18" s="61" t="s">
        <v>518</v>
      </c>
      <c r="B18" s="175" t="s">
        <v>922</v>
      </c>
      <c r="C18" s="215">
        <v>3.3447740000000001</v>
      </c>
      <c r="D18" s="215">
        <v>3.369345</v>
      </c>
      <c r="E18" s="215">
        <v>3.5557099999999999</v>
      </c>
      <c r="F18" s="215">
        <v>3.5703999999999998</v>
      </c>
      <c r="G18" s="215">
        <v>3.6716769999999999</v>
      </c>
      <c r="H18" s="215">
        <v>3.662433</v>
      </c>
      <c r="I18" s="215">
        <v>3.6038389999999998</v>
      </c>
      <c r="J18" s="215">
        <v>3.410323</v>
      </c>
      <c r="K18" s="215">
        <v>3.427333</v>
      </c>
      <c r="L18" s="215">
        <v>3.5443229999999999</v>
      </c>
      <c r="M18" s="215">
        <v>3.5957669999999999</v>
      </c>
      <c r="N18" s="215">
        <v>3.3521939999999999</v>
      </c>
      <c r="O18" s="215">
        <v>3.395032</v>
      </c>
      <c r="P18" s="215">
        <v>3.6327859999999998</v>
      </c>
      <c r="Q18" s="215">
        <v>3.6852580000000001</v>
      </c>
      <c r="R18" s="215">
        <v>3.6822330000000001</v>
      </c>
      <c r="S18" s="215">
        <v>3.7710970000000001</v>
      </c>
      <c r="T18" s="215">
        <v>3.8073000000000001</v>
      </c>
      <c r="U18" s="215">
        <v>3.8220969999999999</v>
      </c>
      <c r="V18" s="215">
        <v>3.7635160000000001</v>
      </c>
      <c r="W18" s="215">
        <v>3.731033</v>
      </c>
      <c r="X18" s="215">
        <v>4.0197419999999999</v>
      </c>
      <c r="Y18" s="215">
        <v>4.1056670000000004</v>
      </c>
      <c r="Z18" s="215">
        <v>3.9689679999999998</v>
      </c>
      <c r="AA18" s="215">
        <v>3.852967</v>
      </c>
      <c r="AB18" s="215">
        <v>4.0605000000000002</v>
      </c>
      <c r="AC18" s="215">
        <v>4.2002579999999998</v>
      </c>
      <c r="AD18" s="215">
        <v>4.2857659999999997</v>
      </c>
      <c r="AE18" s="215">
        <v>4.351871</v>
      </c>
      <c r="AF18" s="215">
        <v>4.3366660000000001</v>
      </c>
      <c r="AG18" s="215">
        <v>4.4516770000000001</v>
      </c>
      <c r="AH18" s="215">
        <v>4.6016120000000003</v>
      </c>
      <c r="AI18" s="215">
        <v>4.6383000000000001</v>
      </c>
      <c r="AJ18" s="215">
        <v>4.5876770000000002</v>
      </c>
      <c r="AK18" s="215">
        <v>4.5627000000000004</v>
      </c>
      <c r="AL18" s="215">
        <v>4.4834829999999997</v>
      </c>
      <c r="AM18" s="215">
        <v>4.5540649999999996</v>
      </c>
      <c r="AN18" s="215">
        <v>4.7127499999999998</v>
      </c>
      <c r="AO18" s="215">
        <v>4.7294840000000002</v>
      </c>
      <c r="AP18" s="215">
        <v>4.7902329999999997</v>
      </c>
      <c r="AQ18" s="215">
        <v>4.8398070000000004</v>
      </c>
      <c r="AR18" s="215">
        <v>4.7946999999999997</v>
      </c>
      <c r="AS18" s="215">
        <v>4.7073229999999997</v>
      </c>
      <c r="AT18" s="215">
        <v>4.7658709999999997</v>
      </c>
      <c r="AU18" s="215">
        <v>4.9894999999999996</v>
      </c>
      <c r="AV18" s="215">
        <v>5.0222579999999999</v>
      </c>
      <c r="AW18" s="215">
        <v>4.9945000000000004</v>
      </c>
      <c r="AX18" s="215">
        <v>4.9915159999999998</v>
      </c>
      <c r="AY18" s="215">
        <v>5.1452900000000001</v>
      </c>
      <c r="AZ18" s="215">
        <v>4.9652070000000004</v>
      </c>
      <c r="BA18" s="215">
        <v>5.2528709999999998</v>
      </c>
      <c r="BB18" s="215">
        <v>4.9342670000000002</v>
      </c>
      <c r="BC18" s="215">
        <v>4.7448709999999998</v>
      </c>
      <c r="BD18" s="215">
        <v>5.1973330000000004</v>
      </c>
      <c r="BE18" s="215">
        <v>4.9868659500000003</v>
      </c>
      <c r="BF18" s="215">
        <v>5.0495377975000002</v>
      </c>
      <c r="BG18" s="323">
        <v>5.0873730000000004</v>
      </c>
      <c r="BH18" s="323">
        <v>5.1388090000000002</v>
      </c>
      <c r="BI18" s="323">
        <v>5.1759639999999996</v>
      </c>
      <c r="BJ18" s="323">
        <v>5.0706179999999996</v>
      </c>
      <c r="BK18" s="323">
        <v>4.9245669999999997</v>
      </c>
      <c r="BL18" s="323">
        <v>5.038303</v>
      </c>
      <c r="BM18" s="323">
        <v>5.1432989999999998</v>
      </c>
      <c r="BN18" s="323">
        <v>5.2205589999999997</v>
      </c>
      <c r="BO18" s="323">
        <v>5.271058</v>
      </c>
      <c r="BP18" s="323">
        <v>5.1906030000000003</v>
      </c>
      <c r="BQ18" s="323">
        <v>5.2118010000000004</v>
      </c>
      <c r="BR18" s="323">
        <v>5.3026739999999997</v>
      </c>
      <c r="BS18" s="323">
        <v>5.3397810000000003</v>
      </c>
      <c r="BT18" s="323">
        <v>5.358085</v>
      </c>
      <c r="BU18" s="323">
        <v>5.3722969999999997</v>
      </c>
      <c r="BV18" s="323">
        <v>5.2664350000000004</v>
      </c>
    </row>
    <row r="19" spans="1:74" ht="11.1" customHeight="1" x14ac:dyDescent="0.2">
      <c r="A19" s="61" t="s">
        <v>899</v>
      </c>
      <c r="B19" s="175" t="s">
        <v>900</v>
      </c>
      <c r="C19" s="215">
        <v>1.107224</v>
      </c>
      <c r="D19" s="215">
        <v>1.1271599999999999</v>
      </c>
      <c r="E19" s="215">
        <v>1.1439649999999999</v>
      </c>
      <c r="F19" s="215">
        <v>1.092033</v>
      </c>
      <c r="G19" s="215">
        <v>1.1434340000000001</v>
      </c>
      <c r="H19" s="215">
        <v>1.1763749999999999</v>
      </c>
      <c r="I19" s="215">
        <v>1.177408</v>
      </c>
      <c r="J19" s="215">
        <v>1.186167</v>
      </c>
      <c r="K19" s="215">
        <v>1.163246</v>
      </c>
      <c r="L19" s="215">
        <v>1.150069</v>
      </c>
      <c r="M19" s="215">
        <v>1.1916789999999999</v>
      </c>
      <c r="N19" s="215">
        <v>1.2087429999999999</v>
      </c>
      <c r="O19" s="215">
        <v>1.1839839999999999</v>
      </c>
      <c r="P19" s="215">
        <v>1.1706669999999999</v>
      </c>
      <c r="Q19" s="215">
        <v>1.17675</v>
      </c>
      <c r="R19" s="215">
        <v>1.139551</v>
      </c>
      <c r="S19" s="215">
        <v>1.17611</v>
      </c>
      <c r="T19" s="215">
        <v>1.1870750000000001</v>
      </c>
      <c r="U19" s="215">
        <v>1.190156</v>
      </c>
      <c r="V19" s="215">
        <v>1.2177169999999999</v>
      </c>
      <c r="W19" s="215">
        <v>1.176067</v>
      </c>
      <c r="X19" s="215">
        <v>1.2098679999999999</v>
      </c>
      <c r="Y19" s="215">
        <v>1.2626790000000001</v>
      </c>
      <c r="Z19" s="215">
        <v>1.235943</v>
      </c>
      <c r="AA19" s="215">
        <v>1.2053119999999999</v>
      </c>
      <c r="AB19" s="215">
        <v>1.2232970000000001</v>
      </c>
      <c r="AC19" s="215">
        <v>1.2091499999999999</v>
      </c>
      <c r="AD19" s="215">
        <v>1.2004159999999999</v>
      </c>
      <c r="AE19" s="215">
        <v>1.2244409999999999</v>
      </c>
      <c r="AF19" s="215">
        <v>1.2542850000000001</v>
      </c>
      <c r="AG19" s="215">
        <v>1.2677499999999999</v>
      </c>
      <c r="AH19" s="215">
        <v>1.284127</v>
      </c>
      <c r="AI19" s="215">
        <v>1.208539</v>
      </c>
      <c r="AJ19" s="215">
        <v>1.21401</v>
      </c>
      <c r="AK19" s="215">
        <v>1.235635</v>
      </c>
      <c r="AL19" s="215">
        <v>1.219158</v>
      </c>
      <c r="AM19" s="215">
        <v>1.1097619999999999</v>
      </c>
      <c r="AN19" s="215">
        <v>1.1117079999999999</v>
      </c>
      <c r="AO19" s="215">
        <v>1.0845469999999999</v>
      </c>
      <c r="AP19" s="215">
        <v>1.1336200000000001</v>
      </c>
      <c r="AQ19" s="215">
        <v>1.1457329999999999</v>
      </c>
      <c r="AR19" s="215">
        <v>1.1544779999999999</v>
      </c>
      <c r="AS19" s="215">
        <v>1.1503049999999999</v>
      </c>
      <c r="AT19" s="215">
        <v>1.1285449999999999</v>
      </c>
      <c r="AU19" s="215">
        <v>1.0668759999999999</v>
      </c>
      <c r="AV19" s="215">
        <v>1.088292</v>
      </c>
      <c r="AW19" s="215">
        <v>1.125297</v>
      </c>
      <c r="AX19" s="215">
        <v>1.1539699999999999</v>
      </c>
      <c r="AY19" s="215">
        <v>1.158323</v>
      </c>
      <c r="AZ19" s="215">
        <v>1.1383190000000001</v>
      </c>
      <c r="BA19" s="215">
        <v>1.0465139999999999</v>
      </c>
      <c r="BB19" s="215">
        <v>0.66727599999999998</v>
      </c>
      <c r="BC19" s="215">
        <v>0.78</v>
      </c>
      <c r="BD19" s="215">
        <v>0.96706199999999998</v>
      </c>
      <c r="BE19" s="215">
        <v>1.0705137968</v>
      </c>
      <c r="BF19" s="215">
        <v>1.0657721194000001</v>
      </c>
      <c r="BG19" s="323">
        <v>1.0796330000000001</v>
      </c>
      <c r="BH19" s="323">
        <v>1.05304</v>
      </c>
      <c r="BI19" s="323">
        <v>1.0982209999999999</v>
      </c>
      <c r="BJ19" s="323">
        <v>1.1245080000000001</v>
      </c>
      <c r="BK19" s="323">
        <v>1.1265860000000001</v>
      </c>
      <c r="BL19" s="323">
        <v>1.155357</v>
      </c>
      <c r="BM19" s="323">
        <v>1.1530419999999999</v>
      </c>
      <c r="BN19" s="323">
        <v>1.147926</v>
      </c>
      <c r="BO19" s="323">
        <v>1.176334</v>
      </c>
      <c r="BP19" s="323">
        <v>1.185327</v>
      </c>
      <c r="BQ19" s="323">
        <v>1.1747970000000001</v>
      </c>
      <c r="BR19" s="323">
        <v>1.1901189999999999</v>
      </c>
      <c r="BS19" s="323">
        <v>1.149772</v>
      </c>
      <c r="BT19" s="323">
        <v>1.1647529999999999</v>
      </c>
      <c r="BU19" s="323">
        <v>1.2034530000000001</v>
      </c>
      <c r="BV19" s="323">
        <v>1.1783600000000001</v>
      </c>
    </row>
    <row r="20" spans="1:74" ht="11.1" customHeight="1" x14ac:dyDescent="0.2">
      <c r="A20" s="61" t="s">
        <v>799</v>
      </c>
      <c r="B20" s="175" t="s">
        <v>112</v>
      </c>
      <c r="C20" s="215">
        <v>0.98232299999999995</v>
      </c>
      <c r="D20" s="215">
        <v>0.993448</v>
      </c>
      <c r="E20" s="215">
        <v>0.99861299999999997</v>
      </c>
      <c r="F20" s="215">
        <v>0.94026699999999996</v>
      </c>
      <c r="G20" s="215">
        <v>0.97890299999999997</v>
      </c>
      <c r="H20" s="215">
        <v>1.014767</v>
      </c>
      <c r="I20" s="215">
        <v>1.0151289999999999</v>
      </c>
      <c r="J20" s="215">
        <v>1.0276130000000001</v>
      </c>
      <c r="K20" s="215">
        <v>1.0016</v>
      </c>
      <c r="L20" s="215">
        <v>1.000194</v>
      </c>
      <c r="M20" s="215">
        <v>1.023533</v>
      </c>
      <c r="N20" s="215">
        <v>1.0541940000000001</v>
      </c>
      <c r="O20" s="215">
        <v>1.0608709999999999</v>
      </c>
      <c r="P20" s="215">
        <v>1.0466789999999999</v>
      </c>
      <c r="Q20" s="215">
        <v>1.0449360000000001</v>
      </c>
      <c r="R20" s="215">
        <v>0.98796700000000004</v>
      </c>
      <c r="S20" s="215">
        <v>1.0278389999999999</v>
      </c>
      <c r="T20" s="215">
        <v>1.026467</v>
      </c>
      <c r="U20" s="215">
        <v>1.0123869999999999</v>
      </c>
      <c r="V20" s="215">
        <v>1.053936</v>
      </c>
      <c r="W20" s="215">
        <v>1.0233669999999999</v>
      </c>
      <c r="X20" s="215">
        <v>1.0390969999999999</v>
      </c>
      <c r="Y20" s="215">
        <v>1.0876999999999999</v>
      </c>
      <c r="Z20" s="215">
        <v>1.0629679999999999</v>
      </c>
      <c r="AA20" s="215">
        <v>1.0508710000000001</v>
      </c>
      <c r="AB20" s="215">
        <v>1.0597859999999999</v>
      </c>
      <c r="AC20" s="215">
        <v>1.0448390000000001</v>
      </c>
      <c r="AD20" s="215">
        <v>1.022667</v>
      </c>
      <c r="AE20" s="215">
        <v>1.044807</v>
      </c>
      <c r="AF20" s="215">
        <v>1.064133</v>
      </c>
      <c r="AG20" s="215">
        <v>1.078387</v>
      </c>
      <c r="AH20" s="215">
        <v>1.0894520000000001</v>
      </c>
      <c r="AI20" s="215">
        <v>1.0222329999999999</v>
      </c>
      <c r="AJ20" s="215">
        <v>1.0438069999999999</v>
      </c>
      <c r="AK20" s="215">
        <v>1.050967</v>
      </c>
      <c r="AL20" s="215">
        <v>1.0237419999999999</v>
      </c>
      <c r="AM20" s="215">
        <v>1.019452</v>
      </c>
      <c r="AN20" s="215">
        <v>1.021393</v>
      </c>
      <c r="AO20" s="215">
        <v>0.99558100000000005</v>
      </c>
      <c r="AP20" s="215">
        <v>1.0327</v>
      </c>
      <c r="AQ20" s="215">
        <v>1.0472900000000001</v>
      </c>
      <c r="AR20" s="215">
        <v>1.063267</v>
      </c>
      <c r="AS20" s="215">
        <v>1.0497099999999999</v>
      </c>
      <c r="AT20" s="215">
        <v>1.0297099999999999</v>
      </c>
      <c r="AU20" s="215">
        <v>0.97440000000000004</v>
      </c>
      <c r="AV20" s="215">
        <v>0.99809700000000001</v>
      </c>
      <c r="AW20" s="215">
        <v>1.0452669999999999</v>
      </c>
      <c r="AX20" s="215">
        <v>1.0733870000000001</v>
      </c>
      <c r="AY20" s="215">
        <v>1.07558</v>
      </c>
      <c r="AZ20" s="215">
        <v>1.052276</v>
      </c>
      <c r="BA20" s="215">
        <v>0.94858100000000001</v>
      </c>
      <c r="BB20" s="215">
        <v>0.56483300000000003</v>
      </c>
      <c r="BC20" s="215">
        <v>0.68058099999999999</v>
      </c>
      <c r="BD20" s="215">
        <v>0.86526700000000001</v>
      </c>
      <c r="BE20" s="215">
        <v>0.93038709676999998</v>
      </c>
      <c r="BF20" s="215">
        <v>0.92417821935</v>
      </c>
      <c r="BG20" s="323">
        <v>0.93632289999999996</v>
      </c>
      <c r="BH20" s="323">
        <v>0.91326830000000003</v>
      </c>
      <c r="BI20" s="323">
        <v>0.95324909999999996</v>
      </c>
      <c r="BJ20" s="323">
        <v>0.97701070000000001</v>
      </c>
      <c r="BK20" s="323">
        <v>0.98729500000000003</v>
      </c>
      <c r="BL20" s="323">
        <v>1.0064489999999999</v>
      </c>
      <c r="BM20" s="323">
        <v>0.99286209999999997</v>
      </c>
      <c r="BN20" s="323">
        <v>0.97743670000000005</v>
      </c>
      <c r="BO20" s="323">
        <v>1.0054050000000001</v>
      </c>
      <c r="BP20" s="323">
        <v>1.015601</v>
      </c>
      <c r="BQ20" s="323">
        <v>1.0089379999999999</v>
      </c>
      <c r="BR20" s="323">
        <v>1.024572</v>
      </c>
      <c r="BS20" s="323">
        <v>0.98034049999999995</v>
      </c>
      <c r="BT20" s="323">
        <v>0.99970910000000002</v>
      </c>
      <c r="BU20" s="323">
        <v>1.0361370000000001</v>
      </c>
      <c r="BV20" s="323">
        <v>1.010532</v>
      </c>
    </row>
    <row r="21" spans="1:74" ht="11.1" customHeight="1" x14ac:dyDescent="0.2">
      <c r="A21" s="61" t="s">
        <v>901</v>
      </c>
      <c r="B21" s="175" t="s">
        <v>902</v>
      </c>
      <c r="C21" s="215">
        <v>0.23175570968</v>
      </c>
      <c r="D21" s="215">
        <v>0.21000837930999999</v>
      </c>
      <c r="E21" s="215">
        <v>0.20175612903000001</v>
      </c>
      <c r="F21" s="215">
        <v>0.23436066667</v>
      </c>
      <c r="G21" s="215">
        <v>0.22810109677000001</v>
      </c>
      <c r="H21" s="215">
        <v>0.20393800000000001</v>
      </c>
      <c r="I21" s="215">
        <v>0.22647254839</v>
      </c>
      <c r="J21" s="215">
        <v>0.22012667742</v>
      </c>
      <c r="K21" s="215">
        <v>0.21014833332999999</v>
      </c>
      <c r="L21" s="215">
        <v>0.18997690322999999</v>
      </c>
      <c r="M21" s="215">
        <v>0.19737633332999999</v>
      </c>
      <c r="N21" s="215">
        <v>0.23178838709999999</v>
      </c>
      <c r="O21" s="215">
        <v>0.18334541935000001</v>
      </c>
      <c r="P21" s="215">
        <v>0.20602028571</v>
      </c>
      <c r="Q21" s="215">
        <v>0.22293770968000001</v>
      </c>
      <c r="R21" s="215">
        <v>0.20314099999999999</v>
      </c>
      <c r="S21" s="215">
        <v>0.21407738709999999</v>
      </c>
      <c r="T21" s="215">
        <v>0.23732133332999999</v>
      </c>
      <c r="U21" s="215">
        <v>0.21067367742000001</v>
      </c>
      <c r="V21" s="215">
        <v>0.23117829032000001</v>
      </c>
      <c r="W21" s="215">
        <v>0.19753100000000001</v>
      </c>
      <c r="X21" s="215">
        <v>0.21292335484</v>
      </c>
      <c r="Y21" s="215">
        <v>0.23336733333000001</v>
      </c>
      <c r="Z21" s="215">
        <v>0.21527438709999999</v>
      </c>
      <c r="AA21" s="215">
        <v>0.21954209677</v>
      </c>
      <c r="AB21" s="215">
        <v>0.16444214286</v>
      </c>
      <c r="AC21" s="215">
        <v>0.23425712903000001</v>
      </c>
      <c r="AD21" s="215">
        <v>0.20938066666999999</v>
      </c>
      <c r="AE21" s="215">
        <v>0.19104487097</v>
      </c>
      <c r="AF21" s="215">
        <v>0.21827299999999999</v>
      </c>
      <c r="AG21" s="215">
        <v>0.18833816129</v>
      </c>
      <c r="AH21" s="215">
        <v>0.21041741935</v>
      </c>
      <c r="AI21" s="215">
        <v>0.21740599999999999</v>
      </c>
      <c r="AJ21" s="215">
        <v>0.19108412902999999</v>
      </c>
      <c r="AK21" s="215">
        <v>0.21369166667</v>
      </c>
      <c r="AL21" s="215">
        <v>0.25137790322999998</v>
      </c>
      <c r="AM21" s="215">
        <v>0.22645267742</v>
      </c>
      <c r="AN21" s="215">
        <v>0.21721314286000001</v>
      </c>
      <c r="AO21" s="215">
        <v>0.20670906452000001</v>
      </c>
      <c r="AP21" s="215">
        <v>0.19823333333000001</v>
      </c>
      <c r="AQ21" s="215">
        <v>0.19580825805999999</v>
      </c>
      <c r="AR21" s="215">
        <v>0.21546699999999999</v>
      </c>
      <c r="AS21" s="215">
        <v>0.21480567742000001</v>
      </c>
      <c r="AT21" s="215">
        <v>0.20774341935000001</v>
      </c>
      <c r="AU21" s="215">
        <v>0.19540133333000001</v>
      </c>
      <c r="AV21" s="215">
        <v>0.19225835484000001</v>
      </c>
      <c r="AW21" s="215">
        <v>0.21736733333</v>
      </c>
      <c r="AX21" s="215">
        <v>0.21854719354999999</v>
      </c>
      <c r="AY21" s="215">
        <v>0.22309745161</v>
      </c>
      <c r="AZ21" s="215">
        <v>0.20934489654999999</v>
      </c>
      <c r="BA21" s="215">
        <v>0.21858083871</v>
      </c>
      <c r="BB21" s="215">
        <v>0.19536666666999999</v>
      </c>
      <c r="BC21" s="215">
        <v>0.20077396774</v>
      </c>
      <c r="BD21" s="215">
        <v>0.18180033333000001</v>
      </c>
      <c r="BE21" s="215">
        <v>0.2120467</v>
      </c>
      <c r="BF21" s="215">
        <v>0.2086172</v>
      </c>
      <c r="BG21" s="323">
        <v>0.2055719</v>
      </c>
      <c r="BH21" s="323">
        <v>0.2039202</v>
      </c>
      <c r="BI21" s="323">
        <v>0.21653210000000001</v>
      </c>
      <c r="BJ21" s="323">
        <v>0.22429769999999999</v>
      </c>
      <c r="BK21" s="323">
        <v>0.21114810000000001</v>
      </c>
      <c r="BL21" s="323">
        <v>0.2059</v>
      </c>
      <c r="BM21" s="323">
        <v>0.20902970000000001</v>
      </c>
      <c r="BN21" s="323">
        <v>0.21431149999999999</v>
      </c>
      <c r="BO21" s="323">
        <v>0.21656339999999999</v>
      </c>
      <c r="BP21" s="323">
        <v>0.22036700000000001</v>
      </c>
      <c r="BQ21" s="323">
        <v>0.22151380000000001</v>
      </c>
      <c r="BR21" s="323">
        <v>0.21762699999999999</v>
      </c>
      <c r="BS21" s="323">
        <v>0.2147626</v>
      </c>
      <c r="BT21" s="323">
        <v>0.21079310000000001</v>
      </c>
      <c r="BU21" s="323">
        <v>0.22113569999999999</v>
      </c>
      <c r="BV21" s="323">
        <v>0.22729060000000001</v>
      </c>
    </row>
    <row r="22" spans="1:74" ht="11.1" customHeight="1" x14ac:dyDescent="0.2">
      <c r="A22" s="61" t="s">
        <v>520</v>
      </c>
      <c r="B22" s="175" t="s">
        <v>124</v>
      </c>
      <c r="C22" s="215">
        <v>-2.3954680000000002</v>
      </c>
      <c r="D22" s="215">
        <v>-2.3276460000000001</v>
      </c>
      <c r="E22" s="215">
        <v>-2.5068570000000001</v>
      </c>
      <c r="F22" s="215">
        <v>-2.3609049999999998</v>
      </c>
      <c r="G22" s="215">
        <v>-2.6985999999999999</v>
      </c>
      <c r="H22" s="215">
        <v>-2.4123610000000002</v>
      </c>
      <c r="I22" s="215">
        <v>-2.2546580000000001</v>
      </c>
      <c r="J22" s="215">
        <v>-2.0694590000000002</v>
      </c>
      <c r="K22" s="215">
        <v>-2.5057140000000002</v>
      </c>
      <c r="L22" s="215">
        <v>-2.3536769999999998</v>
      </c>
      <c r="M22" s="215">
        <v>-2.55078</v>
      </c>
      <c r="N22" s="215">
        <v>-3.130363</v>
      </c>
      <c r="O22" s="215">
        <v>-2.6661109999999999</v>
      </c>
      <c r="P22" s="215">
        <v>-3.1582150000000002</v>
      </c>
      <c r="Q22" s="215">
        <v>-3.105165</v>
      </c>
      <c r="R22" s="215">
        <v>-3.0317310000000002</v>
      </c>
      <c r="S22" s="215">
        <v>-2.8913929999999999</v>
      </c>
      <c r="T22" s="215">
        <v>-3.1508319999999999</v>
      </c>
      <c r="U22" s="215">
        <v>-3.2961429999999998</v>
      </c>
      <c r="V22" s="215">
        <v>-2.6586500000000002</v>
      </c>
      <c r="W22" s="215">
        <v>-2.3966509999999999</v>
      </c>
      <c r="X22" s="215">
        <v>-3.3061910000000001</v>
      </c>
      <c r="Y22" s="215">
        <v>-3.3980320000000002</v>
      </c>
      <c r="Z22" s="215">
        <v>-3.4608680000000001</v>
      </c>
      <c r="AA22" s="215">
        <v>-2.836776</v>
      </c>
      <c r="AB22" s="215">
        <v>-3.0839750000000001</v>
      </c>
      <c r="AC22" s="215">
        <v>-3.1652140000000002</v>
      </c>
      <c r="AD22" s="215">
        <v>-3.7562679999999999</v>
      </c>
      <c r="AE22" s="215">
        <v>-3.2573479999999999</v>
      </c>
      <c r="AF22" s="215">
        <v>-3.3062520000000002</v>
      </c>
      <c r="AG22" s="215">
        <v>-3.3985970000000001</v>
      </c>
      <c r="AH22" s="215">
        <v>-2.860268</v>
      </c>
      <c r="AI22" s="215">
        <v>-3.104088</v>
      </c>
      <c r="AJ22" s="215">
        <v>-3.6407959999999999</v>
      </c>
      <c r="AK22" s="215">
        <v>-4.1498689999999998</v>
      </c>
      <c r="AL22" s="215">
        <v>-3.9866389999999998</v>
      </c>
      <c r="AM22" s="215">
        <v>-3.1295500000000001</v>
      </c>
      <c r="AN22" s="215">
        <v>-3.3028339999999998</v>
      </c>
      <c r="AO22" s="215">
        <v>-3.1507390000000002</v>
      </c>
      <c r="AP22" s="215">
        <v>-2.945309</v>
      </c>
      <c r="AQ22" s="215">
        <v>-2.5401090000000002</v>
      </c>
      <c r="AR22" s="215">
        <v>-3.3317860000000001</v>
      </c>
      <c r="AS22" s="215">
        <v>-2.715535</v>
      </c>
      <c r="AT22" s="215">
        <v>-3.2402739999999999</v>
      </c>
      <c r="AU22" s="215">
        <v>-3.3502230000000002</v>
      </c>
      <c r="AV22" s="215">
        <v>-3.2699180000000001</v>
      </c>
      <c r="AW22" s="215">
        <v>-3.3755090000000001</v>
      </c>
      <c r="AX22" s="215">
        <v>-3.4677169999999999</v>
      </c>
      <c r="AY22" s="215">
        <v>-3.7627290000000002</v>
      </c>
      <c r="AZ22" s="215">
        <v>-4.3371719999999998</v>
      </c>
      <c r="BA22" s="215">
        <v>-4.0157179999999997</v>
      </c>
      <c r="BB22" s="215">
        <v>-3.658331</v>
      </c>
      <c r="BC22" s="215">
        <v>-2.2189770000000002</v>
      </c>
      <c r="BD22" s="215">
        <v>-2.9694219999999998</v>
      </c>
      <c r="BE22" s="215">
        <v>-3.0974068921</v>
      </c>
      <c r="BF22" s="215">
        <v>-3.1716554252</v>
      </c>
      <c r="BG22" s="323">
        <v>-2.8582909999999999</v>
      </c>
      <c r="BH22" s="323">
        <v>-3.641305</v>
      </c>
      <c r="BI22" s="323">
        <v>-4.2562439999999997</v>
      </c>
      <c r="BJ22" s="323">
        <v>-4.9984840000000004</v>
      </c>
      <c r="BK22" s="323">
        <v>-4.4546640000000002</v>
      </c>
      <c r="BL22" s="323">
        <v>-3.6666240000000001</v>
      </c>
      <c r="BM22" s="323">
        <v>-3.937271</v>
      </c>
      <c r="BN22" s="323">
        <v>-4.0634930000000002</v>
      </c>
      <c r="BO22" s="323">
        <v>-3.8511690000000001</v>
      </c>
      <c r="BP22" s="323">
        <v>-3.7905929999999999</v>
      </c>
      <c r="BQ22" s="323">
        <v>-4.306718</v>
      </c>
      <c r="BR22" s="323">
        <v>-3.649219</v>
      </c>
      <c r="BS22" s="323">
        <v>-4.1416490000000001</v>
      </c>
      <c r="BT22" s="323">
        <v>-3.9099370000000002</v>
      </c>
      <c r="BU22" s="323">
        <v>-4.1429369999999999</v>
      </c>
      <c r="BV22" s="323">
        <v>-5.1724579999999998</v>
      </c>
    </row>
    <row r="23" spans="1:74" ht="11.1" customHeight="1" x14ac:dyDescent="0.2">
      <c r="A23" s="616" t="s">
        <v>997</v>
      </c>
      <c r="B23" s="66" t="s">
        <v>998</v>
      </c>
      <c r="C23" s="215">
        <v>-1.026219</v>
      </c>
      <c r="D23" s="215">
        <v>-0.99529400000000001</v>
      </c>
      <c r="E23" s="215">
        <v>-0.92516100000000001</v>
      </c>
      <c r="F23" s="215">
        <v>-1.0083169999999999</v>
      </c>
      <c r="G23" s="215">
        <v>-1.195206</v>
      </c>
      <c r="H23" s="215">
        <v>-0.99624500000000005</v>
      </c>
      <c r="I23" s="215">
        <v>-0.99929000000000001</v>
      </c>
      <c r="J23" s="215">
        <v>-0.89968800000000004</v>
      </c>
      <c r="K23" s="215">
        <v>-0.95105499999999998</v>
      </c>
      <c r="L23" s="215">
        <v>-1.064406</v>
      </c>
      <c r="M23" s="215">
        <v>-1.047785</v>
      </c>
      <c r="N23" s="215">
        <v>-1.2576830000000001</v>
      </c>
      <c r="O23" s="215">
        <v>-1.168777</v>
      </c>
      <c r="P23" s="215">
        <v>-1.184483</v>
      </c>
      <c r="Q23" s="215">
        <v>-1.288097</v>
      </c>
      <c r="R23" s="215">
        <v>-1.3234269999999999</v>
      </c>
      <c r="S23" s="215">
        <v>-1.1787669999999999</v>
      </c>
      <c r="T23" s="215">
        <v>-1.0935600000000001</v>
      </c>
      <c r="U23" s="215">
        <v>-1.129707</v>
      </c>
      <c r="V23" s="215">
        <v>-1.0708800000000001</v>
      </c>
      <c r="W23" s="215">
        <v>-1.2721370000000001</v>
      </c>
      <c r="X23" s="215">
        <v>-1.2455959999999999</v>
      </c>
      <c r="Y23" s="215">
        <v>-1.2720830000000001</v>
      </c>
      <c r="Z23" s="215">
        <v>-1.2751520000000001</v>
      </c>
      <c r="AA23" s="215">
        <v>-1.183003</v>
      </c>
      <c r="AB23" s="215">
        <v>-1.205686</v>
      </c>
      <c r="AC23" s="215">
        <v>-1.2105170000000001</v>
      </c>
      <c r="AD23" s="215">
        <v>-1.5021450000000001</v>
      </c>
      <c r="AE23" s="215">
        <v>-1.594983</v>
      </c>
      <c r="AF23" s="215">
        <v>-1.482648</v>
      </c>
      <c r="AG23" s="215">
        <v>-1.501959</v>
      </c>
      <c r="AH23" s="215">
        <v>-1.500129</v>
      </c>
      <c r="AI23" s="215">
        <v>-1.4105270000000001</v>
      </c>
      <c r="AJ23" s="215">
        <v>-1.4160429999999999</v>
      </c>
      <c r="AK23" s="215">
        <v>-1.4311400000000001</v>
      </c>
      <c r="AL23" s="215">
        <v>-1.40273</v>
      </c>
      <c r="AM23" s="215">
        <v>-1.2643200000000001</v>
      </c>
      <c r="AN23" s="215">
        <v>-1.2705420000000001</v>
      </c>
      <c r="AO23" s="215">
        <v>-1.39737</v>
      </c>
      <c r="AP23" s="215">
        <v>-1.715192</v>
      </c>
      <c r="AQ23" s="215">
        <v>-1.618247</v>
      </c>
      <c r="AR23" s="215">
        <v>-1.6903319999999999</v>
      </c>
      <c r="AS23" s="215">
        <v>-1.712696</v>
      </c>
      <c r="AT23" s="215">
        <v>-1.653737</v>
      </c>
      <c r="AU23" s="215">
        <v>-1.7083740000000001</v>
      </c>
      <c r="AV23" s="215">
        <v>-1.8825879999999999</v>
      </c>
      <c r="AW23" s="215">
        <v>-1.790734</v>
      </c>
      <c r="AX23" s="215">
        <v>-1.7550600000000001</v>
      </c>
      <c r="AY23" s="215">
        <v>-1.9535899999999999</v>
      </c>
      <c r="AZ23" s="215">
        <v>-2.0446529999999998</v>
      </c>
      <c r="BA23" s="215">
        <v>-1.9790559999999999</v>
      </c>
      <c r="BB23" s="215">
        <v>-1.939327</v>
      </c>
      <c r="BC23" s="215">
        <v>-1.7293719999999999</v>
      </c>
      <c r="BD23" s="215">
        <v>-1.9226939999999999</v>
      </c>
      <c r="BE23" s="215">
        <v>-1.8700571839</v>
      </c>
      <c r="BF23" s="215">
        <v>-2.0007855968000001</v>
      </c>
      <c r="BG23" s="323">
        <v>-1.9722820000000001</v>
      </c>
      <c r="BH23" s="323">
        <v>-1.9480360000000001</v>
      </c>
      <c r="BI23" s="323">
        <v>-1.9216</v>
      </c>
      <c r="BJ23" s="323">
        <v>-1.9747300000000001</v>
      </c>
      <c r="BK23" s="323">
        <v>-1.833431</v>
      </c>
      <c r="BL23" s="323">
        <v>-1.8506849999999999</v>
      </c>
      <c r="BM23" s="323">
        <v>-1.9179470000000001</v>
      </c>
      <c r="BN23" s="323">
        <v>-1.9896069999999999</v>
      </c>
      <c r="BO23" s="323">
        <v>-2.0304959999999999</v>
      </c>
      <c r="BP23" s="323">
        <v>-1.98377</v>
      </c>
      <c r="BQ23" s="323">
        <v>-2.0262289999999998</v>
      </c>
      <c r="BR23" s="323">
        <v>-1.998075</v>
      </c>
      <c r="BS23" s="323">
        <v>-1.987727</v>
      </c>
      <c r="BT23" s="323">
        <v>-1.9672940000000001</v>
      </c>
      <c r="BU23" s="323">
        <v>-1.9421930000000001</v>
      </c>
      <c r="BV23" s="323">
        <v>-2.004543</v>
      </c>
    </row>
    <row r="24" spans="1:74" ht="11.1" customHeight="1" x14ac:dyDescent="0.2">
      <c r="A24" s="61" t="s">
        <v>180</v>
      </c>
      <c r="B24" s="175" t="s">
        <v>181</v>
      </c>
      <c r="C24" s="215">
        <v>0.32184699999999999</v>
      </c>
      <c r="D24" s="215">
        <v>0.411609</v>
      </c>
      <c r="E24" s="215">
        <v>0.325822</v>
      </c>
      <c r="F24" s="215">
        <v>0.43748799999999999</v>
      </c>
      <c r="G24" s="215">
        <v>0.40595599999999998</v>
      </c>
      <c r="H24" s="215">
        <v>0.52581800000000001</v>
      </c>
      <c r="I24" s="215">
        <v>0.50162399999999996</v>
      </c>
      <c r="J24" s="215">
        <v>0.43985099999999999</v>
      </c>
      <c r="K24" s="215">
        <v>0.32591300000000001</v>
      </c>
      <c r="L24" s="215">
        <v>0.43620399999999998</v>
      </c>
      <c r="M24" s="215">
        <v>0.33325900000000003</v>
      </c>
      <c r="N24" s="215">
        <v>0.33307300000000001</v>
      </c>
      <c r="O24" s="215">
        <v>0.454538</v>
      </c>
      <c r="P24" s="215">
        <v>0.34377799999999997</v>
      </c>
      <c r="Q24" s="215">
        <v>0.43352600000000002</v>
      </c>
      <c r="R24" s="215">
        <v>0.32072899999999999</v>
      </c>
      <c r="S24" s="215">
        <v>0.31476700000000002</v>
      </c>
      <c r="T24" s="215">
        <v>0.44519900000000001</v>
      </c>
      <c r="U24" s="215">
        <v>0.38057800000000003</v>
      </c>
      <c r="V24" s="215">
        <v>0.38607200000000003</v>
      </c>
      <c r="W24" s="215">
        <v>0.464138</v>
      </c>
      <c r="X24" s="215">
        <v>0.50045700000000004</v>
      </c>
      <c r="Y24" s="215">
        <v>0.41354800000000003</v>
      </c>
      <c r="Z24" s="215">
        <v>0.42022700000000002</v>
      </c>
      <c r="AA24" s="215">
        <v>0.40573300000000001</v>
      </c>
      <c r="AB24" s="215">
        <v>0.42436800000000002</v>
      </c>
      <c r="AC24" s="215">
        <v>0.36855399999999999</v>
      </c>
      <c r="AD24" s="215">
        <v>0.28222000000000003</v>
      </c>
      <c r="AE24" s="215">
        <v>0.41015699999999999</v>
      </c>
      <c r="AF24" s="215">
        <v>0.341557</v>
      </c>
      <c r="AG24" s="215">
        <v>0.276563</v>
      </c>
      <c r="AH24" s="215">
        <v>0.42841899999999999</v>
      </c>
      <c r="AI24" s="215">
        <v>0.34144799999999997</v>
      </c>
      <c r="AJ24" s="215">
        <v>0.34707399999999999</v>
      </c>
      <c r="AK24" s="215">
        <v>0.30370999999999998</v>
      </c>
      <c r="AL24" s="215">
        <v>0.24426800000000001</v>
      </c>
      <c r="AM24" s="215">
        <v>0.34459299999999998</v>
      </c>
      <c r="AN24" s="215">
        <v>0.10932600000000001</v>
      </c>
      <c r="AO24" s="215">
        <v>0.28467799999999999</v>
      </c>
      <c r="AP24" s="215">
        <v>0.53055300000000005</v>
      </c>
      <c r="AQ24" s="215">
        <v>0.47823500000000002</v>
      </c>
      <c r="AR24" s="215">
        <v>0.405026</v>
      </c>
      <c r="AS24" s="215">
        <v>0.540995</v>
      </c>
      <c r="AT24" s="215">
        <v>0.47372900000000001</v>
      </c>
      <c r="AU24" s="215">
        <v>0.39529700000000001</v>
      </c>
      <c r="AV24" s="215">
        <v>0.551342</v>
      </c>
      <c r="AW24" s="215">
        <v>0.48042800000000002</v>
      </c>
      <c r="AX24" s="215">
        <v>0.51849400000000001</v>
      </c>
      <c r="AY24" s="215">
        <v>0.45420899999999997</v>
      </c>
      <c r="AZ24" s="215">
        <v>0.28461700000000001</v>
      </c>
      <c r="BA24" s="215">
        <v>0.199853</v>
      </c>
      <c r="BB24" s="215">
        <v>5.7521999999999997E-2</v>
      </c>
      <c r="BC24" s="215">
        <v>0.30175800000000003</v>
      </c>
      <c r="BD24" s="215">
        <v>0.37574800000000003</v>
      </c>
      <c r="BE24" s="215">
        <v>0.37439050000000001</v>
      </c>
      <c r="BF24" s="215">
        <v>0.24060609999999999</v>
      </c>
      <c r="BG24" s="323">
        <v>0.45220660000000001</v>
      </c>
      <c r="BH24" s="323">
        <v>0.46171610000000002</v>
      </c>
      <c r="BI24" s="323">
        <v>0.33800390000000002</v>
      </c>
      <c r="BJ24" s="323">
        <v>0.28968349999999998</v>
      </c>
      <c r="BK24" s="323">
        <v>0.35126849999999998</v>
      </c>
      <c r="BL24" s="323">
        <v>0.33289210000000002</v>
      </c>
      <c r="BM24" s="323">
        <v>0.36610369999999998</v>
      </c>
      <c r="BN24" s="323">
        <v>0.45241399999999998</v>
      </c>
      <c r="BO24" s="323">
        <v>0.38978370000000001</v>
      </c>
      <c r="BP24" s="323">
        <v>0.5015733</v>
      </c>
      <c r="BQ24" s="323">
        <v>0.4598392</v>
      </c>
      <c r="BR24" s="323">
        <v>0.42210039999999999</v>
      </c>
      <c r="BS24" s="323">
        <v>0.44434449999999998</v>
      </c>
      <c r="BT24" s="323">
        <v>0.42619370000000001</v>
      </c>
      <c r="BU24" s="323">
        <v>0.29060710000000001</v>
      </c>
      <c r="BV24" s="323">
        <v>0.23463239999999999</v>
      </c>
    </row>
    <row r="25" spans="1:74" ht="11.1" customHeight="1" x14ac:dyDescent="0.2">
      <c r="A25" s="61" t="s">
        <v>185</v>
      </c>
      <c r="B25" s="175" t="s">
        <v>184</v>
      </c>
      <c r="C25" s="215">
        <v>-0.130467</v>
      </c>
      <c r="D25" s="215">
        <v>-8.7918999999999997E-2</v>
      </c>
      <c r="E25" s="215">
        <v>-0.117117</v>
      </c>
      <c r="F25" s="215">
        <v>-0.131602</v>
      </c>
      <c r="G25" s="215">
        <v>-9.6419000000000005E-2</v>
      </c>
      <c r="H25" s="215">
        <v>-2.87E-2</v>
      </c>
      <c r="I25" s="215">
        <v>-5.3108000000000002E-2</v>
      </c>
      <c r="J25" s="215">
        <v>-4.8554E-2</v>
      </c>
      <c r="K25" s="215">
        <v>-6.8872000000000003E-2</v>
      </c>
      <c r="L25" s="215">
        <v>-7.8728000000000006E-2</v>
      </c>
      <c r="M25" s="215">
        <v>-6.6822000000000006E-2</v>
      </c>
      <c r="N25" s="215">
        <v>-2.801E-2</v>
      </c>
      <c r="O25" s="215">
        <v>-0.12642500000000001</v>
      </c>
      <c r="P25" s="215">
        <v>-0.16319800000000001</v>
      </c>
      <c r="Q25" s="215">
        <v>-0.114522</v>
      </c>
      <c r="R25" s="215">
        <v>-8.4325999999999998E-2</v>
      </c>
      <c r="S25" s="215">
        <v>-0.10607999999999999</v>
      </c>
      <c r="T25" s="215">
        <v>-6.7163E-2</v>
      </c>
      <c r="U25" s="215">
        <v>-7.9784999999999995E-2</v>
      </c>
      <c r="V25" s="215">
        <v>-8.3822999999999995E-2</v>
      </c>
      <c r="W25" s="215">
        <v>-0.11255999999999999</v>
      </c>
      <c r="X25" s="215">
        <v>-0.120046</v>
      </c>
      <c r="Y25" s="215">
        <v>-0.115143</v>
      </c>
      <c r="Z25" s="215">
        <v>-0.17613999999999999</v>
      </c>
      <c r="AA25" s="215">
        <v>-0.13553999999999999</v>
      </c>
      <c r="AB25" s="215">
        <v>-0.19641600000000001</v>
      </c>
      <c r="AC25" s="215">
        <v>-0.21257100000000001</v>
      </c>
      <c r="AD25" s="215">
        <v>-0.17296400000000001</v>
      </c>
      <c r="AE25" s="215">
        <v>-0.118974</v>
      </c>
      <c r="AF25" s="215">
        <v>-0.16621900000000001</v>
      </c>
      <c r="AG25" s="215">
        <v>-0.12990699999999999</v>
      </c>
      <c r="AH25" s="215">
        <v>-0.12745100000000001</v>
      </c>
      <c r="AI25" s="215">
        <v>-0.13117400000000001</v>
      </c>
      <c r="AJ25" s="215">
        <v>-0.149335</v>
      </c>
      <c r="AK25" s="215">
        <v>-0.13675300000000001</v>
      </c>
      <c r="AL25" s="215">
        <v>-0.15071999999999999</v>
      </c>
      <c r="AM25" s="215">
        <v>-7.9908999999999994E-2</v>
      </c>
      <c r="AN25" s="215">
        <v>-6.5355999999999997E-2</v>
      </c>
      <c r="AO25" s="215">
        <v>-9.2777999999999999E-2</v>
      </c>
      <c r="AP25" s="215">
        <v>-9.1462000000000002E-2</v>
      </c>
      <c r="AQ25" s="215">
        <v>-5.9797000000000003E-2</v>
      </c>
      <c r="AR25" s="215">
        <v>-5.7668999999999998E-2</v>
      </c>
      <c r="AS25" s="215">
        <v>-5.8853000000000003E-2</v>
      </c>
      <c r="AT25" s="215">
        <v>-6.5759999999999999E-2</v>
      </c>
      <c r="AU25" s="215">
        <v>-2.8975000000000001E-2</v>
      </c>
      <c r="AV25" s="215">
        <v>-3.6583999999999998E-2</v>
      </c>
      <c r="AW25" s="215">
        <v>-3.8980000000000001E-2</v>
      </c>
      <c r="AX25" s="215">
        <v>-7.0785000000000001E-2</v>
      </c>
      <c r="AY25" s="215">
        <v>-8.1090999999999996E-2</v>
      </c>
      <c r="AZ25" s="215">
        <v>-0.128493</v>
      </c>
      <c r="BA25" s="215">
        <v>-8.1037999999999999E-2</v>
      </c>
      <c r="BB25" s="215">
        <v>-5.6466000000000002E-2</v>
      </c>
      <c r="BC25" s="215">
        <v>-3.6170000000000001E-2</v>
      </c>
      <c r="BD25" s="215">
        <v>-4.3756000000000003E-2</v>
      </c>
      <c r="BE25" s="215">
        <v>-9.7917140452000007E-2</v>
      </c>
      <c r="BF25" s="215">
        <v>-0.10117343355</v>
      </c>
      <c r="BG25" s="323">
        <v>-0.1111005</v>
      </c>
      <c r="BH25" s="323">
        <v>-0.1127457</v>
      </c>
      <c r="BI25" s="323">
        <v>-0.1124072</v>
      </c>
      <c r="BJ25" s="323">
        <v>-0.1118797</v>
      </c>
      <c r="BK25" s="323">
        <v>-0.1367467</v>
      </c>
      <c r="BL25" s="323">
        <v>-0.1451646</v>
      </c>
      <c r="BM25" s="323">
        <v>-0.14538989999999999</v>
      </c>
      <c r="BN25" s="323">
        <v>-0.13465350000000001</v>
      </c>
      <c r="BO25" s="323">
        <v>-0.12320739999999999</v>
      </c>
      <c r="BP25" s="323">
        <v>-0.12366969999999999</v>
      </c>
      <c r="BQ25" s="323">
        <v>-0.1221995</v>
      </c>
      <c r="BR25" s="323">
        <v>-0.1223317</v>
      </c>
      <c r="BS25" s="323">
        <v>-0.12539649999999999</v>
      </c>
      <c r="BT25" s="323">
        <v>-0.13175190000000001</v>
      </c>
      <c r="BU25" s="323">
        <v>-0.13593810000000001</v>
      </c>
      <c r="BV25" s="323">
        <v>-0.13532359999999999</v>
      </c>
    </row>
    <row r="26" spans="1:74" ht="11.1" customHeight="1" x14ac:dyDescent="0.2">
      <c r="A26" s="61" t="s">
        <v>176</v>
      </c>
      <c r="B26" s="175" t="s">
        <v>692</v>
      </c>
      <c r="C26" s="215">
        <v>0.33569199999999999</v>
      </c>
      <c r="D26" s="215">
        <v>0.34243000000000001</v>
      </c>
      <c r="E26" s="215">
        <v>0.34323599999999999</v>
      </c>
      <c r="F26" s="215">
        <v>0.57131100000000001</v>
      </c>
      <c r="G26" s="215">
        <v>0.65013799999999999</v>
      </c>
      <c r="H26" s="215">
        <v>0.68996400000000002</v>
      </c>
      <c r="I26" s="215">
        <v>0.60665800000000003</v>
      </c>
      <c r="J26" s="215">
        <v>0.53606600000000004</v>
      </c>
      <c r="K26" s="215">
        <v>0.60439799999999999</v>
      </c>
      <c r="L26" s="215">
        <v>0.53859500000000005</v>
      </c>
      <c r="M26" s="215">
        <v>0.58948999999999996</v>
      </c>
      <c r="N26" s="215">
        <v>0.43861800000000001</v>
      </c>
      <c r="O26" s="215">
        <v>0.50365800000000005</v>
      </c>
      <c r="P26" s="215">
        <v>0.42750700000000003</v>
      </c>
      <c r="Q26" s="215">
        <v>0.36482199999999998</v>
      </c>
      <c r="R26" s="215">
        <v>0.70697500000000002</v>
      </c>
      <c r="S26" s="215">
        <v>0.65046099999999996</v>
      </c>
      <c r="T26" s="215">
        <v>0.67406299999999997</v>
      </c>
      <c r="U26" s="215">
        <v>0.58368699999999996</v>
      </c>
      <c r="V26" s="215">
        <v>0.64555499999999999</v>
      </c>
      <c r="W26" s="215">
        <v>0.68994599999999995</v>
      </c>
      <c r="X26" s="215">
        <v>0.38625999999999999</v>
      </c>
      <c r="Y26" s="215">
        <v>0.376083</v>
      </c>
      <c r="Z26" s="215">
        <v>0.32482699999999998</v>
      </c>
      <c r="AA26" s="215">
        <v>0.42571399999999998</v>
      </c>
      <c r="AB26" s="215">
        <v>0.44293300000000002</v>
      </c>
      <c r="AC26" s="215">
        <v>0.63300999999999996</v>
      </c>
      <c r="AD26" s="215">
        <v>0.72601599999999999</v>
      </c>
      <c r="AE26" s="215">
        <v>0.83031900000000003</v>
      </c>
      <c r="AF26" s="215">
        <v>0.770841</v>
      </c>
      <c r="AG26" s="215">
        <v>0.74153000000000002</v>
      </c>
      <c r="AH26" s="215">
        <v>0.76555200000000001</v>
      </c>
      <c r="AI26" s="215">
        <v>0.50039999999999996</v>
      </c>
      <c r="AJ26" s="215">
        <v>0.43534899999999999</v>
      </c>
      <c r="AK26" s="215">
        <v>0.228299</v>
      </c>
      <c r="AL26" s="215">
        <v>0.436085</v>
      </c>
      <c r="AM26" s="215">
        <v>0.444828</v>
      </c>
      <c r="AN26" s="215">
        <v>0.42546400000000001</v>
      </c>
      <c r="AO26" s="215">
        <v>0.51417800000000002</v>
      </c>
      <c r="AP26" s="215">
        <v>0.80780099999999999</v>
      </c>
      <c r="AQ26" s="215">
        <v>1.0041629999999999</v>
      </c>
      <c r="AR26" s="215">
        <v>0.62604300000000002</v>
      </c>
      <c r="AS26" s="215">
        <v>0.81289699999999998</v>
      </c>
      <c r="AT26" s="215">
        <v>0.697353</v>
      </c>
      <c r="AU26" s="215">
        <v>0.62252300000000005</v>
      </c>
      <c r="AV26" s="215">
        <v>0.51267200000000002</v>
      </c>
      <c r="AW26" s="215">
        <v>0.44736199999999998</v>
      </c>
      <c r="AX26" s="215">
        <v>0.43847199999999997</v>
      </c>
      <c r="AY26" s="215">
        <v>0.32143899999999997</v>
      </c>
      <c r="AZ26" s="215">
        <v>0.35391099999999998</v>
      </c>
      <c r="BA26" s="215">
        <v>0.497836</v>
      </c>
      <c r="BB26" s="215">
        <v>0.204093</v>
      </c>
      <c r="BC26" s="215">
        <v>0.34716000000000002</v>
      </c>
      <c r="BD26" s="215">
        <v>0.53888899999999995</v>
      </c>
      <c r="BE26" s="215">
        <v>0.56581460967999997</v>
      </c>
      <c r="BF26" s="215">
        <v>0.45893885358999997</v>
      </c>
      <c r="BG26" s="323">
        <v>0.4487273</v>
      </c>
      <c r="BH26" s="323">
        <v>0.38221749999999999</v>
      </c>
      <c r="BI26" s="323">
        <v>0.21376120000000001</v>
      </c>
      <c r="BJ26" s="323">
        <v>-0.11007699999999999</v>
      </c>
      <c r="BK26" s="323">
        <v>0.48146640000000002</v>
      </c>
      <c r="BL26" s="323">
        <v>0.40188390000000002</v>
      </c>
      <c r="BM26" s="323">
        <v>0.3350668</v>
      </c>
      <c r="BN26" s="323">
        <v>0.67999710000000002</v>
      </c>
      <c r="BO26" s="323">
        <v>0.76820560000000004</v>
      </c>
      <c r="BP26" s="323">
        <v>0.63844979999999996</v>
      </c>
      <c r="BQ26" s="323">
        <v>0.54089589999999999</v>
      </c>
      <c r="BR26" s="323">
        <v>0.48737920000000001</v>
      </c>
      <c r="BS26" s="323">
        <v>0.48211029999999999</v>
      </c>
      <c r="BT26" s="323">
        <v>0.41095500000000001</v>
      </c>
      <c r="BU26" s="323">
        <v>0.19054099999999999</v>
      </c>
      <c r="BV26" s="323">
        <v>-0.1143888</v>
      </c>
    </row>
    <row r="27" spans="1:74" ht="11.1" customHeight="1" x14ac:dyDescent="0.2">
      <c r="A27" s="61" t="s">
        <v>175</v>
      </c>
      <c r="B27" s="175" t="s">
        <v>413</v>
      </c>
      <c r="C27" s="215">
        <v>-0.52551499999999995</v>
      </c>
      <c r="D27" s="215">
        <v>-0.63054399999999999</v>
      </c>
      <c r="E27" s="215">
        <v>-0.54852000000000001</v>
      </c>
      <c r="F27" s="215">
        <v>-0.448181</v>
      </c>
      <c r="G27" s="215">
        <v>-0.53729899999999997</v>
      </c>
      <c r="H27" s="215">
        <v>-0.49161500000000002</v>
      </c>
      <c r="I27" s="215">
        <v>-0.44551299999999999</v>
      </c>
      <c r="J27" s="215">
        <v>-0.44642700000000002</v>
      </c>
      <c r="K27" s="215">
        <v>-0.49808200000000002</v>
      </c>
      <c r="L27" s="215">
        <v>-0.647841</v>
      </c>
      <c r="M27" s="215">
        <v>-0.78998400000000002</v>
      </c>
      <c r="N27" s="215">
        <v>-0.90682200000000002</v>
      </c>
      <c r="O27" s="215">
        <v>-0.78454500000000005</v>
      </c>
      <c r="P27" s="215">
        <v>-0.68166700000000002</v>
      </c>
      <c r="Q27" s="215">
        <v>-0.57893799999999995</v>
      </c>
      <c r="R27" s="215">
        <v>-0.61463599999999996</v>
      </c>
      <c r="S27" s="215">
        <v>-0.58507500000000001</v>
      </c>
      <c r="T27" s="215">
        <v>-0.68389</v>
      </c>
      <c r="U27" s="215">
        <v>-0.68878899999999998</v>
      </c>
      <c r="V27" s="215">
        <v>-0.58121100000000003</v>
      </c>
      <c r="W27" s="215">
        <v>-0.629942</v>
      </c>
      <c r="X27" s="215">
        <v>-0.70150599999999996</v>
      </c>
      <c r="Y27" s="215">
        <v>-1.079739</v>
      </c>
      <c r="Z27" s="215">
        <v>-0.99498399999999998</v>
      </c>
      <c r="AA27" s="215">
        <v>-0.95648900000000003</v>
      </c>
      <c r="AB27" s="215">
        <v>-0.90125200000000005</v>
      </c>
      <c r="AC27" s="215">
        <v>-0.91341000000000006</v>
      </c>
      <c r="AD27" s="215">
        <v>-0.83388099999999998</v>
      </c>
      <c r="AE27" s="215">
        <v>-0.65754800000000002</v>
      </c>
      <c r="AF27" s="215">
        <v>-0.644648</v>
      </c>
      <c r="AG27" s="215">
        <v>-0.78610800000000003</v>
      </c>
      <c r="AH27" s="215">
        <v>-0.59894000000000003</v>
      </c>
      <c r="AI27" s="215">
        <v>-0.72073799999999999</v>
      </c>
      <c r="AJ27" s="215">
        <v>-0.96718899999999997</v>
      </c>
      <c r="AK27" s="215">
        <v>-1.04278</v>
      </c>
      <c r="AL27" s="215">
        <v>-0.98854699999999995</v>
      </c>
      <c r="AM27" s="215">
        <v>-0.78108599999999995</v>
      </c>
      <c r="AN27" s="215">
        <v>-0.86004599999999998</v>
      </c>
      <c r="AO27" s="215">
        <v>-0.76960399999999995</v>
      </c>
      <c r="AP27" s="215">
        <v>-0.57928500000000005</v>
      </c>
      <c r="AQ27" s="215">
        <v>-0.59065100000000004</v>
      </c>
      <c r="AR27" s="215">
        <v>-0.64609099999999997</v>
      </c>
      <c r="AS27" s="215">
        <v>-0.59236500000000003</v>
      </c>
      <c r="AT27" s="215">
        <v>-0.54748699999999995</v>
      </c>
      <c r="AU27" s="215">
        <v>-0.67186400000000002</v>
      </c>
      <c r="AV27" s="215">
        <v>-0.77386100000000002</v>
      </c>
      <c r="AW27" s="215">
        <v>-0.94935899999999995</v>
      </c>
      <c r="AX27" s="215">
        <v>-0.90232199999999996</v>
      </c>
      <c r="AY27" s="215">
        <v>-0.73121999999999998</v>
      </c>
      <c r="AZ27" s="215">
        <v>-0.79067399999999999</v>
      </c>
      <c r="BA27" s="215">
        <v>-0.65454199999999996</v>
      </c>
      <c r="BB27" s="215">
        <v>-0.67260399999999998</v>
      </c>
      <c r="BC27" s="215">
        <v>-0.20055200000000001</v>
      </c>
      <c r="BD27" s="215">
        <v>-0.34778599999999998</v>
      </c>
      <c r="BE27" s="215">
        <v>-0.49085253456</v>
      </c>
      <c r="BF27" s="215">
        <v>-0.54077876034000005</v>
      </c>
      <c r="BG27" s="323">
        <v>-0.25702049999999999</v>
      </c>
      <c r="BH27" s="323">
        <v>-0.5819145</v>
      </c>
      <c r="BI27" s="323">
        <v>-0.63772110000000004</v>
      </c>
      <c r="BJ27" s="323">
        <v>-0.79668989999999995</v>
      </c>
      <c r="BK27" s="323">
        <v>-1.030038</v>
      </c>
      <c r="BL27" s="323">
        <v>-0.55913049999999997</v>
      </c>
      <c r="BM27" s="323">
        <v>-0.50735260000000004</v>
      </c>
      <c r="BN27" s="323">
        <v>-0.76724970000000003</v>
      </c>
      <c r="BO27" s="323">
        <v>-0.71887630000000002</v>
      </c>
      <c r="BP27" s="323">
        <v>-0.69908630000000005</v>
      </c>
      <c r="BQ27" s="323">
        <v>-0.80837999999999999</v>
      </c>
      <c r="BR27" s="323">
        <v>-0.45315860000000002</v>
      </c>
      <c r="BS27" s="323">
        <v>-0.86921859999999995</v>
      </c>
      <c r="BT27" s="323">
        <v>-0.75152379999999996</v>
      </c>
      <c r="BU27" s="323">
        <v>-0.80323940000000005</v>
      </c>
      <c r="BV27" s="323">
        <v>-0.82449899999999998</v>
      </c>
    </row>
    <row r="28" spans="1:74" ht="11.1" customHeight="1" x14ac:dyDescent="0.2">
      <c r="A28" s="61" t="s">
        <v>177</v>
      </c>
      <c r="B28" s="175" t="s">
        <v>173</v>
      </c>
      <c r="C28" s="215">
        <v>-5.1137000000000002E-2</v>
      </c>
      <c r="D28" s="215">
        <v>-5.4170999999999997E-2</v>
      </c>
      <c r="E28" s="215">
        <v>2.8506E-2</v>
      </c>
      <c r="F28" s="215">
        <v>-4.2481999999999999E-2</v>
      </c>
      <c r="G28" s="215">
        <v>-2.6350000000000002E-3</v>
      </c>
      <c r="H28" s="215">
        <v>-7.2539999999999993E-2</v>
      </c>
      <c r="I28" s="215">
        <v>3.0338E-2</v>
      </c>
      <c r="J28" s="215">
        <v>-5.2925E-2</v>
      </c>
      <c r="K28" s="215">
        <v>-3.1961999999999997E-2</v>
      </c>
      <c r="L28" s="215">
        <v>1.7389999999999999E-2</v>
      </c>
      <c r="M28" s="215">
        <v>-4.4389999999999999E-2</v>
      </c>
      <c r="N28" s="215">
        <v>-7.1457000000000007E-2</v>
      </c>
      <c r="O28" s="215">
        <v>-4.2207000000000001E-2</v>
      </c>
      <c r="P28" s="215">
        <v>-3.0172000000000001E-2</v>
      </c>
      <c r="Q28" s="215">
        <v>-5.2194999999999998E-2</v>
      </c>
      <c r="R28" s="215">
        <v>-1.9748000000000002E-2</v>
      </c>
      <c r="S28" s="215">
        <v>-4.6397000000000001E-2</v>
      </c>
      <c r="T28" s="215">
        <v>-0.116287</v>
      </c>
      <c r="U28" s="215">
        <v>-8.0463999999999994E-2</v>
      </c>
      <c r="V28" s="215">
        <v>-2.5118000000000001E-2</v>
      </c>
      <c r="W28" s="215">
        <v>7.0273000000000002E-2</v>
      </c>
      <c r="X28" s="215">
        <v>8.2105999999999998E-2</v>
      </c>
      <c r="Y28" s="215">
        <v>-7.8059999999999996E-3</v>
      </c>
      <c r="Z28" s="215">
        <v>-2.3984999999999999E-2</v>
      </c>
      <c r="AA28" s="215">
        <v>-7.5766E-2</v>
      </c>
      <c r="AB28" s="215">
        <v>-8.3722000000000005E-2</v>
      </c>
      <c r="AC28" s="215">
        <v>-0.162047</v>
      </c>
      <c r="AD28" s="215">
        <v>-0.137715</v>
      </c>
      <c r="AE28" s="215">
        <v>-0.104935</v>
      </c>
      <c r="AF28" s="215">
        <v>-6.0836000000000001E-2</v>
      </c>
      <c r="AG28" s="215">
        <v>-0.118094</v>
      </c>
      <c r="AH28" s="215">
        <v>-7.1446999999999997E-2</v>
      </c>
      <c r="AI28" s="215">
        <v>1.4710000000000001E-2</v>
      </c>
      <c r="AJ28" s="215">
        <v>-0.16100800000000001</v>
      </c>
      <c r="AK28" s="215">
        <v>-0.111772</v>
      </c>
      <c r="AL28" s="215">
        <v>-0.106001</v>
      </c>
      <c r="AM28" s="215">
        <v>-0.16377800000000001</v>
      </c>
      <c r="AN28" s="215">
        <v>-5.1951999999999998E-2</v>
      </c>
      <c r="AO28" s="215">
        <v>-2.8677999999999999E-2</v>
      </c>
      <c r="AP28" s="215">
        <v>2.2279999999999999E-3</v>
      </c>
      <c r="AQ28" s="215">
        <v>-6.4159999999999998E-3</v>
      </c>
      <c r="AR28" s="215">
        <v>-3.9072999999999997E-2</v>
      </c>
      <c r="AS28" s="215">
        <v>4.7109999999999999E-3</v>
      </c>
      <c r="AT28" s="215">
        <v>-7.8911999999999996E-2</v>
      </c>
      <c r="AU28" s="215">
        <v>-5.6877999999999998E-2</v>
      </c>
      <c r="AV28" s="215">
        <v>-7.3331999999999994E-2</v>
      </c>
      <c r="AW28" s="215">
        <v>-9.4535999999999995E-2</v>
      </c>
      <c r="AX28" s="215">
        <v>-8.5800000000000001E-2</v>
      </c>
      <c r="AY28" s="215">
        <v>-6.7493999999999998E-2</v>
      </c>
      <c r="AZ28" s="215">
        <v>-8.1323999999999994E-2</v>
      </c>
      <c r="BA28" s="215">
        <v>-6.4043000000000003E-2</v>
      </c>
      <c r="BB28" s="215">
        <v>7.6415999999999998E-2</v>
      </c>
      <c r="BC28" s="215">
        <v>0.10184799999999999</v>
      </c>
      <c r="BD28" s="215">
        <v>9.3056E-2</v>
      </c>
      <c r="BE28" s="215">
        <v>0.17487096773999999</v>
      </c>
      <c r="BF28" s="215">
        <v>0.14255172528999999</v>
      </c>
      <c r="BG28" s="323">
        <v>3.6278699999999997E-2</v>
      </c>
      <c r="BH28" s="323">
        <v>-8.8023000000000004E-2</v>
      </c>
      <c r="BI28" s="323">
        <v>-0.1433072</v>
      </c>
      <c r="BJ28" s="323">
        <v>-9.0017E-2</v>
      </c>
      <c r="BK28" s="323">
        <v>-8.8091299999999997E-2</v>
      </c>
      <c r="BL28" s="323">
        <v>-0.1152055</v>
      </c>
      <c r="BM28" s="323">
        <v>-0.13507710000000001</v>
      </c>
      <c r="BN28" s="323">
        <v>-0.13683039999999999</v>
      </c>
      <c r="BO28" s="323">
        <v>-0.1163807</v>
      </c>
      <c r="BP28" s="323">
        <v>-0.1005861</v>
      </c>
      <c r="BQ28" s="323">
        <v>4.7725900000000002E-3</v>
      </c>
      <c r="BR28" s="323">
        <v>3.9392900000000002E-2</v>
      </c>
      <c r="BS28" s="323">
        <v>4.58422E-2</v>
      </c>
      <c r="BT28" s="323">
        <v>3.2777899999999999E-2</v>
      </c>
      <c r="BU28" s="323">
        <v>-6.5374699999999994E-2</v>
      </c>
      <c r="BV28" s="323">
        <v>-7.43843E-2</v>
      </c>
    </row>
    <row r="29" spans="1:74" ht="11.1" customHeight="1" x14ac:dyDescent="0.2">
      <c r="A29" s="61" t="s">
        <v>178</v>
      </c>
      <c r="B29" s="175" t="s">
        <v>172</v>
      </c>
      <c r="C29" s="215">
        <v>-0.74717699999999998</v>
      </c>
      <c r="D29" s="215">
        <v>-0.66524499999999998</v>
      </c>
      <c r="E29" s="215">
        <v>-1.0397449999999999</v>
      </c>
      <c r="F29" s="215">
        <v>-1.1060080000000001</v>
      </c>
      <c r="G29" s="215">
        <v>-1.111918</v>
      </c>
      <c r="H29" s="215">
        <v>-1.3547899999999999</v>
      </c>
      <c r="I29" s="215">
        <v>-1.2305379999999999</v>
      </c>
      <c r="J29" s="215">
        <v>-1.0478959999999999</v>
      </c>
      <c r="K29" s="215">
        <v>-1.0611919999999999</v>
      </c>
      <c r="L29" s="215">
        <v>-0.92969100000000005</v>
      </c>
      <c r="M29" s="215">
        <v>-1.0200419999999999</v>
      </c>
      <c r="N29" s="215">
        <v>-1.0633649999999999</v>
      </c>
      <c r="O29" s="215">
        <v>-0.95159499999999997</v>
      </c>
      <c r="P29" s="215">
        <v>-1.034756</v>
      </c>
      <c r="Q29" s="215">
        <v>-1.081186</v>
      </c>
      <c r="R29" s="215">
        <v>-1.237428</v>
      </c>
      <c r="S29" s="215">
        <v>-1.3854040000000001</v>
      </c>
      <c r="T29" s="215">
        <v>-1.499298</v>
      </c>
      <c r="U29" s="215">
        <v>-1.6361509999999999</v>
      </c>
      <c r="V29" s="215">
        <v>-1.265304</v>
      </c>
      <c r="W29" s="215">
        <v>-1.076292</v>
      </c>
      <c r="X29" s="215">
        <v>-1.2795190000000001</v>
      </c>
      <c r="Y29" s="215">
        <v>-1.1780740000000001</v>
      </c>
      <c r="Z29" s="215">
        <v>-1.125807</v>
      </c>
      <c r="AA29" s="215">
        <v>-0.70830300000000002</v>
      </c>
      <c r="AB29" s="215">
        <v>-0.75001300000000004</v>
      </c>
      <c r="AC29" s="215">
        <v>-0.97101199999999999</v>
      </c>
      <c r="AD29" s="215">
        <v>-1.3729</v>
      </c>
      <c r="AE29" s="215">
        <v>-1.2501519999999999</v>
      </c>
      <c r="AF29" s="215">
        <v>-1.377159</v>
      </c>
      <c r="AG29" s="215">
        <v>-1.158525</v>
      </c>
      <c r="AH29" s="215">
        <v>-1.1015410000000001</v>
      </c>
      <c r="AI29" s="215">
        <v>-1.126611</v>
      </c>
      <c r="AJ29" s="215">
        <v>-1.1730339999999999</v>
      </c>
      <c r="AK29" s="215">
        <v>-1.165052</v>
      </c>
      <c r="AL29" s="215">
        <v>-1.1959029999999999</v>
      </c>
      <c r="AM29" s="215">
        <v>-0.973028</v>
      </c>
      <c r="AN29" s="215">
        <v>-0.799539</v>
      </c>
      <c r="AO29" s="215">
        <v>-0.993143</v>
      </c>
      <c r="AP29" s="215">
        <v>-1.139815</v>
      </c>
      <c r="AQ29" s="215">
        <v>-1.127138</v>
      </c>
      <c r="AR29" s="215">
        <v>-1.3900410000000001</v>
      </c>
      <c r="AS29" s="215">
        <v>-1.2000789999999999</v>
      </c>
      <c r="AT29" s="215">
        <v>-1.3762270000000001</v>
      </c>
      <c r="AU29" s="215">
        <v>-1.3091619999999999</v>
      </c>
      <c r="AV29" s="215">
        <v>-1.0192330000000001</v>
      </c>
      <c r="AW29" s="215">
        <v>-0.889181</v>
      </c>
      <c r="AX29" s="215">
        <v>-1.0059340000000001</v>
      </c>
      <c r="AY29" s="215">
        <v>-1.04559</v>
      </c>
      <c r="AZ29" s="215">
        <v>-1.2323230000000001</v>
      </c>
      <c r="BA29" s="215">
        <v>-1.2951509999999999</v>
      </c>
      <c r="BB29" s="215">
        <v>-0.86513799999999996</v>
      </c>
      <c r="BC29" s="215">
        <v>-0.54277699999999995</v>
      </c>
      <c r="BD29" s="215">
        <v>-1.1755450000000001</v>
      </c>
      <c r="BE29" s="215">
        <v>-1.1496036865999999</v>
      </c>
      <c r="BF29" s="215">
        <v>-1.1539946909000001</v>
      </c>
      <c r="BG29" s="323">
        <v>-1.0149330000000001</v>
      </c>
      <c r="BH29" s="323">
        <v>-0.97853590000000001</v>
      </c>
      <c r="BI29" s="323">
        <v>-1.271479</v>
      </c>
      <c r="BJ29" s="323">
        <v>-1.3700330000000001</v>
      </c>
      <c r="BK29" s="323">
        <v>-1.332525</v>
      </c>
      <c r="BL29" s="323">
        <v>-1.015163</v>
      </c>
      <c r="BM29" s="323">
        <v>-1.215865</v>
      </c>
      <c r="BN29" s="323">
        <v>-1.3525529999999999</v>
      </c>
      <c r="BO29" s="323">
        <v>-1.2714319999999999</v>
      </c>
      <c r="BP29" s="323">
        <v>-1.278338</v>
      </c>
      <c r="BQ29" s="323">
        <v>-1.470764</v>
      </c>
      <c r="BR29" s="323">
        <v>-1.217047</v>
      </c>
      <c r="BS29" s="323">
        <v>-1.349782</v>
      </c>
      <c r="BT29" s="323">
        <v>-1.0482370000000001</v>
      </c>
      <c r="BU29" s="323">
        <v>-0.99748150000000002</v>
      </c>
      <c r="BV29" s="323">
        <v>-1.267441</v>
      </c>
    </row>
    <row r="30" spans="1:74" ht="11.1" customHeight="1" x14ac:dyDescent="0.2">
      <c r="A30" s="61" t="s">
        <v>179</v>
      </c>
      <c r="B30" s="175" t="s">
        <v>174</v>
      </c>
      <c r="C30" s="215">
        <v>-2.6797999999999999E-2</v>
      </c>
      <c r="D30" s="215">
        <v>-0.15590899999999999</v>
      </c>
      <c r="E30" s="215">
        <v>-8.3812999999999999E-2</v>
      </c>
      <c r="F30" s="215">
        <v>-3.1267999999999997E-2</v>
      </c>
      <c r="G30" s="215">
        <v>-0.197212</v>
      </c>
      <c r="H30" s="215">
        <v>-4.7807000000000002E-2</v>
      </c>
      <c r="I30" s="215">
        <v>-3.6329E-2</v>
      </c>
      <c r="J30" s="215">
        <v>-6.7019999999999996E-2</v>
      </c>
      <c r="K30" s="215">
        <v>-0.20827200000000001</v>
      </c>
      <c r="L30" s="215">
        <v>-0.101434</v>
      </c>
      <c r="M30" s="215">
        <v>-9.4132999999999994E-2</v>
      </c>
      <c r="N30" s="215">
        <v>-7.3325000000000001E-2</v>
      </c>
      <c r="O30" s="215">
        <v>-4.1216000000000003E-2</v>
      </c>
      <c r="P30" s="215">
        <v>-0.22798199999999999</v>
      </c>
      <c r="Q30" s="215">
        <v>-9.5797999999999994E-2</v>
      </c>
      <c r="R30" s="215">
        <v>-0.167295</v>
      </c>
      <c r="S30" s="215">
        <v>-3.4200000000000001E-2</v>
      </c>
      <c r="T30" s="215">
        <v>-0.18570200000000001</v>
      </c>
      <c r="U30" s="215">
        <v>-0.16791500000000001</v>
      </c>
      <c r="V30" s="215">
        <v>-5.9017E-2</v>
      </c>
      <c r="W30" s="215">
        <v>-0.12573400000000001</v>
      </c>
      <c r="X30" s="215">
        <v>-0.236846</v>
      </c>
      <c r="Y30" s="215">
        <v>-1.8912000000000002E-2</v>
      </c>
      <c r="Z30" s="215">
        <v>-7.1845999999999993E-2</v>
      </c>
      <c r="AA30" s="215">
        <v>-4.4615000000000002E-2</v>
      </c>
      <c r="AB30" s="215">
        <v>-0.14637</v>
      </c>
      <c r="AC30" s="215">
        <v>-9.8396999999999998E-2</v>
      </c>
      <c r="AD30" s="215">
        <v>-0.132489</v>
      </c>
      <c r="AE30" s="215">
        <v>-0.134682</v>
      </c>
      <c r="AF30" s="215">
        <v>-0.12859000000000001</v>
      </c>
      <c r="AG30" s="215">
        <v>-0.120411</v>
      </c>
      <c r="AH30" s="215">
        <v>-0.147091</v>
      </c>
      <c r="AI30" s="215">
        <v>-5.2004000000000002E-2</v>
      </c>
      <c r="AJ30" s="215">
        <v>-0.106616</v>
      </c>
      <c r="AK30" s="215">
        <v>-8.8722999999999996E-2</v>
      </c>
      <c r="AL30" s="215">
        <v>-0.120647</v>
      </c>
      <c r="AM30" s="215">
        <v>-3.2478E-2</v>
      </c>
      <c r="AN30" s="215">
        <v>-7.7406000000000003E-2</v>
      </c>
      <c r="AO30" s="215">
        <v>-0.111315</v>
      </c>
      <c r="AP30" s="215">
        <v>-0.22023000000000001</v>
      </c>
      <c r="AQ30" s="215">
        <v>-0.13189100000000001</v>
      </c>
      <c r="AR30" s="215">
        <v>-9.7434999999999994E-2</v>
      </c>
      <c r="AS30" s="215">
        <v>-4.0055E-2</v>
      </c>
      <c r="AT30" s="215">
        <v>-0.14250299999999999</v>
      </c>
      <c r="AU30" s="215">
        <v>-3.6746000000000001E-2</v>
      </c>
      <c r="AV30" s="215">
        <v>-3.2368000000000001E-2</v>
      </c>
      <c r="AW30" s="215">
        <v>-5.8830000000000002E-3</v>
      </c>
      <c r="AX30" s="215">
        <v>-3.4029999999999998E-2</v>
      </c>
      <c r="AY30" s="215">
        <v>2.2748000000000001E-2</v>
      </c>
      <c r="AZ30" s="215">
        <v>-6.1692999999999998E-2</v>
      </c>
      <c r="BA30" s="215">
        <v>-2.2259000000000001E-2</v>
      </c>
      <c r="BB30" s="215">
        <v>5.2484999999999997E-2</v>
      </c>
      <c r="BC30" s="215">
        <v>5.2319999999999997E-3</v>
      </c>
      <c r="BD30" s="215">
        <v>7.8399999999999997E-4</v>
      </c>
      <c r="BE30" s="215">
        <v>-1.8124423963E-2</v>
      </c>
      <c r="BF30" s="215">
        <v>5.4004677448999998E-2</v>
      </c>
      <c r="BG30" s="323">
        <v>-2.48861E-3</v>
      </c>
      <c r="BH30" s="323">
        <v>-7.3170299999999994E-2</v>
      </c>
      <c r="BI30" s="323">
        <v>3.6980499999999999E-2</v>
      </c>
      <c r="BJ30" s="323">
        <v>-2.5712499999999999E-2</v>
      </c>
      <c r="BK30" s="323">
        <v>-1.8521200000000002E-2</v>
      </c>
      <c r="BL30" s="323">
        <v>-8.5682900000000006E-2</v>
      </c>
      <c r="BM30" s="323">
        <v>-5.0598299999999999E-2</v>
      </c>
      <c r="BN30" s="323">
        <v>-0.13928309999999999</v>
      </c>
      <c r="BO30" s="323">
        <v>-0.11673699999999999</v>
      </c>
      <c r="BP30" s="323">
        <v>-0.12686900000000001</v>
      </c>
      <c r="BQ30" s="323">
        <v>-0.1153912</v>
      </c>
      <c r="BR30" s="323">
        <v>-0.1596419</v>
      </c>
      <c r="BS30" s="323">
        <v>-4.9755000000000001E-2</v>
      </c>
      <c r="BT30" s="323">
        <v>-0.1044317</v>
      </c>
      <c r="BU30" s="323">
        <v>9.7761100000000004E-2</v>
      </c>
      <c r="BV30" s="323">
        <v>-3.4848299999999999E-2</v>
      </c>
    </row>
    <row r="31" spans="1:74" ht="11.1" customHeight="1" x14ac:dyDescent="0.2">
      <c r="A31" s="61" t="s">
        <v>186</v>
      </c>
      <c r="B31" s="622" t="s">
        <v>996</v>
      </c>
      <c r="C31" s="215">
        <v>-0.54569400000000001</v>
      </c>
      <c r="D31" s="215">
        <v>-0.49260300000000001</v>
      </c>
      <c r="E31" s="215">
        <v>-0.49006499999999997</v>
      </c>
      <c r="F31" s="215">
        <v>-0.60184599999999999</v>
      </c>
      <c r="G31" s="215">
        <v>-0.61400500000000002</v>
      </c>
      <c r="H31" s="215">
        <v>-0.63644599999999996</v>
      </c>
      <c r="I31" s="215">
        <v>-0.62849999999999995</v>
      </c>
      <c r="J31" s="215">
        <v>-0.48286600000000002</v>
      </c>
      <c r="K31" s="215">
        <v>-0.61658999999999997</v>
      </c>
      <c r="L31" s="215">
        <v>-0.52376599999999995</v>
      </c>
      <c r="M31" s="215">
        <v>-0.41037299999999999</v>
      </c>
      <c r="N31" s="215">
        <v>-0.50139199999999995</v>
      </c>
      <c r="O31" s="215">
        <v>-0.50954200000000005</v>
      </c>
      <c r="P31" s="215">
        <v>-0.60724199999999995</v>
      </c>
      <c r="Q31" s="215">
        <v>-0.69277699999999998</v>
      </c>
      <c r="R31" s="215">
        <v>-0.61257499999999998</v>
      </c>
      <c r="S31" s="215">
        <v>-0.52069799999999999</v>
      </c>
      <c r="T31" s="215">
        <v>-0.62419400000000003</v>
      </c>
      <c r="U31" s="215">
        <v>-0.47759699999999999</v>
      </c>
      <c r="V31" s="215">
        <v>-0.60492400000000002</v>
      </c>
      <c r="W31" s="215">
        <v>-0.40434300000000001</v>
      </c>
      <c r="X31" s="215">
        <v>-0.69150100000000003</v>
      </c>
      <c r="Y31" s="215">
        <v>-0.51590599999999998</v>
      </c>
      <c r="Z31" s="215">
        <v>-0.53800800000000004</v>
      </c>
      <c r="AA31" s="215">
        <v>-0.56450699999999998</v>
      </c>
      <c r="AB31" s="215">
        <v>-0.66781699999999999</v>
      </c>
      <c r="AC31" s="215">
        <v>-0.59882400000000002</v>
      </c>
      <c r="AD31" s="215">
        <v>-0.61241000000000001</v>
      </c>
      <c r="AE31" s="215">
        <v>-0.63654999999999995</v>
      </c>
      <c r="AF31" s="215">
        <v>-0.55854999999999999</v>
      </c>
      <c r="AG31" s="215">
        <v>-0.60168600000000005</v>
      </c>
      <c r="AH31" s="215">
        <v>-0.50763999999999998</v>
      </c>
      <c r="AI31" s="215">
        <v>-0.51959200000000005</v>
      </c>
      <c r="AJ31" s="215">
        <v>-0.44999400000000001</v>
      </c>
      <c r="AK31" s="215">
        <v>-0.70565800000000001</v>
      </c>
      <c r="AL31" s="215">
        <v>-0.70244399999999996</v>
      </c>
      <c r="AM31" s="215">
        <v>-0.62437200000000004</v>
      </c>
      <c r="AN31" s="215">
        <v>-0.71278300000000006</v>
      </c>
      <c r="AO31" s="215">
        <v>-0.55670699999999995</v>
      </c>
      <c r="AP31" s="215">
        <v>-0.53990700000000003</v>
      </c>
      <c r="AQ31" s="215">
        <v>-0.488367</v>
      </c>
      <c r="AR31" s="215">
        <v>-0.442214</v>
      </c>
      <c r="AS31" s="215">
        <v>-0.47009000000000001</v>
      </c>
      <c r="AT31" s="215">
        <v>-0.54673000000000005</v>
      </c>
      <c r="AU31" s="215">
        <v>-0.55604399999999998</v>
      </c>
      <c r="AV31" s="215">
        <v>-0.51596600000000004</v>
      </c>
      <c r="AW31" s="215">
        <v>-0.53462600000000005</v>
      </c>
      <c r="AX31" s="215">
        <v>-0.57075200000000004</v>
      </c>
      <c r="AY31" s="215">
        <v>-0.68213999999999997</v>
      </c>
      <c r="AZ31" s="215">
        <v>-0.63653999999999999</v>
      </c>
      <c r="BA31" s="215">
        <v>-0.61731800000000003</v>
      </c>
      <c r="BB31" s="215">
        <v>-0.51531199999999999</v>
      </c>
      <c r="BC31" s="215">
        <v>-0.46610400000000002</v>
      </c>
      <c r="BD31" s="215">
        <v>-0.488118</v>
      </c>
      <c r="BE31" s="215">
        <v>-0.585928</v>
      </c>
      <c r="BF31" s="215">
        <v>-0.2710243</v>
      </c>
      <c r="BG31" s="323">
        <v>-0.43767820000000002</v>
      </c>
      <c r="BH31" s="323">
        <v>-0.70281340000000003</v>
      </c>
      <c r="BI31" s="323">
        <v>-0.75847439999999999</v>
      </c>
      <c r="BJ31" s="323">
        <v>-0.80902850000000004</v>
      </c>
      <c r="BK31" s="323">
        <v>-0.84804590000000002</v>
      </c>
      <c r="BL31" s="323">
        <v>-0.63036829999999999</v>
      </c>
      <c r="BM31" s="323">
        <v>-0.66621269999999999</v>
      </c>
      <c r="BN31" s="323">
        <v>-0.67572719999999997</v>
      </c>
      <c r="BO31" s="323">
        <v>-0.6320289</v>
      </c>
      <c r="BP31" s="323">
        <v>-0.61829610000000002</v>
      </c>
      <c r="BQ31" s="323">
        <v>-0.76926229999999995</v>
      </c>
      <c r="BR31" s="323">
        <v>-0.64783769999999996</v>
      </c>
      <c r="BS31" s="323">
        <v>-0.73206729999999998</v>
      </c>
      <c r="BT31" s="323">
        <v>-0.77662529999999996</v>
      </c>
      <c r="BU31" s="323">
        <v>-0.77761999999999998</v>
      </c>
      <c r="BV31" s="323">
        <v>-0.95166220000000001</v>
      </c>
    </row>
    <row r="32" spans="1:74" ht="11.1" customHeight="1" x14ac:dyDescent="0.2">
      <c r="A32" s="61" t="s">
        <v>753</v>
      </c>
      <c r="B32" s="175" t="s">
        <v>125</v>
      </c>
      <c r="C32" s="215">
        <v>-0.29326012902999998</v>
      </c>
      <c r="D32" s="215">
        <v>0.55466651724000005</v>
      </c>
      <c r="E32" s="215">
        <v>0.20217658064999999</v>
      </c>
      <c r="F32" s="215">
        <v>-0.21089479999999999</v>
      </c>
      <c r="G32" s="215">
        <v>-0.41349351613000002</v>
      </c>
      <c r="H32" s="215">
        <v>-0.33064339999999998</v>
      </c>
      <c r="I32" s="215">
        <v>-0.78872654839</v>
      </c>
      <c r="J32" s="215">
        <v>-0.21437567741999999</v>
      </c>
      <c r="K32" s="215">
        <v>-2.5799999999000001E-4</v>
      </c>
      <c r="L32" s="215">
        <v>0.57635616129</v>
      </c>
      <c r="M32" s="215">
        <v>-0.12281233333</v>
      </c>
      <c r="N32" s="215">
        <v>0.66256458065000001</v>
      </c>
      <c r="O32" s="215">
        <v>-3.0437354839000001E-2</v>
      </c>
      <c r="P32" s="215">
        <v>0.78371796428999996</v>
      </c>
      <c r="Q32" s="215">
        <v>0.92047596773999996</v>
      </c>
      <c r="R32" s="215">
        <v>-0.49813679999999999</v>
      </c>
      <c r="S32" s="215">
        <v>-0.56106722581000001</v>
      </c>
      <c r="T32" s="215">
        <v>0.11724583332999999</v>
      </c>
      <c r="U32" s="215">
        <v>-0.22621429032000001</v>
      </c>
      <c r="V32" s="215">
        <v>-0.39579422581000001</v>
      </c>
      <c r="W32" s="215">
        <v>0.46276546667000001</v>
      </c>
      <c r="X32" s="215">
        <v>0.71076167741999996</v>
      </c>
      <c r="Y32" s="215">
        <v>0.11792313333</v>
      </c>
      <c r="Z32" s="215">
        <v>-3.5893612903E-2</v>
      </c>
      <c r="AA32" s="215">
        <v>0.40260741935</v>
      </c>
      <c r="AB32" s="215">
        <v>0.28183189285999999</v>
      </c>
      <c r="AC32" s="215">
        <v>0.51716712902999995</v>
      </c>
      <c r="AD32" s="215">
        <v>0.2178947</v>
      </c>
      <c r="AE32" s="215">
        <v>-0.37267538709999998</v>
      </c>
      <c r="AF32" s="215">
        <v>-0.51113889999999995</v>
      </c>
      <c r="AG32" s="215">
        <v>-0.35266396773999997</v>
      </c>
      <c r="AH32" s="215">
        <v>-0.68575467741999996</v>
      </c>
      <c r="AI32" s="215">
        <v>-1.0089489332999999</v>
      </c>
      <c r="AJ32" s="215">
        <v>0.85475222580999999</v>
      </c>
      <c r="AK32" s="215">
        <v>0.57299033333000005</v>
      </c>
      <c r="AL32" s="215">
        <v>-0.28351264516000002</v>
      </c>
      <c r="AM32" s="215">
        <v>0.17931819355</v>
      </c>
      <c r="AN32" s="215">
        <v>0.69238835714000002</v>
      </c>
      <c r="AO32" s="215">
        <v>0.33336964516000001</v>
      </c>
      <c r="AP32" s="215">
        <v>-0.25034260000000003</v>
      </c>
      <c r="AQ32" s="215">
        <v>-1.0376993226</v>
      </c>
      <c r="AR32" s="215">
        <v>-0.49071740000000003</v>
      </c>
      <c r="AS32" s="215">
        <v>-0.86342303225999995</v>
      </c>
      <c r="AT32" s="215">
        <v>-9.9354935483999998E-2</v>
      </c>
      <c r="AU32" s="215">
        <v>-7.3538733332999998E-2</v>
      </c>
      <c r="AV32" s="215">
        <v>0.98616241935000004</v>
      </c>
      <c r="AW32" s="215">
        <v>0.16170029999999999</v>
      </c>
      <c r="AX32" s="215">
        <v>-0.37925441934999998</v>
      </c>
      <c r="AY32" s="215">
        <v>-0.21721174194000001</v>
      </c>
      <c r="AZ32" s="215">
        <v>1.0572035517</v>
      </c>
      <c r="BA32" s="215">
        <v>-0.42302345160999999</v>
      </c>
      <c r="BB32" s="215">
        <v>-1.0012582333</v>
      </c>
      <c r="BC32" s="215">
        <v>-1.1679233226000001</v>
      </c>
      <c r="BD32" s="215">
        <v>-0.54607143332999997</v>
      </c>
      <c r="BE32" s="215">
        <v>-0.21948440148000001</v>
      </c>
      <c r="BF32" s="215">
        <v>0.19808063053</v>
      </c>
      <c r="BG32" s="323">
        <v>5.4102999999999998E-2</v>
      </c>
      <c r="BH32" s="323">
        <v>0.65921870000000005</v>
      </c>
      <c r="BI32" s="323">
        <v>0.44101400000000002</v>
      </c>
      <c r="BJ32" s="323">
        <v>0.54945520000000003</v>
      </c>
      <c r="BK32" s="323">
        <v>0.36973060000000002</v>
      </c>
      <c r="BL32" s="323">
        <v>0.71862970000000004</v>
      </c>
      <c r="BM32" s="323">
        <v>0.4765509</v>
      </c>
      <c r="BN32" s="323">
        <v>-0.1985652</v>
      </c>
      <c r="BO32" s="323">
        <v>-0.65647960000000005</v>
      </c>
      <c r="BP32" s="323">
        <v>-0.43764720000000001</v>
      </c>
      <c r="BQ32" s="323">
        <v>-0.31852399999999997</v>
      </c>
      <c r="BR32" s="323">
        <v>-0.30200519999999997</v>
      </c>
      <c r="BS32" s="323">
        <v>-0.22241179999999999</v>
      </c>
      <c r="BT32" s="323">
        <v>0.55813210000000002</v>
      </c>
      <c r="BU32" s="323">
        <v>0.2290527</v>
      </c>
      <c r="BV32" s="323">
        <v>0.4139621</v>
      </c>
    </row>
    <row r="33" spans="1:74" s="64" customFormat="1" ht="11.1" customHeight="1" x14ac:dyDescent="0.2">
      <c r="A33" s="61" t="s">
        <v>758</v>
      </c>
      <c r="B33" s="175" t="s">
        <v>405</v>
      </c>
      <c r="C33" s="215">
        <v>19.062929580999999</v>
      </c>
      <c r="D33" s="215">
        <v>19.846740897</v>
      </c>
      <c r="E33" s="215">
        <v>19.728330710000002</v>
      </c>
      <c r="F33" s="215">
        <v>19.340358866999999</v>
      </c>
      <c r="G33" s="215">
        <v>19.328279581</v>
      </c>
      <c r="H33" s="215">
        <v>19.8463086</v>
      </c>
      <c r="I33" s="215">
        <v>19.775786</v>
      </c>
      <c r="J33" s="215">
        <v>20.274913999999999</v>
      </c>
      <c r="K33" s="215">
        <v>19.756957332999999</v>
      </c>
      <c r="L33" s="215">
        <v>19.650241064999999</v>
      </c>
      <c r="M33" s="215">
        <v>19.659030000000001</v>
      </c>
      <c r="N33" s="215">
        <v>19.984121968</v>
      </c>
      <c r="O33" s="215">
        <v>19.323041065000002</v>
      </c>
      <c r="P33" s="215">
        <v>19.190582249999999</v>
      </c>
      <c r="Q33" s="215">
        <v>20.060255677000001</v>
      </c>
      <c r="R33" s="215">
        <v>19.595459200000001</v>
      </c>
      <c r="S33" s="215">
        <v>20.066372161</v>
      </c>
      <c r="T33" s="215">
        <v>20.561378167000001</v>
      </c>
      <c r="U33" s="215">
        <v>20.119052387</v>
      </c>
      <c r="V33" s="215">
        <v>20.251324064999999</v>
      </c>
      <c r="W33" s="215">
        <v>19.640745466999999</v>
      </c>
      <c r="X33" s="215">
        <v>19.989783031999998</v>
      </c>
      <c r="Y33" s="215">
        <v>20.307368467</v>
      </c>
      <c r="Z33" s="215">
        <v>20.323585774000001</v>
      </c>
      <c r="AA33" s="215">
        <v>20.545267515999999</v>
      </c>
      <c r="AB33" s="215">
        <v>19.678848036000002</v>
      </c>
      <c r="AC33" s="215">
        <v>20.756489257999998</v>
      </c>
      <c r="AD33" s="215">
        <v>20.036656366999999</v>
      </c>
      <c r="AE33" s="215">
        <v>20.247495484000002</v>
      </c>
      <c r="AF33" s="215">
        <v>20.790399099999998</v>
      </c>
      <c r="AG33" s="215">
        <v>20.682409194000002</v>
      </c>
      <c r="AH33" s="215">
        <v>21.358521742000001</v>
      </c>
      <c r="AI33" s="215">
        <v>20.082941067</v>
      </c>
      <c r="AJ33" s="215">
        <v>20.734534355000001</v>
      </c>
      <c r="AK33" s="215">
        <v>20.746680999999999</v>
      </c>
      <c r="AL33" s="215">
        <v>20.303610257999999</v>
      </c>
      <c r="AM33" s="215">
        <v>20.831723871000001</v>
      </c>
      <c r="AN33" s="215">
        <v>20.284046499999999</v>
      </c>
      <c r="AO33" s="215">
        <v>20.176405710000001</v>
      </c>
      <c r="AP33" s="215">
        <v>20.332734732999999</v>
      </c>
      <c r="AQ33" s="215">
        <v>20.387218935</v>
      </c>
      <c r="AR33" s="215">
        <v>20.654108600000001</v>
      </c>
      <c r="AS33" s="215">
        <v>20.734702644999999</v>
      </c>
      <c r="AT33" s="215">
        <v>21.158048483999998</v>
      </c>
      <c r="AU33" s="215">
        <v>20.2486146</v>
      </c>
      <c r="AV33" s="215">
        <v>20.714149773999999</v>
      </c>
      <c r="AW33" s="215">
        <v>20.736323633000001</v>
      </c>
      <c r="AX33" s="215">
        <v>20.443029773999999</v>
      </c>
      <c r="AY33" s="215">
        <v>19.913667709999999</v>
      </c>
      <c r="AZ33" s="215">
        <v>19.839038448</v>
      </c>
      <c r="BA33" s="215">
        <v>18.283932387</v>
      </c>
      <c r="BB33" s="215">
        <v>14.690985433</v>
      </c>
      <c r="BC33" s="215">
        <v>16.103259645000001</v>
      </c>
      <c r="BD33" s="215">
        <v>17.435232899999999</v>
      </c>
      <c r="BE33" s="215">
        <v>18.382803126999999</v>
      </c>
      <c r="BF33" s="215">
        <v>18.653758838000002</v>
      </c>
      <c r="BG33" s="323">
        <v>19.087050000000001</v>
      </c>
      <c r="BH33" s="323">
        <v>19.535630000000001</v>
      </c>
      <c r="BI33" s="323">
        <v>19.515910000000002</v>
      </c>
      <c r="BJ33" s="323">
        <v>19.62895</v>
      </c>
      <c r="BK33" s="323">
        <v>19.363969999999998</v>
      </c>
      <c r="BL33" s="323">
        <v>19.68637</v>
      </c>
      <c r="BM33" s="323">
        <v>19.761099999999999</v>
      </c>
      <c r="BN33" s="323">
        <v>19.49877</v>
      </c>
      <c r="BO33" s="323">
        <v>19.799720000000001</v>
      </c>
      <c r="BP33" s="323">
        <v>20.160910000000001</v>
      </c>
      <c r="BQ33" s="323">
        <v>20.277799999999999</v>
      </c>
      <c r="BR33" s="323">
        <v>20.711980000000001</v>
      </c>
      <c r="BS33" s="323">
        <v>20.137440000000002</v>
      </c>
      <c r="BT33" s="323">
        <v>20.492930000000001</v>
      </c>
      <c r="BU33" s="323">
        <v>20.61759</v>
      </c>
      <c r="BV33" s="323">
        <v>20.202069999999999</v>
      </c>
    </row>
    <row r="34" spans="1:74" s="64" customFormat="1" ht="11.1" customHeight="1" x14ac:dyDescent="0.2">
      <c r="A34" s="61"/>
      <c r="B34" s="44"/>
      <c r="C34" s="62"/>
      <c r="D34" s="62"/>
      <c r="E34" s="62"/>
      <c r="F34" s="62"/>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Q34" s="62"/>
      <c r="AR34" s="62"/>
      <c r="AS34" s="62"/>
      <c r="AT34" s="62"/>
      <c r="AU34" s="62"/>
      <c r="AV34" s="62"/>
      <c r="AW34" s="62"/>
      <c r="AX34" s="62"/>
      <c r="AY34" s="62"/>
      <c r="AZ34" s="62"/>
      <c r="BA34" s="62"/>
      <c r="BB34" s="62"/>
      <c r="BC34" s="62"/>
      <c r="BD34" s="62"/>
      <c r="BE34" s="62"/>
      <c r="BF34" s="62"/>
      <c r="BG34" s="326"/>
      <c r="BH34" s="326"/>
      <c r="BI34" s="326"/>
      <c r="BJ34" s="326"/>
      <c r="BK34" s="326"/>
      <c r="BL34" s="326"/>
      <c r="BM34" s="326"/>
      <c r="BN34" s="326"/>
      <c r="BO34" s="326"/>
      <c r="BP34" s="326"/>
      <c r="BQ34" s="326"/>
      <c r="BR34" s="326"/>
      <c r="BS34" s="326"/>
      <c r="BT34" s="326"/>
      <c r="BU34" s="326"/>
      <c r="BV34" s="326"/>
    </row>
    <row r="35" spans="1:74" ht="11.1" customHeight="1" x14ac:dyDescent="0.2">
      <c r="A35" s="57"/>
      <c r="B35" s="65" t="s">
        <v>783</v>
      </c>
      <c r="C35" s="62"/>
      <c r="D35" s="62"/>
      <c r="E35" s="62"/>
      <c r="F35" s="62"/>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62"/>
      <c r="AG35" s="62"/>
      <c r="AH35" s="62"/>
      <c r="AI35" s="62"/>
      <c r="AJ35" s="62"/>
      <c r="AK35" s="62"/>
      <c r="AL35" s="62"/>
      <c r="AM35" s="62"/>
      <c r="AN35" s="62"/>
      <c r="AO35" s="62"/>
      <c r="AP35" s="62"/>
      <c r="AQ35" s="62"/>
      <c r="AR35" s="62"/>
      <c r="AS35" s="62"/>
      <c r="AT35" s="62"/>
      <c r="AU35" s="62"/>
      <c r="AV35" s="62"/>
      <c r="AW35" s="62"/>
      <c r="AX35" s="62"/>
      <c r="AY35" s="62"/>
      <c r="AZ35" s="62"/>
      <c r="BA35" s="62"/>
      <c r="BB35" s="62"/>
      <c r="BC35" s="62"/>
      <c r="BD35" s="62"/>
      <c r="BE35" s="62"/>
      <c r="BF35" s="62"/>
      <c r="BG35" s="326"/>
      <c r="BH35" s="326"/>
      <c r="BI35" s="326"/>
      <c r="BJ35" s="326"/>
      <c r="BK35" s="326"/>
      <c r="BL35" s="326"/>
      <c r="BM35" s="326"/>
      <c r="BN35" s="326"/>
      <c r="BO35" s="326"/>
      <c r="BP35" s="326"/>
      <c r="BQ35" s="326"/>
      <c r="BR35" s="326"/>
      <c r="BS35" s="326"/>
      <c r="BT35" s="326"/>
      <c r="BU35" s="326"/>
      <c r="BV35" s="326"/>
    </row>
    <row r="36" spans="1:74" ht="11.1" customHeight="1" x14ac:dyDescent="0.2">
      <c r="A36" s="615" t="s">
        <v>991</v>
      </c>
      <c r="B36" s="622" t="s">
        <v>994</v>
      </c>
      <c r="C36" s="215">
        <v>2.9580709999999999</v>
      </c>
      <c r="D36" s="215">
        <v>2.7981199999999999</v>
      </c>
      <c r="E36" s="215">
        <v>2.613194</v>
      </c>
      <c r="F36" s="215">
        <v>2.402549</v>
      </c>
      <c r="G36" s="215">
        <v>2.3829880000000001</v>
      </c>
      <c r="H36" s="215">
        <v>2.2693889999999999</v>
      </c>
      <c r="I36" s="215">
        <v>2.4212590000000001</v>
      </c>
      <c r="J36" s="215">
        <v>2.3081510000000001</v>
      </c>
      <c r="K36" s="215">
        <v>2.4291779999999998</v>
      </c>
      <c r="L36" s="215">
        <v>2.5566909999999998</v>
      </c>
      <c r="M36" s="215">
        <v>2.5195810000000001</v>
      </c>
      <c r="N36" s="215">
        <v>2.7747679999999999</v>
      </c>
      <c r="O36" s="215">
        <v>3.0485129999999998</v>
      </c>
      <c r="P36" s="215">
        <v>2.6554099999999998</v>
      </c>
      <c r="Q36" s="215">
        <v>2.7292900000000002</v>
      </c>
      <c r="R36" s="215">
        <v>2.5240390000000001</v>
      </c>
      <c r="S36" s="215">
        <v>2.4512649999999998</v>
      </c>
      <c r="T36" s="215">
        <v>2.478907</v>
      </c>
      <c r="U36" s="215">
        <v>2.587777</v>
      </c>
      <c r="V36" s="215">
        <v>2.2493460000000001</v>
      </c>
      <c r="W36" s="215">
        <v>2.3473290000000002</v>
      </c>
      <c r="X36" s="215">
        <v>2.6141139999999998</v>
      </c>
      <c r="Y36" s="215">
        <v>2.9017499999999998</v>
      </c>
      <c r="Z36" s="215">
        <v>3.1175250000000001</v>
      </c>
      <c r="AA36" s="215">
        <v>3.5173190000000001</v>
      </c>
      <c r="AB36" s="215">
        <v>3.1429209999999999</v>
      </c>
      <c r="AC36" s="215">
        <v>3.1191589999999998</v>
      </c>
      <c r="AD36" s="215">
        <v>2.861021</v>
      </c>
      <c r="AE36" s="215">
        <v>2.577661</v>
      </c>
      <c r="AF36" s="215">
        <v>2.624352</v>
      </c>
      <c r="AG36" s="215">
        <v>2.854104</v>
      </c>
      <c r="AH36" s="215">
        <v>2.9050639999999999</v>
      </c>
      <c r="AI36" s="215">
        <v>2.9004400000000001</v>
      </c>
      <c r="AJ36" s="215">
        <v>2.9246989999999999</v>
      </c>
      <c r="AK36" s="215">
        <v>3.2969930000000001</v>
      </c>
      <c r="AL36" s="215">
        <v>3.3564940000000001</v>
      </c>
      <c r="AM36" s="215">
        <v>3.7151969999999999</v>
      </c>
      <c r="AN36" s="215">
        <v>3.5900650000000001</v>
      </c>
      <c r="AO36" s="215">
        <v>3.1362429999999999</v>
      </c>
      <c r="AP36" s="215">
        <v>2.8857740000000001</v>
      </c>
      <c r="AQ36" s="215">
        <v>2.7452040000000002</v>
      </c>
      <c r="AR36" s="215">
        <v>2.7531680000000001</v>
      </c>
      <c r="AS36" s="215">
        <v>2.929627</v>
      </c>
      <c r="AT36" s="215">
        <v>2.8539729999999999</v>
      </c>
      <c r="AU36" s="215">
        <v>3.0413929999999998</v>
      </c>
      <c r="AV36" s="215">
        <v>3.1476060000000001</v>
      </c>
      <c r="AW36" s="215">
        <v>3.398466</v>
      </c>
      <c r="AX36" s="215">
        <v>3.4986169999999999</v>
      </c>
      <c r="AY36" s="215">
        <v>3.3962810000000001</v>
      </c>
      <c r="AZ36" s="215">
        <v>3.2084169999999999</v>
      </c>
      <c r="BA36" s="215">
        <v>3.3106209999999998</v>
      </c>
      <c r="BB36" s="215">
        <v>2.8570069999999999</v>
      </c>
      <c r="BC36" s="215">
        <v>2.881014</v>
      </c>
      <c r="BD36" s="215">
        <v>2.7600060000000002</v>
      </c>
      <c r="BE36" s="215">
        <v>2.8558289484000001</v>
      </c>
      <c r="BF36" s="215">
        <v>2.7978969871000001</v>
      </c>
      <c r="BG36" s="323">
        <v>2.9981049999999998</v>
      </c>
      <c r="BH36" s="323">
        <v>3.1747169999999998</v>
      </c>
      <c r="BI36" s="323">
        <v>3.3605640000000001</v>
      </c>
      <c r="BJ36" s="323">
        <v>3.5038100000000001</v>
      </c>
      <c r="BK36" s="323">
        <v>3.631418</v>
      </c>
      <c r="BL36" s="323">
        <v>3.5419689999999999</v>
      </c>
      <c r="BM36" s="323">
        <v>3.3145289999999998</v>
      </c>
      <c r="BN36" s="323">
        <v>3.1727340000000002</v>
      </c>
      <c r="BO36" s="323">
        <v>3.0428890000000002</v>
      </c>
      <c r="BP36" s="323">
        <v>3.0206010000000001</v>
      </c>
      <c r="BQ36" s="323">
        <v>3.1328480000000001</v>
      </c>
      <c r="BR36" s="323">
        <v>3.0785279999999999</v>
      </c>
      <c r="BS36" s="323">
        <v>3.193222</v>
      </c>
      <c r="BT36" s="323">
        <v>3.3301799999999999</v>
      </c>
      <c r="BU36" s="323">
        <v>3.5203410000000002</v>
      </c>
      <c r="BV36" s="323">
        <v>3.6693060000000002</v>
      </c>
    </row>
    <row r="37" spans="1:74" ht="11.1" customHeight="1" x14ac:dyDescent="0.2">
      <c r="A37" s="615" t="s">
        <v>755</v>
      </c>
      <c r="B37" s="176" t="s">
        <v>406</v>
      </c>
      <c r="C37" s="215">
        <v>-3.4120999999999999E-2</v>
      </c>
      <c r="D37" s="215">
        <v>0.208679</v>
      </c>
      <c r="E37" s="215">
        <v>-6.0533000000000003E-2</v>
      </c>
      <c r="F37" s="215">
        <v>4.0254999999999999E-2</v>
      </c>
      <c r="G37" s="215">
        <v>-9.3720999999999999E-2</v>
      </c>
      <c r="H37" s="215">
        <v>-1.6681000000000001E-2</v>
      </c>
      <c r="I37" s="215">
        <v>-0.109537</v>
      </c>
      <c r="J37" s="215">
        <v>6.6592999999999999E-2</v>
      </c>
      <c r="K37" s="215">
        <v>3.8470000000000002E-3</v>
      </c>
      <c r="L37" s="215">
        <v>8.2526000000000002E-2</v>
      </c>
      <c r="M37" s="215">
        <v>-5.0040000000000001E-2</v>
      </c>
      <c r="N37" s="215">
        <v>2.2976E-2</v>
      </c>
      <c r="O37" s="215">
        <v>-2.3654999999999999E-2</v>
      </c>
      <c r="P37" s="215">
        <v>-7.2199999999999999E-4</v>
      </c>
      <c r="Q37" s="215">
        <v>7.9493999999999995E-2</v>
      </c>
      <c r="R37" s="215">
        <v>0.118562</v>
      </c>
      <c r="S37" s="215">
        <v>-2.0749E-2</v>
      </c>
      <c r="T37" s="215">
        <v>8.2232E-2</v>
      </c>
      <c r="U37" s="215">
        <v>1.1771999999999999E-2</v>
      </c>
      <c r="V37" s="215">
        <v>-8.9599999999999992E-3</v>
      </c>
      <c r="W37" s="215">
        <v>4.4738E-2</v>
      </c>
      <c r="X37" s="215">
        <v>7.4489E-2</v>
      </c>
      <c r="Y37" s="215">
        <v>4.1147999999999997E-2</v>
      </c>
      <c r="Z37" s="215">
        <v>3.3743000000000002E-2</v>
      </c>
      <c r="AA37" s="215">
        <v>7.6605000000000006E-2</v>
      </c>
      <c r="AB37" s="215">
        <v>0.207261</v>
      </c>
      <c r="AC37" s="215">
        <v>0.148974</v>
      </c>
      <c r="AD37" s="215">
        <v>-7.6146000000000005E-2</v>
      </c>
      <c r="AE37" s="215">
        <v>-4.7648999999999997E-2</v>
      </c>
      <c r="AF37" s="215">
        <v>6.4422999999999994E-2</v>
      </c>
      <c r="AG37" s="215">
        <v>-8.2791000000000003E-2</v>
      </c>
      <c r="AH37" s="215">
        <v>-2.7517E-2</v>
      </c>
      <c r="AI37" s="215">
        <v>-0.15881899999999999</v>
      </c>
      <c r="AJ37" s="215">
        <v>7.4784000000000003E-2</v>
      </c>
      <c r="AK37" s="215">
        <v>5.6642999999999999E-2</v>
      </c>
      <c r="AL37" s="215">
        <v>-4.8473000000000002E-2</v>
      </c>
      <c r="AM37" s="215">
        <v>9.2238000000000001E-2</v>
      </c>
      <c r="AN37" s="215">
        <v>-0.130995</v>
      </c>
      <c r="AO37" s="215">
        <v>3.2937000000000001E-2</v>
      </c>
      <c r="AP37" s="215">
        <v>0.14152000000000001</v>
      </c>
      <c r="AQ37" s="215">
        <v>0.139816</v>
      </c>
      <c r="AR37" s="215">
        <v>-3.2070000000000002E-3</v>
      </c>
      <c r="AS37" s="215">
        <v>-6.2359999999999999E-2</v>
      </c>
      <c r="AT37" s="215">
        <v>0.103729</v>
      </c>
      <c r="AU37" s="215">
        <v>9.7963999999999996E-2</v>
      </c>
      <c r="AV37" s="215">
        <v>0.156083</v>
      </c>
      <c r="AW37" s="215">
        <v>0.104794</v>
      </c>
      <c r="AX37" s="215">
        <v>7.8493999999999994E-2</v>
      </c>
      <c r="AY37" s="215">
        <v>6.1015E-2</v>
      </c>
      <c r="AZ37" s="215">
        <v>0.20558299999999999</v>
      </c>
      <c r="BA37" s="215">
        <v>0.16824</v>
      </c>
      <c r="BB37" s="215">
        <v>0.10038900000000001</v>
      </c>
      <c r="BC37" s="215">
        <v>0.18459700000000001</v>
      </c>
      <c r="BD37" s="215">
        <v>2.8715000000000001E-2</v>
      </c>
      <c r="BE37" s="215">
        <v>1.4999999999999999E-2</v>
      </c>
      <c r="BF37" s="215">
        <v>-5.1464940000000001E-2</v>
      </c>
      <c r="BG37" s="323">
        <v>5.0262199999999996E-3</v>
      </c>
      <c r="BH37" s="323">
        <v>-4.9087600000000001E-4</v>
      </c>
      <c r="BI37" s="323">
        <v>4.7940399999999999E-5</v>
      </c>
      <c r="BJ37" s="323">
        <v>-4.6820000000000002E-6</v>
      </c>
      <c r="BK37" s="323">
        <v>4.57258E-7</v>
      </c>
      <c r="BL37" s="323">
        <v>0</v>
      </c>
      <c r="BM37" s="323">
        <v>0</v>
      </c>
      <c r="BN37" s="323">
        <v>0</v>
      </c>
      <c r="BO37" s="323">
        <v>0</v>
      </c>
      <c r="BP37" s="323">
        <v>0</v>
      </c>
      <c r="BQ37" s="323">
        <v>0</v>
      </c>
      <c r="BR37" s="323">
        <v>0</v>
      </c>
      <c r="BS37" s="323">
        <v>0</v>
      </c>
      <c r="BT37" s="323">
        <v>0</v>
      </c>
      <c r="BU37" s="323">
        <v>0</v>
      </c>
      <c r="BV37" s="323">
        <v>0</v>
      </c>
    </row>
    <row r="38" spans="1:74" ht="11.1" customHeight="1" x14ac:dyDescent="0.2">
      <c r="A38" s="61" t="s">
        <v>521</v>
      </c>
      <c r="B38" s="622" t="s">
        <v>407</v>
      </c>
      <c r="C38" s="215">
        <v>8.6532859999999996</v>
      </c>
      <c r="D38" s="215">
        <v>9.2212859999999992</v>
      </c>
      <c r="E38" s="215">
        <v>9.3731500000000008</v>
      </c>
      <c r="F38" s="215">
        <v>9.1755420000000001</v>
      </c>
      <c r="G38" s="215">
        <v>9.4168880000000001</v>
      </c>
      <c r="H38" s="215">
        <v>9.6079310000000007</v>
      </c>
      <c r="I38" s="215">
        <v>9.5775959999999998</v>
      </c>
      <c r="J38" s="215">
        <v>9.6871050000000007</v>
      </c>
      <c r="K38" s="215">
        <v>9.4837319999999998</v>
      </c>
      <c r="L38" s="215">
        <v>9.0933209999999995</v>
      </c>
      <c r="M38" s="215">
        <v>9.2332300000000007</v>
      </c>
      <c r="N38" s="215">
        <v>9.2832000000000008</v>
      </c>
      <c r="O38" s="215">
        <v>8.5066959999999998</v>
      </c>
      <c r="P38" s="215">
        <v>9.0077590000000001</v>
      </c>
      <c r="Q38" s="215">
        <v>9.3252500000000005</v>
      </c>
      <c r="R38" s="215">
        <v>9.2951680000000003</v>
      </c>
      <c r="S38" s="215">
        <v>9.5498119999999993</v>
      </c>
      <c r="T38" s="215">
        <v>9.7722650000000009</v>
      </c>
      <c r="U38" s="215">
        <v>9.5952350000000006</v>
      </c>
      <c r="V38" s="215">
        <v>9.7517099999999992</v>
      </c>
      <c r="W38" s="215">
        <v>9.3775659999999998</v>
      </c>
      <c r="X38" s="215">
        <v>9.3571270000000002</v>
      </c>
      <c r="Y38" s="215">
        <v>9.1104800000000008</v>
      </c>
      <c r="Z38" s="215">
        <v>9.2465630000000001</v>
      </c>
      <c r="AA38" s="215">
        <v>8.7875920000000001</v>
      </c>
      <c r="AB38" s="215">
        <v>8.7961489999999998</v>
      </c>
      <c r="AC38" s="215">
        <v>9.4645469999999996</v>
      </c>
      <c r="AD38" s="215">
        <v>9.2059669999999993</v>
      </c>
      <c r="AE38" s="215">
        <v>9.5152439999999991</v>
      </c>
      <c r="AF38" s="215">
        <v>9.7970310000000005</v>
      </c>
      <c r="AG38" s="215">
        <v>9.6404010000000007</v>
      </c>
      <c r="AH38" s="215">
        <v>9.7781680000000009</v>
      </c>
      <c r="AI38" s="215">
        <v>9.1525560000000006</v>
      </c>
      <c r="AJ38" s="215">
        <v>9.2938340000000004</v>
      </c>
      <c r="AK38" s="215">
        <v>9.2904090000000004</v>
      </c>
      <c r="AL38" s="215">
        <v>9.1785490000000003</v>
      </c>
      <c r="AM38" s="215">
        <v>8.7783929999999994</v>
      </c>
      <c r="AN38" s="215">
        <v>9.071828</v>
      </c>
      <c r="AO38" s="215">
        <v>9.1840539999999997</v>
      </c>
      <c r="AP38" s="215">
        <v>9.4105880000000006</v>
      </c>
      <c r="AQ38" s="215">
        <v>9.4974369999999997</v>
      </c>
      <c r="AR38" s="215">
        <v>9.7032880000000006</v>
      </c>
      <c r="AS38" s="215">
        <v>9.5329610000000002</v>
      </c>
      <c r="AT38" s="215">
        <v>9.8336900000000007</v>
      </c>
      <c r="AU38" s="215">
        <v>9.1975029999999993</v>
      </c>
      <c r="AV38" s="215">
        <v>9.3081899999999997</v>
      </c>
      <c r="AW38" s="215">
        <v>9.2090530000000008</v>
      </c>
      <c r="AX38" s="215">
        <v>8.9712309999999995</v>
      </c>
      <c r="AY38" s="215">
        <v>8.7608540000000001</v>
      </c>
      <c r="AZ38" s="215">
        <v>8.9667809999999992</v>
      </c>
      <c r="BA38" s="215">
        <v>7.7805790000000004</v>
      </c>
      <c r="BB38" s="215">
        <v>5.8534949999999997</v>
      </c>
      <c r="BC38" s="215">
        <v>7.1884829999999997</v>
      </c>
      <c r="BD38" s="215">
        <v>8.2856550000000002</v>
      </c>
      <c r="BE38" s="215">
        <v>8.6704193547999999</v>
      </c>
      <c r="BF38" s="215">
        <v>8.8631259354999994</v>
      </c>
      <c r="BG38" s="323">
        <v>8.7199190000000009</v>
      </c>
      <c r="BH38" s="323">
        <v>8.7470949999999998</v>
      </c>
      <c r="BI38" s="323">
        <v>8.7916209999999992</v>
      </c>
      <c r="BJ38" s="323">
        <v>8.6351820000000004</v>
      </c>
      <c r="BK38" s="323">
        <v>8.4179080000000006</v>
      </c>
      <c r="BL38" s="323">
        <v>8.7777340000000006</v>
      </c>
      <c r="BM38" s="323">
        <v>9.0461760000000009</v>
      </c>
      <c r="BN38" s="323">
        <v>9.0218900000000009</v>
      </c>
      <c r="BO38" s="323">
        <v>9.2477210000000003</v>
      </c>
      <c r="BP38" s="323">
        <v>9.3405400000000007</v>
      </c>
      <c r="BQ38" s="323">
        <v>9.3312019999999993</v>
      </c>
      <c r="BR38" s="323">
        <v>9.5179469999999995</v>
      </c>
      <c r="BS38" s="323">
        <v>9.0356419999999993</v>
      </c>
      <c r="BT38" s="323">
        <v>9.183389</v>
      </c>
      <c r="BU38" s="323">
        <v>9.1651489999999995</v>
      </c>
      <c r="BV38" s="323">
        <v>8.8954660000000008</v>
      </c>
    </row>
    <row r="39" spans="1:74" ht="11.1" customHeight="1" x14ac:dyDescent="0.2">
      <c r="A39" s="61" t="s">
        <v>920</v>
      </c>
      <c r="B39" s="622" t="s">
        <v>921</v>
      </c>
      <c r="C39" s="215">
        <v>0.85185112903000004</v>
      </c>
      <c r="D39" s="215">
        <v>0.92970996551999996</v>
      </c>
      <c r="E39" s="215">
        <v>0.92859680644999998</v>
      </c>
      <c r="F39" s="215">
        <v>0.88944666667000005</v>
      </c>
      <c r="G39" s="215">
        <v>0.93849951613000004</v>
      </c>
      <c r="H39" s="215">
        <v>0.96921266666999994</v>
      </c>
      <c r="I39" s="215">
        <v>0.95906196773999997</v>
      </c>
      <c r="J39" s="215">
        <v>0.97146822581000003</v>
      </c>
      <c r="K39" s="215">
        <v>0.94061466667000004</v>
      </c>
      <c r="L39" s="215">
        <v>0.92450283871000005</v>
      </c>
      <c r="M39" s="215">
        <v>0.94272166667000001</v>
      </c>
      <c r="N39" s="215">
        <v>0.96137087096999996</v>
      </c>
      <c r="O39" s="215">
        <v>0.87490419355000004</v>
      </c>
      <c r="P39" s="215">
        <v>0.89949042856999994</v>
      </c>
      <c r="Q39" s="215">
        <v>0.92207616129000003</v>
      </c>
      <c r="R39" s="215">
        <v>0.93436233332999996</v>
      </c>
      <c r="S39" s="215">
        <v>0.96284358064999997</v>
      </c>
      <c r="T39" s="215">
        <v>0.99445866667000005</v>
      </c>
      <c r="U39" s="215">
        <v>0.94949861290000004</v>
      </c>
      <c r="V39" s="215">
        <v>0.98788209677000005</v>
      </c>
      <c r="W39" s="215">
        <v>0.95409500000000003</v>
      </c>
      <c r="X39" s="215">
        <v>0.95601674193999997</v>
      </c>
      <c r="Y39" s="215">
        <v>0.96740166667000005</v>
      </c>
      <c r="Z39" s="215">
        <v>0.93346229032000005</v>
      </c>
      <c r="AA39" s="215">
        <v>0.92762477419</v>
      </c>
      <c r="AB39" s="215">
        <v>0.87343257142999997</v>
      </c>
      <c r="AC39" s="215">
        <v>0.91975270968</v>
      </c>
      <c r="AD39" s="215">
        <v>0.89033166666999997</v>
      </c>
      <c r="AE39" s="215">
        <v>0.99521509676999997</v>
      </c>
      <c r="AF39" s="215">
        <v>0.97053699999999998</v>
      </c>
      <c r="AG39" s="215">
        <v>0.97420487096999997</v>
      </c>
      <c r="AH39" s="215">
        <v>1.0039757418999999</v>
      </c>
      <c r="AI39" s="215">
        <v>0.89219266666999997</v>
      </c>
      <c r="AJ39" s="215">
        <v>0.95025425805999997</v>
      </c>
      <c r="AK39" s="215">
        <v>0.94599066666999998</v>
      </c>
      <c r="AL39" s="215">
        <v>0.93588261289999997</v>
      </c>
      <c r="AM39" s="215">
        <v>0.86010206452000004</v>
      </c>
      <c r="AN39" s="215">
        <v>0.96162400000000003</v>
      </c>
      <c r="AO39" s="215">
        <v>0.91354545161</v>
      </c>
      <c r="AP39" s="215">
        <v>0.92837066667000001</v>
      </c>
      <c r="AQ39" s="215">
        <v>0.98705093548</v>
      </c>
      <c r="AR39" s="215">
        <v>0.99393566667</v>
      </c>
      <c r="AS39" s="215">
        <v>0.96517125806000004</v>
      </c>
      <c r="AT39" s="215">
        <v>0.95772558065000002</v>
      </c>
      <c r="AU39" s="215">
        <v>0.923678</v>
      </c>
      <c r="AV39" s="215">
        <v>0.97325090322999996</v>
      </c>
      <c r="AW39" s="215">
        <v>0.98221800000000004</v>
      </c>
      <c r="AX39" s="215">
        <v>0.94627480644999995</v>
      </c>
      <c r="AY39" s="215">
        <v>0.91037558065000002</v>
      </c>
      <c r="AZ39" s="215">
        <v>0.88385475861999996</v>
      </c>
      <c r="BA39" s="215">
        <v>0.75412374193999998</v>
      </c>
      <c r="BB39" s="215">
        <v>0.52957133332999995</v>
      </c>
      <c r="BC39" s="215">
        <v>0.75261783870999999</v>
      </c>
      <c r="BD39" s="215">
        <v>0.883185</v>
      </c>
      <c r="BE39" s="215">
        <v>0.86538354699999998</v>
      </c>
      <c r="BF39" s="215">
        <v>0.85231449108000001</v>
      </c>
      <c r="BG39" s="323">
        <v>0.88781220000000005</v>
      </c>
      <c r="BH39" s="323">
        <v>0.87547960000000002</v>
      </c>
      <c r="BI39" s="323">
        <v>0.89308160000000003</v>
      </c>
      <c r="BJ39" s="323">
        <v>0.88976540000000004</v>
      </c>
      <c r="BK39" s="323">
        <v>0.8663054</v>
      </c>
      <c r="BL39" s="323">
        <v>0.89333499999999999</v>
      </c>
      <c r="BM39" s="323">
        <v>0.89731629999999996</v>
      </c>
      <c r="BN39" s="323">
        <v>0.90472850000000005</v>
      </c>
      <c r="BO39" s="323">
        <v>0.93831560000000003</v>
      </c>
      <c r="BP39" s="323">
        <v>0.9495209</v>
      </c>
      <c r="BQ39" s="323">
        <v>0.9421254</v>
      </c>
      <c r="BR39" s="323">
        <v>0.96613309999999997</v>
      </c>
      <c r="BS39" s="323">
        <v>0.90107820000000005</v>
      </c>
      <c r="BT39" s="323">
        <v>0.93403250000000004</v>
      </c>
      <c r="BU39" s="323">
        <v>0.93024969999999996</v>
      </c>
      <c r="BV39" s="323">
        <v>0.90045019999999998</v>
      </c>
    </row>
    <row r="40" spans="1:74" ht="11.1" customHeight="1" x14ac:dyDescent="0.2">
      <c r="A40" s="61" t="s">
        <v>522</v>
      </c>
      <c r="B40" s="622" t="s">
        <v>396</v>
      </c>
      <c r="C40" s="215">
        <v>1.449282</v>
      </c>
      <c r="D40" s="215">
        <v>1.5343800000000001</v>
      </c>
      <c r="E40" s="215">
        <v>1.546602</v>
      </c>
      <c r="F40" s="215">
        <v>1.5661510000000001</v>
      </c>
      <c r="G40" s="215">
        <v>1.5778810000000001</v>
      </c>
      <c r="H40" s="215">
        <v>1.7226600000000001</v>
      </c>
      <c r="I40" s="215">
        <v>1.7200150000000001</v>
      </c>
      <c r="J40" s="215">
        <v>1.7217199999999999</v>
      </c>
      <c r="K40" s="215">
        <v>1.635238</v>
      </c>
      <c r="L40" s="215">
        <v>1.609551</v>
      </c>
      <c r="M40" s="215">
        <v>1.632377</v>
      </c>
      <c r="N40" s="215">
        <v>1.65293</v>
      </c>
      <c r="O40" s="215">
        <v>1.5883419999999999</v>
      </c>
      <c r="P40" s="215">
        <v>1.5170779999999999</v>
      </c>
      <c r="Q40" s="215">
        <v>1.6758690000000001</v>
      </c>
      <c r="R40" s="215">
        <v>1.643518</v>
      </c>
      <c r="S40" s="215">
        <v>1.6688940000000001</v>
      </c>
      <c r="T40" s="215">
        <v>1.7617799999999999</v>
      </c>
      <c r="U40" s="215">
        <v>1.733633</v>
      </c>
      <c r="V40" s="215">
        <v>1.7618819999999999</v>
      </c>
      <c r="W40" s="215">
        <v>1.6268069999999999</v>
      </c>
      <c r="X40" s="215">
        <v>1.7511060000000001</v>
      </c>
      <c r="Y40" s="215">
        <v>1.685327</v>
      </c>
      <c r="Z40" s="215">
        <v>1.755531</v>
      </c>
      <c r="AA40" s="215">
        <v>1.568041</v>
      </c>
      <c r="AB40" s="215">
        <v>1.5897060000000001</v>
      </c>
      <c r="AC40" s="215">
        <v>1.705921</v>
      </c>
      <c r="AD40" s="215">
        <v>1.6296189999999999</v>
      </c>
      <c r="AE40" s="215">
        <v>1.6845479999999999</v>
      </c>
      <c r="AF40" s="215">
        <v>1.8569310000000001</v>
      </c>
      <c r="AG40" s="215">
        <v>1.7731319999999999</v>
      </c>
      <c r="AH40" s="215">
        <v>1.857715</v>
      </c>
      <c r="AI40" s="215">
        <v>1.703576</v>
      </c>
      <c r="AJ40" s="215">
        <v>1.6749270000000001</v>
      </c>
      <c r="AK40" s="215">
        <v>1.7560610000000001</v>
      </c>
      <c r="AL40" s="215">
        <v>1.6764840000000001</v>
      </c>
      <c r="AM40" s="215">
        <v>1.6210279999999999</v>
      </c>
      <c r="AN40" s="215">
        <v>1.60669</v>
      </c>
      <c r="AO40" s="215">
        <v>1.7113229999999999</v>
      </c>
      <c r="AP40" s="215">
        <v>1.7556609999999999</v>
      </c>
      <c r="AQ40" s="215">
        <v>1.7730669999999999</v>
      </c>
      <c r="AR40" s="215">
        <v>1.801695</v>
      </c>
      <c r="AS40" s="215">
        <v>1.8469690000000001</v>
      </c>
      <c r="AT40" s="215">
        <v>1.841442</v>
      </c>
      <c r="AU40" s="215">
        <v>1.7024550000000001</v>
      </c>
      <c r="AV40" s="215">
        <v>1.7267969999999999</v>
      </c>
      <c r="AW40" s="215">
        <v>1.7109300000000001</v>
      </c>
      <c r="AX40" s="215">
        <v>1.8092330000000001</v>
      </c>
      <c r="AY40" s="215">
        <v>1.6730529999999999</v>
      </c>
      <c r="AZ40" s="215">
        <v>1.629435</v>
      </c>
      <c r="BA40" s="215">
        <v>1.387054</v>
      </c>
      <c r="BB40" s="215">
        <v>0.69131600000000004</v>
      </c>
      <c r="BC40" s="215">
        <v>0.59559099999999998</v>
      </c>
      <c r="BD40" s="215">
        <v>0.78559000000000001</v>
      </c>
      <c r="BE40" s="215">
        <v>1.080483871</v>
      </c>
      <c r="BF40" s="215">
        <v>1.0875997419000001</v>
      </c>
      <c r="BG40" s="323">
        <v>1.330697</v>
      </c>
      <c r="BH40" s="323">
        <v>1.460941</v>
      </c>
      <c r="BI40" s="323">
        <v>1.4540310000000001</v>
      </c>
      <c r="BJ40" s="323">
        <v>1.541798</v>
      </c>
      <c r="BK40" s="323">
        <v>1.442569</v>
      </c>
      <c r="BL40" s="323">
        <v>1.46553</v>
      </c>
      <c r="BM40" s="323">
        <v>1.485365</v>
      </c>
      <c r="BN40" s="323">
        <v>1.447557</v>
      </c>
      <c r="BO40" s="323">
        <v>1.506348</v>
      </c>
      <c r="BP40" s="323">
        <v>1.6093649999999999</v>
      </c>
      <c r="BQ40" s="323">
        <v>1.714618</v>
      </c>
      <c r="BR40" s="323">
        <v>1.744119</v>
      </c>
      <c r="BS40" s="323">
        <v>1.6731849999999999</v>
      </c>
      <c r="BT40" s="323">
        <v>1.6647559999999999</v>
      </c>
      <c r="BU40" s="323">
        <v>1.6642349999999999</v>
      </c>
      <c r="BV40" s="323">
        <v>1.6521790000000001</v>
      </c>
    </row>
    <row r="41" spans="1:74" ht="11.1" customHeight="1" x14ac:dyDescent="0.2">
      <c r="A41" s="61" t="s">
        <v>523</v>
      </c>
      <c r="B41" s="622" t="s">
        <v>408</v>
      </c>
      <c r="C41" s="215">
        <v>3.850257</v>
      </c>
      <c r="D41" s="215">
        <v>3.9960969999999998</v>
      </c>
      <c r="E41" s="215">
        <v>3.94699</v>
      </c>
      <c r="F41" s="215">
        <v>3.7988770000000001</v>
      </c>
      <c r="G41" s="215">
        <v>3.7319819999999999</v>
      </c>
      <c r="H41" s="215">
        <v>3.8527300000000002</v>
      </c>
      <c r="I41" s="215">
        <v>3.5973799999999998</v>
      </c>
      <c r="J41" s="215">
        <v>3.8803570000000001</v>
      </c>
      <c r="K41" s="215">
        <v>3.9120249999999999</v>
      </c>
      <c r="L41" s="215">
        <v>3.9863170000000001</v>
      </c>
      <c r="M41" s="215">
        <v>3.9383900000000001</v>
      </c>
      <c r="N41" s="215">
        <v>4.0430599999999997</v>
      </c>
      <c r="O41" s="215">
        <v>3.7355800000000001</v>
      </c>
      <c r="P41" s="215">
        <v>3.9348179999999999</v>
      </c>
      <c r="Q41" s="215">
        <v>4.1266379999999998</v>
      </c>
      <c r="R41" s="215">
        <v>3.762839</v>
      </c>
      <c r="S41" s="215">
        <v>3.9550489999999998</v>
      </c>
      <c r="T41" s="215">
        <v>3.9635570000000002</v>
      </c>
      <c r="U41" s="215">
        <v>3.6417920000000001</v>
      </c>
      <c r="V41" s="215">
        <v>4.0035090000000002</v>
      </c>
      <c r="W41" s="215">
        <v>3.9212159999999998</v>
      </c>
      <c r="X41" s="215">
        <v>4.0112269999999999</v>
      </c>
      <c r="Y41" s="215">
        <v>4.1574489999999997</v>
      </c>
      <c r="Z41" s="215">
        <v>3.9752999999999998</v>
      </c>
      <c r="AA41" s="215">
        <v>4.4910269999999999</v>
      </c>
      <c r="AB41" s="215">
        <v>3.9792839999999998</v>
      </c>
      <c r="AC41" s="215">
        <v>4.1964959999999998</v>
      </c>
      <c r="AD41" s="215">
        <v>4.1390269999999996</v>
      </c>
      <c r="AE41" s="215">
        <v>4.2087620000000001</v>
      </c>
      <c r="AF41" s="215">
        <v>3.9593699999999998</v>
      </c>
      <c r="AG41" s="215">
        <v>3.9626260000000002</v>
      </c>
      <c r="AH41" s="215">
        <v>4.1956610000000003</v>
      </c>
      <c r="AI41" s="215">
        <v>4.022151</v>
      </c>
      <c r="AJ41" s="215">
        <v>4.3478029999999999</v>
      </c>
      <c r="AK41" s="215">
        <v>4.2038219999999997</v>
      </c>
      <c r="AL41" s="215">
        <v>4.0194210000000004</v>
      </c>
      <c r="AM41" s="215">
        <v>4.3274600000000003</v>
      </c>
      <c r="AN41" s="215">
        <v>4.307328</v>
      </c>
      <c r="AO41" s="215">
        <v>4.1841280000000003</v>
      </c>
      <c r="AP41" s="215">
        <v>4.1195950000000003</v>
      </c>
      <c r="AQ41" s="215">
        <v>4.1096599999999999</v>
      </c>
      <c r="AR41" s="215">
        <v>3.993214</v>
      </c>
      <c r="AS41" s="215">
        <v>3.9111980000000002</v>
      </c>
      <c r="AT41" s="215">
        <v>4.0294759999999998</v>
      </c>
      <c r="AU41" s="215">
        <v>3.9205559999999999</v>
      </c>
      <c r="AV41" s="215">
        <v>4.2242249999999997</v>
      </c>
      <c r="AW41" s="215">
        <v>4.2014529999999999</v>
      </c>
      <c r="AX41" s="215">
        <v>3.9271090000000002</v>
      </c>
      <c r="AY41" s="215">
        <v>3.9976340000000001</v>
      </c>
      <c r="AZ41" s="215">
        <v>4.0105430000000002</v>
      </c>
      <c r="BA41" s="215">
        <v>3.9133399999999998</v>
      </c>
      <c r="BB41" s="215">
        <v>3.505074</v>
      </c>
      <c r="BC41" s="215">
        <v>3.5332870000000001</v>
      </c>
      <c r="BD41" s="215">
        <v>3.49194</v>
      </c>
      <c r="BE41" s="215">
        <v>3.5370967742000001</v>
      </c>
      <c r="BF41" s="215">
        <v>3.7324419354999998</v>
      </c>
      <c r="BG41" s="323">
        <v>3.7755779999999999</v>
      </c>
      <c r="BH41" s="323">
        <v>4.0050179999999997</v>
      </c>
      <c r="BI41" s="323">
        <v>3.7855509999999999</v>
      </c>
      <c r="BJ41" s="323">
        <v>3.8094169999999998</v>
      </c>
      <c r="BK41" s="323">
        <v>3.8435199999999998</v>
      </c>
      <c r="BL41" s="323">
        <v>3.9832679999999998</v>
      </c>
      <c r="BM41" s="323">
        <v>3.8666480000000001</v>
      </c>
      <c r="BN41" s="323">
        <v>3.757768</v>
      </c>
      <c r="BO41" s="323">
        <v>3.8300890000000001</v>
      </c>
      <c r="BP41" s="323">
        <v>3.8734829999999998</v>
      </c>
      <c r="BQ41" s="323">
        <v>3.709765</v>
      </c>
      <c r="BR41" s="323">
        <v>3.9356779999999998</v>
      </c>
      <c r="BS41" s="323">
        <v>3.9014820000000001</v>
      </c>
      <c r="BT41" s="323">
        <v>4.1455890000000002</v>
      </c>
      <c r="BU41" s="323">
        <v>4.0551589999999997</v>
      </c>
      <c r="BV41" s="323">
        <v>3.8916230000000001</v>
      </c>
    </row>
    <row r="42" spans="1:74" ht="11.1" customHeight="1" x14ac:dyDescent="0.2">
      <c r="A42" s="61" t="s">
        <v>524</v>
      </c>
      <c r="B42" s="622" t="s">
        <v>409</v>
      </c>
      <c r="C42" s="215">
        <v>0.30630000000000002</v>
      </c>
      <c r="D42" s="215">
        <v>0.183092</v>
      </c>
      <c r="E42" s="215">
        <v>0.36121999999999999</v>
      </c>
      <c r="F42" s="215">
        <v>0.44886500000000001</v>
      </c>
      <c r="G42" s="215">
        <v>0.32330399999999998</v>
      </c>
      <c r="H42" s="215">
        <v>0.33785900000000002</v>
      </c>
      <c r="I42" s="215">
        <v>0.424122</v>
      </c>
      <c r="J42" s="215">
        <v>0.31768999999999997</v>
      </c>
      <c r="K42" s="215">
        <v>0.25276199999999999</v>
      </c>
      <c r="L42" s="215">
        <v>0.34043699999999999</v>
      </c>
      <c r="M42" s="215">
        <v>0.30530099999999999</v>
      </c>
      <c r="N42" s="215">
        <v>0.30580400000000002</v>
      </c>
      <c r="O42" s="215">
        <v>0.53988100000000006</v>
      </c>
      <c r="P42" s="215">
        <v>0.279304</v>
      </c>
      <c r="Q42" s="215">
        <v>0.31933099999999998</v>
      </c>
      <c r="R42" s="215">
        <v>0.28250599999999998</v>
      </c>
      <c r="S42" s="215">
        <v>0.35650999999999999</v>
      </c>
      <c r="T42" s="215">
        <v>0.34926499999999999</v>
      </c>
      <c r="U42" s="215">
        <v>0.286827</v>
      </c>
      <c r="V42" s="215">
        <v>0.346273</v>
      </c>
      <c r="W42" s="215">
        <v>0.30193300000000001</v>
      </c>
      <c r="X42" s="215">
        <v>0.32299299999999997</v>
      </c>
      <c r="Y42" s="215">
        <v>0.39425500000000002</v>
      </c>
      <c r="Z42" s="215">
        <v>0.31415399999999999</v>
      </c>
      <c r="AA42" s="215">
        <v>0.32348199999999999</v>
      </c>
      <c r="AB42" s="215">
        <v>0.29887999999999998</v>
      </c>
      <c r="AC42" s="215">
        <v>0.23582800000000001</v>
      </c>
      <c r="AD42" s="215">
        <v>0.408244</v>
      </c>
      <c r="AE42" s="215">
        <v>0.29554399999999997</v>
      </c>
      <c r="AF42" s="215">
        <v>0.28007700000000002</v>
      </c>
      <c r="AG42" s="215">
        <v>0.34620200000000001</v>
      </c>
      <c r="AH42" s="215">
        <v>0.29226400000000002</v>
      </c>
      <c r="AI42" s="215">
        <v>0.34872999999999998</v>
      </c>
      <c r="AJ42" s="215">
        <v>0.273482</v>
      </c>
      <c r="AK42" s="215">
        <v>0.34240999999999999</v>
      </c>
      <c r="AL42" s="215">
        <v>0.36732100000000001</v>
      </c>
      <c r="AM42" s="215">
        <v>0.31903799999999999</v>
      </c>
      <c r="AN42" s="215">
        <v>0.27938000000000002</v>
      </c>
      <c r="AO42" s="215">
        <v>0.22120100000000001</v>
      </c>
      <c r="AP42" s="215">
        <v>0.17707100000000001</v>
      </c>
      <c r="AQ42" s="215">
        <v>0.19204499999999999</v>
      </c>
      <c r="AR42" s="215">
        <v>0.32213199999999997</v>
      </c>
      <c r="AS42" s="215">
        <v>0.34194600000000003</v>
      </c>
      <c r="AT42" s="215">
        <v>0.32911000000000001</v>
      </c>
      <c r="AU42" s="215">
        <v>0.30465399999999998</v>
      </c>
      <c r="AV42" s="215">
        <v>0.318859</v>
      </c>
      <c r="AW42" s="215">
        <v>0.20845</v>
      </c>
      <c r="AX42" s="215">
        <v>0.28409899999999999</v>
      </c>
      <c r="AY42" s="215">
        <v>0.25755400000000001</v>
      </c>
      <c r="AZ42" s="215">
        <v>0.149927</v>
      </c>
      <c r="BA42" s="215">
        <v>0.109321</v>
      </c>
      <c r="BB42" s="215">
        <v>0.12478599999999999</v>
      </c>
      <c r="BC42" s="215">
        <v>8.1230999999999998E-2</v>
      </c>
      <c r="BD42" s="215">
        <v>0.23158500000000001</v>
      </c>
      <c r="BE42" s="215">
        <v>0.28654838710000002</v>
      </c>
      <c r="BF42" s="215">
        <v>0.24817981935</v>
      </c>
      <c r="BG42" s="323">
        <v>0.2752946</v>
      </c>
      <c r="BH42" s="323">
        <v>0.2091471</v>
      </c>
      <c r="BI42" s="323">
        <v>0.28978120000000002</v>
      </c>
      <c r="BJ42" s="323">
        <v>0.29705969999999998</v>
      </c>
      <c r="BK42" s="323">
        <v>0.31930799999999998</v>
      </c>
      <c r="BL42" s="323">
        <v>0.19265879999999999</v>
      </c>
      <c r="BM42" s="323">
        <v>0.26596730000000002</v>
      </c>
      <c r="BN42" s="323">
        <v>0.2325943</v>
      </c>
      <c r="BO42" s="323">
        <v>0.19452159999999999</v>
      </c>
      <c r="BP42" s="323">
        <v>0.20337169999999999</v>
      </c>
      <c r="BQ42" s="323">
        <v>0.2726499</v>
      </c>
      <c r="BR42" s="323">
        <v>0.221994</v>
      </c>
      <c r="BS42" s="323">
        <v>0.27180100000000001</v>
      </c>
      <c r="BT42" s="323">
        <v>0.2085053</v>
      </c>
      <c r="BU42" s="323">
        <v>0.29101660000000001</v>
      </c>
      <c r="BV42" s="323">
        <v>0.2902807</v>
      </c>
    </row>
    <row r="43" spans="1:74" ht="11.1" customHeight="1" x14ac:dyDescent="0.2">
      <c r="A43" s="61" t="s">
        <v>756</v>
      </c>
      <c r="B43" s="622" t="s">
        <v>995</v>
      </c>
      <c r="C43" s="215">
        <v>1.8797280000000001</v>
      </c>
      <c r="D43" s="215">
        <v>1.9049499999999999</v>
      </c>
      <c r="E43" s="215">
        <v>1.947581</v>
      </c>
      <c r="F43" s="215">
        <v>1.907988</v>
      </c>
      <c r="G43" s="215">
        <v>1.988834</v>
      </c>
      <c r="H43" s="215">
        <v>2.0722860000000001</v>
      </c>
      <c r="I43" s="215">
        <v>2.144825</v>
      </c>
      <c r="J43" s="215">
        <v>2.2931680000000001</v>
      </c>
      <c r="K43" s="215">
        <v>2.0400450000000001</v>
      </c>
      <c r="L43" s="215">
        <v>1.9812639999999999</v>
      </c>
      <c r="M43" s="215">
        <v>2.0800299999999998</v>
      </c>
      <c r="N43" s="215">
        <v>1.901221</v>
      </c>
      <c r="O43" s="215">
        <v>1.927489</v>
      </c>
      <c r="P43" s="215">
        <v>1.7967569999999999</v>
      </c>
      <c r="Q43" s="215">
        <v>1.804252</v>
      </c>
      <c r="R43" s="215">
        <v>1.968693</v>
      </c>
      <c r="S43" s="215">
        <v>2.105464</v>
      </c>
      <c r="T43" s="215">
        <v>2.1532399999999998</v>
      </c>
      <c r="U43" s="215">
        <v>2.2618879999999999</v>
      </c>
      <c r="V43" s="215">
        <v>2.1474329999999999</v>
      </c>
      <c r="W43" s="215">
        <v>2.0210219999999999</v>
      </c>
      <c r="X43" s="215">
        <v>1.858595</v>
      </c>
      <c r="Y43" s="215">
        <v>2.016829</v>
      </c>
      <c r="Z43" s="215">
        <v>1.8806389999999999</v>
      </c>
      <c r="AA43" s="215">
        <v>1.781074</v>
      </c>
      <c r="AB43" s="215">
        <v>1.664504</v>
      </c>
      <c r="AC43" s="215">
        <v>1.8854340000000001</v>
      </c>
      <c r="AD43" s="215">
        <v>1.8687879999999999</v>
      </c>
      <c r="AE43" s="215">
        <v>2.0132560000000002</v>
      </c>
      <c r="AF43" s="215">
        <v>2.2080850000000001</v>
      </c>
      <c r="AG43" s="215">
        <v>2.1886019999999999</v>
      </c>
      <c r="AH43" s="215">
        <v>2.3570359999999999</v>
      </c>
      <c r="AI43" s="215">
        <v>2.1141749999999999</v>
      </c>
      <c r="AJ43" s="215">
        <v>2.144876</v>
      </c>
      <c r="AK43" s="215">
        <v>1.8001739999999999</v>
      </c>
      <c r="AL43" s="215">
        <v>1.7536510000000001</v>
      </c>
      <c r="AM43" s="215">
        <v>1.7616289999999999</v>
      </c>
      <c r="AN43" s="215">
        <v>1.5595730000000001</v>
      </c>
      <c r="AO43" s="215">
        <v>1.706361</v>
      </c>
      <c r="AP43" s="215">
        <v>1.8423909999999999</v>
      </c>
      <c r="AQ43" s="215">
        <v>1.9298599999999999</v>
      </c>
      <c r="AR43" s="215">
        <v>2.0836890000000001</v>
      </c>
      <c r="AS43" s="215">
        <v>2.2342330000000001</v>
      </c>
      <c r="AT43" s="215">
        <v>2.1664940000000001</v>
      </c>
      <c r="AU43" s="215">
        <v>1.983959</v>
      </c>
      <c r="AV43" s="215">
        <v>1.8322270000000001</v>
      </c>
      <c r="AW43" s="215">
        <v>1.903006</v>
      </c>
      <c r="AX43" s="215">
        <v>1.8740859999999999</v>
      </c>
      <c r="AY43" s="215">
        <v>1.7589520000000001</v>
      </c>
      <c r="AZ43" s="215">
        <v>1.6681839999999999</v>
      </c>
      <c r="BA43" s="215">
        <v>1.6146180000000001</v>
      </c>
      <c r="BB43" s="215">
        <v>1.5589219999999999</v>
      </c>
      <c r="BC43" s="215">
        <v>1.639025</v>
      </c>
      <c r="BD43" s="215">
        <v>1.8517170000000001</v>
      </c>
      <c r="BE43" s="215">
        <v>1.9315884999999999</v>
      </c>
      <c r="BF43" s="215">
        <v>1.9762576000000001</v>
      </c>
      <c r="BG43" s="323">
        <v>1.9824250000000001</v>
      </c>
      <c r="BH43" s="323">
        <v>1.9391989999999999</v>
      </c>
      <c r="BI43" s="323">
        <v>1.8343119999999999</v>
      </c>
      <c r="BJ43" s="323">
        <v>1.841688</v>
      </c>
      <c r="BK43" s="323">
        <v>1.7092499999999999</v>
      </c>
      <c r="BL43" s="323">
        <v>1.7252099999999999</v>
      </c>
      <c r="BM43" s="323">
        <v>1.782419</v>
      </c>
      <c r="BN43" s="323">
        <v>1.866231</v>
      </c>
      <c r="BO43" s="323">
        <v>1.9781500000000001</v>
      </c>
      <c r="BP43" s="323">
        <v>2.1135519999999999</v>
      </c>
      <c r="BQ43" s="323">
        <v>2.116711</v>
      </c>
      <c r="BR43" s="323">
        <v>2.2137099999999998</v>
      </c>
      <c r="BS43" s="323">
        <v>2.0621100000000001</v>
      </c>
      <c r="BT43" s="323">
        <v>1.960513</v>
      </c>
      <c r="BU43" s="323">
        <v>1.921694</v>
      </c>
      <c r="BV43" s="323">
        <v>1.8032159999999999</v>
      </c>
    </row>
    <row r="44" spans="1:74" ht="11.1" customHeight="1" x14ac:dyDescent="0.2">
      <c r="A44" s="61" t="s">
        <v>525</v>
      </c>
      <c r="B44" s="622" t="s">
        <v>190</v>
      </c>
      <c r="C44" s="215">
        <v>19.062802999999999</v>
      </c>
      <c r="D44" s="215">
        <v>19.846603999999999</v>
      </c>
      <c r="E44" s="215">
        <v>19.728204000000002</v>
      </c>
      <c r="F44" s="215">
        <v>19.340226999999999</v>
      </c>
      <c r="G44" s="215">
        <v>19.328156</v>
      </c>
      <c r="H44" s="215">
        <v>19.846174000000001</v>
      </c>
      <c r="I44" s="215">
        <v>19.775659999999998</v>
      </c>
      <c r="J44" s="215">
        <v>20.274784</v>
      </c>
      <c r="K44" s="215">
        <v>19.756827000000001</v>
      </c>
      <c r="L44" s="215">
        <v>19.650106999999998</v>
      </c>
      <c r="M44" s="215">
        <v>19.658868999999999</v>
      </c>
      <c r="N44" s="215">
        <v>19.983958999999999</v>
      </c>
      <c r="O44" s="215">
        <v>19.322845999999998</v>
      </c>
      <c r="P44" s="215">
        <v>19.190404000000001</v>
      </c>
      <c r="Q44" s="215">
        <v>20.060123999999998</v>
      </c>
      <c r="R44" s="215">
        <v>19.595324999999999</v>
      </c>
      <c r="S44" s="215">
        <v>20.066244999999999</v>
      </c>
      <c r="T44" s="215">
        <v>20.561246000000001</v>
      </c>
      <c r="U44" s="215">
        <v>20.118924</v>
      </c>
      <c r="V44" s="215">
        <v>20.251193000000001</v>
      </c>
      <c r="W44" s="215">
        <v>19.640611</v>
      </c>
      <c r="X44" s="215">
        <v>19.989650999999999</v>
      </c>
      <c r="Y44" s="215">
        <v>20.307238000000002</v>
      </c>
      <c r="Z44" s="215">
        <v>20.323454999999999</v>
      </c>
      <c r="AA44" s="215">
        <v>20.54514</v>
      </c>
      <c r="AB44" s="215">
        <v>19.678705000000001</v>
      </c>
      <c r="AC44" s="215">
        <v>20.756359</v>
      </c>
      <c r="AD44" s="215">
        <v>20.036519999999999</v>
      </c>
      <c r="AE44" s="215">
        <v>20.247366</v>
      </c>
      <c r="AF44" s="215">
        <v>20.790268999999999</v>
      </c>
      <c r="AG44" s="215">
        <v>20.682276000000002</v>
      </c>
      <c r="AH44" s="215">
        <v>21.358391000000001</v>
      </c>
      <c r="AI44" s="215">
        <v>20.082809000000001</v>
      </c>
      <c r="AJ44" s="215">
        <v>20.734404999999999</v>
      </c>
      <c r="AK44" s="215">
        <v>20.746511999999999</v>
      </c>
      <c r="AL44" s="215">
        <v>20.303446999999998</v>
      </c>
      <c r="AM44" s="215">
        <v>20.614982999999999</v>
      </c>
      <c r="AN44" s="215">
        <v>20.283868999999999</v>
      </c>
      <c r="AO44" s="215">
        <v>20.176247</v>
      </c>
      <c r="AP44" s="215">
        <v>20.332599999999999</v>
      </c>
      <c r="AQ44" s="215">
        <v>20.387089</v>
      </c>
      <c r="AR44" s="215">
        <v>20.653979</v>
      </c>
      <c r="AS44" s="215">
        <v>20.734573999999999</v>
      </c>
      <c r="AT44" s="215">
        <v>21.157914000000002</v>
      </c>
      <c r="AU44" s="215">
        <v>20.248484000000001</v>
      </c>
      <c r="AV44" s="215">
        <v>20.713986999999999</v>
      </c>
      <c r="AW44" s="215">
        <v>20.736152000000001</v>
      </c>
      <c r="AX44" s="215">
        <v>20.442869000000002</v>
      </c>
      <c r="AY44" s="215">
        <v>19.905342999999998</v>
      </c>
      <c r="AZ44" s="215">
        <v>19.83887</v>
      </c>
      <c r="BA44" s="215">
        <v>18.283773</v>
      </c>
      <c r="BB44" s="215">
        <v>14.690989</v>
      </c>
      <c r="BC44" s="215">
        <v>16.103228000000001</v>
      </c>
      <c r="BD44" s="215">
        <v>17.435207999999999</v>
      </c>
      <c r="BE44" s="215">
        <v>18.376965835</v>
      </c>
      <c r="BF44" s="215">
        <v>18.654037078999998</v>
      </c>
      <c r="BG44" s="323">
        <v>19.087050000000001</v>
      </c>
      <c r="BH44" s="323">
        <v>19.535630000000001</v>
      </c>
      <c r="BI44" s="323">
        <v>19.515910000000002</v>
      </c>
      <c r="BJ44" s="323">
        <v>19.62895</v>
      </c>
      <c r="BK44" s="323">
        <v>19.363969999999998</v>
      </c>
      <c r="BL44" s="323">
        <v>19.68637</v>
      </c>
      <c r="BM44" s="323">
        <v>19.761099999999999</v>
      </c>
      <c r="BN44" s="323">
        <v>19.49877</v>
      </c>
      <c r="BO44" s="323">
        <v>19.799720000000001</v>
      </c>
      <c r="BP44" s="323">
        <v>20.160910000000001</v>
      </c>
      <c r="BQ44" s="323">
        <v>20.277799999999999</v>
      </c>
      <c r="BR44" s="323">
        <v>20.711980000000001</v>
      </c>
      <c r="BS44" s="323">
        <v>20.137440000000002</v>
      </c>
      <c r="BT44" s="323">
        <v>20.492930000000001</v>
      </c>
      <c r="BU44" s="323">
        <v>20.61759</v>
      </c>
      <c r="BV44" s="323">
        <v>20.202069999999999</v>
      </c>
    </row>
    <row r="45" spans="1:74" ht="11.1" customHeight="1" x14ac:dyDescent="0.2">
      <c r="A45" s="61"/>
      <c r="B45" s="44"/>
      <c r="C45" s="62"/>
      <c r="D45" s="62"/>
      <c r="E45" s="62"/>
      <c r="F45" s="62"/>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62"/>
      <c r="AG45" s="62"/>
      <c r="AH45" s="62"/>
      <c r="AI45" s="62"/>
      <c r="AJ45" s="62"/>
      <c r="AK45" s="62"/>
      <c r="AL45" s="62"/>
      <c r="AM45" s="62"/>
      <c r="AN45" s="62"/>
      <c r="AO45" s="62"/>
      <c r="AP45" s="62"/>
      <c r="AQ45" s="62"/>
      <c r="AR45" s="62"/>
      <c r="AS45" s="62"/>
      <c r="AT45" s="62"/>
      <c r="AU45" s="62"/>
      <c r="AV45" s="62"/>
      <c r="AW45" s="62"/>
      <c r="AX45" s="751"/>
      <c r="AY45" s="751"/>
      <c r="AZ45" s="751"/>
      <c r="BA45" s="751"/>
      <c r="BB45" s="751"/>
      <c r="BC45" s="751"/>
      <c r="BD45" s="751"/>
      <c r="BE45" s="751"/>
      <c r="BF45" s="751"/>
      <c r="BG45" s="751"/>
      <c r="BH45" s="751"/>
      <c r="BI45" s="751"/>
      <c r="BJ45" s="751"/>
      <c r="BK45" s="751"/>
      <c r="BL45" s="326"/>
      <c r="BM45" s="326"/>
      <c r="BN45" s="326"/>
      <c r="BO45" s="326"/>
      <c r="BP45" s="326"/>
      <c r="BQ45" s="326"/>
      <c r="BR45" s="326"/>
      <c r="BS45" s="326"/>
      <c r="BT45" s="326"/>
      <c r="BU45" s="326"/>
      <c r="BV45" s="326"/>
    </row>
    <row r="46" spans="1:74" ht="11.1" customHeight="1" x14ac:dyDescent="0.2">
      <c r="A46" s="61" t="s">
        <v>757</v>
      </c>
      <c r="B46" s="177" t="s">
        <v>1004</v>
      </c>
      <c r="C46" s="215">
        <v>4.7299939999999996</v>
      </c>
      <c r="D46" s="215">
        <v>5.1320319999999997</v>
      </c>
      <c r="E46" s="215">
        <v>4.9096489999999999</v>
      </c>
      <c r="F46" s="215">
        <v>4.6267740000000002</v>
      </c>
      <c r="G46" s="215">
        <v>4.4412349999999998</v>
      </c>
      <c r="H46" s="215">
        <v>4.6172149999999998</v>
      </c>
      <c r="I46" s="215">
        <v>5.3058040000000002</v>
      </c>
      <c r="J46" s="215">
        <v>5.2257300000000004</v>
      </c>
      <c r="K46" s="215">
        <v>4.7600350000000002</v>
      </c>
      <c r="L46" s="215">
        <v>4.7145190000000001</v>
      </c>
      <c r="M46" s="215">
        <v>4.8665770000000004</v>
      </c>
      <c r="N46" s="215">
        <v>4.2185759999999997</v>
      </c>
      <c r="O46" s="215">
        <v>5.1005070000000003</v>
      </c>
      <c r="P46" s="215">
        <v>3.5726979999999999</v>
      </c>
      <c r="Q46" s="215">
        <v>4.1297829999999998</v>
      </c>
      <c r="R46" s="215">
        <v>4.0448409999999999</v>
      </c>
      <c r="S46" s="215">
        <v>4.4975569999999996</v>
      </c>
      <c r="T46" s="215">
        <v>4.0733129999999997</v>
      </c>
      <c r="U46" s="215">
        <v>3.662798</v>
      </c>
      <c r="V46" s="215">
        <v>4.4469370000000001</v>
      </c>
      <c r="W46" s="215">
        <v>3.4636330000000002</v>
      </c>
      <c r="X46" s="215">
        <v>2.6545200000000002</v>
      </c>
      <c r="Y46" s="215">
        <v>2.732186</v>
      </c>
      <c r="Z46" s="215">
        <v>2.7991709999999999</v>
      </c>
      <c r="AA46" s="215">
        <v>3.8190620000000002</v>
      </c>
      <c r="AB46" s="215">
        <v>2.678636</v>
      </c>
      <c r="AC46" s="215">
        <v>2.4852979999999998</v>
      </c>
      <c r="AD46" s="215">
        <v>2.5779529999999999</v>
      </c>
      <c r="AE46" s="215">
        <v>2.5096630000000002</v>
      </c>
      <c r="AF46" s="215">
        <v>2.9023219999999998</v>
      </c>
      <c r="AG46" s="215">
        <v>2.2306110000000001</v>
      </c>
      <c r="AH46" s="215">
        <v>3.269943</v>
      </c>
      <c r="AI46" s="215">
        <v>2.473986</v>
      </c>
      <c r="AJ46" s="215">
        <v>1.4567600000000001</v>
      </c>
      <c r="AK46" s="215">
        <v>0.99141100000000004</v>
      </c>
      <c r="AL46" s="215">
        <v>0.71958900000000003</v>
      </c>
      <c r="AM46" s="215">
        <v>1.785792</v>
      </c>
      <c r="AN46" s="215">
        <v>0.452177</v>
      </c>
      <c r="AO46" s="215">
        <v>0.95933100000000004</v>
      </c>
      <c r="AP46" s="215">
        <v>1.1425749999999999</v>
      </c>
      <c r="AQ46" s="215">
        <v>1.6549480000000001</v>
      </c>
      <c r="AR46" s="215">
        <v>0.72049300000000005</v>
      </c>
      <c r="AS46" s="215">
        <v>1.5167109999999999</v>
      </c>
      <c r="AT46" s="215">
        <v>0.94897299999999996</v>
      </c>
      <c r="AU46" s="215">
        <v>3.9948999999999998E-2</v>
      </c>
      <c r="AV46" s="215">
        <v>-0.44015900000000002</v>
      </c>
      <c r="AW46" s="215">
        <v>-0.63806200000000002</v>
      </c>
      <c r="AX46" s="215">
        <v>-0.17128499999999999</v>
      </c>
      <c r="AY46" s="215">
        <v>-0.60498300000000005</v>
      </c>
      <c r="AZ46" s="215">
        <v>-1.525733</v>
      </c>
      <c r="BA46" s="215">
        <v>-1.276394</v>
      </c>
      <c r="BB46" s="215">
        <v>-1.215975</v>
      </c>
      <c r="BC46" s="215">
        <v>0.93929700000000005</v>
      </c>
      <c r="BD46" s="215">
        <v>0.67505400000000004</v>
      </c>
      <c r="BE46" s="215">
        <v>-0.18843915013000001</v>
      </c>
      <c r="BF46" s="215">
        <v>-0.45101116716</v>
      </c>
      <c r="BG46" s="323">
        <v>-0.21619740000000001</v>
      </c>
      <c r="BH46" s="323">
        <v>0.37633309999999998</v>
      </c>
      <c r="BI46" s="323">
        <v>0.1155704</v>
      </c>
      <c r="BJ46" s="323">
        <v>-0.2164586</v>
      </c>
      <c r="BK46" s="323">
        <v>0.30859150000000002</v>
      </c>
      <c r="BL46" s="323">
        <v>0.69785200000000003</v>
      </c>
      <c r="BM46" s="323">
        <v>0.73697570000000001</v>
      </c>
      <c r="BN46" s="323">
        <v>0.85339799999999999</v>
      </c>
      <c r="BO46" s="323">
        <v>1.360349</v>
      </c>
      <c r="BP46" s="323">
        <v>0.97494230000000004</v>
      </c>
      <c r="BQ46" s="323">
        <v>1.162272</v>
      </c>
      <c r="BR46" s="323">
        <v>1.6769890000000001</v>
      </c>
      <c r="BS46" s="323">
        <v>1.1060209999999999</v>
      </c>
      <c r="BT46" s="323">
        <v>1.250856</v>
      </c>
      <c r="BU46" s="323">
        <v>0.9120163</v>
      </c>
      <c r="BV46" s="323">
        <v>-0.1241568</v>
      </c>
    </row>
    <row r="47" spans="1:74" ht="11.1" customHeight="1" x14ac:dyDescent="0.2">
      <c r="A47" s="61"/>
      <c r="B47" s="67"/>
      <c r="C47" s="62"/>
      <c r="D47" s="62"/>
      <c r="E47" s="62"/>
      <c r="F47" s="62"/>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62"/>
      <c r="AG47" s="62"/>
      <c r="AH47" s="62"/>
      <c r="AI47" s="62"/>
      <c r="AJ47" s="62"/>
      <c r="AK47" s="62"/>
      <c r="AL47" s="62"/>
      <c r="AM47" s="62"/>
      <c r="AN47" s="62"/>
      <c r="AO47" s="62"/>
      <c r="AP47" s="62"/>
      <c r="AQ47" s="62"/>
      <c r="AR47" s="62"/>
      <c r="AS47" s="62"/>
      <c r="AT47" s="62"/>
      <c r="AU47" s="62"/>
      <c r="AV47" s="62"/>
      <c r="AW47" s="62"/>
      <c r="AX47" s="62"/>
      <c r="AY47" s="62"/>
      <c r="AZ47" s="62"/>
      <c r="BA47" s="62"/>
      <c r="BB47" s="62"/>
      <c r="BC47" s="62"/>
      <c r="BD47" s="62"/>
      <c r="BE47" s="62"/>
      <c r="BF47" s="62"/>
      <c r="BG47" s="326"/>
      <c r="BH47" s="326"/>
      <c r="BI47" s="326"/>
      <c r="BJ47" s="326"/>
      <c r="BK47" s="326"/>
      <c r="BL47" s="326"/>
      <c r="BM47" s="326"/>
      <c r="BN47" s="326"/>
      <c r="BO47" s="326"/>
      <c r="BP47" s="326"/>
      <c r="BQ47" s="326"/>
      <c r="BR47" s="326"/>
      <c r="BS47" s="326"/>
      <c r="BT47" s="326"/>
      <c r="BU47" s="326"/>
      <c r="BV47" s="326"/>
    </row>
    <row r="48" spans="1:74" ht="11.1" customHeight="1" x14ac:dyDescent="0.2">
      <c r="A48" s="57"/>
      <c r="B48" s="65" t="s">
        <v>759</v>
      </c>
      <c r="C48" s="63"/>
      <c r="D48" s="63"/>
      <c r="E48" s="63"/>
      <c r="F48" s="63"/>
      <c r="G48" s="63"/>
      <c r="H48" s="63"/>
      <c r="I48" s="63"/>
      <c r="J48" s="63"/>
      <c r="K48" s="63"/>
      <c r="L48" s="63"/>
      <c r="M48" s="63"/>
      <c r="N48" s="63"/>
      <c r="O48" s="63"/>
      <c r="P48" s="63"/>
      <c r="Q48" s="63"/>
      <c r="R48" s="63"/>
      <c r="S48" s="63"/>
      <c r="T48" s="63"/>
      <c r="U48" s="63"/>
      <c r="V48" s="63"/>
      <c r="W48" s="63"/>
      <c r="X48" s="63"/>
      <c r="Y48" s="63"/>
      <c r="Z48" s="63"/>
      <c r="AA48" s="63"/>
      <c r="AB48" s="63"/>
      <c r="AC48" s="63"/>
      <c r="AD48" s="63"/>
      <c r="AE48" s="63"/>
      <c r="AF48" s="63"/>
      <c r="AG48" s="63"/>
      <c r="AH48" s="63"/>
      <c r="AI48" s="63"/>
      <c r="AJ48" s="63"/>
      <c r="AK48" s="63"/>
      <c r="AL48" s="63"/>
      <c r="AM48" s="63"/>
      <c r="AN48" s="63"/>
      <c r="AO48" s="63"/>
      <c r="AP48" s="63"/>
      <c r="AQ48" s="63"/>
      <c r="AR48" s="63"/>
      <c r="AS48" s="63"/>
      <c r="AT48" s="63"/>
      <c r="AU48" s="63"/>
      <c r="AV48" s="63"/>
      <c r="AW48" s="63"/>
      <c r="AX48" s="63"/>
      <c r="AY48" s="63"/>
      <c r="AZ48" s="63"/>
      <c r="BA48" s="63"/>
      <c r="BB48" s="63"/>
      <c r="BC48" s="63"/>
      <c r="BD48" s="63"/>
      <c r="BE48" s="63"/>
      <c r="BF48" s="63"/>
      <c r="BG48" s="401"/>
      <c r="BH48" s="401"/>
      <c r="BI48" s="401"/>
      <c r="BJ48" s="401"/>
      <c r="BK48" s="63"/>
      <c r="BL48" s="63"/>
      <c r="BM48" s="63"/>
      <c r="BN48" s="63"/>
      <c r="BO48" s="63"/>
      <c r="BP48" s="63"/>
      <c r="BQ48" s="63"/>
      <c r="BR48" s="63"/>
      <c r="BS48" s="63"/>
      <c r="BT48" s="63"/>
      <c r="BU48" s="63"/>
      <c r="BV48" s="401"/>
    </row>
    <row r="49" spans="1:74" ht="11.1" customHeight="1" x14ac:dyDescent="0.2">
      <c r="A49" s="57"/>
      <c r="B49" s="66" t="s">
        <v>114</v>
      </c>
      <c r="C49" s="63"/>
      <c r="D49" s="63"/>
      <c r="E49" s="63"/>
      <c r="F49" s="63"/>
      <c r="G49" s="63"/>
      <c r="H49" s="63"/>
      <c r="I49" s="63"/>
      <c r="J49" s="63"/>
      <c r="K49" s="63"/>
      <c r="L49" s="63"/>
      <c r="M49" s="63"/>
      <c r="N49" s="63"/>
      <c r="O49" s="63"/>
      <c r="P49" s="63"/>
      <c r="Q49" s="63"/>
      <c r="R49" s="63"/>
      <c r="S49" s="63"/>
      <c r="T49" s="63"/>
      <c r="U49" s="63"/>
      <c r="V49" s="63"/>
      <c r="W49" s="63"/>
      <c r="X49" s="63"/>
      <c r="Y49" s="63"/>
      <c r="Z49" s="63"/>
      <c r="AA49" s="63"/>
      <c r="AB49" s="63"/>
      <c r="AC49" s="63"/>
      <c r="AD49" s="63"/>
      <c r="AE49" s="63"/>
      <c r="AF49" s="63"/>
      <c r="AG49" s="63"/>
      <c r="AH49" s="63"/>
      <c r="AI49" s="63"/>
      <c r="AJ49" s="63"/>
      <c r="AK49" s="63"/>
      <c r="AL49" s="63"/>
      <c r="AM49" s="63"/>
      <c r="AN49" s="63"/>
      <c r="AO49" s="63"/>
      <c r="AP49" s="63"/>
      <c r="AQ49" s="63"/>
      <c r="AR49" s="63"/>
      <c r="AS49" s="63"/>
      <c r="AT49" s="63"/>
      <c r="AU49" s="63"/>
      <c r="AV49" s="63"/>
      <c r="AW49" s="63"/>
      <c r="AX49" s="63"/>
      <c r="AY49" s="63"/>
      <c r="AZ49" s="63"/>
      <c r="BA49" s="63"/>
      <c r="BB49" s="68"/>
      <c r="BC49" s="68"/>
      <c r="BD49" s="68"/>
      <c r="BE49" s="68"/>
      <c r="BF49" s="68"/>
      <c r="BG49" s="401"/>
      <c r="BH49" s="401"/>
      <c r="BI49" s="401"/>
      <c r="BJ49" s="401"/>
      <c r="BK49" s="401"/>
      <c r="BL49" s="401"/>
      <c r="BM49" s="401"/>
      <c r="BN49" s="401"/>
      <c r="BO49" s="401"/>
      <c r="BP49" s="401"/>
      <c r="BQ49" s="401"/>
      <c r="BR49" s="401"/>
      <c r="BS49" s="401"/>
      <c r="BT49" s="401"/>
      <c r="BU49" s="401"/>
      <c r="BV49" s="401"/>
    </row>
    <row r="50" spans="1:74" ht="11.1" customHeight="1" x14ac:dyDescent="0.2">
      <c r="A50" s="61" t="s">
        <v>526</v>
      </c>
      <c r="B50" s="175" t="s">
        <v>410</v>
      </c>
      <c r="C50" s="68">
        <v>471.767</v>
      </c>
      <c r="D50" s="68">
        <v>492.15300000000002</v>
      </c>
      <c r="E50" s="68">
        <v>504.81099999999998</v>
      </c>
      <c r="F50" s="68">
        <v>509.32299999999998</v>
      </c>
      <c r="G50" s="68">
        <v>511.86099999999999</v>
      </c>
      <c r="H50" s="68">
        <v>500.85700000000003</v>
      </c>
      <c r="I50" s="68">
        <v>493.45800000000003</v>
      </c>
      <c r="J50" s="68">
        <v>486.67500000000001</v>
      </c>
      <c r="K50" s="68">
        <v>471.53699999999998</v>
      </c>
      <c r="L50" s="68">
        <v>491.20299999999997</v>
      </c>
      <c r="M50" s="68">
        <v>490.73399999999998</v>
      </c>
      <c r="N50" s="68">
        <v>484.62200000000001</v>
      </c>
      <c r="O50" s="68">
        <v>506.798</v>
      </c>
      <c r="P50" s="68">
        <v>525.41899999999998</v>
      </c>
      <c r="Q50" s="68">
        <v>538.59500000000003</v>
      </c>
      <c r="R50" s="68">
        <v>524.28599999999994</v>
      </c>
      <c r="S50" s="68">
        <v>516.80799999999999</v>
      </c>
      <c r="T50" s="68">
        <v>501.55700000000002</v>
      </c>
      <c r="U50" s="68">
        <v>483.411</v>
      </c>
      <c r="V50" s="68">
        <v>459.98200000000003</v>
      </c>
      <c r="W50" s="68">
        <v>469.58800000000002</v>
      </c>
      <c r="X50" s="68">
        <v>459.73099999999999</v>
      </c>
      <c r="Y50" s="68">
        <v>453.05399999999997</v>
      </c>
      <c r="Z50" s="68">
        <v>421.64600000000002</v>
      </c>
      <c r="AA50" s="68">
        <v>420.76</v>
      </c>
      <c r="AB50" s="68">
        <v>423.84300000000002</v>
      </c>
      <c r="AC50" s="68">
        <v>424.93900000000002</v>
      </c>
      <c r="AD50" s="68">
        <v>436.57799999999997</v>
      </c>
      <c r="AE50" s="68">
        <v>434.197</v>
      </c>
      <c r="AF50" s="68">
        <v>415.15199999999999</v>
      </c>
      <c r="AG50" s="68">
        <v>409.64100000000002</v>
      </c>
      <c r="AH50" s="68">
        <v>407.58300000000003</v>
      </c>
      <c r="AI50" s="68">
        <v>416.68400000000003</v>
      </c>
      <c r="AJ50" s="68">
        <v>433.80799999999999</v>
      </c>
      <c r="AK50" s="68">
        <v>449.37900000000002</v>
      </c>
      <c r="AL50" s="68">
        <v>442.50099999999998</v>
      </c>
      <c r="AM50" s="68">
        <v>448.97199999999998</v>
      </c>
      <c r="AN50" s="68">
        <v>451.66</v>
      </c>
      <c r="AO50" s="68">
        <v>458.89</v>
      </c>
      <c r="AP50" s="68">
        <v>469.80200000000002</v>
      </c>
      <c r="AQ50" s="68">
        <v>481.125</v>
      </c>
      <c r="AR50" s="68">
        <v>463.44600000000003</v>
      </c>
      <c r="AS50" s="68">
        <v>441.58800000000002</v>
      </c>
      <c r="AT50" s="68">
        <v>430.11799999999999</v>
      </c>
      <c r="AU50" s="68">
        <v>425.61399999999998</v>
      </c>
      <c r="AV50" s="68">
        <v>443.36700000000002</v>
      </c>
      <c r="AW50" s="68">
        <v>445.887</v>
      </c>
      <c r="AX50" s="68">
        <v>432.77199999999999</v>
      </c>
      <c r="AY50" s="68">
        <v>442.834</v>
      </c>
      <c r="AZ50" s="68">
        <v>454.22500000000002</v>
      </c>
      <c r="BA50" s="68">
        <v>482.45400000000001</v>
      </c>
      <c r="BB50" s="68">
        <v>529.16399999999999</v>
      </c>
      <c r="BC50" s="68">
        <v>520.96100000000001</v>
      </c>
      <c r="BD50" s="68">
        <v>531.92600000000004</v>
      </c>
      <c r="BE50" s="68">
        <v>517.95142856999996</v>
      </c>
      <c r="BF50" s="68">
        <v>494.20215160999999</v>
      </c>
      <c r="BG50" s="325">
        <v>486.7131</v>
      </c>
      <c r="BH50" s="325">
        <v>492.99990000000003</v>
      </c>
      <c r="BI50" s="325">
        <v>491.8014</v>
      </c>
      <c r="BJ50" s="325">
        <v>479.32249999999999</v>
      </c>
      <c r="BK50" s="325">
        <v>480.19799999999998</v>
      </c>
      <c r="BL50" s="325">
        <v>490.86849999999998</v>
      </c>
      <c r="BM50" s="325">
        <v>502.33120000000002</v>
      </c>
      <c r="BN50" s="325">
        <v>504.67450000000002</v>
      </c>
      <c r="BO50" s="325">
        <v>504.24099999999999</v>
      </c>
      <c r="BP50" s="325">
        <v>488.36180000000002</v>
      </c>
      <c r="BQ50" s="325">
        <v>473.50720000000001</v>
      </c>
      <c r="BR50" s="325">
        <v>465.90379999999999</v>
      </c>
      <c r="BS50" s="325">
        <v>466.75080000000003</v>
      </c>
      <c r="BT50" s="325">
        <v>481.58690000000001</v>
      </c>
      <c r="BU50" s="325">
        <v>481.69970000000001</v>
      </c>
      <c r="BV50" s="325">
        <v>468.05259999999998</v>
      </c>
    </row>
    <row r="51" spans="1:74" ht="11.1" customHeight="1" x14ac:dyDescent="0.2">
      <c r="A51" s="616" t="s">
        <v>993</v>
      </c>
      <c r="B51" s="66" t="s">
        <v>994</v>
      </c>
      <c r="C51" s="68">
        <v>164.14</v>
      </c>
      <c r="D51" s="68">
        <v>147.08500000000001</v>
      </c>
      <c r="E51" s="68">
        <v>152.489</v>
      </c>
      <c r="F51" s="68">
        <v>167.94900000000001</v>
      </c>
      <c r="G51" s="68">
        <v>184.971</v>
      </c>
      <c r="H51" s="68">
        <v>209.87799999999999</v>
      </c>
      <c r="I51" s="68">
        <v>228.77</v>
      </c>
      <c r="J51" s="68">
        <v>247.136</v>
      </c>
      <c r="K51" s="68">
        <v>250.833</v>
      </c>
      <c r="L51" s="68">
        <v>242.93700000000001</v>
      </c>
      <c r="M51" s="68">
        <v>232.63399999999999</v>
      </c>
      <c r="N51" s="68">
        <v>200.19499999999999</v>
      </c>
      <c r="O51" s="68">
        <v>164.89</v>
      </c>
      <c r="P51" s="68">
        <v>153.61799999999999</v>
      </c>
      <c r="Q51" s="68">
        <v>147.55500000000001</v>
      </c>
      <c r="R51" s="68">
        <v>153.34399999999999</v>
      </c>
      <c r="S51" s="68">
        <v>170.21100000000001</v>
      </c>
      <c r="T51" s="68">
        <v>189.858</v>
      </c>
      <c r="U51" s="68">
        <v>205.81299999999999</v>
      </c>
      <c r="V51" s="68">
        <v>229.815</v>
      </c>
      <c r="W51" s="68">
        <v>228.66300000000001</v>
      </c>
      <c r="X51" s="68">
        <v>230.67599999999999</v>
      </c>
      <c r="Y51" s="68">
        <v>216.48500000000001</v>
      </c>
      <c r="Z51" s="68">
        <v>190.00399999999999</v>
      </c>
      <c r="AA51" s="68">
        <v>155.733</v>
      </c>
      <c r="AB51" s="68">
        <v>140.93799999999999</v>
      </c>
      <c r="AC51" s="68">
        <v>138.643</v>
      </c>
      <c r="AD51" s="68">
        <v>144.804</v>
      </c>
      <c r="AE51" s="68">
        <v>162.13300000000001</v>
      </c>
      <c r="AF51" s="68">
        <v>180.93700000000001</v>
      </c>
      <c r="AG51" s="68">
        <v>196.48599999999999</v>
      </c>
      <c r="AH51" s="68">
        <v>213.55099999999999</v>
      </c>
      <c r="AI51" s="68">
        <v>225.29499999999999</v>
      </c>
      <c r="AJ51" s="68">
        <v>225.428</v>
      </c>
      <c r="AK51" s="68">
        <v>209.316</v>
      </c>
      <c r="AL51" s="68">
        <v>189.024</v>
      </c>
      <c r="AM51" s="68">
        <v>160.52000000000001</v>
      </c>
      <c r="AN51" s="68">
        <v>151.238</v>
      </c>
      <c r="AO51" s="68">
        <v>160.33500000000001</v>
      </c>
      <c r="AP51" s="68">
        <v>174.971</v>
      </c>
      <c r="AQ51" s="68">
        <v>201.74</v>
      </c>
      <c r="AR51" s="68">
        <v>224.48</v>
      </c>
      <c r="AS51" s="68">
        <v>238.363</v>
      </c>
      <c r="AT51" s="68">
        <v>255.80699999999999</v>
      </c>
      <c r="AU51" s="68">
        <v>262.76799999999997</v>
      </c>
      <c r="AV51" s="68">
        <v>252.50200000000001</v>
      </c>
      <c r="AW51" s="68">
        <v>231.88800000000001</v>
      </c>
      <c r="AX51" s="68">
        <v>211.696</v>
      </c>
      <c r="AY51" s="68">
        <v>195.11</v>
      </c>
      <c r="AZ51" s="68">
        <v>178.73400000000001</v>
      </c>
      <c r="BA51" s="68">
        <v>180.83799999999999</v>
      </c>
      <c r="BB51" s="68">
        <v>195.59800000000001</v>
      </c>
      <c r="BC51" s="68">
        <v>209.73599999999999</v>
      </c>
      <c r="BD51" s="68">
        <v>233.86699999999999</v>
      </c>
      <c r="BE51" s="68">
        <v>255.82357142999999</v>
      </c>
      <c r="BF51" s="68">
        <v>274.48037128999999</v>
      </c>
      <c r="BG51" s="325">
        <v>277.13209999999998</v>
      </c>
      <c r="BH51" s="325">
        <v>270.90120000000002</v>
      </c>
      <c r="BI51" s="325">
        <v>255.85339999999999</v>
      </c>
      <c r="BJ51" s="325">
        <v>231.63829999999999</v>
      </c>
      <c r="BK51" s="325">
        <v>206.58439999999999</v>
      </c>
      <c r="BL51" s="325">
        <v>191.78899999999999</v>
      </c>
      <c r="BM51" s="325">
        <v>191.99870000000001</v>
      </c>
      <c r="BN51" s="325">
        <v>202.5393</v>
      </c>
      <c r="BO51" s="325">
        <v>220.99299999999999</v>
      </c>
      <c r="BP51" s="325">
        <v>238.16820000000001</v>
      </c>
      <c r="BQ51" s="325">
        <v>252.05099999999999</v>
      </c>
      <c r="BR51" s="325">
        <v>269.66340000000002</v>
      </c>
      <c r="BS51" s="325">
        <v>273.93920000000003</v>
      </c>
      <c r="BT51" s="325">
        <v>269.03620000000001</v>
      </c>
      <c r="BU51" s="325">
        <v>254.56479999999999</v>
      </c>
      <c r="BV51" s="325">
        <v>230.68289999999999</v>
      </c>
    </row>
    <row r="52" spans="1:74" ht="11.1" customHeight="1" x14ac:dyDescent="0.2">
      <c r="A52" s="61" t="s">
        <v>760</v>
      </c>
      <c r="B52" s="175" t="s">
        <v>406</v>
      </c>
      <c r="C52" s="68">
        <v>88.222999999999999</v>
      </c>
      <c r="D52" s="68">
        <v>89.623999999999995</v>
      </c>
      <c r="E52" s="68">
        <v>91.641999999999996</v>
      </c>
      <c r="F52" s="68">
        <v>90.423000000000002</v>
      </c>
      <c r="G52" s="68">
        <v>90.254999999999995</v>
      </c>
      <c r="H52" s="68">
        <v>86.798000000000002</v>
      </c>
      <c r="I52" s="68">
        <v>88.313999999999993</v>
      </c>
      <c r="J52" s="68">
        <v>84.325999999999993</v>
      </c>
      <c r="K52" s="68">
        <v>83.522000000000006</v>
      </c>
      <c r="L52" s="68">
        <v>85.605000000000004</v>
      </c>
      <c r="M52" s="68">
        <v>82.849000000000004</v>
      </c>
      <c r="N52" s="68">
        <v>80.323999999999998</v>
      </c>
      <c r="O52" s="68">
        <v>89.12</v>
      </c>
      <c r="P52" s="68">
        <v>89.850999999999999</v>
      </c>
      <c r="Q52" s="68">
        <v>91.941000000000003</v>
      </c>
      <c r="R52" s="68">
        <v>92.820999999999998</v>
      </c>
      <c r="S52" s="68">
        <v>95.912999999999997</v>
      </c>
      <c r="T52" s="68">
        <v>89.855000000000004</v>
      </c>
      <c r="U52" s="68">
        <v>90.182000000000002</v>
      </c>
      <c r="V52" s="68">
        <v>90.724999999999994</v>
      </c>
      <c r="W52" s="68">
        <v>91.558000000000007</v>
      </c>
      <c r="X52" s="68">
        <v>90.662000000000006</v>
      </c>
      <c r="Y52" s="68">
        <v>87.506</v>
      </c>
      <c r="Z52" s="68">
        <v>86.337000000000003</v>
      </c>
      <c r="AA52" s="68">
        <v>89.622</v>
      </c>
      <c r="AB52" s="68">
        <v>90.224000000000004</v>
      </c>
      <c r="AC52" s="68">
        <v>98.087999999999994</v>
      </c>
      <c r="AD52" s="68">
        <v>94.052999999999997</v>
      </c>
      <c r="AE52" s="68">
        <v>93.906999999999996</v>
      </c>
      <c r="AF52" s="68">
        <v>92.227000000000004</v>
      </c>
      <c r="AG52" s="68">
        <v>89.381</v>
      </c>
      <c r="AH52" s="68">
        <v>89.561999999999998</v>
      </c>
      <c r="AI52" s="68">
        <v>91.900999999999996</v>
      </c>
      <c r="AJ52" s="68">
        <v>92.063999999999993</v>
      </c>
      <c r="AK52" s="68">
        <v>91.834999999999994</v>
      </c>
      <c r="AL52" s="68">
        <v>85.909000000000006</v>
      </c>
      <c r="AM52" s="68">
        <v>88.994</v>
      </c>
      <c r="AN52" s="68">
        <v>92.94</v>
      </c>
      <c r="AO52" s="68">
        <v>92.186999999999998</v>
      </c>
      <c r="AP52" s="68">
        <v>96.123000000000005</v>
      </c>
      <c r="AQ52" s="68">
        <v>98.195999999999998</v>
      </c>
      <c r="AR52" s="68">
        <v>95.933999999999997</v>
      </c>
      <c r="AS52" s="68">
        <v>96.275000000000006</v>
      </c>
      <c r="AT52" s="68">
        <v>94.694000000000003</v>
      </c>
      <c r="AU52" s="68">
        <v>92.266999999999996</v>
      </c>
      <c r="AV52" s="68">
        <v>98.41</v>
      </c>
      <c r="AW52" s="68">
        <v>94.757999999999996</v>
      </c>
      <c r="AX52" s="68">
        <v>89.843999999999994</v>
      </c>
      <c r="AY52" s="68">
        <v>92.474000000000004</v>
      </c>
      <c r="AZ52" s="68">
        <v>98.775999999999996</v>
      </c>
      <c r="BA52" s="68">
        <v>100.102</v>
      </c>
      <c r="BB52" s="68">
        <v>92.966999999999999</v>
      </c>
      <c r="BC52" s="68">
        <v>88.893000000000001</v>
      </c>
      <c r="BD52" s="68">
        <v>91.852000000000004</v>
      </c>
      <c r="BE52" s="68">
        <v>88.068428570999998</v>
      </c>
      <c r="BF52" s="68">
        <v>86.040080645000003</v>
      </c>
      <c r="BG52" s="325">
        <v>88.035200000000003</v>
      </c>
      <c r="BH52" s="325">
        <v>90.899109999999993</v>
      </c>
      <c r="BI52" s="325">
        <v>88.809190000000001</v>
      </c>
      <c r="BJ52" s="325">
        <v>83.166030000000006</v>
      </c>
      <c r="BK52" s="325">
        <v>88.937020000000004</v>
      </c>
      <c r="BL52" s="325">
        <v>91.63691</v>
      </c>
      <c r="BM52" s="325">
        <v>93.523179999999996</v>
      </c>
      <c r="BN52" s="325">
        <v>95.460189999999997</v>
      </c>
      <c r="BO52" s="325">
        <v>92.909639999999996</v>
      </c>
      <c r="BP52" s="325">
        <v>91.287170000000003</v>
      </c>
      <c r="BQ52" s="325">
        <v>89.905259999999998</v>
      </c>
      <c r="BR52" s="325">
        <v>88.978669999999994</v>
      </c>
      <c r="BS52" s="325">
        <v>90.534180000000006</v>
      </c>
      <c r="BT52" s="325">
        <v>92.885000000000005</v>
      </c>
      <c r="BU52" s="325">
        <v>90.547129999999996</v>
      </c>
      <c r="BV52" s="325">
        <v>84.811170000000004</v>
      </c>
    </row>
    <row r="53" spans="1:74" ht="11.1" customHeight="1" x14ac:dyDescent="0.2">
      <c r="A53" s="61" t="s">
        <v>762</v>
      </c>
      <c r="B53" s="175" t="s">
        <v>411</v>
      </c>
      <c r="C53" s="68">
        <v>29.178362</v>
      </c>
      <c r="D53" s="68">
        <v>29.582032999999999</v>
      </c>
      <c r="E53" s="68">
        <v>29.062559</v>
      </c>
      <c r="F53" s="68">
        <v>28.027403</v>
      </c>
      <c r="G53" s="68">
        <v>27.244702</v>
      </c>
      <c r="H53" s="68">
        <v>27.852004000000001</v>
      </c>
      <c r="I53" s="68">
        <v>28.039527</v>
      </c>
      <c r="J53" s="68">
        <v>27.736173000000001</v>
      </c>
      <c r="K53" s="68">
        <v>27.389913</v>
      </c>
      <c r="L53" s="68">
        <v>26.923871999999999</v>
      </c>
      <c r="M53" s="68">
        <v>26.972242000000001</v>
      </c>
      <c r="N53" s="68">
        <v>29.007739999999998</v>
      </c>
      <c r="O53" s="68">
        <v>31.691298</v>
      </c>
      <c r="P53" s="68">
        <v>31.859195</v>
      </c>
      <c r="Q53" s="68">
        <v>32.818440000000002</v>
      </c>
      <c r="R53" s="68">
        <v>32.078544000000001</v>
      </c>
      <c r="S53" s="68">
        <v>30.235627999999998</v>
      </c>
      <c r="T53" s="68">
        <v>29.339252999999999</v>
      </c>
      <c r="U53" s="68">
        <v>29.478895999999999</v>
      </c>
      <c r="V53" s="68">
        <v>29.605516999999999</v>
      </c>
      <c r="W53" s="68">
        <v>28.547553000000001</v>
      </c>
      <c r="X53" s="68">
        <v>28.437940999999999</v>
      </c>
      <c r="Y53" s="68">
        <v>30.035246999999998</v>
      </c>
      <c r="Z53" s="68">
        <v>29.584949000000002</v>
      </c>
      <c r="AA53" s="68">
        <v>31.656119</v>
      </c>
      <c r="AB53" s="68">
        <v>32.180826000000003</v>
      </c>
      <c r="AC53" s="68">
        <v>31.103645</v>
      </c>
      <c r="AD53" s="68">
        <v>30.967804000000001</v>
      </c>
      <c r="AE53" s="68">
        <v>29.491741000000001</v>
      </c>
      <c r="AF53" s="68">
        <v>28.731908000000001</v>
      </c>
      <c r="AG53" s="68">
        <v>28.903490999999999</v>
      </c>
      <c r="AH53" s="68">
        <v>28.898886000000001</v>
      </c>
      <c r="AI53" s="68">
        <v>30.452354</v>
      </c>
      <c r="AJ53" s="68">
        <v>29.676034999999999</v>
      </c>
      <c r="AK53" s="68">
        <v>30.338325000000001</v>
      </c>
      <c r="AL53" s="68">
        <v>31.433216999999999</v>
      </c>
      <c r="AM53" s="68">
        <v>32.510353000000002</v>
      </c>
      <c r="AN53" s="68">
        <v>32.194479000000001</v>
      </c>
      <c r="AO53" s="68">
        <v>30.92802</v>
      </c>
      <c r="AP53" s="68">
        <v>30.722297999999999</v>
      </c>
      <c r="AQ53" s="68">
        <v>29.595977000000001</v>
      </c>
      <c r="AR53" s="68">
        <v>29.128499000000001</v>
      </c>
      <c r="AS53" s="68">
        <v>29.095613</v>
      </c>
      <c r="AT53" s="68">
        <v>28.357616</v>
      </c>
      <c r="AU53" s="68">
        <v>28.335778000000001</v>
      </c>
      <c r="AV53" s="68">
        <v>27.404743</v>
      </c>
      <c r="AW53" s="68">
        <v>27.357734000000001</v>
      </c>
      <c r="AX53" s="68">
        <v>27.809621</v>
      </c>
      <c r="AY53" s="68">
        <v>30.183185000000002</v>
      </c>
      <c r="AZ53" s="68">
        <v>30.187282</v>
      </c>
      <c r="BA53" s="68">
        <v>33.569009000000001</v>
      </c>
      <c r="BB53" s="68">
        <v>32.260756000000001</v>
      </c>
      <c r="BC53" s="68">
        <v>28.727378999999999</v>
      </c>
      <c r="BD53" s="68">
        <v>26.171522</v>
      </c>
      <c r="BE53" s="68">
        <v>26.444135588999998</v>
      </c>
      <c r="BF53" s="68">
        <v>26.956370124999999</v>
      </c>
      <c r="BG53" s="325">
        <v>26.52074</v>
      </c>
      <c r="BH53" s="325">
        <v>25.671600000000002</v>
      </c>
      <c r="BI53" s="325">
        <v>25.530950000000001</v>
      </c>
      <c r="BJ53" s="325">
        <v>26.247979999999998</v>
      </c>
      <c r="BK53" s="325">
        <v>27.239149999999999</v>
      </c>
      <c r="BL53" s="325">
        <v>27.675840000000001</v>
      </c>
      <c r="BM53" s="325">
        <v>27.60097</v>
      </c>
      <c r="BN53" s="325">
        <v>27.161000000000001</v>
      </c>
      <c r="BO53" s="325">
        <v>26.894220000000001</v>
      </c>
      <c r="BP53" s="325">
        <v>26.598199999999999</v>
      </c>
      <c r="BQ53" s="325">
        <v>26.34685</v>
      </c>
      <c r="BR53" s="325">
        <v>25.827639999999999</v>
      </c>
      <c r="BS53" s="325">
        <v>25.863130000000002</v>
      </c>
      <c r="BT53" s="325">
        <v>25.283709999999999</v>
      </c>
      <c r="BU53" s="325">
        <v>25.803059999999999</v>
      </c>
      <c r="BV53" s="325">
        <v>26.497689999999999</v>
      </c>
    </row>
    <row r="54" spans="1:74" ht="11.1" customHeight="1" x14ac:dyDescent="0.2">
      <c r="A54" s="61" t="s">
        <v>500</v>
      </c>
      <c r="B54" s="175" t="s">
        <v>412</v>
      </c>
      <c r="C54" s="68">
        <v>261.64800000000002</v>
      </c>
      <c r="D54" s="68">
        <v>256.21899999999999</v>
      </c>
      <c r="E54" s="68">
        <v>243.71600000000001</v>
      </c>
      <c r="F54" s="68">
        <v>243.47900000000001</v>
      </c>
      <c r="G54" s="68">
        <v>243.40899999999999</v>
      </c>
      <c r="H54" s="68">
        <v>242.66200000000001</v>
      </c>
      <c r="I54" s="68">
        <v>240.93199999999999</v>
      </c>
      <c r="J54" s="68">
        <v>230.411</v>
      </c>
      <c r="K54" s="68">
        <v>227.697</v>
      </c>
      <c r="L54" s="68">
        <v>225.59399999999999</v>
      </c>
      <c r="M54" s="68">
        <v>233.84200000000001</v>
      </c>
      <c r="N54" s="68">
        <v>238.58699999999999</v>
      </c>
      <c r="O54" s="68">
        <v>261.10899999999998</v>
      </c>
      <c r="P54" s="68">
        <v>253.63499999999999</v>
      </c>
      <c r="Q54" s="68">
        <v>239.55799999999999</v>
      </c>
      <c r="R54" s="68">
        <v>243.511</v>
      </c>
      <c r="S54" s="68">
        <v>242.48400000000001</v>
      </c>
      <c r="T54" s="68">
        <v>238.417</v>
      </c>
      <c r="U54" s="68">
        <v>232.85900000000001</v>
      </c>
      <c r="V54" s="68">
        <v>226.78800000000001</v>
      </c>
      <c r="W54" s="68">
        <v>223.20400000000001</v>
      </c>
      <c r="X54" s="68">
        <v>215.89599999999999</v>
      </c>
      <c r="Y54" s="68">
        <v>224.91800000000001</v>
      </c>
      <c r="Z54" s="68">
        <v>236.816</v>
      </c>
      <c r="AA54" s="68">
        <v>248.887</v>
      </c>
      <c r="AB54" s="68">
        <v>253.249</v>
      </c>
      <c r="AC54" s="68">
        <v>239.67</v>
      </c>
      <c r="AD54" s="68">
        <v>240.14500000000001</v>
      </c>
      <c r="AE54" s="68">
        <v>242.887</v>
      </c>
      <c r="AF54" s="68">
        <v>240.71600000000001</v>
      </c>
      <c r="AG54" s="68">
        <v>234.29300000000001</v>
      </c>
      <c r="AH54" s="68">
        <v>236.30199999999999</v>
      </c>
      <c r="AI54" s="68">
        <v>239.97</v>
      </c>
      <c r="AJ54" s="68">
        <v>232.672</v>
      </c>
      <c r="AK54" s="68">
        <v>230.23599999999999</v>
      </c>
      <c r="AL54" s="68">
        <v>246.5</v>
      </c>
      <c r="AM54" s="68">
        <v>262.36599999999999</v>
      </c>
      <c r="AN54" s="68">
        <v>252.05799999999999</v>
      </c>
      <c r="AO54" s="68">
        <v>236.55500000000001</v>
      </c>
      <c r="AP54" s="68">
        <v>230.869</v>
      </c>
      <c r="AQ54" s="68">
        <v>235.83</v>
      </c>
      <c r="AR54" s="68">
        <v>229.91399999999999</v>
      </c>
      <c r="AS54" s="68">
        <v>235.434</v>
      </c>
      <c r="AT54" s="68">
        <v>230.36199999999999</v>
      </c>
      <c r="AU54" s="68">
        <v>232.04300000000001</v>
      </c>
      <c r="AV54" s="68">
        <v>224.47300000000001</v>
      </c>
      <c r="AW54" s="68">
        <v>233.691</v>
      </c>
      <c r="AX54" s="68">
        <v>254.1</v>
      </c>
      <c r="AY54" s="68">
        <v>264.23</v>
      </c>
      <c r="AZ54" s="68">
        <v>251.71799999999999</v>
      </c>
      <c r="BA54" s="68">
        <v>260.839</v>
      </c>
      <c r="BB54" s="68">
        <v>257.30200000000002</v>
      </c>
      <c r="BC54" s="68">
        <v>258.23500000000001</v>
      </c>
      <c r="BD54" s="68">
        <v>253.26300000000001</v>
      </c>
      <c r="BE54" s="68">
        <v>247.703</v>
      </c>
      <c r="BF54" s="68">
        <v>232.74750813</v>
      </c>
      <c r="BG54" s="325">
        <v>231.8374</v>
      </c>
      <c r="BH54" s="325">
        <v>225.8777</v>
      </c>
      <c r="BI54" s="325">
        <v>229.61770000000001</v>
      </c>
      <c r="BJ54" s="325">
        <v>237.89619999999999</v>
      </c>
      <c r="BK54" s="325">
        <v>246.95779999999999</v>
      </c>
      <c r="BL54" s="325">
        <v>244.5154</v>
      </c>
      <c r="BM54" s="325">
        <v>233.3193</v>
      </c>
      <c r="BN54" s="325">
        <v>231.43219999999999</v>
      </c>
      <c r="BO54" s="325">
        <v>232.995</v>
      </c>
      <c r="BP54" s="325">
        <v>232.07470000000001</v>
      </c>
      <c r="BQ54" s="325">
        <v>229.2696</v>
      </c>
      <c r="BR54" s="325">
        <v>224.7448</v>
      </c>
      <c r="BS54" s="325">
        <v>227.8416</v>
      </c>
      <c r="BT54" s="325">
        <v>222.42920000000001</v>
      </c>
      <c r="BU54" s="325">
        <v>225.93549999999999</v>
      </c>
      <c r="BV54" s="325">
        <v>234.74789999999999</v>
      </c>
    </row>
    <row r="55" spans="1:74" ht="11.1" customHeight="1" x14ac:dyDescent="0.2">
      <c r="A55" s="61" t="s">
        <v>501</v>
      </c>
      <c r="B55" s="175" t="s">
        <v>413</v>
      </c>
      <c r="C55" s="68">
        <v>26.513000000000002</v>
      </c>
      <c r="D55" s="68">
        <v>26.896999999999998</v>
      </c>
      <c r="E55" s="68">
        <v>26.262</v>
      </c>
      <c r="F55" s="68">
        <v>24.664999999999999</v>
      </c>
      <c r="G55" s="68">
        <v>23.375</v>
      </c>
      <c r="H55" s="68">
        <v>24.655999999999999</v>
      </c>
      <c r="I55" s="68">
        <v>24.445</v>
      </c>
      <c r="J55" s="68">
        <v>25.552</v>
      </c>
      <c r="K55" s="68">
        <v>24.803000000000001</v>
      </c>
      <c r="L55" s="68">
        <v>25.751999999999999</v>
      </c>
      <c r="M55" s="68">
        <v>26.134</v>
      </c>
      <c r="N55" s="68">
        <v>28.382999999999999</v>
      </c>
      <c r="O55" s="68">
        <v>28.434999999999999</v>
      </c>
      <c r="P55" s="68">
        <v>25.41</v>
      </c>
      <c r="Q55" s="68">
        <v>21.53</v>
      </c>
      <c r="R55" s="68">
        <v>21.65</v>
      </c>
      <c r="S55" s="68">
        <v>22.007999999999999</v>
      </c>
      <c r="T55" s="68">
        <v>22.48</v>
      </c>
      <c r="U55" s="68">
        <v>23.152999999999999</v>
      </c>
      <c r="V55" s="68">
        <v>24.584</v>
      </c>
      <c r="W55" s="68">
        <v>21.763999999999999</v>
      </c>
      <c r="X55" s="68">
        <v>23.140999999999998</v>
      </c>
      <c r="Y55" s="68">
        <v>23.606999999999999</v>
      </c>
      <c r="Z55" s="68">
        <v>24.523</v>
      </c>
      <c r="AA55" s="68">
        <v>24.969000000000001</v>
      </c>
      <c r="AB55" s="68">
        <v>24.768999999999998</v>
      </c>
      <c r="AC55" s="68">
        <v>22.863</v>
      </c>
      <c r="AD55" s="68">
        <v>22.582999999999998</v>
      </c>
      <c r="AE55" s="68">
        <v>23.776</v>
      </c>
      <c r="AF55" s="68">
        <v>24.55</v>
      </c>
      <c r="AG55" s="68">
        <v>24.228999999999999</v>
      </c>
      <c r="AH55" s="68">
        <v>23.227</v>
      </c>
      <c r="AI55" s="68">
        <v>24.748000000000001</v>
      </c>
      <c r="AJ55" s="68">
        <v>24.888000000000002</v>
      </c>
      <c r="AK55" s="68">
        <v>24.106999999999999</v>
      </c>
      <c r="AL55" s="68">
        <v>25.768999999999998</v>
      </c>
      <c r="AM55" s="68">
        <v>28.704999999999998</v>
      </c>
      <c r="AN55" s="68">
        <v>23.864000000000001</v>
      </c>
      <c r="AO55" s="68">
        <v>20.864999999999998</v>
      </c>
      <c r="AP55" s="68">
        <v>20.866</v>
      </c>
      <c r="AQ55" s="68">
        <v>22.169</v>
      </c>
      <c r="AR55" s="68">
        <v>21.491</v>
      </c>
      <c r="AS55" s="68">
        <v>21.916</v>
      </c>
      <c r="AT55" s="68">
        <v>23.084</v>
      </c>
      <c r="AU55" s="68">
        <v>23.007000000000001</v>
      </c>
      <c r="AV55" s="68">
        <v>23.33</v>
      </c>
      <c r="AW55" s="68">
        <v>24.834</v>
      </c>
      <c r="AX55" s="68">
        <v>26.129000000000001</v>
      </c>
      <c r="AY55" s="68">
        <v>27.672999999999998</v>
      </c>
      <c r="AZ55" s="68">
        <v>25.852</v>
      </c>
      <c r="BA55" s="68">
        <v>22.577000000000002</v>
      </c>
      <c r="BB55" s="68">
        <v>22.87</v>
      </c>
      <c r="BC55" s="68">
        <v>24.044</v>
      </c>
      <c r="BD55" s="68">
        <v>23.498999999999999</v>
      </c>
      <c r="BE55" s="68">
        <v>23.606571428999999</v>
      </c>
      <c r="BF55" s="68">
        <v>25.304822258000002</v>
      </c>
      <c r="BG55" s="325">
        <v>24.26399</v>
      </c>
      <c r="BH55" s="325">
        <v>24.2195</v>
      </c>
      <c r="BI55" s="325">
        <v>24.064820000000001</v>
      </c>
      <c r="BJ55" s="325">
        <v>24.023540000000001</v>
      </c>
      <c r="BK55" s="325">
        <v>26.409210000000002</v>
      </c>
      <c r="BL55" s="325">
        <v>26.014790000000001</v>
      </c>
      <c r="BM55" s="325">
        <v>22.760339999999999</v>
      </c>
      <c r="BN55" s="325">
        <v>20.36787</v>
      </c>
      <c r="BO55" s="325">
        <v>21.635919999999999</v>
      </c>
      <c r="BP55" s="325">
        <v>21.365189999999998</v>
      </c>
      <c r="BQ55" s="325">
        <v>20.937249999999999</v>
      </c>
      <c r="BR55" s="325">
        <v>21.60134</v>
      </c>
      <c r="BS55" s="325">
        <v>22.33107</v>
      </c>
      <c r="BT55" s="325">
        <v>21.706130000000002</v>
      </c>
      <c r="BU55" s="325">
        <v>21.962689999999998</v>
      </c>
      <c r="BV55" s="325">
        <v>22.576250000000002</v>
      </c>
    </row>
    <row r="56" spans="1:74" ht="11.1" customHeight="1" x14ac:dyDescent="0.2">
      <c r="A56" s="61" t="s">
        <v>502</v>
      </c>
      <c r="B56" s="175" t="s">
        <v>692</v>
      </c>
      <c r="C56" s="68">
        <v>235.13499999999999</v>
      </c>
      <c r="D56" s="68">
        <v>229.322</v>
      </c>
      <c r="E56" s="68">
        <v>217.45400000000001</v>
      </c>
      <c r="F56" s="68">
        <v>218.81399999999999</v>
      </c>
      <c r="G56" s="68">
        <v>220.03399999999999</v>
      </c>
      <c r="H56" s="68">
        <v>218.006</v>
      </c>
      <c r="I56" s="68">
        <v>216.48699999999999</v>
      </c>
      <c r="J56" s="68">
        <v>204.85900000000001</v>
      </c>
      <c r="K56" s="68">
        <v>202.89400000000001</v>
      </c>
      <c r="L56" s="68">
        <v>199.84200000000001</v>
      </c>
      <c r="M56" s="68">
        <v>207.708</v>
      </c>
      <c r="N56" s="68">
        <v>210.20400000000001</v>
      </c>
      <c r="O56" s="68">
        <v>232.67400000000001</v>
      </c>
      <c r="P56" s="68">
        <v>228.22499999999999</v>
      </c>
      <c r="Q56" s="68">
        <v>218.02799999999999</v>
      </c>
      <c r="R56" s="68">
        <v>221.86099999999999</v>
      </c>
      <c r="S56" s="68">
        <v>220.476</v>
      </c>
      <c r="T56" s="68">
        <v>215.93700000000001</v>
      </c>
      <c r="U56" s="68">
        <v>209.70599999999999</v>
      </c>
      <c r="V56" s="68">
        <v>202.20400000000001</v>
      </c>
      <c r="W56" s="68">
        <v>201.44</v>
      </c>
      <c r="X56" s="68">
        <v>192.755</v>
      </c>
      <c r="Y56" s="68">
        <v>201.31100000000001</v>
      </c>
      <c r="Z56" s="68">
        <v>212.29300000000001</v>
      </c>
      <c r="AA56" s="68">
        <v>223.91800000000001</v>
      </c>
      <c r="AB56" s="68">
        <v>228.48</v>
      </c>
      <c r="AC56" s="68">
        <v>216.80699999999999</v>
      </c>
      <c r="AD56" s="68">
        <v>217.56200000000001</v>
      </c>
      <c r="AE56" s="68">
        <v>219.11099999999999</v>
      </c>
      <c r="AF56" s="68">
        <v>216.166</v>
      </c>
      <c r="AG56" s="68">
        <v>210.06399999999999</v>
      </c>
      <c r="AH56" s="68">
        <v>213.07499999999999</v>
      </c>
      <c r="AI56" s="68">
        <v>215.22200000000001</v>
      </c>
      <c r="AJ56" s="68">
        <v>207.78399999999999</v>
      </c>
      <c r="AK56" s="68">
        <v>206.12899999999999</v>
      </c>
      <c r="AL56" s="68">
        <v>220.73099999999999</v>
      </c>
      <c r="AM56" s="68">
        <v>233.661</v>
      </c>
      <c r="AN56" s="68">
        <v>228.19399999999999</v>
      </c>
      <c r="AO56" s="68">
        <v>215.69</v>
      </c>
      <c r="AP56" s="68">
        <v>210.00299999999999</v>
      </c>
      <c r="AQ56" s="68">
        <v>213.661</v>
      </c>
      <c r="AR56" s="68">
        <v>208.423</v>
      </c>
      <c r="AS56" s="68">
        <v>213.518</v>
      </c>
      <c r="AT56" s="68">
        <v>207.27799999999999</v>
      </c>
      <c r="AU56" s="68">
        <v>209.036</v>
      </c>
      <c r="AV56" s="68">
        <v>201.143</v>
      </c>
      <c r="AW56" s="68">
        <v>208.857</v>
      </c>
      <c r="AX56" s="68">
        <v>227.971</v>
      </c>
      <c r="AY56" s="68">
        <v>236.55699999999999</v>
      </c>
      <c r="AZ56" s="68">
        <v>225.86600000000001</v>
      </c>
      <c r="BA56" s="68">
        <v>238.262</v>
      </c>
      <c r="BB56" s="68">
        <v>234.43199999999999</v>
      </c>
      <c r="BC56" s="68">
        <v>234.191</v>
      </c>
      <c r="BD56" s="68">
        <v>229.76400000000001</v>
      </c>
      <c r="BE56" s="68">
        <v>224.09714285999999</v>
      </c>
      <c r="BF56" s="68">
        <v>207.44346773999999</v>
      </c>
      <c r="BG56" s="325">
        <v>207.5735</v>
      </c>
      <c r="BH56" s="325">
        <v>201.65819999999999</v>
      </c>
      <c r="BI56" s="325">
        <v>205.55289999999999</v>
      </c>
      <c r="BJ56" s="325">
        <v>213.87270000000001</v>
      </c>
      <c r="BK56" s="325">
        <v>220.54859999999999</v>
      </c>
      <c r="BL56" s="325">
        <v>218.50059999999999</v>
      </c>
      <c r="BM56" s="325">
        <v>210.559</v>
      </c>
      <c r="BN56" s="325">
        <v>211.0643</v>
      </c>
      <c r="BO56" s="325">
        <v>211.35910000000001</v>
      </c>
      <c r="BP56" s="325">
        <v>210.70949999999999</v>
      </c>
      <c r="BQ56" s="325">
        <v>208.33240000000001</v>
      </c>
      <c r="BR56" s="325">
        <v>203.14340000000001</v>
      </c>
      <c r="BS56" s="325">
        <v>205.51050000000001</v>
      </c>
      <c r="BT56" s="325">
        <v>200.72309999999999</v>
      </c>
      <c r="BU56" s="325">
        <v>203.97280000000001</v>
      </c>
      <c r="BV56" s="325">
        <v>212.17160000000001</v>
      </c>
    </row>
    <row r="57" spans="1:74" ht="11.1" customHeight="1" x14ac:dyDescent="0.2">
      <c r="A57" s="61" t="s">
        <v>527</v>
      </c>
      <c r="B57" s="175" t="s">
        <v>396</v>
      </c>
      <c r="C57" s="68">
        <v>42.901000000000003</v>
      </c>
      <c r="D57" s="68">
        <v>42.591999999999999</v>
      </c>
      <c r="E57" s="68">
        <v>44.344000000000001</v>
      </c>
      <c r="F57" s="68">
        <v>43.857999999999997</v>
      </c>
      <c r="G57" s="68">
        <v>44.661000000000001</v>
      </c>
      <c r="H57" s="68">
        <v>40.659999999999997</v>
      </c>
      <c r="I57" s="68">
        <v>42.113</v>
      </c>
      <c r="J57" s="68">
        <v>42.768999999999998</v>
      </c>
      <c r="K57" s="68">
        <v>44.890999999999998</v>
      </c>
      <c r="L57" s="68">
        <v>44.86</v>
      </c>
      <c r="M57" s="68">
        <v>44.969000000000001</v>
      </c>
      <c r="N57" s="68">
        <v>43.01</v>
      </c>
      <c r="O57" s="68">
        <v>42.503999999999998</v>
      </c>
      <c r="P57" s="68">
        <v>44.057000000000002</v>
      </c>
      <c r="Q57" s="68">
        <v>42.395000000000003</v>
      </c>
      <c r="R57" s="68">
        <v>44.548999999999999</v>
      </c>
      <c r="S57" s="68">
        <v>44.482999999999997</v>
      </c>
      <c r="T57" s="68">
        <v>41.046999999999997</v>
      </c>
      <c r="U57" s="68">
        <v>41.122</v>
      </c>
      <c r="V57" s="68">
        <v>40.396000000000001</v>
      </c>
      <c r="W57" s="68">
        <v>43.637999999999998</v>
      </c>
      <c r="X57" s="68">
        <v>41.825000000000003</v>
      </c>
      <c r="Y57" s="68">
        <v>41.15</v>
      </c>
      <c r="Z57" s="68">
        <v>41.304000000000002</v>
      </c>
      <c r="AA57" s="68">
        <v>42.640999999999998</v>
      </c>
      <c r="AB57" s="68">
        <v>43.052999999999997</v>
      </c>
      <c r="AC57" s="68">
        <v>40.345999999999997</v>
      </c>
      <c r="AD57" s="68">
        <v>41.19</v>
      </c>
      <c r="AE57" s="68">
        <v>41.631999999999998</v>
      </c>
      <c r="AF57" s="68">
        <v>40.893999999999998</v>
      </c>
      <c r="AG57" s="68">
        <v>40.985999999999997</v>
      </c>
      <c r="AH57" s="68">
        <v>41.777999999999999</v>
      </c>
      <c r="AI57" s="68">
        <v>46.786999999999999</v>
      </c>
      <c r="AJ57" s="68">
        <v>42.29</v>
      </c>
      <c r="AK57" s="68">
        <v>39.314999999999998</v>
      </c>
      <c r="AL57" s="68">
        <v>41.585000000000001</v>
      </c>
      <c r="AM57" s="68">
        <v>41.158000000000001</v>
      </c>
      <c r="AN57" s="68">
        <v>42.018999999999998</v>
      </c>
      <c r="AO57" s="68">
        <v>41.646000000000001</v>
      </c>
      <c r="AP57" s="68">
        <v>40.871000000000002</v>
      </c>
      <c r="AQ57" s="68">
        <v>39.292999999999999</v>
      </c>
      <c r="AR57" s="68">
        <v>40.546999999999997</v>
      </c>
      <c r="AS57" s="68">
        <v>43.029000000000003</v>
      </c>
      <c r="AT57" s="68">
        <v>43.15</v>
      </c>
      <c r="AU57" s="68">
        <v>44.331000000000003</v>
      </c>
      <c r="AV57" s="68">
        <v>39.781999999999996</v>
      </c>
      <c r="AW57" s="68">
        <v>40.622</v>
      </c>
      <c r="AX57" s="68">
        <v>40.466999999999999</v>
      </c>
      <c r="AY57" s="68">
        <v>44.012</v>
      </c>
      <c r="AZ57" s="68">
        <v>42.725000000000001</v>
      </c>
      <c r="BA57" s="68">
        <v>39.872999999999998</v>
      </c>
      <c r="BB57" s="68">
        <v>39.993000000000002</v>
      </c>
      <c r="BC57" s="68">
        <v>40.354999999999997</v>
      </c>
      <c r="BD57" s="68">
        <v>41.512999999999998</v>
      </c>
      <c r="BE57" s="68">
        <v>39.697000000000003</v>
      </c>
      <c r="BF57" s="68">
        <v>39.702375484000001</v>
      </c>
      <c r="BG57" s="325">
        <v>41.182160000000003</v>
      </c>
      <c r="BH57" s="325">
        <v>40.104210000000002</v>
      </c>
      <c r="BI57" s="325">
        <v>39.574730000000002</v>
      </c>
      <c r="BJ57" s="325">
        <v>39.919780000000003</v>
      </c>
      <c r="BK57" s="325">
        <v>40.542740000000002</v>
      </c>
      <c r="BL57" s="325">
        <v>40.056579999999997</v>
      </c>
      <c r="BM57" s="325">
        <v>39.659410000000001</v>
      </c>
      <c r="BN57" s="325">
        <v>40.446980000000003</v>
      </c>
      <c r="BO57" s="325">
        <v>41.193309999999997</v>
      </c>
      <c r="BP57" s="325">
        <v>40.638370000000002</v>
      </c>
      <c r="BQ57" s="325">
        <v>41.865920000000003</v>
      </c>
      <c r="BR57" s="325">
        <v>41.443109999999997</v>
      </c>
      <c r="BS57" s="325">
        <v>42.823219999999999</v>
      </c>
      <c r="BT57" s="325">
        <v>42.041339999999998</v>
      </c>
      <c r="BU57" s="325">
        <v>39.963990000000003</v>
      </c>
      <c r="BV57" s="325">
        <v>39.870510000000003</v>
      </c>
    </row>
    <row r="58" spans="1:74" ht="11.1" customHeight="1" x14ac:dyDescent="0.2">
      <c r="A58" s="61" t="s">
        <v>481</v>
      </c>
      <c r="B58" s="175" t="s">
        <v>408</v>
      </c>
      <c r="C58" s="68">
        <v>160.595</v>
      </c>
      <c r="D58" s="68">
        <v>162.49600000000001</v>
      </c>
      <c r="E58" s="68">
        <v>160.07300000000001</v>
      </c>
      <c r="F58" s="68">
        <v>154.74100000000001</v>
      </c>
      <c r="G58" s="68">
        <v>154.947</v>
      </c>
      <c r="H58" s="68">
        <v>149.767</v>
      </c>
      <c r="I58" s="68">
        <v>156.50700000000001</v>
      </c>
      <c r="J58" s="68">
        <v>160.33799999999999</v>
      </c>
      <c r="K58" s="68">
        <v>161.05099999999999</v>
      </c>
      <c r="L58" s="68">
        <v>154.715</v>
      </c>
      <c r="M58" s="68">
        <v>161.27799999999999</v>
      </c>
      <c r="N58" s="68">
        <v>166.095</v>
      </c>
      <c r="O58" s="68">
        <v>170.24700000000001</v>
      </c>
      <c r="P58" s="68">
        <v>162.83199999999999</v>
      </c>
      <c r="Q58" s="68">
        <v>152.029</v>
      </c>
      <c r="R58" s="68">
        <v>154.95699999999999</v>
      </c>
      <c r="S58" s="68">
        <v>154.24700000000001</v>
      </c>
      <c r="T58" s="68">
        <v>152.06</v>
      </c>
      <c r="U58" s="68">
        <v>151.494</v>
      </c>
      <c r="V58" s="68">
        <v>147.80600000000001</v>
      </c>
      <c r="W58" s="68">
        <v>137.33099999999999</v>
      </c>
      <c r="X58" s="68">
        <v>130.053</v>
      </c>
      <c r="Y58" s="68">
        <v>133.387</v>
      </c>
      <c r="Z58" s="68">
        <v>145.63800000000001</v>
      </c>
      <c r="AA58" s="68">
        <v>141.34</v>
      </c>
      <c r="AB58" s="68">
        <v>138.88800000000001</v>
      </c>
      <c r="AC58" s="68">
        <v>130.47800000000001</v>
      </c>
      <c r="AD58" s="68">
        <v>120.928</v>
      </c>
      <c r="AE58" s="68">
        <v>115.58</v>
      </c>
      <c r="AF58" s="68">
        <v>120.54900000000001</v>
      </c>
      <c r="AG58" s="68">
        <v>127.215</v>
      </c>
      <c r="AH58" s="68">
        <v>132.26599999999999</v>
      </c>
      <c r="AI58" s="68">
        <v>137.249</v>
      </c>
      <c r="AJ58" s="68">
        <v>124.773</v>
      </c>
      <c r="AK58" s="68">
        <v>126.54300000000001</v>
      </c>
      <c r="AL58" s="68">
        <v>140.16200000000001</v>
      </c>
      <c r="AM58" s="68">
        <v>140.12899999999999</v>
      </c>
      <c r="AN58" s="68">
        <v>136.32300000000001</v>
      </c>
      <c r="AO58" s="68">
        <v>132.172</v>
      </c>
      <c r="AP58" s="68">
        <v>128.274</v>
      </c>
      <c r="AQ58" s="68">
        <v>129.86500000000001</v>
      </c>
      <c r="AR58" s="68">
        <v>131.09399999999999</v>
      </c>
      <c r="AS58" s="68">
        <v>137.67400000000001</v>
      </c>
      <c r="AT58" s="68">
        <v>135.636</v>
      </c>
      <c r="AU58" s="68">
        <v>131.83799999999999</v>
      </c>
      <c r="AV58" s="68">
        <v>120.07299999999999</v>
      </c>
      <c r="AW58" s="68">
        <v>126.221</v>
      </c>
      <c r="AX58" s="68">
        <v>140.083</v>
      </c>
      <c r="AY58" s="68">
        <v>143.01</v>
      </c>
      <c r="AZ58" s="68">
        <v>132.74</v>
      </c>
      <c r="BA58" s="68">
        <v>126.71299999999999</v>
      </c>
      <c r="BB58" s="68">
        <v>150.709</v>
      </c>
      <c r="BC58" s="68">
        <v>175.899</v>
      </c>
      <c r="BD58" s="68">
        <v>175.42699999999999</v>
      </c>
      <c r="BE58" s="68">
        <v>179.64528571</v>
      </c>
      <c r="BF58" s="68">
        <v>176.7751791</v>
      </c>
      <c r="BG58" s="325">
        <v>173.10579999999999</v>
      </c>
      <c r="BH58" s="325">
        <v>166.3511</v>
      </c>
      <c r="BI58" s="325">
        <v>166.0463</v>
      </c>
      <c r="BJ58" s="325">
        <v>168.31870000000001</v>
      </c>
      <c r="BK58" s="325">
        <v>162.20910000000001</v>
      </c>
      <c r="BL58" s="325">
        <v>154.47059999999999</v>
      </c>
      <c r="BM58" s="325">
        <v>147.57509999999999</v>
      </c>
      <c r="BN58" s="325">
        <v>142.45439999999999</v>
      </c>
      <c r="BO58" s="325">
        <v>143.36429999999999</v>
      </c>
      <c r="BP58" s="325">
        <v>144.38339999999999</v>
      </c>
      <c r="BQ58" s="325">
        <v>146.42930000000001</v>
      </c>
      <c r="BR58" s="325">
        <v>148.10470000000001</v>
      </c>
      <c r="BS58" s="325">
        <v>145.80369999999999</v>
      </c>
      <c r="BT58" s="325">
        <v>139.54089999999999</v>
      </c>
      <c r="BU58" s="325">
        <v>143.65799999999999</v>
      </c>
      <c r="BV58" s="325">
        <v>149.18190000000001</v>
      </c>
    </row>
    <row r="59" spans="1:74" ht="11.1" customHeight="1" x14ac:dyDescent="0.2">
      <c r="A59" s="61" t="s">
        <v>528</v>
      </c>
      <c r="B59" s="175" t="s">
        <v>409</v>
      </c>
      <c r="C59" s="68">
        <v>44.067999999999998</v>
      </c>
      <c r="D59" s="68">
        <v>45.935000000000002</v>
      </c>
      <c r="E59" s="68">
        <v>44.536999999999999</v>
      </c>
      <c r="F59" s="68">
        <v>43.182000000000002</v>
      </c>
      <c r="G59" s="68">
        <v>40.283000000000001</v>
      </c>
      <c r="H59" s="68">
        <v>40.396000000000001</v>
      </c>
      <c r="I59" s="68">
        <v>38.540999999999997</v>
      </c>
      <c r="J59" s="68">
        <v>39.630000000000003</v>
      </c>
      <c r="K59" s="68">
        <v>38.878</v>
      </c>
      <c r="L59" s="68">
        <v>39.279000000000003</v>
      </c>
      <c r="M59" s="68">
        <v>40.799999999999997</v>
      </c>
      <c r="N59" s="68">
        <v>41.475000000000001</v>
      </c>
      <c r="O59" s="68">
        <v>38.502000000000002</v>
      </c>
      <c r="P59" s="68">
        <v>37.807000000000002</v>
      </c>
      <c r="Q59" s="68">
        <v>37.514000000000003</v>
      </c>
      <c r="R59" s="68">
        <v>36.517000000000003</v>
      </c>
      <c r="S59" s="68">
        <v>37.043999999999997</v>
      </c>
      <c r="T59" s="68">
        <v>33.183</v>
      </c>
      <c r="U59" s="68">
        <v>31.190999999999999</v>
      </c>
      <c r="V59" s="68">
        <v>32.655999999999999</v>
      </c>
      <c r="W59" s="68">
        <v>33.603000000000002</v>
      </c>
      <c r="X59" s="68">
        <v>29.956</v>
      </c>
      <c r="Y59" s="68">
        <v>29.794</v>
      </c>
      <c r="Z59" s="68">
        <v>29.376999999999999</v>
      </c>
      <c r="AA59" s="68">
        <v>32.456000000000003</v>
      </c>
      <c r="AB59" s="68">
        <v>32.911000000000001</v>
      </c>
      <c r="AC59" s="68">
        <v>35.048000000000002</v>
      </c>
      <c r="AD59" s="68">
        <v>32.338999999999999</v>
      </c>
      <c r="AE59" s="68">
        <v>31.861000000000001</v>
      </c>
      <c r="AF59" s="68">
        <v>30.027999999999999</v>
      </c>
      <c r="AG59" s="68">
        <v>29.334</v>
      </c>
      <c r="AH59" s="68">
        <v>27.844999999999999</v>
      </c>
      <c r="AI59" s="68">
        <v>28.704000000000001</v>
      </c>
      <c r="AJ59" s="68">
        <v>29.234000000000002</v>
      </c>
      <c r="AK59" s="68">
        <v>29.792999999999999</v>
      </c>
      <c r="AL59" s="68">
        <v>28.314</v>
      </c>
      <c r="AM59" s="68">
        <v>29.748999999999999</v>
      </c>
      <c r="AN59" s="68">
        <v>28.41</v>
      </c>
      <c r="AO59" s="68">
        <v>29.18</v>
      </c>
      <c r="AP59" s="68">
        <v>28.93</v>
      </c>
      <c r="AQ59" s="68">
        <v>30.155999999999999</v>
      </c>
      <c r="AR59" s="68">
        <v>30.466999999999999</v>
      </c>
      <c r="AS59" s="68">
        <v>30.712</v>
      </c>
      <c r="AT59" s="68">
        <v>28.788</v>
      </c>
      <c r="AU59" s="68">
        <v>30.03</v>
      </c>
      <c r="AV59" s="68">
        <v>29.681000000000001</v>
      </c>
      <c r="AW59" s="68">
        <v>32.659999999999997</v>
      </c>
      <c r="AX59" s="68">
        <v>30.52</v>
      </c>
      <c r="AY59" s="68">
        <v>30.731000000000002</v>
      </c>
      <c r="AZ59" s="68">
        <v>31.242999999999999</v>
      </c>
      <c r="BA59" s="68">
        <v>34.369999999999997</v>
      </c>
      <c r="BB59" s="68">
        <v>36.548000000000002</v>
      </c>
      <c r="BC59" s="68">
        <v>39.375999999999998</v>
      </c>
      <c r="BD59" s="68">
        <v>39.622999999999998</v>
      </c>
      <c r="BE59" s="68">
        <v>35.966142857000001</v>
      </c>
      <c r="BF59" s="68">
        <v>35.886842258000001</v>
      </c>
      <c r="BG59" s="325">
        <v>34.798690000000001</v>
      </c>
      <c r="BH59" s="325">
        <v>34.812719999999999</v>
      </c>
      <c r="BI59" s="325">
        <v>33.937710000000003</v>
      </c>
      <c r="BJ59" s="325">
        <v>32.102849999999997</v>
      </c>
      <c r="BK59" s="325">
        <v>32.693350000000002</v>
      </c>
      <c r="BL59" s="325">
        <v>32.888750000000002</v>
      </c>
      <c r="BM59" s="325">
        <v>33.309750000000001</v>
      </c>
      <c r="BN59" s="325">
        <v>32.829569999999997</v>
      </c>
      <c r="BO59" s="325">
        <v>34.19961</v>
      </c>
      <c r="BP59" s="325">
        <v>34.197769999999998</v>
      </c>
      <c r="BQ59" s="325">
        <v>32.856470000000002</v>
      </c>
      <c r="BR59" s="325">
        <v>31.604140000000001</v>
      </c>
      <c r="BS59" s="325">
        <v>31.974489999999999</v>
      </c>
      <c r="BT59" s="325">
        <v>32.792250000000003</v>
      </c>
      <c r="BU59" s="325">
        <v>34.726239999999997</v>
      </c>
      <c r="BV59" s="325">
        <v>33.589109999999998</v>
      </c>
    </row>
    <row r="60" spans="1:74" ht="11.1" customHeight="1" x14ac:dyDescent="0.2">
      <c r="A60" s="61" t="s">
        <v>763</v>
      </c>
      <c r="B60" s="622" t="s">
        <v>995</v>
      </c>
      <c r="C60" s="68">
        <v>56.021000000000001</v>
      </c>
      <c r="D60" s="68">
        <v>57.155999999999999</v>
      </c>
      <c r="E60" s="68">
        <v>58.558</v>
      </c>
      <c r="F60" s="68">
        <v>59.088999999999999</v>
      </c>
      <c r="G60" s="68">
        <v>57.795999999999999</v>
      </c>
      <c r="H60" s="68">
        <v>55.472999999999999</v>
      </c>
      <c r="I60" s="68">
        <v>54.72</v>
      </c>
      <c r="J60" s="68">
        <v>52.235999999999997</v>
      </c>
      <c r="K60" s="68">
        <v>50.328000000000003</v>
      </c>
      <c r="L60" s="68">
        <v>46.808999999999997</v>
      </c>
      <c r="M60" s="68">
        <v>47.063000000000002</v>
      </c>
      <c r="N60" s="68">
        <v>51.173999999999999</v>
      </c>
      <c r="O60" s="68">
        <v>52.747999999999998</v>
      </c>
      <c r="P60" s="68">
        <v>55.207999999999998</v>
      </c>
      <c r="Q60" s="68">
        <v>56.521999999999998</v>
      </c>
      <c r="R60" s="68">
        <v>57.499000000000002</v>
      </c>
      <c r="S60" s="68">
        <v>58.052</v>
      </c>
      <c r="T60" s="68">
        <v>55.393000000000001</v>
      </c>
      <c r="U60" s="68">
        <v>54.024999999999999</v>
      </c>
      <c r="V60" s="68">
        <v>50.643000000000001</v>
      </c>
      <c r="W60" s="68">
        <v>48.006999999999998</v>
      </c>
      <c r="X60" s="68">
        <v>45.012</v>
      </c>
      <c r="Y60" s="68">
        <v>45.704999999999998</v>
      </c>
      <c r="Z60" s="68">
        <v>51.031999999999996</v>
      </c>
      <c r="AA60" s="68">
        <v>55.277000000000001</v>
      </c>
      <c r="AB60" s="68">
        <v>58.277000000000001</v>
      </c>
      <c r="AC60" s="68">
        <v>60.311999999999998</v>
      </c>
      <c r="AD60" s="68">
        <v>62.725000000000001</v>
      </c>
      <c r="AE60" s="68">
        <v>61.213000000000001</v>
      </c>
      <c r="AF60" s="68">
        <v>59.956000000000003</v>
      </c>
      <c r="AG60" s="68">
        <v>58.372999999999998</v>
      </c>
      <c r="AH60" s="68">
        <v>56.027000000000001</v>
      </c>
      <c r="AI60" s="68">
        <v>56.14</v>
      </c>
      <c r="AJ60" s="68">
        <v>53.863999999999997</v>
      </c>
      <c r="AK60" s="68">
        <v>55.435000000000002</v>
      </c>
      <c r="AL60" s="68">
        <v>58.673000000000002</v>
      </c>
      <c r="AM60" s="68">
        <v>60.615000000000002</v>
      </c>
      <c r="AN60" s="68">
        <v>61.472000000000001</v>
      </c>
      <c r="AO60" s="68">
        <v>63.317</v>
      </c>
      <c r="AP60" s="68">
        <v>63.07</v>
      </c>
      <c r="AQ60" s="68">
        <v>61.323</v>
      </c>
      <c r="AR60" s="68">
        <v>59.155999999999999</v>
      </c>
      <c r="AS60" s="68">
        <v>56.904000000000003</v>
      </c>
      <c r="AT60" s="68">
        <v>53.771999999999998</v>
      </c>
      <c r="AU60" s="68">
        <v>51.16</v>
      </c>
      <c r="AV60" s="68">
        <v>49.875999999999998</v>
      </c>
      <c r="AW60" s="68">
        <v>50.152999999999999</v>
      </c>
      <c r="AX60" s="68">
        <v>54.588000000000001</v>
      </c>
      <c r="AY60" s="68">
        <v>56.091000000000001</v>
      </c>
      <c r="AZ60" s="68">
        <v>59.058999999999997</v>
      </c>
      <c r="BA60" s="68">
        <v>61.991999999999997</v>
      </c>
      <c r="BB60" s="68">
        <v>62.956000000000003</v>
      </c>
      <c r="BC60" s="68">
        <v>63.317999999999998</v>
      </c>
      <c r="BD60" s="68">
        <v>59.204999999999998</v>
      </c>
      <c r="BE60" s="68">
        <v>54.37726</v>
      </c>
      <c r="BF60" s="68">
        <v>48.995530000000002</v>
      </c>
      <c r="BG60" s="325">
        <v>47.349890000000002</v>
      </c>
      <c r="BH60" s="325">
        <v>44.908619999999999</v>
      </c>
      <c r="BI60" s="325">
        <v>46.925739999999998</v>
      </c>
      <c r="BJ60" s="325">
        <v>49.972810000000003</v>
      </c>
      <c r="BK60" s="325">
        <v>52.63747</v>
      </c>
      <c r="BL60" s="325">
        <v>54.646279999999997</v>
      </c>
      <c r="BM60" s="325">
        <v>55.919840000000001</v>
      </c>
      <c r="BN60" s="325">
        <v>56.539560000000002</v>
      </c>
      <c r="BO60" s="325">
        <v>56.665030000000002</v>
      </c>
      <c r="BP60" s="325">
        <v>54.995719999999999</v>
      </c>
      <c r="BQ60" s="325">
        <v>53.49335</v>
      </c>
      <c r="BR60" s="325">
        <v>51.213520000000003</v>
      </c>
      <c r="BS60" s="325">
        <v>49.472830000000002</v>
      </c>
      <c r="BT60" s="325">
        <v>46.941560000000003</v>
      </c>
      <c r="BU60" s="325">
        <v>48.879939999999998</v>
      </c>
      <c r="BV60" s="325">
        <v>51.864600000000003</v>
      </c>
    </row>
    <row r="61" spans="1:74" ht="11.1" customHeight="1" x14ac:dyDescent="0.2">
      <c r="A61" s="61" t="s">
        <v>529</v>
      </c>
      <c r="B61" s="175" t="s">
        <v>113</v>
      </c>
      <c r="C61" s="238">
        <v>1318.5413619999999</v>
      </c>
      <c r="D61" s="238">
        <v>1322.8420329999999</v>
      </c>
      <c r="E61" s="238">
        <v>1329.232559</v>
      </c>
      <c r="F61" s="238">
        <v>1340.0714029999999</v>
      </c>
      <c r="G61" s="238">
        <v>1355.427702</v>
      </c>
      <c r="H61" s="238">
        <v>1354.3430040000001</v>
      </c>
      <c r="I61" s="238">
        <v>1371.3945269999999</v>
      </c>
      <c r="J61" s="238">
        <v>1371.257173</v>
      </c>
      <c r="K61" s="238">
        <v>1356.1269130000001</v>
      </c>
      <c r="L61" s="238">
        <v>1357.925872</v>
      </c>
      <c r="M61" s="238">
        <v>1361.1412419999999</v>
      </c>
      <c r="N61" s="238">
        <v>1334.48974</v>
      </c>
      <c r="O61" s="238">
        <v>1357.6092980000001</v>
      </c>
      <c r="P61" s="238">
        <v>1354.2861949999999</v>
      </c>
      <c r="Q61" s="238">
        <v>1338.9274399999999</v>
      </c>
      <c r="R61" s="238">
        <v>1339.5625439999999</v>
      </c>
      <c r="S61" s="238">
        <v>1349.4776280000001</v>
      </c>
      <c r="T61" s="238">
        <v>1330.709253</v>
      </c>
      <c r="U61" s="238">
        <v>1319.5758960000001</v>
      </c>
      <c r="V61" s="238">
        <v>1308.4165170000001</v>
      </c>
      <c r="W61" s="238">
        <v>1304.139553</v>
      </c>
      <c r="X61" s="238">
        <v>1272.2489410000001</v>
      </c>
      <c r="Y61" s="238">
        <v>1262.0342470000001</v>
      </c>
      <c r="Z61" s="238">
        <v>1231.738949</v>
      </c>
      <c r="AA61" s="238">
        <v>1218.3721190000001</v>
      </c>
      <c r="AB61" s="238">
        <v>1213.5638260000001</v>
      </c>
      <c r="AC61" s="238">
        <v>1198.627645</v>
      </c>
      <c r="AD61" s="238">
        <v>1203.7298040000001</v>
      </c>
      <c r="AE61" s="238">
        <v>1212.9017409999999</v>
      </c>
      <c r="AF61" s="238">
        <v>1209.190908</v>
      </c>
      <c r="AG61" s="238">
        <v>1214.6124910000001</v>
      </c>
      <c r="AH61" s="238">
        <v>1233.8128859999999</v>
      </c>
      <c r="AI61" s="238">
        <v>1273.182354</v>
      </c>
      <c r="AJ61" s="238">
        <v>1263.809035</v>
      </c>
      <c r="AK61" s="238">
        <v>1262.190325</v>
      </c>
      <c r="AL61" s="238">
        <v>1264.1012169999999</v>
      </c>
      <c r="AM61" s="238">
        <v>1265.0133530000001</v>
      </c>
      <c r="AN61" s="238">
        <v>1248.3144789999999</v>
      </c>
      <c r="AO61" s="238">
        <v>1245.21002</v>
      </c>
      <c r="AP61" s="238">
        <v>1263.632298</v>
      </c>
      <c r="AQ61" s="238">
        <v>1307.123977</v>
      </c>
      <c r="AR61" s="238">
        <v>1304.1664989999999</v>
      </c>
      <c r="AS61" s="238">
        <v>1309.074613</v>
      </c>
      <c r="AT61" s="238">
        <v>1300.684616</v>
      </c>
      <c r="AU61" s="238">
        <v>1298.386778</v>
      </c>
      <c r="AV61" s="238">
        <v>1285.568743</v>
      </c>
      <c r="AW61" s="238">
        <v>1283.237734</v>
      </c>
      <c r="AX61" s="238">
        <v>1281.879621</v>
      </c>
      <c r="AY61" s="238">
        <v>1298.6751850000001</v>
      </c>
      <c r="AZ61" s="238">
        <v>1279.4072819999999</v>
      </c>
      <c r="BA61" s="238">
        <v>1320.7500090000001</v>
      </c>
      <c r="BB61" s="238">
        <v>1397.497756</v>
      </c>
      <c r="BC61" s="238">
        <v>1425.5003790000001</v>
      </c>
      <c r="BD61" s="238">
        <v>1452.847522</v>
      </c>
      <c r="BE61" s="238">
        <v>1445.6769670000001</v>
      </c>
      <c r="BF61" s="238">
        <v>1415.7871905</v>
      </c>
      <c r="BG61" s="329">
        <v>1406.675</v>
      </c>
      <c r="BH61" s="329">
        <v>1392.5260000000001</v>
      </c>
      <c r="BI61" s="329">
        <v>1378.097</v>
      </c>
      <c r="BJ61" s="329">
        <v>1348.585</v>
      </c>
      <c r="BK61" s="329">
        <v>1337.999</v>
      </c>
      <c r="BL61" s="329">
        <v>1328.548</v>
      </c>
      <c r="BM61" s="329">
        <v>1325.2370000000001</v>
      </c>
      <c r="BN61" s="329">
        <v>1333.538</v>
      </c>
      <c r="BO61" s="329">
        <v>1353.4549999999999</v>
      </c>
      <c r="BP61" s="329">
        <v>1350.7049999999999</v>
      </c>
      <c r="BQ61" s="329">
        <v>1345.7249999999999</v>
      </c>
      <c r="BR61" s="329">
        <v>1347.4839999999999</v>
      </c>
      <c r="BS61" s="329">
        <v>1355.0029999999999</v>
      </c>
      <c r="BT61" s="329">
        <v>1352.537</v>
      </c>
      <c r="BU61" s="329">
        <v>1345.778</v>
      </c>
      <c r="BV61" s="329">
        <v>1319.298</v>
      </c>
    </row>
    <row r="62" spans="1:74" ht="11.1" customHeight="1" x14ac:dyDescent="0.2">
      <c r="A62" s="61" t="s">
        <v>530</v>
      </c>
      <c r="B62" s="178" t="s">
        <v>414</v>
      </c>
      <c r="C62" s="268">
        <v>695.11599999999999</v>
      </c>
      <c r="D62" s="268">
        <v>695.11400000000003</v>
      </c>
      <c r="E62" s="268">
        <v>695.11199999999997</v>
      </c>
      <c r="F62" s="268">
        <v>695.10699999999997</v>
      </c>
      <c r="G62" s="268">
        <v>695.10400000000004</v>
      </c>
      <c r="H62" s="268">
        <v>695.1</v>
      </c>
      <c r="I62" s="268">
        <v>695.096</v>
      </c>
      <c r="J62" s="268">
        <v>695.09299999999996</v>
      </c>
      <c r="K62" s="268">
        <v>695.09</v>
      </c>
      <c r="L62" s="268">
        <v>695.08699999999999</v>
      </c>
      <c r="M62" s="268">
        <v>695.08399999999995</v>
      </c>
      <c r="N62" s="268">
        <v>695.08199999999999</v>
      </c>
      <c r="O62" s="268">
        <v>695.07799999999997</v>
      </c>
      <c r="P62" s="268">
        <v>694.82500000000005</v>
      </c>
      <c r="Q62" s="268">
        <v>691.51</v>
      </c>
      <c r="R62" s="268">
        <v>688.78700000000003</v>
      </c>
      <c r="S62" s="268">
        <v>684.47799999999995</v>
      </c>
      <c r="T62" s="268">
        <v>679.17399999999998</v>
      </c>
      <c r="U62" s="268">
        <v>678.88300000000004</v>
      </c>
      <c r="V62" s="268">
        <v>678.79899999999998</v>
      </c>
      <c r="W62" s="268">
        <v>673.64</v>
      </c>
      <c r="X62" s="268">
        <v>668.95100000000002</v>
      </c>
      <c r="Y62" s="268">
        <v>661.27800000000002</v>
      </c>
      <c r="Z62" s="268">
        <v>662.83100000000002</v>
      </c>
      <c r="AA62" s="268">
        <v>664.23400000000004</v>
      </c>
      <c r="AB62" s="268">
        <v>665.45799999999997</v>
      </c>
      <c r="AC62" s="268">
        <v>665.45600000000002</v>
      </c>
      <c r="AD62" s="268">
        <v>663.96600000000001</v>
      </c>
      <c r="AE62" s="268">
        <v>660.16700000000003</v>
      </c>
      <c r="AF62" s="268">
        <v>660.01499999999999</v>
      </c>
      <c r="AG62" s="268">
        <v>660.01300000000003</v>
      </c>
      <c r="AH62" s="268">
        <v>660.01099999999997</v>
      </c>
      <c r="AI62" s="268">
        <v>660.00900000000001</v>
      </c>
      <c r="AJ62" s="268">
        <v>654.84</v>
      </c>
      <c r="AK62" s="268">
        <v>649.56700000000001</v>
      </c>
      <c r="AL62" s="268">
        <v>649.13900000000001</v>
      </c>
      <c r="AM62" s="268">
        <v>649.13900000000001</v>
      </c>
      <c r="AN62" s="268">
        <v>649.12599999999998</v>
      </c>
      <c r="AO62" s="268">
        <v>649.12599999999998</v>
      </c>
      <c r="AP62" s="268">
        <v>648.58799999999997</v>
      </c>
      <c r="AQ62" s="268">
        <v>644.81799999999998</v>
      </c>
      <c r="AR62" s="268">
        <v>644.81799999999998</v>
      </c>
      <c r="AS62" s="268">
        <v>644.81799999999998</v>
      </c>
      <c r="AT62" s="268">
        <v>644.81799999999998</v>
      </c>
      <c r="AU62" s="268">
        <v>644.81799999999998</v>
      </c>
      <c r="AV62" s="268">
        <v>641.15300000000002</v>
      </c>
      <c r="AW62" s="268">
        <v>634.96699999999998</v>
      </c>
      <c r="AX62" s="268">
        <v>634.96699999999998</v>
      </c>
      <c r="AY62" s="268">
        <v>634.96699999999998</v>
      </c>
      <c r="AZ62" s="268">
        <v>634.96699999999998</v>
      </c>
      <c r="BA62" s="268">
        <v>634.96699999999998</v>
      </c>
      <c r="BB62" s="268">
        <v>637.82600000000002</v>
      </c>
      <c r="BC62" s="268">
        <v>648.32600000000002</v>
      </c>
      <c r="BD62" s="268">
        <v>656.02300000000002</v>
      </c>
      <c r="BE62" s="268">
        <v>655.82071428999996</v>
      </c>
      <c r="BF62" s="268">
        <v>647.55755806000002</v>
      </c>
      <c r="BG62" s="331">
        <v>641.1576</v>
      </c>
      <c r="BH62" s="331">
        <v>639.55759999999998</v>
      </c>
      <c r="BI62" s="331">
        <v>638.45759999999996</v>
      </c>
      <c r="BJ62" s="331">
        <v>635.58609999999999</v>
      </c>
      <c r="BK62" s="331">
        <v>632.71469999999999</v>
      </c>
      <c r="BL62" s="331">
        <v>629.8433</v>
      </c>
      <c r="BM62" s="331">
        <v>626.97180000000003</v>
      </c>
      <c r="BN62" s="331">
        <v>624.10040000000004</v>
      </c>
      <c r="BO62" s="331">
        <v>621.22900000000004</v>
      </c>
      <c r="BP62" s="331">
        <v>618.35760000000005</v>
      </c>
      <c r="BQ62" s="331">
        <v>618.35760000000005</v>
      </c>
      <c r="BR62" s="331">
        <v>618.35760000000005</v>
      </c>
      <c r="BS62" s="331">
        <v>618.35760000000005</v>
      </c>
      <c r="BT62" s="331">
        <v>617.55759999999998</v>
      </c>
      <c r="BU62" s="331">
        <v>616.75760000000002</v>
      </c>
      <c r="BV62" s="331">
        <v>615.95759999999996</v>
      </c>
    </row>
    <row r="63" spans="1:74" s="154" customFormat="1" ht="11.1" customHeight="1" x14ac:dyDescent="0.2">
      <c r="A63" s="61"/>
      <c r="B63" s="159"/>
      <c r="C63" s="160"/>
      <c r="D63" s="160"/>
      <c r="E63" s="160"/>
      <c r="F63" s="160"/>
      <c r="G63" s="160"/>
      <c r="H63" s="160"/>
      <c r="I63" s="160"/>
      <c r="J63" s="160"/>
      <c r="K63" s="160"/>
      <c r="L63" s="160"/>
      <c r="M63" s="160"/>
      <c r="N63" s="160"/>
      <c r="O63" s="160"/>
      <c r="P63" s="160"/>
      <c r="Q63" s="160"/>
      <c r="R63" s="160"/>
      <c r="S63" s="160"/>
      <c r="T63" s="160"/>
      <c r="U63" s="160"/>
      <c r="V63" s="160"/>
      <c r="W63" s="160"/>
      <c r="X63" s="160"/>
      <c r="Y63" s="160"/>
      <c r="Z63" s="160"/>
      <c r="AA63" s="160"/>
      <c r="AB63" s="160"/>
      <c r="AC63" s="160"/>
      <c r="AD63" s="160"/>
      <c r="AE63" s="160"/>
      <c r="AF63" s="160"/>
      <c r="AG63" s="160"/>
      <c r="AH63" s="160"/>
      <c r="AI63" s="160"/>
      <c r="AJ63" s="160"/>
      <c r="AK63" s="160"/>
      <c r="AL63" s="160"/>
      <c r="AM63" s="160"/>
      <c r="AN63" s="160"/>
      <c r="AO63" s="160"/>
      <c r="AP63" s="160"/>
      <c r="AQ63" s="160"/>
      <c r="AR63" s="160"/>
      <c r="AS63" s="160"/>
      <c r="AT63" s="160"/>
      <c r="AU63" s="160"/>
      <c r="AV63" s="160"/>
      <c r="AW63" s="160"/>
      <c r="AX63" s="160"/>
      <c r="AY63" s="398"/>
      <c r="AZ63" s="398"/>
      <c r="BA63" s="398"/>
      <c r="BB63" s="398"/>
      <c r="BC63" s="398"/>
      <c r="BD63" s="160"/>
      <c r="BE63" s="160"/>
      <c r="BF63" s="160"/>
      <c r="BG63" s="398"/>
      <c r="BH63" s="398"/>
      <c r="BI63" s="398"/>
      <c r="BJ63" s="398"/>
      <c r="BK63" s="398"/>
      <c r="BL63" s="398"/>
      <c r="BM63" s="398"/>
      <c r="BN63" s="398"/>
      <c r="BO63" s="398"/>
      <c r="BP63" s="398"/>
      <c r="BQ63" s="398"/>
      <c r="BR63" s="398"/>
      <c r="BS63" s="398"/>
      <c r="BT63" s="398"/>
      <c r="BU63" s="398"/>
      <c r="BV63" s="398"/>
    </row>
    <row r="64" spans="1:74" s="154" customFormat="1" ht="12" customHeight="1" x14ac:dyDescent="0.25">
      <c r="A64" s="61"/>
      <c r="B64" s="808" t="s">
        <v>826</v>
      </c>
      <c r="C64" s="805"/>
      <c r="D64" s="805"/>
      <c r="E64" s="805"/>
      <c r="F64" s="805"/>
      <c r="G64" s="805"/>
      <c r="H64" s="805"/>
      <c r="I64" s="805"/>
      <c r="J64" s="805"/>
      <c r="K64" s="805"/>
      <c r="L64" s="805"/>
      <c r="M64" s="805"/>
      <c r="N64" s="805"/>
      <c r="O64" s="805"/>
      <c r="P64" s="805"/>
      <c r="Q64" s="805"/>
      <c r="AY64" s="400"/>
      <c r="AZ64" s="400"/>
      <c r="BA64" s="400"/>
      <c r="BB64" s="400"/>
      <c r="BC64" s="400"/>
      <c r="BD64" s="637"/>
      <c r="BE64" s="637"/>
      <c r="BF64" s="637"/>
      <c r="BG64" s="400"/>
      <c r="BH64" s="400"/>
      <c r="BI64" s="400"/>
      <c r="BJ64" s="400"/>
    </row>
    <row r="65" spans="1:74" s="436" customFormat="1" ht="12" customHeight="1" x14ac:dyDescent="0.25">
      <c r="A65" s="435"/>
      <c r="B65" s="833" t="s">
        <v>827</v>
      </c>
      <c r="C65" s="795"/>
      <c r="D65" s="795"/>
      <c r="E65" s="795"/>
      <c r="F65" s="795"/>
      <c r="G65" s="795"/>
      <c r="H65" s="795"/>
      <c r="I65" s="795"/>
      <c r="J65" s="795"/>
      <c r="K65" s="795"/>
      <c r="L65" s="795"/>
      <c r="M65" s="795"/>
      <c r="N65" s="795"/>
      <c r="O65" s="795"/>
      <c r="P65" s="795"/>
      <c r="Q65" s="791"/>
      <c r="AY65" s="527"/>
      <c r="AZ65" s="527"/>
      <c r="BA65" s="527"/>
      <c r="BB65" s="527"/>
      <c r="BC65" s="527"/>
      <c r="BD65" s="638"/>
      <c r="BE65" s="638"/>
      <c r="BF65" s="638"/>
      <c r="BG65" s="527"/>
      <c r="BH65" s="527"/>
      <c r="BI65" s="527"/>
      <c r="BJ65" s="527"/>
    </row>
    <row r="66" spans="1:74" s="436" customFormat="1" ht="12" customHeight="1" x14ac:dyDescent="0.25">
      <c r="A66" s="435"/>
      <c r="B66" s="833" t="s">
        <v>863</v>
      </c>
      <c r="C66" s="795"/>
      <c r="D66" s="795"/>
      <c r="E66" s="795"/>
      <c r="F66" s="795"/>
      <c r="G66" s="795"/>
      <c r="H66" s="795"/>
      <c r="I66" s="795"/>
      <c r="J66" s="795"/>
      <c r="K66" s="795"/>
      <c r="L66" s="795"/>
      <c r="M66" s="795"/>
      <c r="N66" s="795"/>
      <c r="O66" s="795"/>
      <c r="P66" s="795"/>
      <c r="Q66" s="791"/>
      <c r="AY66" s="527"/>
      <c r="AZ66" s="527"/>
      <c r="BA66" s="527"/>
      <c r="BB66" s="527"/>
      <c r="BC66" s="527"/>
      <c r="BD66" s="638"/>
      <c r="BE66" s="638"/>
      <c r="BF66" s="638"/>
      <c r="BG66" s="527"/>
      <c r="BH66" s="527"/>
      <c r="BI66" s="527"/>
      <c r="BJ66" s="527"/>
    </row>
    <row r="67" spans="1:74" s="436" customFormat="1" ht="12" customHeight="1" x14ac:dyDescent="0.25">
      <c r="A67" s="435"/>
      <c r="B67" s="833" t="s">
        <v>864</v>
      </c>
      <c r="C67" s="795"/>
      <c r="D67" s="795"/>
      <c r="E67" s="795"/>
      <c r="F67" s="795"/>
      <c r="G67" s="795"/>
      <c r="H67" s="795"/>
      <c r="I67" s="795"/>
      <c r="J67" s="795"/>
      <c r="K67" s="795"/>
      <c r="L67" s="795"/>
      <c r="M67" s="795"/>
      <c r="N67" s="795"/>
      <c r="O67" s="795"/>
      <c r="P67" s="795"/>
      <c r="Q67" s="791"/>
      <c r="AY67" s="527"/>
      <c r="AZ67" s="527"/>
      <c r="BA67" s="527"/>
      <c r="BB67" s="527"/>
      <c r="BC67" s="527"/>
      <c r="BD67" s="638"/>
      <c r="BE67" s="638"/>
      <c r="BF67" s="638"/>
      <c r="BG67" s="527"/>
      <c r="BH67" s="527"/>
      <c r="BI67" s="527"/>
      <c r="BJ67" s="527"/>
    </row>
    <row r="68" spans="1:74" s="436" customFormat="1" ht="12" customHeight="1" x14ac:dyDescent="0.25">
      <c r="A68" s="435"/>
      <c r="B68" s="833" t="s">
        <v>865</v>
      </c>
      <c r="C68" s="795"/>
      <c r="D68" s="795"/>
      <c r="E68" s="795"/>
      <c r="F68" s="795"/>
      <c r="G68" s="795"/>
      <c r="H68" s="795"/>
      <c r="I68" s="795"/>
      <c r="J68" s="795"/>
      <c r="K68" s="795"/>
      <c r="L68" s="795"/>
      <c r="M68" s="795"/>
      <c r="N68" s="795"/>
      <c r="O68" s="795"/>
      <c r="P68" s="795"/>
      <c r="Q68" s="791"/>
      <c r="AY68" s="527"/>
      <c r="AZ68" s="527"/>
      <c r="BA68" s="527"/>
      <c r="BB68" s="527"/>
      <c r="BC68" s="527"/>
      <c r="BD68" s="638"/>
      <c r="BE68" s="638"/>
      <c r="BF68" s="638"/>
      <c r="BG68" s="527"/>
      <c r="BH68" s="527"/>
      <c r="BI68" s="527"/>
      <c r="BJ68" s="527"/>
    </row>
    <row r="69" spans="1:74" s="436" customFormat="1" ht="12" customHeight="1" x14ac:dyDescent="0.25">
      <c r="A69" s="435"/>
      <c r="B69" s="833" t="s">
        <v>903</v>
      </c>
      <c r="C69" s="791"/>
      <c r="D69" s="791"/>
      <c r="E69" s="791"/>
      <c r="F69" s="791"/>
      <c r="G69" s="791"/>
      <c r="H69" s="791"/>
      <c r="I69" s="791"/>
      <c r="J69" s="791"/>
      <c r="K69" s="791"/>
      <c r="L69" s="791"/>
      <c r="M69" s="791"/>
      <c r="N69" s="791"/>
      <c r="O69" s="791"/>
      <c r="P69" s="791"/>
      <c r="Q69" s="791"/>
      <c r="AY69" s="527"/>
      <c r="AZ69" s="527"/>
      <c r="BA69" s="527"/>
      <c r="BB69" s="527"/>
      <c r="BC69" s="527"/>
      <c r="BD69" s="638"/>
      <c r="BE69" s="638"/>
      <c r="BF69" s="638"/>
      <c r="BG69" s="527"/>
      <c r="BH69" s="527"/>
      <c r="BI69" s="527"/>
      <c r="BJ69" s="527"/>
    </row>
    <row r="70" spans="1:74" s="436" customFormat="1" ht="12" customHeight="1" x14ac:dyDescent="0.25">
      <c r="A70" s="435"/>
      <c r="B70" s="833" t="s">
        <v>904</v>
      </c>
      <c r="C70" s="795"/>
      <c r="D70" s="795"/>
      <c r="E70" s="795"/>
      <c r="F70" s="795"/>
      <c r="G70" s="795"/>
      <c r="H70" s="795"/>
      <c r="I70" s="795"/>
      <c r="J70" s="795"/>
      <c r="K70" s="795"/>
      <c r="L70" s="795"/>
      <c r="M70" s="795"/>
      <c r="N70" s="795"/>
      <c r="O70" s="795"/>
      <c r="P70" s="795"/>
      <c r="Q70" s="791"/>
      <c r="AY70" s="527"/>
      <c r="AZ70" s="527"/>
      <c r="BA70" s="527"/>
      <c r="BB70" s="527"/>
      <c r="BC70" s="527"/>
      <c r="BD70" s="638"/>
      <c r="BE70" s="638"/>
      <c r="BF70" s="638"/>
      <c r="BG70" s="527"/>
      <c r="BH70" s="527"/>
      <c r="BI70" s="527"/>
      <c r="BJ70" s="527"/>
    </row>
    <row r="71" spans="1:74" s="436" customFormat="1" ht="22.35" customHeight="1" x14ac:dyDescent="0.25">
      <c r="A71" s="435"/>
      <c r="B71" s="832" t="s">
        <v>1002</v>
      </c>
      <c r="C71" s="795"/>
      <c r="D71" s="795"/>
      <c r="E71" s="795"/>
      <c r="F71" s="795"/>
      <c r="G71" s="795"/>
      <c r="H71" s="795"/>
      <c r="I71" s="795"/>
      <c r="J71" s="795"/>
      <c r="K71" s="795"/>
      <c r="L71" s="795"/>
      <c r="M71" s="795"/>
      <c r="N71" s="795"/>
      <c r="O71" s="795"/>
      <c r="P71" s="795"/>
      <c r="Q71" s="791"/>
      <c r="AY71" s="527"/>
      <c r="AZ71" s="527"/>
      <c r="BA71" s="527"/>
      <c r="BB71" s="527"/>
      <c r="BC71" s="527"/>
      <c r="BD71" s="638"/>
      <c r="BE71" s="638"/>
      <c r="BF71" s="638"/>
      <c r="BG71" s="527"/>
      <c r="BH71" s="527"/>
      <c r="BI71" s="527"/>
      <c r="BJ71" s="527"/>
    </row>
    <row r="72" spans="1:74" s="436" customFormat="1" ht="12" customHeight="1" x14ac:dyDescent="0.25">
      <c r="A72" s="435"/>
      <c r="B72" s="794" t="s">
        <v>851</v>
      </c>
      <c r="C72" s="795"/>
      <c r="D72" s="795"/>
      <c r="E72" s="795"/>
      <c r="F72" s="795"/>
      <c r="G72" s="795"/>
      <c r="H72" s="795"/>
      <c r="I72" s="795"/>
      <c r="J72" s="795"/>
      <c r="K72" s="795"/>
      <c r="L72" s="795"/>
      <c r="M72" s="795"/>
      <c r="N72" s="795"/>
      <c r="O72" s="795"/>
      <c r="P72" s="795"/>
      <c r="Q72" s="791"/>
      <c r="AY72" s="527"/>
      <c r="AZ72" s="527"/>
      <c r="BA72" s="527"/>
      <c r="BB72" s="527"/>
      <c r="BC72" s="527"/>
      <c r="BD72" s="638"/>
      <c r="BE72" s="638"/>
      <c r="BF72" s="638"/>
      <c r="BG72" s="527"/>
      <c r="BH72" s="527"/>
      <c r="BI72" s="527"/>
      <c r="BJ72" s="527"/>
    </row>
    <row r="73" spans="1:74" s="436" customFormat="1" ht="12" customHeight="1" x14ac:dyDescent="0.25">
      <c r="A73" s="435"/>
      <c r="B73" s="831" t="s">
        <v>866</v>
      </c>
      <c r="C73" s="795"/>
      <c r="D73" s="795"/>
      <c r="E73" s="795"/>
      <c r="F73" s="795"/>
      <c r="G73" s="795"/>
      <c r="H73" s="795"/>
      <c r="I73" s="795"/>
      <c r="J73" s="795"/>
      <c r="K73" s="795"/>
      <c r="L73" s="795"/>
      <c r="M73" s="795"/>
      <c r="N73" s="795"/>
      <c r="O73" s="795"/>
      <c r="P73" s="795"/>
      <c r="Q73" s="791"/>
      <c r="AY73" s="527"/>
      <c r="AZ73" s="527"/>
      <c r="BA73" s="527"/>
      <c r="BB73" s="527"/>
      <c r="BC73" s="527"/>
      <c r="BD73" s="638"/>
      <c r="BE73" s="638"/>
      <c r="BF73" s="638"/>
      <c r="BG73" s="527"/>
      <c r="BH73" s="527"/>
      <c r="BI73" s="527"/>
      <c r="BJ73" s="527"/>
    </row>
    <row r="74" spans="1:74" s="436" customFormat="1" ht="12" customHeight="1" x14ac:dyDescent="0.25">
      <c r="A74" s="435"/>
      <c r="B74" s="831" t="s">
        <v>867</v>
      </c>
      <c r="C74" s="791"/>
      <c r="D74" s="791"/>
      <c r="E74" s="791"/>
      <c r="F74" s="791"/>
      <c r="G74" s="791"/>
      <c r="H74" s="791"/>
      <c r="I74" s="791"/>
      <c r="J74" s="791"/>
      <c r="K74" s="791"/>
      <c r="L74" s="791"/>
      <c r="M74" s="791"/>
      <c r="N74" s="791"/>
      <c r="O74" s="791"/>
      <c r="P74" s="791"/>
      <c r="Q74" s="791"/>
      <c r="AY74" s="527"/>
      <c r="AZ74" s="527"/>
      <c r="BA74" s="527"/>
      <c r="BB74" s="527"/>
      <c r="BC74" s="527"/>
      <c r="BD74" s="638"/>
      <c r="BE74" s="638"/>
      <c r="BF74" s="638"/>
      <c r="BG74" s="527"/>
      <c r="BH74" s="527"/>
      <c r="BI74" s="527"/>
      <c r="BJ74" s="527"/>
    </row>
    <row r="75" spans="1:74" s="436" customFormat="1" ht="12" customHeight="1" x14ac:dyDescent="0.25">
      <c r="A75" s="435"/>
      <c r="B75" s="794" t="s">
        <v>868</v>
      </c>
      <c r="C75" s="795"/>
      <c r="D75" s="795"/>
      <c r="E75" s="795"/>
      <c r="F75" s="795"/>
      <c r="G75" s="795"/>
      <c r="H75" s="795"/>
      <c r="I75" s="795"/>
      <c r="J75" s="795"/>
      <c r="K75" s="795"/>
      <c r="L75" s="795"/>
      <c r="M75" s="795"/>
      <c r="N75" s="795"/>
      <c r="O75" s="795"/>
      <c r="P75" s="795"/>
      <c r="Q75" s="791"/>
      <c r="AY75" s="527"/>
      <c r="AZ75" s="527"/>
      <c r="BA75" s="527"/>
      <c r="BB75" s="527"/>
      <c r="BC75" s="527"/>
      <c r="BD75" s="638"/>
      <c r="BE75" s="638"/>
      <c r="BF75" s="638"/>
      <c r="BG75" s="527"/>
      <c r="BH75" s="527"/>
      <c r="BI75" s="527"/>
      <c r="BJ75" s="527"/>
    </row>
    <row r="76" spans="1:74" s="436" customFormat="1" ht="12" customHeight="1" x14ac:dyDescent="0.25">
      <c r="A76" s="435"/>
      <c r="B76" s="796" t="s">
        <v>869</v>
      </c>
      <c r="C76" s="790"/>
      <c r="D76" s="790"/>
      <c r="E76" s="790"/>
      <c r="F76" s="790"/>
      <c r="G76" s="790"/>
      <c r="H76" s="790"/>
      <c r="I76" s="790"/>
      <c r="J76" s="790"/>
      <c r="K76" s="790"/>
      <c r="L76" s="790"/>
      <c r="M76" s="790"/>
      <c r="N76" s="790"/>
      <c r="O76" s="790"/>
      <c r="P76" s="790"/>
      <c r="Q76" s="791"/>
      <c r="AY76" s="527"/>
      <c r="AZ76" s="527"/>
      <c r="BA76" s="527"/>
      <c r="BB76" s="527"/>
      <c r="BC76" s="527"/>
      <c r="BD76" s="638"/>
      <c r="BE76" s="638"/>
      <c r="BF76" s="638"/>
      <c r="BG76" s="527"/>
      <c r="BH76" s="527"/>
      <c r="BI76" s="527"/>
      <c r="BJ76" s="527"/>
    </row>
    <row r="77" spans="1:74" s="436" customFormat="1" ht="12" customHeight="1" x14ac:dyDescent="0.25">
      <c r="A77" s="435"/>
      <c r="B77" s="789" t="s">
        <v>855</v>
      </c>
      <c r="C77" s="790"/>
      <c r="D77" s="790"/>
      <c r="E77" s="790"/>
      <c r="F77" s="790"/>
      <c r="G77" s="790"/>
      <c r="H77" s="790"/>
      <c r="I77" s="790"/>
      <c r="J77" s="790"/>
      <c r="K77" s="790"/>
      <c r="L77" s="790"/>
      <c r="M77" s="790"/>
      <c r="N77" s="790"/>
      <c r="O77" s="790"/>
      <c r="P77" s="790"/>
      <c r="Q77" s="791"/>
      <c r="AY77" s="527"/>
      <c r="AZ77" s="527"/>
      <c r="BA77" s="527"/>
      <c r="BB77" s="527"/>
      <c r="BC77" s="527"/>
      <c r="BD77" s="638"/>
      <c r="BE77" s="638"/>
      <c r="BF77" s="638"/>
      <c r="BG77" s="527"/>
      <c r="BH77" s="527"/>
      <c r="BI77" s="527"/>
      <c r="BJ77" s="527"/>
    </row>
    <row r="78" spans="1:74" s="437" customFormat="1" ht="12" customHeight="1" x14ac:dyDescent="0.25">
      <c r="A78" s="429"/>
      <c r="B78" s="811" t="s">
        <v>949</v>
      </c>
      <c r="C78" s="791"/>
      <c r="D78" s="791"/>
      <c r="E78" s="791"/>
      <c r="F78" s="791"/>
      <c r="G78" s="791"/>
      <c r="H78" s="791"/>
      <c r="I78" s="791"/>
      <c r="J78" s="791"/>
      <c r="K78" s="791"/>
      <c r="L78" s="791"/>
      <c r="M78" s="791"/>
      <c r="N78" s="791"/>
      <c r="O78" s="791"/>
      <c r="P78" s="791"/>
      <c r="Q78" s="791"/>
      <c r="AY78" s="528"/>
      <c r="AZ78" s="528"/>
      <c r="BA78" s="528"/>
      <c r="BB78" s="528"/>
      <c r="BC78" s="528"/>
      <c r="BD78" s="639"/>
      <c r="BE78" s="639"/>
      <c r="BF78" s="639"/>
      <c r="BG78" s="528"/>
      <c r="BH78" s="528"/>
      <c r="BI78" s="528"/>
      <c r="BJ78" s="528"/>
    </row>
    <row r="79" spans="1:74" x14ac:dyDescent="0.2">
      <c r="BK79" s="402"/>
      <c r="BL79" s="402"/>
      <c r="BM79" s="402"/>
      <c r="BN79" s="402"/>
      <c r="BO79" s="402"/>
      <c r="BP79" s="402"/>
      <c r="BQ79" s="402"/>
      <c r="BR79" s="402"/>
      <c r="BS79" s="402"/>
      <c r="BT79" s="402"/>
      <c r="BU79" s="402"/>
      <c r="BV79" s="402"/>
    </row>
    <row r="80" spans="1:74" x14ac:dyDescent="0.2">
      <c r="BK80" s="402"/>
      <c r="BL80" s="402"/>
      <c r="BM80" s="402"/>
      <c r="BN80" s="402"/>
      <c r="BO80" s="402"/>
      <c r="BP80" s="402"/>
      <c r="BQ80" s="402"/>
      <c r="BR80" s="402"/>
      <c r="BS80" s="402"/>
      <c r="BT80" s="402"/>
      <c r="BU80" s="402"/>
      <c r="BV80" s="402"/>
    </row>
    <row r="81" spans="63:74" x14ac:dyDescent="0.2">
      <c r="BK81" s="402"/>
      <c r="BL81" s="402"/>
      <c r="BM81" s="402"/>
      <c r="BN81" s="402"/>
      <c r="BO81" s="402"/>
      <c r="BP81" s="402"/>
      <c r="BQ81" s="402"/>
      <c r="BR81" s="402"/>
      <c r="BS81" s="402"/>
      <c r="BT81" s="402"/>
      <c r="BU81" s="402"/>
      <c r="BV81" s="402"/>
    </row>
    <row r="82" spans="63:74" x14ac:dyDescent="0.2">
      <c r="BK82" s="402"/>
      <c r="BL82" s="402"/>
      <c r="BM82" s="402"/>
      <c r="BN82" s="402"/>
      <c r="BO82" s="402"/>
      <c r="BP82" s="402"/>
      <c r="BQ82" s="402"/>
      <c r="BR82" s="402"/>
      <c r="BS82" s="402"/>
      <c r="BT82" s="402"/>
      <c r="BU82" s="402"/>
      <c r="BV82" s="402"/>
    </row>
    <row r="83" spans="63:74" x14ac:dyDescent="0.2">
      <c r="BK83" s="402"/>
      <c r="BL83" s="402"/>
      <c r="BM83" s="402"/>
      <c r="BN83" s="402"/>
      <c r="BO83" s="402"/>
      <c r="BP83" s="402"/>
      <c r="BQ83" s="402"/>
      <c r="BR83" s="402"/>
      <c r="BS83" s="402"/>
      <c r="BT83" s="402"/>
      <c r="BU83" s="402"/>
      <c r="BV83" s="402"/>
    </row>
    <row r="84" spans="63:74" x14ac:dyDescent="0.2">
      <c r="BK84" s="402"/>
      <c r="BL84" s="402"/>
      <c r="BM84" s="402"/>
      <c r="BN84" s="402"/>
      <c r="BO84" s="402"/>
      <c r="BP84" s="402"/>
      <c r="BQ84" s="402"/>
      <c r="BR84" s="402"/>
      <c r="BS84" s="402"/>
      <c r="BT84" s="402"/>
      <c r="BU84" s="402"/>
      <c r="BV84" s="402"/>
    </row>
    <row r="85" spans="63:74" x14ac:dyDescent="0.2">
      <c r="BK85" s="402"/>
      <c r="BL85" s="402"/>
      <c r="BM85" s="402"/>
      <c r="BN85" s="402"/>
      <c r="BO85" s="402"/>
      <c r="BP85" s="402"/>
      <c r="BQ85" s="402"/>
      <c r="BR85" s="402"/>
      <c r="BS85" s="402"/>
      <c r="BT85" s="402"/>
      <c r="BU85" s="402"/>
      <c r="BV85" s="402"/>
    </row>
    <row r="86" spans="63:74" x14ac:dyDescent="0.2">
      <c r="BK86" s="402"/>
      <c r="BL86" s="402"/>
      <c r="BM86" s="402"/>
      <c r="BN86" s="402"/>
      <c r="BO86" s="402"/>
      <c r="BP86" s="402"/>
      <c r="BQ86" s="402"/>
      <c r="BR86" s="402"/>
      <c r="BS86" s="402"/>
      <c r="BT86" s="402"/>
      <c r="BU86" s="402"/>
      <c r="BV86" s="402"/>
    </row>
    <row r="87" spans="63:74" x14ac:dyDescent="0.2">
      <c r="BK87" s="402"/>
      <c r="BL87" s="402"/>
      <c r="BM87" s="402"/>
      <c r="BN87" s="402"/>
      <c r="BO87" s="402"/>
      <c r="BP87" s="402"/>
      <c r="BQ87" s="402"/>
      <c r="BR87" s="402"/>
      <c r="BS87" s="402"/>
      <c r="BT87" s="402"/>
      <c r="BU87" s="402"/>
      <c r="BV87" s="402"/>
    </row>
    <row r="88" spans="63:74" x14ac:dyDescent="0.2">
      <c r="BK88" s="402"/>
      <c r="BL88" s="402"/>
      <c r="BM88" s="402"/>
      <c r="BN88" s="402"/>
      <c r="BO88" s="402"/>
      <c r="BP88" s="402"/>
      <c r="BQ88" s="402"/>
      <c r="BR88" s="402"/>
      <c r="BS88" s="402"/>
      <c r="BT88" s="402"/>
      <c r="BU88" s="402"/>
      <c r="BV88" s="402"/>
    </row>
    <row r="89" spans="63:74" x14ac:dyDescent="0.2">
      <c r="BK89" s="402"/>
      <c r="BL89" s="402"/>
      <c r="BM89" s="402"/>
      <c r="BN89" s="402"/>
      <c r="BO89" s="402"/>
      <c r="BP89" s="402"/>
      <c r="BQ89" s="402"/>
      <c r="BR89" s="402"/>
      <c r="BS89" s="402"/>
      <c r="BT89" s="402"/>
      <c r="BU89" s="402"/>
      <c r="BV89" s="402"/>
    </row>
    <row r="90" spans="63:74" x14ac:dyDescent="0.2">
      <c r="BK90" s="402"/>
      <c r="BL90" s="402"/>
      <c r="BM90" s="402"/>
      <c r="BN90" s="402"/>
      <c r="BO90" s="402"/>
      <c r="BP90" s="402"/>
      <c r="BQ90" s="402"/>
      <c r="BR90" s="402"/>
      <c r="BS90" s="402"/>
      <c r="BT90" s="402"/>
      <c r="BU90" s="402"/>
      <c r="BV90" s="402"/>
    </row>
    <row r="91" spans="63:74" x14ac:dyDescent="0.2">
      <c r="BK91" s="402"/>
      <c r="BL91" s="402"/>
      <c r="BM91" s="402"/>
      <c r="BN91" s="402"/>
      <c r="BO91" s="402"/>
      <c r="BP91" s="402"/>
      <c r="BQ91" s="402"/>
      <c r="BR91" s="402"/>
      <c r="BS91" s="402"/>
      <c r="BT91" s="402"/>
      <c r="BU91" s="402"/>
      <c r="BV91" s="402"/>
    </row>
    <row r="92" spans="63:74" x14ac:dyDescent="0.2">
      <c r="BK92" s="402"/>
      <c r="BL92" s="402"/>
      <c r="BM92" s="402"/>
      <c r="BN92" s="402"/>
      <c r="BO92" s="402"/>
      <c r="BP92" s="402"/>
      <c r="BQ92" s="402"/>
      <c r="BR92" s="402"/>
      <c r="BS92" s="402"/>
      <c r="BT92" s="402"/>
      <c r="BU92" s="402"/>
      <c r="BV92" s="402"/>
    </row>
    <row r="93" spans="63:74" x14ac:dyDescent="0.2">
      <c r="BK93" s="402"/>
      <c r="BL93" s="402"/>
      <c r="BM93" s="402"/>
      <c r="BN93" s="402"/>
      <c r="BO93" s="402"/>
      <c r="BP93" s="402"/>
      <c r="BQ93" s="402"/>
      <c r="BR93" s="402"/>
      <c r="BS93" s="402"/>
      <c r="BT93" s="402"/>
      <c r="BU93" s="402"/>
      <c r="BV93" s="402"/>
    </row>
    <row r="94" spans="63:74" x14ac:dyDescent="0.2">
      <c r="BK94" s="402"/>
      <c r="BL94" s="402"/>
      <c r="BM94" s="402"/>
      <c r="BN94" s="402"/>
      <c r="BO94" s="402"/>
      <c r="BP94" s="402"/>
      <c r="BQ94" s="402"/>
      <c r="BR94" s="402"/>
      <c r="BS94" s="402"/>
      <c r="BT94" s="402"/>
      <c r="BU94" s="402"/>
      <c r="BV94" s="402"/>
    </row>
    <row r="95" spans="63:74" x14ac:dyDescent="0.2">
      <c r="BK95" s="402"/>
      <c r="BL95" s="402"/>
      <c r="BM95" s="402"/>
      <c r="BN95" s="402"/>
      <c r="BO95" s="402"/>
      <c r="BP95" s="402"/>
      <c r="BQ95" s="402"/>
      <c r="BR95" s="402"/>
      <c r="BS95" s="402"/>
      <c r="BT95" s="402"/>
      <c r="BU95" s="402"/>
      <c r="BV95" s="402"/>
    </row>
    <row r="96" spans="63:74" x14ac:dyDescent="0.2">
      <c r="BK96" s="402"/>
      <c r="BL96" s="402"/>
      <c r="BM96" s="402"/>
      <c r="BN96" s="402"/>
      <c r="BO96" s="402"/>
      <c r="BP96" s="402"/>
      <c r="BQ96" s="402"/>
      <c r="BR96" s="402"/>
      <c r="BS96" s="402"/>
      <c r="BT96" s="402"/>
      <c r="BU96" s="402"/>
      <c r="BV96" s="402"/>
    </row>
    <row r="97" spans="63:74" x14ac:dyDescent="0.2">
      <c r="BK97" s="402"/>
      <c r="BL97" s="402"/>
      <c r="BM97" s="402"/>
      <c r="BN97" s="402"/>
      <c r="BO97" s="402"/>
      <c r="BP97" s="402"/>
      <c r="BQ97" s="402"/>
      <c r="BR97" s="402"/>
      <c r="BS97" s="402"/>
      <c r="BT97" s="402"/>
      <c r="BU97" s="402"/>
      <c r="BV97" s="402"/>
    </row>
    <row r="98" spans="63:74" x14ac:dyDescent="0.2">
      <c r="BK98" s="402"/>
      <c r="BL98" s="402"/>
      <c r="BM98" s="402"/>
      <c r="BN98" s="402"/>
      <c r="BO98" s="402"/>
      <c r="BP98" s="402"/>
      <c r="BQ98" s="402"/>
      <c r="BR98" s="402"/>
      <c r="BS98" s="402"/>
      <c r="BT98" s="402"/>
      <c r="BU98" s="402"/>
      <c r="BV98" s="402"/>
    </row>
    <row r="99" spans="63:74" x14ac:dyDescent="0.2">
      <c r="BK99" s="402"/>
      <c r="BL99" s="402"/>
      <c r="BM99" s="402"/>
      <c r="BN99" s="402"/>
      <c r="BO99" s="402"/>
      <c r="BP99" s="402"/>
      <c r="BQ99" s="402"/>
      <c r="BR99" s="402"/>
      <c r="BS99" s="402"/>
      <c r="BT99" s="402"/>
      <c r="BU99" s="402"/>
      <c r="BV99" s="402"/>
    </row>
    <row r="100" spans="63:74" x14ac:dyDescent="0.2">
      <c r="BK100" s="402"/>
      <c r="BL100" s="402"/>
      <c r="BM100" s="402"/>
      <c r="BN100" s="402"/>
      <c r="BO100" s="402"/>
      <c r="BP100" s="402"/>
      <c r="BQ100" s="402"/>
      <c r="BR100" s="402"/>
      <c r="BS100" s="402"/>
      <c r="BT100" s="402"/>
      <c r="BU100" s="402"/>
      <c r="BV100" s="402"/>
    </row>
    <row r="101" spans="63:74" x14ac:dyDescent="0.2">
      <c r="BK101" s="402"/>
      <c r="BL101" s="402"/>
      <c r="BM101" s="402"/>
      <c r="BN101" s="402"/>
      <c r="BO101" s="402"/>
      <c r="BP101" s="402"/>
      <c r="BQ101" s="402"/>
      <c r="BR101" s="402"/>
      <c r="BS101" s="402"/>
      <c r="BT101" s="402"/>
      <c r="BU101" s="402"/>
      <c r="BV101" s="402"/>
    </row>
    <row r="102" spans="63:74" x14ac:dyDescent="0.2">
      <c r="BK102" s="402"/>
      <c r="BL102" s="402"/>
      <c r="BM102" s="402"/>
      <c r="BN102" s="402"/>
      <c r="BO102" s="402"/>
      <c r="BP102" s="402"/>
      <c r="BQ102" s="402"/>
      <c r="BR102" s="402"/>
      <c r="BS102" s="402"/>
      <c r="BT102" s="402"/>
      <c r="BU102" s="402"/>
      <c r="BV102" s="402"/>
    </row>
    <row r="103" spans="63:74" x14ac:dyDescent="0.2">
      <c r="BK103" s="402"/>
      <c r="BL103" s="402"/>
      <c r="BM103" s="402"/>
      <c r="BN103" s="402"/>
      <c r="BO103" s="402"/>
      <c r="BP103" s="402"/>
      <c r="BQ103" s="402"/>
      <c r="BR103" s="402"/>
      <c r="BS103" s="402"/>
      <c r="BT103" s="402"/>
      <c r="BU103" s="402"/>
      <c r="BV103" s="402"/>
    </row>
    <row r="104" spans="63:74" x14ac:dyDescent="0.2">
      <c r="BK104" s="402"/>
      <c r="BL104" s="402"/>
      <c r="BM104" s="402"/>
      <c r="BN104" s="402"/>
      <c r="BO104" s="402"/>
      <c r="BP104" s="402"/>
      <c r="BQ104" s="402"/>
      <c r="BR104" s="402"/>
      <c r="BS104" s="402"/>
      <c r="BT104" s="402"/>
      <c r="BU104" s="402"/>
      <c r="BV104" s="402"/>
    </row>
    <row r="105" spans="63:74" x14ac:dyDescent="0.2">
      <c r="BK105" s="402"/>
      <c r="BL105" s="402"/>
      <c r="BM105" s="402"/>
      <c r="BN105" s="402"/>
      <c r="BO105" s="402"/>
      <c r="BP105" s="402"/>
      <c r="BQ105" s="402"/>
      <c r="BR105" s="402"/>
      <c r="BS105" s="402"/>
      <c r="BT105" s="402"/>
      <c r="BU105" s="402"/>
      <c r="BV105" s="402"/>
    </row>
    <row r="106" spans="63:74" x14ac:dyDescent="0.2">
      <c r="BK106" s="402"/>
      <c r="BL106" s="402"/>
      <c r="BM106" s="402"/>
      <c r="BN106" s="402"/>
      <c r="BO106" s="402"/>
      <c r="BP106" s="402"/>
      <c r="BQ106" s="402"/>
      <c r="BR106" s="402"/>
      <c r="BS106" s="402"/>
      <c r="BT106" s="402"/>
      <c r="BU106" s="402"/>
      <c r="BV106" s="402"/>
    </row>
    <row r="107" spans="63:74" x14ac:dyDescent="0.2">
      <c r="BK107" s="402"/>
      <c r="BL107" s="402"/>
      <c r="BM107" s="402"/>
      <c r="BN107" s="402"/>
      <c r="BO107" s="402"/>
      <c r="BP107" s="402"/>
      <c r="BQ107" s="402"/>
      <c r="BR107" s="402"/>
      <c r="BS107" s="402"/>
      <c r="BT107" s="402"/>
      <c r="BU107" s="402"/>
      <c r="BV107" s="402"/>
    </row>
    <row r="108" spans="63:74" x14ac:dyDescent="0.2">
      <c r="BK108" s="402"/>
      <c r="BL108" s="402"/>
      <c r="BM108" s="402"/>
      <c r="BN108" s="402"/>
      <c r="BO108" s="402"/>
      <c r="BP108" s="402"/>
      <c r="BQ108" s="402"/>
      <c r="BR108" s="402"/>
      <c r="BS108" s="402"/>
      <c r="BT108" s="402"/>
      <c r="BU108" s="402"/>
      <c r="BV108" s="402"/>
    </row>
    <row r="109" spans="63:74" x14ac:dyDescent="0.2">
      <c r="BK109" s="402"/>
      <c r="BL109" s="402"/>
      <c r="BM109" s="402"/>
      <c r="BN109" s="402"/>
      <c r="BO109" s="402"/>
      <c r="BP109" s="402"/>
      <c r="BQ109" s="402"/>
      <c r="BR109" s="402"/>
      <c r="BS109" s="402"/>
      <c r="BT109" s="402"/>
      <c r="BU109" s="402"/>
      <c r="BV109" s="402"/>
    </row>
    <row r="110" spans="63:74" x14ac:dyDescent="0.2">
      <c r="BK110" s="402"/>
      <c r="BL110" s="402"/>
      <c r="BM110" s="402"/>
      <c r="BN110" s="402"/>
      <c r="BO110" s="402"/>
      <c r="BP110" s="402"/>
      <c r="BQ110" s="402"/>
      <c r="BR110" s="402"/>
      <c r="BS110" s="402"/>
      <c r="BT110" s="402"/>
      <c r="BU110" s="402"/>
      <c r="BV110" s="402"/>
    </row>
    <row r="111" spans="63:74" x14ac:dyDescent="0.2">
      <c r="BK111" s="402"/>
      <c r="BL111" s="402"/>
      <c r="BM111" s="402"/>
      <c r="BN111" s="402"/>
      <c r="BO111" s="402"/>
      <c r="BP111" s="402"/>
      <c r="BQ111" s="402"/>
      <c r="BR111" s="402"/>
      <c r="BS111" s="402"/>
      <c r="BT111" s="402"/>
      <c r="BU111" s="402"/>
      <c r="BV111" s="402"/>
    </row>
    <row r="112" spans="63:74" x14ac:dyDescent="0.2">
      <c r="BK112" s="402"/>
      <c r="BL112" s="402"/>
      <c r="BM112" s="402"/>
      <c r="BN112" s="402"/>
      <c r="BO112" s="402"/>
      <c r="BP112" s="402"/>
      <c r="BQ112" s="402"/>
      <c r="BR112" s="402"/>
      <c r="BS112" s="402"/>
      <c r="BT112" s="402"/>
      <c r="BU112" s="402"/>
      <c r="BV112" s="402"/>
    </row>
    <row r="113" spans="63:74" x14ac:dyDescent="0.2">
      <c r="BK113" s="402"/>
      <c r="BL113" s="402"/>
      <c r="BM113" s="402"/>
      <c r="BN113" s="402"/>
      <c r="BO113" s="402"/>
      <c r="BP113" s="402"/>
      <c r="BQ113" s="402"/>
      <c r="BR113" s="402"/>
      <c r="BS113" s="402"/>
      <c r="BT113" s="402"/>
      <c r="BU113" s="402"/>
      <c r="BV113" s="402"/>
    </row>
    <row r="114" spans="63:74" x14ac:dyDescent="0.2">
      <c r="BK114" s="402"/>
      <c r="BL114" s="402"/>
      <c r="BM114" s="402"/>
      <c r="BN114" s="402"/>
      <c r="BO114" s="402"/>
      <c r="BP114" s="402"/>
      <c r="BQ114" s="402"/>
      <c r="BR114" s="402"/>
      <c r="BS114" s="402"/>
      <c r="BT114" s="402"/>
      <c r="BU114" s="402"/>
      <c r="BV114" s="402"/>
    </row>
    <row r="115" spans="63:74" x14ac:dyDescent="0.2">
      <c r="BK115" s="402"/>
      <c r="BL115" s="402"/>
      <c r="BM115" s="402"/>
      <c r="BN115" s="402"/>
      <c r="BO115" s="402"/>
      <c r="BP115" s="402"/>
      <c r="BQ115" s="402"/>
      <c r="BR115" s="402"/>
      <c r="BS115" s="402"/>
      <c r="BT115" s="402"/>
      <c r="BU115" s="402"/>
      <c r="BV115" s="402"/>
    </row>
    <row r="116" spans="63:74" x14ac:dyDescent="0.2">
      <c r="BK116" s="402"/>
      <c r="BL116" s="402"/>
      <c r="BM116" s="402"/>
      <c r="BN116" s="402"/>
      <c r="BO116" s="402"/>
      <c r="BP116" s="402"/>
      <c r="BQ116" s="402"/>
      <c r="BR116" s="402"/>
      <c r="BS116" s="402"/>
      <c r="BT116" s="402"/>
      <c r="BU116" s="402"/>
      <c r="BV116" s="402"/>
    </row>
    <row r="117" spans="63:74" x14ac:dyDescent="0.2">
      <c r="BK117" s="402"/>
      <c r="BL117" s="402"/>
      <c r="BM117" s="402"/>
      <c r="BN117" s="402"/>
      <c r="BO117" s="402"/>
      <c r="BP117" s="402"/>
      <c r="BQ117" s="402"/>
      <c r="BR117" s="402"/>
      <c r="BS117" s="402"/>
      <c r="BT117" s="402"/>
      <c r="BU117" s="402"/>
      <c r="BV117" s="402"/>
    </row>
    <row r="118" spans="63:74" x14ac:dyDescent="0.2">
      <c r="BK118" s="402"/>
      <c r="BL118" s="402"/>
      <c r="BM118" s="402"/>
      <c r="BN118" s="402"/>
      <c r="BO118" s="402"/>
      <c r="BP118" s="402"/>
      <c r="BQ118" s="402"/>
      <c r="BR118" s="402"/>
      <c r="BS118" s="402"/>
      <c r="BT118" s="402"/>
      <c r="BU118" s="402"/>
      <c r="BV118" s="402"/>
    </row>
    <row r="119" spans="63:74" x14ac:dyDescent="0.2">
      <c r="BK119" s="402"/>
      <c r="BL119" s="402"/>
      <c r="BM119" s="402"/>
      <c r="BN119" s="402"/>
      <c r="BO119" s="402"/>
      <c r="BP119" s="402"/>
      <c r="BQ119" s="402"/>
      <c r="BR119" s="402"/>
      <c r="BS119" s="402"/>
      <c r="BT119" s="402"/>
      <c r="BU119" s="402"/>
      <c r="BV119" s="402"/>
    </row>
    <row r="120" spans="63:74" x14ac:dyDescent="0.2">
      <c r="BK120" s="402"/>
      <c r="BL120" s="402"/>
      <c r="BM120" s="402"/>
      <c r="BN120" s="402"/>
      <c r="BO120" s="402"/>
      <c r="BP120" s="402"/>
      <c r="BQ120" s="402"/>
      <c r="BR120" s="402"/>
      <c r="BS120" s="402"/>
      <c r="BT120" s="402"/>
      <c r="BU120" s="402"/>
      <c r="BV120" s="402"/>
    </row>
    <row r="121" spans="63:74" x14ac:dyDescent="0.2">
      <c r="BK121" s="402"/>
      <c r="BL121" s="402"/>
      <c r="BM121" s="402"/>
      <c r="BN121" s="402"/>
      <c r="BO121" s="402"/>
      <c r="BP121" s="402"/>
      <c r="BQ121" s="402"/>
      <c r="BR121" s="402"/>
      <c r="BS121" s="402"/>
      <c r="BT121" s="402"/>
      <c r="BU121" s="402"/>
      <c r="BV121" s="402"/>
    </row>
    <row r="122" spans="63:74" x14ac:dyDescent="0.2">
      <c r="BK122" s="402"/>
      <c r="BL122" s="402"/>
      <c r="BM122" s="402"/>
      <c r="BN122" s="402"/>
      <c r="BO122" s="402"/>
      <c r="BP122" s="402"/>
      <c r="BQ122" s="402"/>
      <c r="BR122" s="402"/>
      <c r="BS122" s="402"/>
      <c r="BT122" s="402"/>
      <c r="BU122" s="402"/>
      <c r="BV122" s="402"/>
    </row>
    <row r="123" spans="63:74" x14ac:dyDescent="0.2">
      <c r="BK123" s="402"/>
      <c r="BL123" s="402"/>
      <c r="BM123" s="402"/>
      <c r="BN123" s="402"/>
      <c r="BO123" s="402"/>
      <c r="BP123" s="402"/>
      <c r="BQ123" s="402"/>
      <c r="BR123" s="402"/>
      <c r="BS123" s="402"/>
      <c r="BT123" s="402"/>
      <c r="BU123" s="402"/>
      <c r="BV123" s="402"/>
    </row>
    <row r="124" spans="63:74" x14ac:dyDescent="0.2">
      <c r="BK124" s="402"/>
      <c r="BL124" s="402"/>
      <c r="BM124" s="402"/>
      <c r="BN124" s="402"/>
      <c r="BO124" s="402"/>
      <c r="BP124" s="402"/>
      <c r="BQ124" s="402"/>
      <c r="BR124" s="402"/>
      <c r="BS124" s="402"/>
      <c r="BT124" s="402"/>
      <c r="BU124" s="402"/>
      <c r="BV124" s="402"/>
    </row>
    <row r="125" spans="63:74" x14ac:dyDescent="0.2">
      <c r="BK125" s="402"/>
      <c r="BL125" s="402"/>
      <c r="BM125" s="402"/>
      <c r="BN125" s="402"/>
      <c r="BO125" s="402"/>
      <c r="BP125" s="402"/>
      <c r="BQ125" s="402"/>
      <c r="BR125" s="402"/>
      <c r="BS125" s="402"/>
      <c r="BT125" s="402"/>
      <c r="BU125" s="402"/>
      <c r="BV125" s="402"/>
    </row>
    <row r="126" spans="63:74" x14ac:dyDescent="0.2">
      <c r="BK126" s="402"/>
      <c r="BL126" s="402"/>
      <c r="BM126" s="402"/>
      <c r="BN126" s="402"/>
      <c r="BO126" s="402"/>
      <c r="BP126" s="402"/>
      <c r="BQ126" s="402"/>
      <c r="BR126" s="402"/>
      <c r="BS126" s="402"/>
      <c r="BT126" s="402"/>
      <c r="BU126" s="402"/>
      <c r="BV126" s="402"/>
    </row>
    <row r="127" spans="63:74" x14ac:dyDescent="0.2">
      <c r="BK127" s="402"/>
      <c r="BL127" s="402"/>
      <c r="BM127" s="402"/>
      <c r="BN127" s="402"/>
      <c r="BO127" s="402"/>
      <c r="BP127" s="402"/>
      <c r="BQ127" s="402"/>
      <c r="BR127" s="402"/>
      <c r="BS127" s="402"/>
      <c r="BT127" s="402"/>
      <c r="BU127" s="402"/>
      <c r="BV127" s="402"/>
    </row>
    <row r="128" spans="63:74" x14ac:dyDescent="0.2">
      <c r="BK128" s="402"/>
      <c r="BL128" s="402"/>
      <c r="BM128" s="402"/>
      <c r="BN128" s="402"/>
      <c r="BO128" s="402"/>
      <c r="BP128" s="402"/>
      <c r="BQ128" s="402"/>
      <c r="BR128" s="402"/>
      <c r="BS128" s="402"/>
      <c r="BT128" s="402"/>
      <c r="BU128" s="402"/>
      <c r="BV128" s="402"/>
    </row>
    <row r="129" spans="63:74" x14ac:dyDescent="0.2">
      <c r="BK129" s="402"/>
      <c r="BL129" s="402"/>
      <c r="BM129" s="402"/>
      <c r="BN129" s="402"/>
      <c r="BO129" s="402"/>
      <c r="BP129" s="402"/>
      <c r="BQ129" s="402"/>
      <c r="BR129" s="402"/>
      <c r="BS129" s="402"/>
      <c r="BT129" s="402"/>
      <c r="BU129" s="402"/>
      <c r="BV129" s="402"/>
    </row>
    <row r="130" spans="63:74" x14ac:dyDescent="0.2">
      <c r="BK130" s="402"/>
      <c r="BL130" s="402"/>
      <c r="BM130" s="402"/>
      <c r="BN130" s="402"/>
      <c r="BO130" s="402"/>
      <c r="BP130" s="402"/>
      <c r="BQ130" s="402"/>
      <c r="BR130" s="402"/>
      <c r="BS130" s="402"/>
      <c r="BT130" s="402"/>
      <c r="BU130" s="402"/>
      <c r="BV130" s="402"/>
    </row>
    <row r="131" spans="63:74" x14ac:dyDescent="0.2">
      <c r="BK131" s="402"/>
      <c r="BL131" s="402"/>
      <c r="BM131" s="402"/>
      <c r="BN131" s="402"/>
      <c r="BO131" s="402"/>
      <c r="BP131" s="402"/>
      <c r="BQ131" s="402"/>
      <c r="BR131" s="402"/>
      <c r="BS131" s="402"/>
      <c r="BT131" s="402"/>
      <c r="BU131" s="402"/>
      <c r="BV131" s="402"/>
    </row>
    <row r="132" spans="63:74" x14ac:dyDescent="0.2">
      <c r="BK132" s="402"/>
      <c r="BL132" s="402"/>
      <c r="BM132" s="402"/>
      <c r="BN132" s="402"/>
      <c r="BO132" s="402"/>
      <c r="BP132" s="402"/>
      <c r="BQ132" s="402"/>
      <c r="BR132" s="402"/>
      <c r="BS132" s="402"/>
      <c r="BT132" s="402"/>
      <c r="BU132" s="402"/>
      <c r="BV132" s="402"/>
    </row>
    <row r="133" spans="63:74" x14ac:dyDescent="0.2">
      <c r="BK133" s="402"/>
      <c r="BL133" s="402"/>
      <c r="BM133" s="402"/>
      <c r="BN133" s="402"/>
      <c r="BO133" s="402"/>
      <c r="BP133" s="402"/>
      <c r="BQ133" s="402"/>
      <c r="BR133" s="402"/>
      <c r="BS133" s="402"/>
      <c r="BT133" s="402"/>
      <c r="BU133" s="402"/>
      <c r="BV133" s="402"/>
    </row>
    <row r="134" spans="63:74" x14ac:dyDescent="0.2">
      <c r="BK134" s="402"/>
      <c r="BL134" s="402"/>
      <c r="BM134" s="402"/>
      <c r="BN134" s="402"/>
      <c r="BO134" s="402"/>
      <c r="BP134" s="402"/>
      <c r="BQ134" s="402"/>
      <c r="BR134" s="402"/>
      <c r="BS134" s="402"/>
      <c r="BT134" s="402"/>
      <c r="BU134" s="402"/>
      <c r="BV134" s="402"/>
    </row>
    <row r="135" spans="63:74" x14ac:dyDescent="0.2">
      <c r="BK135" s="402"/>
      <c r="BL135" s="402"/>
      <c r="BM135" s="402"/>
      <c r="BN135" s="402"/>
      <c r="BO135" s="402"/>
      <c r="BP135" s="402"/>
      <c r="BQ135" s="402"/>
      <c r="BR135" s="402"/>
      <c r="BS135" s="402"/>
      <c r="BT135" s="402"/>
      <c r="BU135" s="402"/>
      <c r="BV135" s="402"/>
    </row>
    <row r="136" spans="63:74" x14ac:dyDescent="0.2">
      <c r="BK136" s="402"/>
      <c r="BL136" s="402"/>
      <c r="BM136" s="402"/>
      <c r="BN136" s="402"/>
      <c r="BO136" s="402"/>
      <c r="BP136" s="402"/>
      <c r="BQ136" s="402"/>
      <c r="BR136" s="402"/>
      <c r="BS136" s="402"/>
      <c r="BT136" s="402"/>
      <c r="BU136" s="402"/>
      <c r="BV136" s="402"/>
    </row>
    <row r="137" spans="63:74" x14ac:dyDescent="0.2">
      <c r="BK137" s="402"/>
      <c r="BL137" s="402"/>
      <c r="BM137" s="402"/>
      <c r="BN137" s="402"/>
      <c r="BO137" s="402"/>
      <c r="BP137" s="402"/>
      <c r="BQ137" s="402"/>
      <c r="BR137" s="402"/>
      <c r="BS137" s="402"/>
      <c r="BT137" s="402"/>
      <c r="BU137" s="402"/>
      <c r="BV137" s="402"/>
    </row>
    <row r="138" spans="63:74" x14ac:dyDescent="0.2">
      <c r="BK138" s="402"/>
      <c r="BL138" s="402"/>
      <c r="BM138" s="402"/>
      <c r="BN138" s="402"/>
      <c r="BO138" s="402"/>
      <c r="BP138" s="402"/>
      <c r="BQ138" s="402"/>
      <c r="BR138" s="402"/>
      <c r="BS138" s="402"/>
      <c r="BT138" s="402"/>
      <c r="BU138" s="402"/>
      <c r="BV138" s="402"/>
    </row>
    <row r="139" spans="63:74" x14ac:dyDescent="0.2">
      <c r="BK139" s="402"/>
      <c r="BL139" s="402"/>
      <c r="BM139" s="402"/>
      <c r="BN139" s="402"/>
      <c r="BO139" s="402"/>
      <c r="BP139" s="402"/>
      <c r="BQ139" s="402"/>
      <c r="BR139" s="402"/>
      <c r="BS139" s="402"/>
      <c r="BT139" s="402"/>
      <c r="BU139" s="402"/>
      <c r="BV139" s="402"/>
    </row>
    <row r="140" spans="63:74" x14ac:dyDescent="0.2">
      <c r="BK140" s="402"/>
      <c r="BL140" s="402"/>
      <c r="BM140" s="402"/>
      <c r="BN140" s="402"/>
      <c r="BO140" s="402"/>
      <c r="BP140" s="402"/>
      <c r="BQ140" s="402"/>
      <c r="BR140" s="402"/>
      <c r="BS140" s="402"/>
      <c r="BT140" s="402"/>
      <c r="BU140" s="402"/>
      <c r="BV140" s="402"/>
    </row>
  </sheetData>
  <mergeCells count="23">
    <mergeCell ref="BK3:BV3"/>
    <mergeCell ref="B1:AL1"/>
    <mergeCell ref="C3:N3"/>
    <mergeCell ref="O3:Z3"/>
    <mergeCell ref="AA3:AL3"/>
    <mergeCell ref="AM3:AX3"/>
    <mergeCell ref="AY3:BJ3"/>
    <mergeCell ref="B71:Q71"/>
    <mergeCell ref="B72:Q72"/>
    <mergeCell ref="B69:Q69"/>
    <mergeCell ref="A1:A2"/>
    <mergeCell ref="B64:Q64"/>
    <mergeCell ref="B65:Q65"/>
    <mergeCell ref="B66:Q66"/>
    <mergeCell ref="B67:Q67"/>
    <mergeCell ref="B68:Q68"/>
    <mergeCell ref="B70:Q70"/>
    <mergeCell ref="B77:Q77"/>
    <mergeCell ref="B78:Q78"/>
    <mergeCell ref="B73:Q73"/>
    <mergeCell ref="B74:Q74"/>
    <mergeCell ref="B75:Q75"/>
    <mergeCell ref="B76:Q76"/>
  </mergeCells>
  <phoneticPr fontId="6" type="noConversion"/>
  <hyperlinks>
    <hyperlink ref="A1:A2" location="Contents!A1" display="Table of Contents"/>
  </hyperlinks>
  <pageMargins left="0.25" right="0.25" top="0.25" bottom="0.25" header="1" footer="1"/>
  <pageSetup scale="19" orientation="portrait"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CA180"/>
  <sheetViews>
    <sheetView workbookViewId="0">
      <pane xSplit="2" ySplit="4" topLeftCell="BD5" activePane="bottomRight" state="frozen"/>
      <selection activeCell="BF63" sqref="BF63"/>
      <selection pane="topRight" activeCell="BF63" sqref="BF63"/>
      <selection pane="bottomLeft" activeCell="BF63" sqref="BF63"/>
      <selection pane="bottomRight" activeCell="B2" sqref="B2"/>
    </sheetView>
  </sheetViews>
  <sheetFormatPr defaultColWidth="9.5546875" defaultRowHeight="10.199999999999999" x14ac:dyDescent="0.2"/>
  <cols>
    <col min="1" max="1" width="12" style="154" customWidth="1"/>
    <col min="2" max="2" width="32.44140625" style="154" customWidth="1"/>
    <col min="3" max="3" width="7.5546875" style="154" customWidth="1"/>
    <col min="4" max="50" width="6.5546875" style="154" customWidth="1"/>
    <col min="51" max="55" width="6.5546875" style="400" customWidth="1"/>
    <col min="56" max="58" width="6.5546875" style="637" customWidth="1"/>
    <col min="59" max="59" width="6.5546875" style="400" customWidth="1"/>
    <col min="60" max="60" width="6.5546875" style="745" customWidth="1"/>
    <col min="61" max="62" width="6.5546875" style="400" customWidth="1"/>
    <col min="63" max="74" width="6.5546875" style="154" customWidth="1"/>
    <col min="75" max="75" width="9.5546875" style="154"/>
    <col min="76" max="77" width="11.5546875" style="154" bestFit="1" customWidth="1"/>
    <col min="78" max="16384" width="9.5546875" style="154"/>
  </cols>
  <sheetData>
    <row r="1" spans="1:74" ht="13.35" customHeight="1" x14ac:dyDescent="0.25">
      <c r="A1" s="797" t="s">
        <v>809</v>
      </c>
      <c r="B1" s="836" t="s">
        <v>1006</v>
      </c>
      <c r="C1" s="837"/>
      <c r="D1" s="837"/>
      <c r="E1" s="837"/>
      <c r="F1" s="837"/>
      <c r="G1" s="837"/>
      <c r="H1" s="837"/>
      <c r="I1" s="837"/>
      <c r="J1" s="837"/>
      <c r="K1" s="837"/>
      <c r="L1" s="837"/>
      <c r="M1" s="837"/>
      <c r="N1" s="837"/>
      <c r="O1" s="837"/>
      <c r="P1" s="837"/>
      <c r="Q1" s="837"/>
      <c r="R1" s="837"/>
      <c r="S1" s="837"/>
      <c r="T1" s="837"/>
      <c r="U1" s="837"/>
      <c r="V1" s="837"/>
      <c r="W1" s="837"/>
      <c r="X1" s="837"/>
      <c r="Y1" s="837"/>
      <c r="Z1" s="837"/>
      <c r="AA1" s="837"/>
      <c r="AB1" s="837"/>
      <c r="AC1" s="837"/>
      <c r="AD1" s="837"/>
      <c r="AE1" s="837"/>
      <c r="AF1" s="837"/>
      <c r="AG1" s="837"/>
      <c r="AH1" s="837"/>
      <c r="AI1" s="837"/>
      <c r="AJ1" s="837"/>
      <c r="AK1" s="837"/>
      <c r="AL1" s="837"/>
      <c r="AM1" s="304"/>
    </row>
    <row r="2" spans="1:74" ht="13.2" x14ac:dyDescent="0.25">
      <c r="A2" s="798"/>
      <c r="B2" s="532" t="str">
        <f>"U.S. Energy Information Administration  |  Short-Term Energy Outlook  - "&amp;Dates!D1</f>
        <v>U.S. Energy Information Administration  |  Short-Term Energy Outlook  - September 2020</v>
      </c>
      <c r="C2" s="533"/>
      <c r="D2" s="533"/>
      <c r="E2" s="533"/>
      <c r="F2" s="533"/>
      <c r="G2" s="533"/>
      <c r="H2" s="533"/>
      <c r="I2" s="748"/>
      <c r="J2" s="748"/>
      <c r="K2" s="748"/>
      <c r="L2" s="748"/>
      <c r="M2" s="748"/>
      <c r="N2" s="748"/>
      <c r="O2" s="748"/>
      <c r="P2" s="748"/>
      <c r="Q2" s="748"/>
      <c r="R2" s="748"/>
      <c r="S2" s="748"/>
      <c r="T2" s="748"/>
      <c r="U2" s="748"/>
      <c r="V2" s="748"/>
      <c r="W2" s="748"/>
      <c r="X2" s="748"/>
      <c r="Y2" s="748"/>
      <c r="Z2" s="748"/>
      <c r="AA2" s="748"/>
      <c r="AB2" s="748"/>
      <c r="AC2" s="748"/>
      <c r="AD2" s="748"/>
      <c r="AE2" s="748"/>
      <c r="AF2" s="748"/>
      <c r="AG2" s="748"/>
      <c r="AH2" s="748"/>
      <c r="AI2" s="748"/>
      <c r="AJ2" s="748"/>
      <c r="AK2" s="748"/>
      <c r="AL2" s="748"/>
      <c r="AM2" s="779"/>
      <c r="AN2" s="780"/>
      <c r="AO2" s="780"/>
      <c r="AP2" s="780"/>
      <c r="AQ2" s="780"/>
      <c r="AR2" s="780"/>
      <c r="AS2" s="780"/>
      <c r="AT2" s="780"/>
    </row>
    <row r="3" spans="1:74" s="12" customFormat="1" ht="13.2" x14ac:dyDescent="0.25">
      <c r="A3" s="14"/>
      <c r="B3" s="15"/>
      <c r="C3" s="806">
        <f>Dates!D3</f>
        <v>2016</v>
      </c>
      <c r="D3" s="802"/>
      <c r="E3" s="802"/>
      <c r="F3" s="802"/>
      <c r="G3" s="802"/>
      <c r="H3" s="802"/>
      <c r="I3" s="802"/>
      <c r="J3" s="802"/>
      <c r="K3" s="802"/>
      <c r="L3" s="802"/>
      <c r="M3" s="802"/>
      <c r="N3" s="803"/>
      <c r="O3" s="806">
        <f>C3+1</f>
        <v>2017</v>
      </c>
      <c r="P3" s="807"/>
      <c r="Q3" s="807"/>
      <c r="R3" s="807"/>
      <c r="S3" s="807"/>
      <c r="T3" s="807"/>
      <c r="U3" s="807"/>
      <c r="V3" s="807"/>
      <c r="W3" s="807"/>
      <c r="X3" s="802"/>
      <c r="Y3" s="802"/>
      <c r="Z3" s="803"/>
      <c r="AA3" s="799">
        <f>O3+1</f>
        <v>2018</v>
      </c>
      <c r="AB3" s="802"/>
      <c r="AC3" s="802"/>
      <c r="AD3" s="802"/>
      <c r="AE3" s="802"/>
      <c r="AF3" s="802"/>
      <c r="AG3" s="802"/>
      <c r="AH3" s="802"/>
      <c r="AI3" s="802"/>
      <c r="AJ3" s="802"/>
      <c r="AK3" s="802"/>
      <c r="AL3" s="803"/>
      <c r="AM3" s="799">
        <f>AA3+1</f>
        <v>2019</v>
      </c>
      <c r="AN3" s="802"/>
      <c r="AO3" s="802"/>
      <c r="AP3" s="802"/>
      <c r="AQ3" s="802"/>
      <c r="AR3" s="802"/>
      <c r="AS3" s="802"/>
      <c r="AT3" s="802"/>
      <c r="AU3" s="802"/>
      <c r="AV3" s="802"/>
      <c r="AW3" s="802"/>
      <c r="AX3" s="803"/>
      <c r="AY3" s="799">
        <f>AM3+1</f>
        <v>2020</v>
      </c>
      <c r="AZ3" s="800"/>
      <c r="BA3" s="800"/>
      <c r="BB3" s="800"/>
      <c r="BC3" s="800"/>
      <c r="BD3" s="800"/>
      <c r="BE3" s="800"/>
      <c r="BF3" s="800"/>
      <c r="BG3" s="800"/>
      <c r="BH3" s="800"/>
      <c r="BI3" s="800"/>
      <c r="BJ3" s="801"/>
      <c r="BK3" s="799">
        <f>AY3+1</f>
        <v>2021</v>
      </c>
      <c r="BL3" s="802"/>
      <c r="BM3" s="802"/>
      <c r="BN3" s="802"/>
      <c r="BO3" s="802"/>
      <c r="BP3" s="802"/>
      <c r="BQ3" s="802"/>
      <c r="BR3" s="802"/>
      <c r="BS3" s="802"/>
      <c r="BT3" s="802"/>
      <c r="BU3" s="802"/>
      <c r="BV3" s="803"/>
    </row>
    <row r="4" spans="1:74" s="12" customFormat="1" x14ac:dyDescent="0.2">
      <c r="A4" s="16"/>
      <c r="B4" s="17"/>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x14ac:dyDescent="0.2">
      <c r="A5" s="615"/>
      <c r="B5" s="155" t="s">
        <v>953</v>
      </c>
      <c r="C5" s="161"/>
      <c r="D5" s="161"/>
      <c r="E5" s="161"/>
      <c r="F5" s="161"/>
      <c r="G5" s="161"/>
      <c r="H5" s="161"/>
      <c r="I5" s="161"/>
      <c r="J5" s="161"/>
      <c r="K5" s="161"/>
      <c r="L5" s="161"/>
      <c r="M5" s="161"/>
      <c r="N5" s="161"/>
      <c r="O5" s="161"/>
      <c r="P5" s="161"/>
      <c r="Q5" s="161"/>
      <c r="R5" s="161"/>
      <c r="S5" s="161"/>
      <c r="T5" s="161"/>
      <c r="U5" s="161"/>
      <c r="V5" s="161"/>
      <c r="W5" s="161"/>
      <c r="X5" s="161"/>
      <c r="Y5" s="161"/>
      <c r="Z5" s="161"/>
      <c r="AA5" s="161"/>
      <c r="AB5" s="161"/>
      <c r="AC5" s="161"/>
      <c r="AD5" s="161"/>
      <c r="AE5" s="161"/>
      <c r="AF5" s="161"/>
      <c r="AG5" s="161"/>
      <c r="AH5" s="161"/>
      <c r="AI5" s="161"/>
      <c r="AJ5" s="161"/>
      <c r="AK5" s="161"/>
      <c r="AL5" s="161"/>
      <c r="AM5" s="161"/>
      <c r="AN5" s="161"/>
      <c r="AO5" s="161"/>
      <c r="AP5" s="161"/>
      <c r="AQ5" s="161"/>
      <c r="AR5" s="161"/>
      <c r="AS5" s="161"/>
      <c r="AT5" s="161"/>
      <c r="AU5" s="161"/>
      <c r="AV5" s="161"/>
      <c r="AW5" s="161"/>
      <c r="AX5" s="161"/>
      <c r="AY5" s="399"/>
      <c r="AZ5" s="399"/>
      <c r="BA5" s="399"/>
      <c r="BB5" s="399"/>
      <c r="BC5" s="399"/>
      <c r="BD5" s="624"/>
      <c r="BE5" s="624"/>
      <c r="BF5" s="624"/>
      <c r="BG5" s="624"/>
      <c r="BH5" s="624"/>
      <c r="BI5" s="624"/>
      <c r="BJ5" s="399"/>
      <c r="BK5" s="399"/>
      <c r="BL5" s="399"/>
      <c r="BM5" s="399"/>
      <c r="BN5" s="399"/>
      <c r="BO5" s="399"/>
      <c r="BP5" s="399"/>
      <c r="BQ5" s="399"/>
      <c r="BR5" s="399"/>
      <c r="BS5" s="399"/>
      <c r="BT5" s="399"/>
      <c r="BU5" s="399"/>
      <c r="BV5" s="399"/>
    </row>
    <row r="6" spans="1:74" x14ac:dyDescent="0.2">
      <c r="A6" s="616"/>
      <c r="B6" s="155" t="s">
        <v>954</v>
      </c>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399"/>
      <c r="AZ6" s="399"/>
      <c r="BA6" s="399"/>
      <c r="BB6" s="399"/>
      <c r="BC6" s="399"/>
      <c r="BD6" s="624"/>
      <c r="BE6" s="624"/>
      <c r="BF6" s="624"/>
      <c r="BG6" s="624"/>
      <c r="BH6" s="624"/>
      <c r="BI6" s="624"/>
      <c r="BJ6" s="399"/>
      <c r="BK6" s="399"/>
      <c r="BL6" s="399"/>
      <c r="BM6" s="399"/>
      <c r="BN6" s="399"/>
      <c r="BO6" s="399"/>
      <c r="BP6" s="399"/>
      <c r="BQ6" s="399"/>
      <c r="BR6" s="399"/>
      <c r="BS6" s="399"/>
      <c r="BT6" s="399"/>
      <c r="BU6" s="399"/>
      <c r="BV6" s="399"/>
    </row>
    <row r="7" spans="1:74" x14ac:dyDescent="0.2">
      <c r="A7" s="616" t="s">
        <v>955</v>
      </c>
      <c r="B7" s="617" t="s">
        <v>956</v>
      </c>
      <c r="C7" s="213">
        <v>1.1764840000000001</v>
      </c>
      <c r="D7" s="213">
        <v>1.1727240000000001</v>
      </c>
      <c r="E7" s="213">
        <v>1.3108390000000001</v>
      </c>
      <c r="F7" s="213">
        <v>1.329933</v>
      </c>
      <c r="G7" s="213">
        <v>1.414968</v>
      </c>
      <c r="H7" s="213">
        <v>1.4038999999999999</v>
      </c>
      <c r="I7" s="213">
        <v>1.313323</v>
      </c>
      <c r="J7" s="213">
        <v>1.110968</v>
      </c>
      <c r="K7" s="213">
        <v>1.1672</v>
      </c>
      <c r="L7" s="213">
        <v>1.298</v>
      </c>
      <c r="M7" s="213">
        <v>1.3475999999999999</v>
      </c>
      <c r="N7" s="213">
        <v>1.225419</v>
      </c>
      <c r="O7" s="213">
        <v>1.2442580000000001</v>
      </c>
      <c r="P7" s="213">
        <v>1.391429</v>
      </c>
      <c r="Q7" s="213">
        <v>1.409645</v>
      </c>
      <c r="R7" s="213">
        <v>1.3777330000000001</v>
      </c>
      <c r="S7" s="213">
        <v>1.4263870000000001</v>
      </c>
      <c r="T7" s="213">
        <v>1.436267</v>
      </c>
      <c r="U7" s="213">
        <v>1.4073549999999999</v>
      </c>
      <c r="V7" s="213">
        <v>1.3649359999999999</v>
      </c>
      <c r="W7" s="213">
        <v>1.316567</v>
      </c>
      <c r="X7" s="213">
        <v>1.5703229999999999</v>
      </c>
      <c r="Y7" s="213">
        <v>1.6243000000000001</v>
      </c>
      <c r="Z7" s="213">
        <v>1.5415479999999999</v>
      </c>
      <c r="AA7" s="213">
        <v>1.5070319999999999</v>
      </c>
      <c r="AB7" s="213">
        <v>1.6166069999999999</v>
      </c>
      <c r="AC7" s="213">
        <v>1.668129</v>
      </c>
      <c r="AD7" s="213">
        <v>1.7255659999999999</v>
      </c>
      <c r="AE7" s="213">
        <v>1.713225</v>
      </c>
      <c r="AF7" s="213">
        <v>1.6763999999999999</v>
      </c>
      <c r="AG7" s="213">
        <v>1.7236769999999999</v>
      </c>
      <c r="AH7" s="213">
        <v>1.7847409999999999</v>
      </c>
      <c r="AI7" s="213">
        <v>1.8164659999999999</v>
      </c>
      <c r="AJ7" s="213">
        <v>1.8008379999999999</v>
      </c>
      <c r="AK7" s="213">
        <v>1.7944329999999999</v>
      </c>
      <c r="AL7" s="213">
        <v>1.729967</v>
      </c>
      <c r="AM7" s="213">
        <v>1.801871</v>
      </c>
      <c r="AN7" s="213">
        <v>1.928464</v>
      </c>
      <c r="AO7" s="213">
        <v>1.9012899999999999</v>
      </c>
      <c r="AP7" s="213">
        <v>1.879167</v>
      </c>
      <c r="AQ7" s="213">
        <v>1.8852580000000001</v>
      </c>
      <c r="AR7" s="213">
        <v>1.8316669999999999</v>
      </c>
      <c r="AS7" s="213">
        <v>1.678226</v>
      </c>
      <c r="AT7" s="213">
        <v>1.677484</v>
      </c>
      <c r="AU7" s="213">
        <v>1.8148</v>
      </c>
      <c r="AV7" s="213">
        <v>1.873839</v>
      </c>
      <c r="AW7" s="213">
        <v>1.839167</v>
      </c>
      <c r="AX7" s="213">
        <v>1.8487420000000001</v>
      </c>
      <c r="AY7" s="213">
        <v>1.9330970000000001</v>
      </c>
      <c r="AZ7" s="213">
        <v>1.8614139999999999</v>
      </c>
      <c r="BA7" s="213">
        <v>1.978129</v>
      </c>
      <c r="BB7" s="213">
        <v>1.766</v>
      </c>
      <c r="BC7" s="213">
        <v>1.863097</v>
      </c>
      <c r="BD7" s="213">
        <v>2.1345000000000001</v>
      </c>
      <c r="BE7" s="213">
        <v>1.9184816748</v>
      </c>
      <c r="BF7" s="213">
        <v>2.0072302761</v>
      </c>
      <c r="BG7" s="351">
        <v>2.040791</v>
      </c>
      <c r="BH7" s="351">
        <v>2.110811</v>
      </c>
      <c r="BI7" s="351">
        <v>2.16404</v>
      </c>
      <c r="BJ7" s="351">
        <v>2.0890559999999998</v>
      </c>
      <c r="BK7" s="351">
        <v>2.0652940000000002</v>
      </c>
      <c r="BL7" s="351">
        <v>2.1480779999999999</v>
      </c>
      <c r="BM7" s="351">
        <v>2.1818740000000001</v>
      </c>
      <c r="BN7" s="351">
        <v>2.239274</v>
      </c>
      <c r="BO7" s="351">
        <v>2.2586300000000001</v>
      </c>
      <c r="BP7" s="351">
        <v>2.1648230000000002</v>
      </c>
      <c r="BQ7" s="351">
        <v>2.1681249999999999</v>
      </c>
      <c r="BR7" s="351">
        <v>2.2174529999999999</v>
      </c>
      <c r="BS7" s="351">
        <v>2.2288239999999999</v>
      </c>
      <c r="BT7" s="351">
        <v>2.2671139999999999</v>
      </c>
      <c r="BU7" s="351">
        <v>2.3126709999999999</v>
      </c>
      <c r="BV7" s="351">
        <v>2.240415</v>
      </c>
    </row>
    <row r="8" spans="1:74" x14ac:dyDescent="0.2">
      <c r="A8" s="616" t="s">
        <v>957</v>
      </c>
      <c r="B8" s="617" t="s">
        <v>958</v>
      </c>
      <c r="C8" s="213">
        <v>1.142355</v>
      </c>
      <c r="D8" s="213">
        <v>1.158655</v>
      </c>
      <c r="E8" s="213">
        <v>1.1837740000000001</v>
      </c>
      <c r="F8" s="213">
        <v>1.1851</v>
      </c>
      <c r="G8" s="213">
        <v>1.1816450000000001</v>
      </c>
      <c r="H8" s="213">
        <v>1.1665000000000001</v>
      </c>
      <c r="I8" s="213">
        <v>1.1758390000000001</v>
      </c>
      <c r="J8" s="213">
        <v>1.1779029999999999</v>
      </c>
      <c r="K8" s="213">
        <v>1.1634329999999999</v>
      </c>
      <c r="L8" s="213">
        <v>1.161548</v>
      </c>
      <c r="M8" s="213">
        <v>1.1748670000000001</v>
      </c>
      <c r="N8" s="213">
        <v>1.123032</v>
      </c>
      <c r="O8" s="213">
        <v>1.1399030000000001</v>
      </c>
      <c r="P8" s="213">
        <v>1.1874640000000001</v>
      </c>
      <c r="Q8" s="213">
        <v>1.2018390000000001</v>
      </c>
      <c r="R8" s="213">
        <v>1.2105999999999999</v>
      </c>
      <c r="S8" s="213">
        <v>1.227258</v>
      </c>
      <c r="T8" s="213">
        <v>1.2308669999999999</v>
      </c>
      <c r="U8" s="213">
        <v>1.2511939999999999</v>
      </c>
      <c r="V8" s="213">
        <v>1.2419359999999999</v>
      </c>
      <c r="W8" s="213">
        <v>1.248067</v>
      </c>
      <c r="X8" s="213">
        <v>1.2837099999999999</v>
      </c>
      <c r="Y8" s="213">
        <v>1.3142670000000001</v>
      </c>
      <c r="Z8" s="213">
        <v>1.291903</v>
      </c>
      <c r="AA8" s="213">
        <v>1.2494190000000001</v>
      </c>
      <c r="AB8" s="213">
        <v>1.309857</v>
      </c>
      <c r="AC8" s="213">
        <v>1.3495159999999999</v>
      </c>
      <c r="AD8" s="213">
        <v>1.360333</v>
      </c>
      <c r="AE8" s="213">
        <v>1.3831610000000001</v>
      </c>
      <c r="AF8" s="213">
        <v>1.3854</v>
      </c>
      <c r="AG8" s="213">
        <v>1.4145799999999999</v>
      </c>
      <c r="AH8" s="213">
        <v>1.460871</v>
      </c>
      <c r="AI8" s="213">
        <v>1.4720660000000001</v>
      </c>
      <c r="AJ8" s="213">
        <v>1.468709</v>
      </c>
      <c r="AK8" s="213">
        <v>1.4744330000000001</v>
      </c>
      <c r="AL8" s="213">
        <v>1.4763869999999999</v>
      </c>
      <c r="AM8" s="213">
        <v>1.4865159999999999</v>
      </c>
      <c r="AN8" s="213">
        <v>1.502429</v>
      </c>
      <c r="AO8" s="213">
        <v>1.522742</v>
      </c>
      <c r="AP8" s="213">
        <v>1.5525</v>
      </c>
      <c r="AQ8" s="213">
        <v>1.562452</v>
      </c>
      <c r="AR8" s="213">
        <v>1.5563670000000001</v>
      </c>
      <c r="AS8" s="213">
        <v>1.5777099999999999</v>
      </c>
      <c r="AT8" s="213">
        <v>1.6048070000000001</v>
      </c>
      <c r="AU8" s="213">
        <v>1.6611</v>
      </c>
      <c r="AV8" s="213">
        <v>1.6659999999999999</v>
      </c>
      <c r="AW8" s="213">
        <v>1.6822330000000001</v>
      </c>
      <c r="AX8" s="213">
        <v>1.6844190000000001</v>
      </c>
      <c r="AY8" s="213">
        <v>1.732807</v>
      </c>
      <c r="AZ8" s="213">
        <v>1.6748970000000001</v>
      </c>
      <c r="BA8" s="213">
        <v>1.760032</v>
      </c>
      <c r="BB8" s="213">
        <v>1.6914</v>
      </c>
      <c r="BC8" s="213">
        <v>1.5304519999999999</v>
      </c>
      <c r="BD8" s="213">
        <v>1.6143670000000001</v>
      </c>
      <c r="BE8" s="213">
        <v>1.6379743607999999</v>
      </c>
      <c r="BF8" s="213">
        <v>1.610483441</v>
      </c>
      <c r="BG8" s="351">
        <v>1.618878</v>
      </c>
      <c r="BH8" s="351">
        <v>1.6133409999999999</v>
      </c>
      <c r="BI8" s="351">
        <v>1.6090949999999999</v>
      </c>
      <c r="BJ8" s="351">
        <v>1.5977950000000001</v>
      </c>
      <c r="BK8" s="351">
        <v>1.551126</v>
      </c>
      <c r="BL8" s="351">
        <v>1.5526450000000001</v>
      </c>
      <c r="BM8" s="351">
        <v>1.583915</v>
      </c>
      <c r="BN8" s="351">
        <v>1.5890219999999999</v>
      </c>
      <c r="BO8" s="351">
        <v>1.5997459999999999</v>
      </c>
      <c r="BP8" s="351">
        <v>1.5964119999999999</v>
      </c>
      <c r="BQ8" s="351">
        <v>1.601553</v>
      </c>
      <c r="BR8" s="351">
        <v>1.625864</v>
      </c>
      <c r="BS8" s="351">
        <v>1.6385350000000001</v>
      </c>
      <c r="BT8" s="351">
        <v>1.637562</v>
      </c>
      <c r="BU8" s="351">
        <v>1.630039</v>
      </c>
      <c r="BV8" s="351">
        <v>1.6222810000000001</v>
      </c>
    </row>
    <row r="9" spans="1:74" x14ac:dyDescent="0.2">
      <c r="A9" s="616" t="s">
        <v>959</v>
      </c>
      <c r="B9" s="617" t="s">
        <v>986</v>
      </c>
      <c r="C9" s="213">
        <v>0.62735399999999997</v>
      </c>
      <c r="D9" s="213">
        <v>0.63293100000000002</v>
      </c>
      <c r="E9" s="213">
        <v>0.64158099999999996</v>
      </c>
      <c r="F9" s="213">
        <v>0.63500000000000001</v>
      </c>
      <c r="G9" s="213">
        <v>0.64145099999999999</v>
      </c>
      <c r="H9" s="213">
        <v>0.64200000000000002</v>
      </c>
      <c r="I9" s="213">
        <v>0.64638700000000004</v>
      </c>
      <c r="J9" s="213">
        <v>0.65109700000000004</v>
      </c>
      <c r="K9" s="213">
        <v>0.63926700000000003</v>
      </c>
      <c r="L9" s="213">
        <v>0.63787199999999999</v>
      </c>
      <c r="M9" s="213">
        <v>0.63776699999999997</v>
      </c>
      <c r="N9" s="213">
        <v>0.60625899999999999</v>
      </c>
      <c r="O9" s="213">
        <v>0.61280599999999996</v>
      </c>
      <c r="P9" s="213">
        <v>0.63807199999999997</v>
      </c>
      <c r="Q9" s="213">
        <v>0.64832199999999995</v>
      </c>
      <c r="R9" s="213">
        <v>0.65480000000000005</v>
      </c>
      <c r="S9" s="213">
        <v>0.66487099999999999</v>
      </c>
      <c r="T9" s="213">
        <v>0.66826600000000003</v>
      </c>
      <c r="U9" s="213">
        <v>0.67774100000000004</v>
      </c>
      <c r="V9" s="213">
        <v>0.67483700000000002</v>
      </c>
      <c r="W9" s="213">
        <v>0.68653200000000003</v>
      </c>
      <c r="X9" s="213">
        <v>0.69193499999999997</v>
      </c>
      <c r="Y9" s="213">
        <v>0.70116699999999998</v>
      </c>
      <c r="Z9" s="213">
        <v>0.69032300000000002</v>
      </c>
      <c r="AA9" s="213">
        <v>0.67200000000000004</v>
      </c>
      <c r="AB9" s="213">
        <v>0.69182200000000005</v>
      </c>
      <c r="AC9" s="213">
        <v>0.71658100000000002</v>
      </c>
      <c r="AD9" s="213">
        <v>0.72396700000000003</v>
      </c>
      <c r="AE9" s="213">
        <v>0.744614</v>
      </c>
      <c r="AF9" s="213">
        <v>0.75059900000000002</v>
      </c>
      <c r="AG9" s="213">
        <v>0.76635500000000001</v>
      </c>
      <c r="AH9" s="213">
        <v>0.79119300000000004</v>
      </c>
      <c r="AI9" s="213">
        <v>0.79500099999999996</v>
      </c>
      <c r="AJ9" s="213">
        <v>0.78816200000000003</v>
      </c>
      <c r="AK9" s="213">
        <v>0.786134</v>
      </c>
      <c r="AL9" s="213">
        <v>0.78471000000000002</v>
      </c>
      <c r="AM9" s="213">
        <v>0.78051700000000002</v>
      </c>
      <c r="AN9" s="213">
        <v>0.79078599999999999</v>
      </c>
      <c r="AO9" s="213">
        <v>0.80561300000000002</v>
      </c>
      <c r="AP9" s="213">
        <v>0.82973300000000005</v>
      </c>
      <c r="AQ9" s="213">
        <v>0.84028999999999998</v>
      </c>
      <c r="AR9" s="213">
        <v>0.83819900000000003</v>
      </c>
      <c r="AS9" s="213">
        <v>0.85619299999999998</v>
      </c>
      <c r="AT9" s="213">
        <v>0.87145099999999998</v>
      </c>
      <c r="AU9" s="213">
        <v>0.89729999999999999</v>
      </c>
      <c r="AV9" s="213">
        <v>0.89119300000000001</v>
      </c>
      <c r="AW9" s="213">
        <v>0.89553300000000002</v>
      </c>
      <c r="AX9" s="213">
        <v>0.89803200000000005</v>
      </c>
      <c r="AY9" s="213">
        <v>0.91399900000000001</v>
      </c>
      <c r="AZ9" s="213">
        <v>0.88492999999999999</v>
      </c>
      <c r="BA9" s="213">
        <v>0.93471000000000004</v>
      </c>
      <c r="BB9" s="213">
        <v>0.90429999999999999</v>
      </c>
      <c r="BC9" s="213">
        <v>0.81270900000000001</v>
      </c>
      <c r="BD9" s="213">
        <v>0.86026599999999998</v>
      </c>
      <c r="BE9" s="213">
        <v>0.85139583364000004</v>
      </c>
      <c r="BF9" s="213">
        <v>0.85879614805000004</v>
      </c>
      <c r="BG9" s="351">
        <v>0.86047530000000005</v>
      </c>
      <c r="BH9" s="351">
        <v>0.86436109999999999</v>
      </c>
      <c r="BI9" s="351">
        <v>0.860232</v>
      </c>
      <c r="BJ9" s="351">
        <v>0.85048429999999997</v>
      </c>
      <c r="BK9" s="351">
        <v>0.79552639999999997</v>
      </c>
      <c r="BL9" s="351">
        <v>0.82403249999999995</v>
      </c>
      <c r="BM9" s="351">
        <v>0.8436205</v>
      </c>
      <c r="BN9" s="351">
        <v>0.8498966</v>
      </c>
      <c r="BO9" s="351">
        <v>0.85401629999999995</v>
      </c>
      <c r="BP9" s="351">
        <v>0.85540380000000005</v>
      </c>
      <c r="BQ9" s="351">
        <v>0.85714800000000002</v>
      </c>
      <c r="BR9" s="351">
        <v>0.87124469999999998</v>
      </c>
      <c r="BS9" s="351">
        <v>0.88038179999999999</v>
      </c>
      <c r="BT9" s="351">
        <v>0.8765676</v>
      </c>
      <c r="BU9" s="351">
        <v>0.87078750000000005</v>
      </c>
      <c r="BV9" s="351">
        <v>0.86282460000000005</v>
      </c>
    </row>
    <row r="10" spans="1:74" x14ac:dyDescent="0.2">
      <c r="A10" s="616" t="s">
        <v>961</v>
      </c>
      <c r="B10" s="617" t="s">
        <v>962</v>
      </c>
      <c r="C10" s="213">
        <v>0.39858100000000002</v>
      </c>
      <c r="D10" s="213">
        <v>0.40503499999999998</v>
      </c>
      <c r="E10" s="213">
        <v>0.419516</v>
      </c>
      <c r="F10" s="213">
        <v>0.42036699999999999</v>
      </c>
      <c r="G10" s="213">
        <v>0.43361300000000003</v>
      </c>
      <c r="H10" s="213">
        <v>0.45003300000000002</v>
      </c>
      <c r="I10" s="213">
        <v>0.46828999999999998</v>
      </c>
      <c r="J10" s="213">
        <v>0.47035500000000002</v>
      </c>
      <c r="K10" s="213">
        <v>0.45743299999999998</v>
      </c>
      <c r="L10" s="213">
        <v>0.44690299999999999</v>
      </c>
      <c r="M10" s="213">
        <v>0.435533</v>
      </c>
      <c r="N10" s="213">
        <v>0.397484</v>
      </c>
      <c r="O10" s="213">
        <v>0.398065</v>
      </c>
      <c r="P10" s="213">
        <v>0.415821</v>
      </c>
      <c r="Q10" s="213">
        <v>0.425452</v>
      </c>
      <c r="R10" s="213">
        <v>0.43909999999999999</v>
      </c>
      <c r="S10" s="213">
        <v>0.45258100000000001</v>
      </c>
      <c r="T10" s="213">
        <v>0.47189999999999999</v>
      </c>
      <c r="U10" s="213">
        <v>0.48580699999999999</v>
      </c>
      <c r="V10" s="213">
        <v>0.48180699999999999</v>
      </c>
      <c r="W10" s="213">
        <v>0.47986699999999999</v>
      </c>
      <c r="X10" s="213">
        <v>0.47377399999999997</v>
      </c>
      <c r="Y10" s="213">
        <v>0.46593299999999999</v>
      </c>
      <c r="Z10" s="213">
        <v>0.44519399999999998</v>
      </c>
      <c r="AA10" s="213">
        <v>0.424516</v>
      </c>
      <c r="AB10" s="213">
        <v>0.442214</v>
      </c>
      <c r="AC10" s="213">
        <v>0.466032</v>
      </c>
      <c r="AD10" s="213">
        <v>0.47589999999999999</v>
      </c>
      <c r="AE10" s="213">
        <v>0.51087099999999996</v>
      </c>
      <c r="AF10" s="213">
        <v>0.52426700000000004</v>
      </c>
      <c r="AG10" s="213">
        <v>0.54706500000000002</v>
      </c>
      <c r="AH10" s="213">
        <v>0.56480699999999995</v>
      </c>
      <c r="AI10" s="213">
        <v>0.55476700000000001</v>
      </c>
      <c r="AJ10" s="213">
        <v>0.52996799999999999</v>
      </c>
      <c r="AK10" s="213">
        <v>0.50770000000000004</v>
      </c>
      <c r="AL10" s="213">
        <v>0.492419</v>
      </c>
      <c r="AM10" s="213">
        <v>0.48516100000000001</v>
      </c>
      <c r="AN10" s="213">
        <v>0.49107099999999998</v>
      </c>
      <c r="AO10" s="213">
        <v>0.49983899999999998</v>
      </c>
      <c r="AP10" s="213">
        <v>0.528833</v>
      </c>
      <c r="AQ10" s="213">
        <v>0.55180700000000005</v>
      </c>
      <c r="AR10" s="213">
        <v>0.56846699999999994</v>
      </c>
      <c r="AS10" s="213">
        <v>0.595194</v>
      </c>
      <c r="AT10" s="213">
        <v>0.61212900000000003</v>
      </c>
      <c r="AU10" s="213">
        <v>0.61629999999999996</v>
      </c>
      <c r="AV10" s="213">
        <v>0.59122600000000003</v>
      </c>
      <c r="AW10" s="213">
        <v>0.57756700000000005</v>
      </c>
      <c r="AX10" s="213">
        <v>0.56032300000000002</v>
      </c>
      <c r="AY10" s="213">
        <v>0.56538699999999997</v>
      </c>
      <c r="AZ10" s="213">
        <v>0.54396599999999995</v>
      </c>
      <c r="BA10" s="213">
        <v>0.57999999999999996</v>
      </c>
      <c r="BB10" s="213">
        <v>0.57256700000000005</v>
      </c>
      <c r="BC10" s="213">
        <v>0.53861300000000001</v>
      </c>
      <c r="BD10" s="213">
        <v>0.58819999999999995</v>
      </c>
      <c r="BE10" s="213">
        <v>0.57901408065000004</v>
      </c>
      <c r="BF10" s="213">
        <v>0.57302793226000004</v>
      </c>
      <c r="BG10" s="351">
        <v>0.56722859999999997</v>
      </c>
      <c r="BH10" s="351">
        <v>0.55029589999999995</v>
      </c>
      <c r="BI10" s="351">
        <v>0.54259749999999995</v>
      </c>
      <c r="BJ10" s="351">
        <v>0.53328229999999999</v>
      </c>
      <c r="BK10" s="351">
        <v>0.51262010000000002</v>
      </c>
      <c r="BL10" s="351">
        <v>0.5135478</v>
      </c>
      <c r="BM10" s="351">
        <v>0.53388979999999997</v>
      </c>
      <c r="BN10" s="351">
        <v>0.54236709999999999</v>
      </c>
      <c r="BO10" s="351">
        <v>0.55866579999999999</v>
      </c>
      <c r="BP10" s="351">
        <v>0.57396409999999998</v>
      </c>
      <c r="BQ10" s="351">
        <v>0.58497429999999995</v>
      </c>
      <c r="BR10" s="351">
        <v>0.58811190000000002</v>
      </c>
      <c r="BS10" s="351">
        <v>0.59204020000000002</v>
      </c>
      <c r="BT10" s="351">
        <v>0.57684199999999997</v>
      </c>
      <c r="BU10" s="351">
        <v>0.55879820000000002</v>
      </c>
      <c r="BV10" s="351">
        <v>0.54091400000000001</v>
      </c>
    </row>
    <row r="11" spans="1:74" x14ac:dyDescent="0.2">
      <c r="A11" s="616"/>
      <c r="B11" s="155" t="s">
        <v>963</v>
      </c>
      <c r="C11" s="161"/>
      <c r="D11" s="161"/>
      <c r="E11" s="161"/>
      <c r="F11" s="161"/>
      <c r="G11" s="161"/>
      <c r="H11" s="161"/>
      <c r="I11" s="161"/>
      <c r="J11" s="161"/>
      <c r="K11" s="161"/>
      <c r="L11" s="161"/>
      <c r="M11" s="161"/>
      <c r="N11" s="161"/>
      <c r="O11" s="161"/>
      <c r="P11" s="161"/>
      <c r="Q11" s="161"/>
      <c r="R11" s="161"/>
      <c r="S11" s="161"/>
      <c r="T11" s="161"/>
      <c r="U11" s="161"/>
      <c r="V11" s="161"/>
      <c r="W11" s="161"/>
      <c r="X11" s="161"/>
      <c r="Y11" s="161"/>
      <c r="Z11" s="161"/>
      <c r="AA11" s="161"/>
      <c r="AB11" s="161"/>
      <c r="AC11" s="161"/>
      <c r="AD11" s="161"/>
      <c r="AE11" s="161"/>
      <c r="AF11" s="161"/>
      <c r="AG11" s="161"/>
      <c r="AH11" s="161"/>
      <c r="AI11" s="161"/>
      <c r="AJ11" s="161"/>
      <c r="AK11" s="161"/>
      <c r="AL11" s="161"/>
      <c r="AM11" s="161"/>
      <c r="AN11" s="161"/>
      <c r="AO11" s="161"/>
      <c r="AP11" s="161"/>
      <c r="AQ11" s="161"/>
      <c r="AR11" s="161"/>
      <c r="AS11" s="161"/>
      <c r="AT11" s="161"/>
      <c r="AU11" s="161"/>
      <c r="AV11" s="161"/>
      <c r="AW11" s="161"/>
      <c r="AX11" s="161"/>
      <c r="AY11" s="161"/>
      <c r="AZ11" s="161"/>
      <c r="BA11" s="161"/>
      <c r="BB11" s="213"/>
      <c r="BC11" s="213"/>
      <c r="BD11" s="213"/>
      <c r="BE11" s="213"/>
      <c r="BF11" s="213"/>
      <c r="BG11" s="399"/>
      <c r="BH11" s="399"/>
      <c r="BI11" s="399"/>
      <c r="BJ11" s="399"/>
      <c r="BK11" s="399"/>
      <c r="BL11" s="399"/>
      <c r="BM11" s="399"/>
      <c r="BN11" s="399"/>
      <c r="BO11" s="399"/>
      <c r="BP11" s="399"/>
      <c r="BQ11" s="399"/>
      <c r="BR11" s="399"/>
      <c r="BS11" s="399"/>
      <c r="BT11" s="399"/>
      <c r="BU11" s="399"/>
      <c r="BV11" s="399"/>
    </row>
    <row r="12" spans="1:74" x14ac:dyDescent="0.2">
      <c r="A12" s="616" t="s">
        <v>964</v>
      </c>
      <c r="B12" s="617" t="s">
        <v>965</v>
      </c>
      <c r="C12" s="213">
        <v>5.0000000000000001E-3</v>
      </c>
      <c r="D12" s="213">
        <v>3.9309999999999996E-3</v>
      </c>
      <c r="E12" s="213">
        <v>4.548E-3</v>
      </c>
      <c r="F12" s="213">
        <v>4.8659999999999997E-3</v>
      </c>
      <c r="G12" s="213">
        <v>5.4840000000000002E-3</v>
      </c>
      <c r="H12" s="213">
        <v>8.34E-4</v>
      </c>
      <c r="I12" s="213">
        <v>2.1930000000000001E-3</v>
      </c>
      <c r="J12" s="213">
        <v>6.0000000000000001E-3</v>
      </c>
      <c r="K12" s="213">
        <v>4.0340000000000003E-3</v>
      </c>
      <c r="L12" s="213">
        <v>4.516E-3</v>
      </c>
      <c r="M12" s="213">
        <v>3.833E-3</v>
      </c>
      <c r="N12" s="213">
        <v>3.2260000000000001E-3</v>
      </c>
      <c r="O12" s="213">
        <v>3.581E-3</v>
      </c>
      <c r="P12" s="213">
        <v>9.8209999999999999E-3</v>
      </c>
      <c r="Q12" s="213">
        <v>2.3549999999999999E-3</v>
      </c>
      <c r="R12" s="213">
        <v>5.7660000000000003E-3</v>
      </c>
      <c r="S12" s="213">
        <v>7.6779999999999999E-3</v>
      </c>
      <c r="T12" s="213">
        <v>5.633E-3</v>
      </c>
      <c r="U12" s="213">
        <v>5.4840000000000002E-3</v>
      </c>
      <c r="V12" s="213">
        <v>8.9350000000000002E-3</v>
      </c>
      <c r="W12" s="213">
        <v>3.6670000000000001E-3</v>
      </c>
      <c r="X12" s="213">
        <v>5.9030000000000003E-3</v>
      </c>
      <c r="Y12" s="213">
        <v>7.5329999999999998E-3</v>
      </c>
      <c r="Z12" s="213">
        <v>7.1939999999999999E-3</v>
      </c>
      <c r="AA12" s="213">
        <v>4.7089999999999996E-3</v>
      </c>
      <c r="AB12" s="213">
        <v>5.4640000000000001E-3</v>
      </c>
      <c r="AC12" s="213">
        <v>8.0330000000000002E-3</v>
      </c>
      <c r="AD12" s="213">
        <v>6.0670000000000003E-3</v>
      </c>
      <c r="AE12" s="213">
        <v>4.4520000000000002E-3</v>
      </c>
      <c r="AF12" s="213">
        <v>4.4330000000000003E-3</v>
      </c>
      <c r="AG12" s="213">
        <v>6.2899999999999996E-3</v>
      </c>
      <c r="AH12" s="213">
        <v>9.5169999999999994E-3</v>
      </c>
      <c r="AI12" s="213">
        <v>5.0670000000000003E-3</v>
      </c>
      <c r="AJ12" s="213">
        <v>6.4200000000000004E-3</v>
      </c>
      <c r="AK12" s="213">
        <v>7.5659999999999998E-3</v>
      </c>
      <c r="AL12" s="213">
        <v>5.8389999999999996E-3</v>
      </c>
      <c r="AM12" s="213">
        <v>1.8389999999999999E-3</v>
      </c>
      <c r="AN12" s="213">
        <v>6.8929999999999998E-3</v>
      </c>
      <c r="AO12" s="213">
        <v>6.097E-3</v>
      </c>
      <c r="AP12" s="213">
        <v>5.0670000000000003E-3</v>
      </c>
      <c r="AQ12" s="213">
        <v>5.2900000000000004E-3</v>
      </c>
      <c r="AR12" s="213">
        <v>4.5999999999999999E-3</v>
      </c>
      <c r="AS12" s="213">
        <v>6.0000000000000001E-3</v>
      </c>
      <c r="AT12" s="213">
        <v>7.4190000000000002E-3</v>
      </c>
      <c r="AU12" s="213">
        <v>5.5999999999999999E-3</v>
      </c>
      <c r="AV12" s="213">
        <v>4.1609999999999998E-3</v>
      </c>
      <c r="AW12" s="213">
        <v>5.5329999999999997E-3</v>
      </c>
      <c r="AX12" s="213">
        <v>5.1939999999999998E-3</v>
      </c>
      <c r="AY12" s="213">
        <v>5.6759999999999996E-3</v>
      </c>
      <c r="AZ12" s="213">
        <v>5.862E-3</v>
      </c>
      <c r="BA12" s="213">
        <v>8.0960000000000008E-3</v>
      </c>
      <c r="BB12" s="213">
        <v>7.8670000000000007E-3</v>
      </c>
      <c r="BC12" s="213">
        <v>6.2579999999999997E-3</v>
      </c>
      <c r="BD12" s="213">
        <v>9.4000000000000004E-3</v>
      </c>
      <c r="BE12" s="213">
        <v>4.0660799999999997E-3</v>
      </c>
      <c r="BF12" s="213">
        <v>5.4828400000000001E-3</v>
      </c>
      <c r="BG12" s="351">
        <v>4.1966E-3</v>
      </c>
      <c r="BH12" s="351">
        <v>5.2874300000000001E-3</v>
      </c>
      <c r="BI12" s="351">
        <v>5.2729600000000001E-3</v>
      </c>
      <c r="BJ12" s="351">
        <v>5.1668900000000004E-3</v>
      </c>
      <c r="BK12" s="351">
        <v>4.9720900000000002E-3</v>
      </c>
      <c r="BL12" s="351">
        <v>4.7085199999999999E-3</v>
      </c>
      <c r="BM12" s="351">
        <v>5.38574E-3</v>
      </c>
      <c r="BN12" s="351">
        <v>5.8705500000000004E-3</v>
      </c>
      <c r="BO12" s="351">
        <v>5.87997E-3</v>
      </c>
      <c r="BP12" s="351">
        <v>4.1957000000000001E-3</v>
      </c>
      <c r="BQ12" s="351">
        <v>5.3071100000000003E-3</v>
      </c>
      <c r="BR12" s="351">
        <v>6.3433099999999996E-3</v>
      </c>
      <c r="BS12" s="351">
        <v>5.3438399999999999E-3</v>
      </c>
      <c r="BT12" s="351">
        <v>5.8073500000000002E-3</v>
      </c>
      <c r="BU12" s="351">
        <v>5.7367800000000004E-3</v>
      </c>
      <c r="BV12" s="351">
        <v>5.4992599999999997E-3</v>
      </c>
    </row>
    <row r="13" spans="1:74" x14ac:dyDescent="0.2">
      <c r="A13" s="616" t="s">
        <v>1128</v>
      </c>
      <c r="B13" s="617" t="s">
        <v>958</v>
      </c>
      <c r="C13" s="213">
        <v>0.28445199999999998</v>
      </c>
      <c r="D13" s="213">
        <v>0.28986200000000001</v>
      </c>
      <c r="E13" s="213">
        <v>0.306645</v>
      </c>
      <c r="F13" s="213">
        <v>0.313633</v>
      </c>
      <c r="G13" s="213">
        <v>0.32754800000000001</v>
      </c>
      <c r="H13" s="213">
        <v>0.3261</v>
      </c>
      <c r="I13" s="213">
        <v>0.32064500000000001</v>
      </c>
      <c r="J13" s="213">
        <v>0.30325800000000003</v>
      </c>
      <c r="K13" s="213">
        <v>0.30159999999999998</v>
      </c>
      <c r="L13" s="213">
        <v>0.29119400000000001</v>
      </c>
      <c r="M13" s="213">
        <v>0.30866700000000002</v>
      </c>
      <c r="N13" s="213">
        <v>0.307645</v>
      </c>
      <c r="O13" s="213">
        <v>0.29764499999999999</v>
      </c>
      <c r="P13" s="213">
        <v>0.28246399999999999</v>
      </c>
      <c r="Q13" s="213">
        <v>0.29519400000000001</v>
      </c>
      <c r="R13" s="213">
        <v>0.29749999999999999</v>
      </c>
      <c r="S13" s="213">
        <v>0.32438699999999998</v>
      </c>
      <c r="T13" s="213">
        <v>0.33279999999999998</v>
      </c>
      <c r="U13" s="213">
        <v>0.31190299999999999</v>
      </c>
      <c r="V13" s="213">
        <v>0.30893599999999999</v>
      </c>
      <c r="W13" s="213">
        <v>0.27829999999999999</v>
      </c>
      <c r="X13" s="213">
        <v>0.30312899999999998</v>
      </c>
      <c r="Y13" s="213">
        <v>0.31469999999999998</v>
      </c>
      <c r="Z13" s="213">
        <v>0.33158100000000001</v>
      </c>
      <c r="AA13" s="213">
        <v>0.295742</v>
      </c>
      <c r="AB13" s="213">
        <v>0.29453600000000002</v>
      </c>
      <c r="AC13" s="213">
        <v>0.29529</v>
      </c>
      <c r="AD13" s="213">
        <v>0.307</v>
      </c>
      <c r="AE13" s="213">
        <v>0.29954799999999998</v>
      </c>
      <c r="AF13" s="213">
        <v>0.32136700000000001</v>
      </c>
      <c r="AG13" s="213">
        <v>0.32016099999999997</v>
      </c>
      <c r="AH13" s="213">
        <v>0.31019400000000003</v>
      </c>
      <c r="AI13" s="213">
        <v>0.29609999999999997</v>
      </c>
      <c r="AJ13" s="213">
        <v>0.27948400000000001</v>
      </c>
      <c r="AK13" s="213">
        <v>0.29383300000000001</v>
      </c>
      <c r="AL13" s="213">
        <v>0.30270999999999998</v>
      </c>
      <c r="AM13" s="213">
        <v>0.29712899999999998</v>
      </c>
      <c r="AN13" s="213">
        <v>0.25678600000000001</v>
      </c>
      <c r="AO13" s="213">
        <v>0.28761300000000001</v>
      </c>
      <c r="AP13" s="213">
        <v>0.29503299999999999</v>
      </c>
      <c r="AQ13" s="213">
        <v>0.294516</v>
      </c>
      <c r="AR13" s="213">
        <v>0.3004</v>
      </c>
      <c r="AS13" s="213">
        <v>0.29238700000000001</v>
      </c>
      <c r="AT13" s="213">
        <v>0.29493599999999998</v>
      </c>
      <c r="AU13" s="213">
        <v>0.27179999999999999</v>
      </c>
      <c r="AV13" s="213">
        <v>0.251774</v>
      </c>
      <c r="AW13" s="213">
        <v>0.293933</v>
      </c>
      <c r="AX13" s="213">
        <v>0.315807</v>
      </c>
      <c r="AY13" s="213">
        <v>0.29654799999999998</v>
      </c>
      <c r="AZ13" s="213">
        <v>0.28027600000000003</v>
      </c>
      <c r="BA13" s="213">
        <v>0.27916099999999999</v>
      </c>
      <c r="BB13" s="781">
        <v>0.22986699999999999</v>
      </c>
      <c r="BC13" s="781">
        <v>0.23374200000000001</v>
      </c>
      <c r="BD13" s="781">
        <v>0.24879999999999999</v>
      </c>
      <c r="BE13" s="781">
        <v>0.27455550000000001</v>
      </c>
      <c r="BF13" s="781">
        <v>0.27691199999999999</v>
      </c>
      <c r="BG13" s="351">
        <v>0.2548242</v>
      </c>
      <c r="BH13" s="351">
        <v>0.25656200000000001</v>
      </c>
      <c r="BI13" s="351">
        <v>0.28467910000000002</v>
      </c>
      <c r="BJ13" s="351">
        <v>0.29859340000000001</v>
      </c>
      <c r="BK13" s="351">
        <v>0.2748333</v>
      </c>
      <c r="BL13" s="351">
        <v>0.26728109999999999</v>
      </c>
      <c r="BM13" s="351">
        <v>0.27581749999999999</v>
      </c>
      <c r="BN13" s="351">
        <v>0.27161550000000001</v>
      </c>
      <c r="BO13" s="351">
        <v>0.31262430000000002</v>
      </c>
      <c r="BP13" s="351">
        <v>0.30200909999999997</v>
      </c>
      <c r="BQ13" s="351">
        <v>0.30760779999999999</v>
      </c>
      <c r="BR13" s="351">
        <v>0.30297230000000003</v>
      </c>
      <c r="BS13" s="351">
        <v>0.28519840000000002</v>
      </c>
      <c r="BT13" s="351">
        <v>0.27957409999999999</v>
      </c>
      <c r="BU13" s="351">
        <v>0.3035079</v>
      </c>
      <c r="BV13" s="351">
        <v>0.31420110000000001</v>
      </c>
    </row>
    <row r="14" spans="1:74" x14ac:dyDescent="0.2">
      <c r="A14" s="616" t="s">
        <v>1129</v>
      </c>
      <c r="B14" s="617" t="s">
        <v>1130</v>
      </c>
      <c r="C14" s="213">
        <v>0.30412899999999998</v>
      </c>
      <c r="D14" s="213">
        <v>0.28389700000000001</v>
      </c>
      <c r="E14" s="213">
        <v>0.28851599999999999</v>
      </c>
      <c r="F14" s="213">
        <v>0.2838</v>
      </c>
      <c r="G14" s="213">
        <v>0.28522599999999998</v>
      </c>
      <c r="H14" s="213">
        <v>0.27233299999999999</v>
      </c>
      <c r="I14" s="213">
        <v>0.26896799999999998</v>
      </c>
      <c r="J14" s="213">
        <v>0.27232299999999998</v>
      </c>
      <c r="K14" s="213">
        <v>0.2732</v>
      </c>
      <c r="L14" s="213">
        <v>0.26519399999999999</v>
      </c>
      <c r="M14" s="213">
        <v>0.28063300000000002</v>
      </c>
      <c r="N14" s="213">
        <v>0.28725800000000001</v>
      </c>
      <c r="O14" s="213">
        <v>0.26629000000000003</v>
      </c>
      <c r="P14" s="213">
        <v>0.26167899999999999</v>
      </c>
      <c r="Q14" s="213">
        <v>0.29125800000000002</v>
      </c>
      <c r="R14" s="213">
        <v>0.30343300000000001</v>
      </c>
      <c r="S14" s="213">
        <v>0.29770999999999997</v>
      </c>
      <c r="T14" s="213">
        <v>0.28243299999999999</v>
      </c>
      <c r="U14" s="213">
        <v>0.29487099999999999</v>
      </c>
      <c r="V14" s="213">
        <v>0.27967700000000001</v>
      </c>
      <c r="W14" s="213">
        <v>0.23503299999999999</v>
      </c>
      <c r="X14" s="213">
        <v>0.29103200000000001</v>
      </c>
      <c r="Y14" s="213">
        <v>0.30120000000000002</v>
      </c>
      <c r="Z14" s="213">
        <v>0.31051600000000001</v>
      </c>
      <c r="AA14" s="213">
        <v>0.304226</v>
      </c>
      <c r="AB14" s="213">
        <v>0.27385700000000002</v>
      </c>
      <c r="AC14" s="213">
        <v>0.27574199999999999</v>
      </c>
      <c r="AD14" s="213">
        <v>0.28576699999999999</v>
      </c>
      <c r="AE14" s="213">
        <v>0.29167700000000002</v>
      </c>
      <c r="AF14" s="213">
        <v>0.28573300000000001</v>
      </c>
      <c r="AG14" s="213">
        <v>0.28635500000000003</v>
      </c>
      <c r="AH14" s="213">
        <v>0.29338700000000001</v>
      </c>
      <c r="AI14" s="213">
        <v>0.29403299999999999</v>
      </c>
      <c r="AJ14" s="213">
        <v>0.29429</v>
      </c>
      <c r="AK14" s="213">
        <v>0.31443300000000002</v>
      </c>
      <c r="AL14" s="213">
        <v>0.313</v>
      </c>
      <c r="AM14" s="213">
        <v>0.29183900000000002</v>
      </c>
      <c r="AN14" s="213">
        <v>0.28857100000000002</v>
      </c>
      <c r="AO14" s="213">
        <v>0.26148399999999999</v>
      </c>
      <c r="AP14" s="213">
        <v>0.2717</v>
      </c>
      <c r="AQ14" s="213">
        <v>0.28290300000000002</v>
      </c>
      <c r="AR14" s="213">
        <v>0.29016700000000001</v>
      </c>
      <c r="AS14" s="213">
        <v>0.28641899999999998</v>
      </c>
      <c r="AT14" s="213">
        <v>0.28412900000000002</v>
      </c>
      <c r="AU14" s="213">
        <v>0.28163300000000002</v>
      </c>
      <c r="AV14" s="213">
        <v>0.28090300000000001</v>
      </c>
      <c r="AW14" s="213">
        <v>0.28713300000000003</v>
      </c>
      <c r="AX14" s="213">
        <v>0.28022599999999998</v>
      </c>
      <c r="AY14" s="213">
        <v>0.269096</v>
      </c>
      <c r="AZ14" s="213">
        <v>0.234069</v>
      </c>
      <c r="BA14" s="213">
        <v>0.245452</v>
      </c>
      <c r="BB14" s="213">
        <v>0.26440000000000002</v>
      </c>
      <c r="BC14" s="213">
        <v>0.25838699999999998</v>
      </c>
      <c r="BD14" s="213">
        <v>0.25516699999999998</v>
      </c>
      <c r="BE14" s="213">
        <v>0.27217059999999998</v>
      </c>
      <c r="BF14" s="213">
        <v>0.2660091</v>
      </c>
      <c r="BG14" s="351">
        <v>0.2592005</v>
      </c>
      <c r="BH14" s="351">
        <v>0.27011400000000002</v>
      </c>
      <c r="BI14" s="351">
        <v>0.27694800000000003</v>
      </c>
      <c r="BJ14" s="351">
        <v>0.29863889999999998</v>
      </c>
      <c r="BK14" s="351">
        <v>0.2869408</v>
      </c>
      <c r="BL14" s="351">
        <v>0.27956599999999998</v>
      </c>
      <c r="BM14" s="351">
        <v>0.28437050000000003</v>
      </c>
      <c r="BN14" s="351">
        <v>0.29111120000000001</v>
      </c>
      <c r="BO14" s="351">
        <v>0.29162179999999999</v>
      </c>
      <c r="BP14" s="351">
        <v>0.29243219999999998</v>
      </c>
      <c r="BQ14" s="351">
        <v>0.29263519999999998</v>
      </c>
      <c r="BR14" s="351">
        <v>0.2838233</v>
      </c>
      <c r="BS14" s="351">
        <v>0.2797326</v>
      </c>
      <c r="BT14" s="351">
        <v>0.27992830000000002</v>
      </c>
      <c r="BU14" s="351">
        <v>0.28623310000000002</v>
      </c>
      <c r="BV14" s="351">
        <v>0.30352299999999999</v>
      </c>
    </row>
    <row r="15" spans="1:74" x14ac:dyDescent="0.2">
      <c r="A15" s="616" t="s">
        <v>966</v>
      </c>
      <c r="B15" s="617" t="s">
        <v>960</v>
      </c>
      <c r="C15" s="213">
        <v>-0.239258</v>
      </c>
      <c r="D15" s="213">
        <v>-0.151724</v>
      </c>
      <c r="E15" s="213">
        <v>6.5838999999999995E-2</v>
      </c>
      <c r="F15" s="213">
        <v>0.226301</v>
      </c>
      <c r="G15" s="213">
        <v>0.27896799999999999</v>
      </c>
      <c r="H15" s="213">
        <v>0.28889999999999999</v>
      </c>
      <c r="I15" s="213">
        <v>0.28071000000000002</v>
      </c>
      <c r="J15" s="213">
        <v>0.25670900000000002</v>
      </c>
      <c r="K15" s="213">
        <v>6.6365999999999994E-2</v>
      </c>
      <c r="L15" s="213">
        <v>-8.4548999999999999E-2</v>
      </c>
      <c r="M15" s="213">
        <v>-0.24423300000000001</v>
      </c>
      <c r="N15" s="213">
        <v>-0.26828999999999997</v>
      </c>
      <c r="O15" s="213">
        <v>-0.212613</v>
      </c>
      <c r="P15" s="213">
        <v>-0.14099999999999999</v>
      </c>
      <c r="Q15" s="213">
        <v>8.9095999999999995E-2</v>
      </c>
      <c r="R15" s="213">
        <v>0.25023400000000001</v>
      </c>
      <c r="S15" s="213">
        <v>0.27825699999999998</v>
      </c>
      <c r="T15" s="213">
        <v>0.29433399999999998</v>
      </c>
      <c r="U15" s="213">
        <v>0.264903</v>
      </c>
      <c r="V15" s="213">
        <v>0.23622599999999999</v>
      </c>
      <c r="W15" s="213">
        <v>-3.9667000000000001E-2</v>
      </c>
      <c r="X15" s="213">
        <v>-8.0419000000000004E-2</v>
      </c>
      <c r="Y15" s="213">
        <v>-0.27500000000000002</v>
      </c>
      <c r="Z15" s="213">
        <v>-0.30809700000000001</v>
      </c>
      <c r="AA15" s="213">
        <v>-0.21190300000000001</v>
      </c>
      <c r="AB15" s="213">
        <v>-0.164464</v>
      </c>
      <c r="AC15" s="213">
        <v>5.2547999999999997E-2</v>
      </c>
      <c r="AD15" s="213">
        <v>0.20149900000000001</v>
      </c>
      <c r="AE15" s="213">
        <v>0.25938800000000001</v>
      </c>
      <c r="AF15" s="213">
        <v>0.26240000000000002</v>
      </c>
      <c r="AG15" s="213">
        <v>0.25729099999999999</v>
      </c>
      <c r="AH15" s="213">
        <v>0.26738600000000001</v>
      </c>
      <c r="AI15" s="213">
        <v>5.5133000000000001E-2</v>
      </c>
      <c r="AJ15" s="213">
        <v>-0.116162</v>
      </c>
      <c r="AK15" s="213">
        <v>-0.22069900000000001</v>
      </c>
      <c r="AL15" s="213">
        <v>-0.24851699999999999</v>
      </c>
      <c r="AM15" s="213">
        <v>-0.22313</v>
      </c>
      <c r="AN15" s="213">
        <v>-0.1235</v>
      </c>
      <c r="AO15" s="213">
        <v>7.3451000000000002E-2</v>
      </c>
      <c r="AP15" s="213">
        <v>0.23236699999999999</v>
      </c>
      <c r="AQ15" s="213">
        <v>0.28464600000000001</v>
      </c>
      <c r="AR15" s="213">
        <v>0.264233</v>
      </c>
      <c r="AS15" s="213">
        <v>0.26719399999999999</v>
      </c>
      <c r="AT15" s="213">
        <v>0.21970999999999999</v>
      </c>
      <c r="AU15" s="213">
        <v>5.4033999999999999E-2</v>
      </c>
      <c r="AV15" s="213">
        <v>-0.127612</v>
      </c>
      <c r="AW15" s="213">
        <v>-0.314299</v>
      </c>
      <c r="AX15" s="213">
        <v>-0.25332399999999999</v>
      </c>
      <c r="AY15" s="213">
        <v>-0.183611</v>
      </c>
      <c r="AZ15" s="213">
        <v>-0.13896600000000001</v>
      </c>
      <c r="BA15" s="213">
        <v>8.8452000000000003E-2</v>
      </c>
      <c r="BB15" s="213">
        <v>0.18066599999999999</v>
      </c>
      <c r="BC15" s="213">
        <v>0.17293600000000001</v>
      </c>
      <c r="BD15" s="213">
        <v>0.1966</v>
      </c>
      <c r="BE15" s="213">
        <v>0.26696999999999999</v>
      </c>
      <c r="BF15" s="213">
        <v>0.21637500000000001</v>
      </c>
      <c r="BG15" s="351">
        <v>3.6243699999999997E-2</v>
      </c>
      <c r="BH15" s="351">
        <v>-0.1060203</v>
      </c>
      <c r="BI15" s="351">
        <v>-0.24677279999999999</v>
      </c>
      <c r="BJ15" s="351">
        <v>-0.2607023</v>
      </c>
      <c r="BK15" s="351">
        <v>-0.20510529999999999</v>
      </c>
      <c r="BL15" s="351">
        <v>-0.12711929999999999</v>
      </c>
      <c r="BM15" s="351">
        <v>7.0656300000000005E-2</v>
      </c>
      <c r="BN15" s="351">
        <v>0.22821369999999999</v>
      </c>
      <c r="BO15" s="351">
        <v>0.27558719999999998</v>
      </c>
      <c r="BP15" s="351">
        <v>0.27228520000000001</v>
      </c>
      <c r="BQ15" s="351">
        <v>0.26696999999999999</v>
      </c>
      <c r="BR15" s="351">
        <v>0.24637500000000001</v>
      </c>
      <c r="BS15" s="351">
        <v>3.6243699999999997E-2</v>
      </c>
      <c r="BT15" s="351">
        <v>-0.1060203</v>
      </c>
      <c r="BU15" s="351">
        <v>-0.24677279999999999</v>
      </c>
      <c r="BV15" s="351">
        <v>-0.2607023</v>
      </c>
    </row>
    <row r="16" spans="1:74" x14ac:dyDescent="0.2">
      <c r="A16" s="616"/>
      <c r="B16" s="155" t="s">
        <v>967</v>
      </c>
      <c r="C16" s="161"/>
      <c r="D16" s="161"/>
      <c r="E16" s="161"/>
      <c r="F16" s="161"/>
      <c r="G16" s="161"/>
      <c r="H16" s="161"/>
      <c r="I16" s="161"/>
      <c r="J16" s="161"/>
      <c r="K16" s="161"/>
      <c r="L16" s="161"/>
      <c r="M16" s="161"/>
      <c r="N16" s="161"/>
      <c r="O16" s="161"/>
      <c r="P16" s="161"/>
      <c r="Q16" s="161"/>
      <c r="R16" s="161"/>
      <c r="S16" s="161"/>
      <c r="T16" s="161"/>
      <c r="U16" s="161"/>
      <c r="V16" s="161"/>
      <c r="W16" s="161"/>
      <c r="X16" s="161"/>
      <c r="Y16" s="161"/>
      <c r="Z16" s="161"/>
      <c r="AA16" s="161"/>
      <c r="AB16" s="161"/>
      <c r="AC16" s="161"/>
      <c r="AD16" s="161"/>
      <c r="AE16" s="161"/>
      <c r="AF16" s="161"/>
      <c r="AG16" s="161"/>
      <c r="AH16" s="161"/>
      <c r="AI16" s="161"/>
      <c r="AJ16" s="161"/>
      <c r="AK16" s="161"/>
      <c r="AL16" s="161"/>
      <c r="AM16" s="161"/>
      <c r="AN16" s="161"/>
      <c r="AO16" s="161"/>
      <c r="AP16" s="161"/>
      <c r="AQ16" s="161"/>
      <c r="AR16" s="161"/>
      <c r="AS16" s="161"/>
      <c r="AT16" s="161"/>
      <c r="AU16" s="161"/>
      <c r="AV16" s="161"/>
      <c r="AW16" s="161"/>
      <c r="AX16" s="161"/>
      <c r="AY16" s="161"/>
      <c r="AZ16" s="161"/>
      <c r="BA16" s="161"/>
      <c r="BB16" s="213"/>
      <c r="BC16" s="213"/>
      <c r="BD16" s="213"/>
      <c r="BE16" s="213"/>
      <c r="BF16" s="213"/>
      <c r="BG16" s="399"/>
      <c r="BH16" s="399"/>
      <c r="BI16" s="399"/>
      <c r="BJ16" s="399"/>
      <c r="BK16" s="399"/>
      <c r="BL16" s="399"/>
      <c r="BM16" s="399"/>
      <c r="BN16" s="399"/>
      <c r="BO16" s="399"/>
      <c r="BP16" s="399"/>
      <c r="BQ16" s="399"/>
      <c r="BR16" s="399"/>
      <c r="BS16" s="399"/>
      <c r="BT16" s="399"/>
      <c r="BU16" s="399"/>
      <c r="BV16" s="399"/>
    </row>
    <row r="17" spans="1:74" x14ac:dyDescent="0.2">
      <c r="A17" s="616" t="s">
        <v>968</v>
      </c>
      <c r="B17" s="617" t="s">
        <v>962</v>
      </c>
      <c r="C17" s="213">
        <v>-2.1484E-2</v>
      </c>
      <c r="D17" s="213">
        <v>-2.1482999999999999E-2</v>
      </c>
      <c r="E17" s="213">
        <v>-2.1323000000000002E-2</v>
      </c>
      <c r="F17" s="213">
        <v>-2.06E-2</v>
      </c>
      <c r="G17" s="213">
        <v>-2.1451999999999999E-2</v>
      </c>
      <c r="H17" s="213">
        <v>-2.2266999999999999E-2</v>
      </c>
      <c r="I17" s="213">
        <v>-2.1419000000000001E-2</v>
      </c>
      <c r="J17" s="213">
        <v>-2.171E-2</v>
      </c>
      <c r="K17" s="213">
        <v>-2.1732999999999999E-2</v>
      </c>
      <c r="L17" s="213">
        <v>-2.1548000000000001E-2</v>
      </c>
      <c r="M17" s="213">
        <v>-2.1867000000000001E-2</v>
      </c>
      <c r="N17" s="213">
        <v>-2.2452E-2</v>
      </c>
      <c r="O17" s="213">
        <v>-2.2225999999999999E-2</v>
      </c>
      <c r="P17" s="213">
        <v>-2.1749999999999999E-2</v>
      </c>
      <c r="Q17" s="213">
        <v>-2.1936000000000001E-2</v>
      </c>
      <c r="R17" s="213">
        <v>-2.0799999999999999E-2</v>
      </c>
      <c r="S17" s="213">
        <v>-2.1323000000000002E-2</v>
      </c>
      <c r="T17" s="213">
        <v>-2.18E-2</v>
      </c>
      <c r="U17" s="213">
        <v>-2.1354999999999999E-2</v>
      </c>
      <c r="V17" s="213">
        <v>-2.2484000000000001E-2</v>
      </c>
      <c r="W17" s="213">
        <v>-2.18E-2</v>
      </c>
      <c r="X17" s="213">
        <v>-2.1676999999999998E-2</v>
      </c>
      <c r="Y17" s="213">
        <v>-2.2433000000000002E-2</v>
      </c>
      <c r="Z17" s="213">
        <v>-2.1516E-2</v>
      </c>
      <c r="AA17" s="213">
        <v>-2.1065E-2</v>
      </c>
      <c r="AB17" s="213">
        <v>-2.0428999999999999E-2</v>
      </c>
      <c r="AC17" s="213">
        <v>-2.0129000000000001E-2</v>
      </c>
      <c r="AD17" s="213">
        <v>-2.0333E-2</v>
      </c>
      <c r="AE17" s="213">
        <v>-2.1580999999999999E-2</v>
      </c>
      <c r="AF17" s="213">
        <v>-2.1132999999999999E-2</v>
      </c>
      <c r="AG17" s="213">
        <v>-2.1807E-2</v>
      </c>
      <c r="AH17" s="213">
        <v>-2.2225999999999999E-2</v>
      </c>
      <c r="AI17" s="213">
        <v>-2.0767000000000001E-2</v>
      </c>
      <c r="AJ17" s="213">
        <v>-2.0032000000000001E-2</v>
      </c>
      <c r="AK17" s="213">
        <v>-2.0433E-2</v>
      </c>
      <c r="AL17" s="213">
        <v>-1.9903000000000001E-2</v>
      </c>
      <c r="AM17" s="213">
        <v>-2.0226000000000001E-2</v>
      </c>
      <c r="AN17" s="213">
        <v>-2.0678999999999999E-2</v>
      </c>
      <c r="AO17" s="213">
        <v>-1.9193999999999999E-2</v>
      </c>
      <c r="AP17" s="213">
        <v>-1.9833E-2</v>
      </c>
      <c r="AQ17" s="213">
        <v>-2.0289999999999999E-2</v>
      </c>
      <c r="AR17" s="213">
        <v>-2.1132999999999999E-2</v>
      </c>
      <c r="AS17" s="213">
        <v>-2.1225999999999998E-2</v>
      </c>
      <c r="AT17" s="213">
        <v>-2.0903000000000001E-2</v>
      </c>
      <c r="AU17" s="213">
        <v>-2.01E-2</v>
      </c>
      <c r="AV17" s="213">
        <v>-2.0645E-2</v>
      </c>
      <c r="AW17" s="213">
        <v>-2.1100000000000001E-2</v>
      </c>
      <c r="AX17" s="213">
        <v>-2.1451999999999999E-2</v>
      </c>
      <c r="AY17" s="213">
        <v>-2.0354000000000001E-2</v>
      </c>
      <c r="AZ17" s="213">
        <v>-1.9723999999999998E-2</v>
      </c>
      <c r="BA17" s="213">
        <v>-1.7999999999999999E-2</v>
      </c>
      <c r="BB17" s="213">
        <v>-1.1133000000000001E-2</v>
      </c>
      <c r="BC17" s="213">
        <v>-1.3644999999999999E-2</v>
      </c>
      <c r="BD17" s="213">
        <v>-1.7867000000000001E-2</v>
      </c>
      <c r="BE17" s="213">
        <v>-1.7909700000000001E-2</v>
      </c>
      <c r="BF17" s="213">
        <v>-1.84426E-2</v>
      </c>
      <c r="BG17" s="351">
        <v>-1.87265E-2</v>
      </c>
      <c r="BH17" s="351">
        <v>-1.8265400000000001E-2</v>
      </c>
      <c r="BI17" s="351">
        <v>-1.9064999999999999E-2</v>
      </c>
      <c r="BJ17" s="351">
        <v>-1.9540200000000001E-2</v>
      </c>
      <c r="BK17" s="351">
        <v>-1.97459E-2</v>
      </c>
      <c r="BL17" s="351">
        <v>-2.0129000000000001E-2</v>
      </c>
      <c r="BM17" s="351">
        <v>-1.9857199999999998E-2</v>
      </c>
      <c r="BN17" s="351">
        <v>-1.9548699999999999E-2</v>
      </c>
      <c r="BO17" s="351">
        <v>-2.01081E-2</v>
      </c>
      <c r="BP17" s="351">
        <v>-2.0312E-2</v>
      </c>
      <c r="BQ17" s="351">
        <v>-2.01788E-2</v>
      </c>
      <c r="BR17" s="351">
        <v>-2.04914E-2</v>
      </c>
      <c r="BS17" s="351">
        <v>-1.9606800000000001E-2</v>
      </c>
      <c r="BT17" s="351">
        <v>-1.99942E-2</v>
      </c>
      <c r="BU17" s="351">
        <v>-2.07227E-2</v>
      </c>
      <c r="BV17" s="351">
        <v>-2.0210599999999999E-2</v>
      </c>
    </row>
    <row r="18" spans="1:74" x14ac:dyDescent="0.2">
      <c r="A18" s="616"/>
      <c r="B18" s="617"/>
      <c r="C18" s="161"/>
      <c r="D18" s="161"/>
      <c r="E18" s="161"/>
      <c r="F18" s="161"/>
      <c r="G18" s="161"/>
      <c r="H18" s="161"/>
      <c r="I18" s="161"/>
      <c r="J18" s="161"/>
      <c r="K18" s="161"/>
      <c r="L18" s="161"/>
      <c r="M18" s="161"/>
      <c r="N18" s="161"/>
      <c r="O18" s="161"/>
      <c r="P18" s="161"/>
      <c r="Q18" s="161"/>
      <c r="R18" s="161"/>
      <c r="S18" s="161"/>
      <c r="T18" s="161"/>
      <c r="U18" s="161"/>
      <c r="V18" s="161"/>
      <c r="W18" s="161"/>
      <c r="X18" s="161"/>
      <c r="Y18" s="161"/>
      <c r="Z18" s="161"/>
      <c r="AA18" s="161"/>
      <c r="AB18" s="161"/>
      <c r="AC18" s="161"/>
      <c r="AD18" s="161"/>
      <c r="AE18" s="161"/>
      <c r="AF18" s="161"/>
      <c r="AG18" s="161"/>
      <c r="AH18" s="161"/>
      <c r="AI18" s="161"/>
      <c r="AJ18" s="161"/>
      <c r="AK18" s="161"/>
      <c r="AL18" s="161"/>
      <c r="AM18" s="161"/>
      <c r="AN18" s="161"/>
      <c r="AO18" s="161"/>
      <c r="AP18" s="161"/>
      <c r="AQ18" s="161"/>
      <c r="AR18" s="161"/>
      <c r="AS18" s="161"/>
      <c r="AT18" s="161"/>
      <c r="AU18" s="161"/>
      <c r="AV18" s="161"/>
      <c r="AW18" s="161"/>
      <c r="AX18" s="161"/>
      <c r="AY18" s="161"/>
      <c r="AZ18" s="161"/>
      <c r="BA18" s="161"/>
      <c r="BB18" s="213"/>
      <c r="BC18" s="213"/>
      <c r="BD18" s="213"/>
      <c r="BE18" s="213"/>
      <c r="BF18" s="213"/>
      <c r="BG18" s="399"/>
      <c r="BH18" s="399"/>
      <c r="BI18" s="399"/>
      <c r="BJ18" s="399"/>
      <c r="BK18" s="399"/>
      <c r="BL18" s="399"/>
      <c r="BM18" s="399"/>
      <c r="BN18" s="399"/>
      <c r="BO18" s="399"/>
      <c r="BP18" s="399"/>
      <c r="BQ18" s="399"/>
      <c r="BR18" s="399"/>
      <c r="BS18" s="399"/>
      <c r="BT18" s="399"/>
      <c r="BU18" s="399"/>
      <c r="BV18" s="399"/>
    </row>
    <row r="19" spans="1:74" x14ac:dyDescent="0.2">
      <c r="A19" s="615"/>
      <c r="B19" s="155" t="s">
        <v>969</v>
      </c>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61"/>
      <c r="AB19" s="161"/>
      <c r="AC19" s="161"/>
      <c r="AD19" s="161"/>
      <c r="AE19" s="161"/>
      <c r="AF19" s="161"/>
      <c r="AG19" s="161"/>
      <c r="AH19" s="161"/>
      <c r="AI19" s="161"/>
      <c r="AJ19" s="161"/>
      <c r="AK19" s="161"/>
      <c r="AL19" s="161"/>
      <c r="AM19" s="161"/>
      <c r="AN19" s="161"/>
      <c r="AO19" s="161"/>
      <c r="AP19" s="161"/>
      <c r="AQ19" s="161"/>
      <c r="AR19" s="161"/>
      <c r="AS19" s="161"/>
      <c r="AT19" s="161"/>
      <c r="AU19" s="161"/>
      <c r="AV19" s="161"/>
      <c r="AW19" s="161"/>
      <c r="AX19" s="161"/>
      <c r="AY19" s="161"/>
      <c r="AZ19" s="161"/>
      <c r="BA19" s="161"/>
      <c r="BB19" s="213"/>
      <c r="BC19" s="213"/>
      <c r="BD19" s="213"/>
      <c r="BE19" s="213"/>
      <c r="BF19" s="213"/>
      <c r="BG19" s="399"/>
      <c r="BH19" s="399"/>
      <c r="BI19" s="399"/>
      <c r="BJ19" s="399"/>
      <c r="BK19" s="399"/>
      <c r="BL19" s="399"/>
      <c r="BM19" s="399"/>
      <c r="BN19" s="399"/>
      <c r="BO19" s="399"/>
      <c r="BP19" s="399"/>
      <c r="BQ19" s="399"/>
      <c r="BR19" s="399"/>
      <c r="BS19" s="399"/>
      <c r="BT19" s="399"/>
      <c r="BU19" s="399"/>
      <c r="BV19" s="399"/>
    </row>
    <row r="20" spans="1:74" x14ac:dyDescent="0.2">
      <c r="A20" s="616" t="s">
        <v>970</v>
      </c>
      <c r="B20" s="617" t="s">
        <v>971</v>
      </c>
      <c r="C20" s="213">
        <v>-8.2807000000000006E-2</v>
      </c>
      <c r="D20" s="213">
        <v>-7.5759000000000007E-2</v>
      </c>
      <c r="E20" s="213">
        <v>-8.4584999999999994E-2</v>
      </c>
      <c r="F20" s="213">
        <v>-8.5793999999999995E-2</v>
      </c>
      <c r="G20" s="213">
        <v>-9.2497999999999997E-2</v>
      </c>
      <c r="H20" s="213">
        <v>-8.0776000000000001E-2</v>
      </c>
      <c r="I20" s="213">
        <v>-9.0852000000000002E-2</v>
      </c>
      <c r="J20" s="213">
        <v>-0.105335</v>
      </c>
      <c r="K20" s="213">
        <v>-0.116413</v>
      </c>
      <c r="L20" s="213">
        <v>-9.1025999999999996E-2</v>
      </c>
      <c r="M20" s="213">
        <v>-9.1443999999999998E-2</v>
      </c>
      <c r="N20" s="213">
        <v>-0.13924700000000001</v>
      </c>
      <c r="O20" s="213">
        <v>-0.13771600000000001</v>
      </c>
      <c r="P20" s="213">
        <v>-0.15329499999999999</v>
      </c>
      <c r="Q20" s="213">
        <v>-0.16963600000000001</v>
      </c>
      <c r="R20" s="213">
        <v>-0.176067</v>
      </c>
      <c r="S20" s="213">
        <v>-0.19095999999999999</v>
      </c>
      <c r="T20" s="213">
        <v>-0.11909500000000001</v>
      </c>
      <c r="U20" s="213">
        <v>-0.19223899999999999</v>
      </c>
      <c r="V20" s="213">
        <v>-0.187523</v>
      </c>
      <c r="W20" s="213">
        <v>-0.22050400000000001</v>
      </c>
      <c r="X20" s="213">
        <v>-0.13878499999999999</v>
      </c>
      <c r="Y20" s="213">
        <v>-0.24393899999999999</v>
      </c>
      <c r="Z20" s="213">
        <v>-0.20061000000000001</v>
      </c>
      <c r="AA20" s="213">
        <v>-0.184973</v>
      </c>
      <c r="AB20" s="213">
        <v>-0.24562999999999999</v>
      </c>
      <c r="AC20" s="213">
        <v>-0.21654799999999999</v>
      </c>
      <c r="AD20" s="213">
        <v>-0.30287500000000001</v>
      </c>
      <c r="AE20" s="213">
        <v>-0.284306</v>
      </c>
      <c r="AF20" s="213">
        <v>-0.26764500000000002</v>
      </c>
      <c r="AG20" s="213">
        <v>-0.210894</v>
      </c>
      <c r="AH20" s="213">
        <v>-0.28439799999999998</v>
      </c>
      <c r="AI20" s="213">
        <v>-0.285329</v>
      </c>
      <c r="AJ20" s="213">
        <v>-0.26346900000000001</v>
      </c>
      <c r="AK20" s="213">
        <v>-0.27021800000000001</v>
      </c>
      <c r="AL20" s="213">
        <v>-0.257023</v>
      </c>
      <c r="AM20" s="213">
        <v>-0.26598300000000002</v>
      </c>
      <c r="AN20" s="213">
        <v>-0.25472499999999998</v>
      </c>
      <c r="AO20" s="213">
        <v>-0.245562</v>
      </c>
      <c r="AP20" s="213">
        <v>-0.25165999999999999</v>
      </c>
      <c r="AQ20" s="213">
        <v>-0.28347899999999998</v>
      </c>
      <c r="AR20" s="213">
        <v>-0.27490900000000001</v>
      </c>
      <c r="AS20" s="213">
        <v>-0.27798800000000001</v>
      </c>
      <c r="AT20" s="213">
        <v>-0.31239800000000001</v>
      </c>
      <c r="AU20" s="213">
        <v>-0.24643300000000001</v>
      </c>
      <c r="AV20" s="213">
        <v>-0.33849000000000001</v>
      </c>
      <c r="AW20" s="213">
        <v>-0.26636700000000002</v>
      </c>
      <c r="AX20" s="213">
        <v>-0.30124299999999998</v>
      </c>
      <c r="AY20" s="213">
        <v>-0.31634800000000002</v>
      </c>
      <c r="AZ20" s="213">
        <v>-0.28421200000000002</v>
      </c>
      <c r="BA20" s="213">
        <v>-0.28920400000000002</v>
      </c>
      <c r="BB20" s="213">
        <v>-0.222913</v>
      </c>
      <c r="BC20" s="213">
        <v>-0.29944300000000001</v>
      </c>
      <c r="BD20" s="213">
        <v>-0.30752600000000002</v>
      </c>
      <c r="BE20" s="213">
        <v>-0.3235884</v>
      </c>
      <c r="BF20" s="213">
        <v>-0.32484459999999998</v>
      </c>
      <c r="BG20" s="351">
        <v>-0.33993820000000002</v>
      </c>
      <c r="BH20" s="351">
        <v>-0.34074310000000002</v>
      </c>
      <c r="BI20" s="351">
        <v>-0.35249570000000002</v>
      </c>
      <c r="BJ20" s="351">
        <v>-0.38067849999999998</v>
      </c>
      <c r="BK20" s="351">
        <v>-0.34817100000000001</v>
      </c>
      <c r="BL20" s="351">
        <v>-0.35694140000000002</v>
      </c>
      <c r="BM20" s="351">
        <v>-0.34907260000000001</v>
      </c>
      <c r="BN20" s="351">
        <v>-0.36464970000000002</v>
      </c>
      <c r="BO20" s="351">
        <v>-0.37783460000000002</v>
      </c>
      <c r="BP20" s="351">
        <v>-0.36862709999999999</v>
      </c>
      <c r="BQ20" s="351">
        <v>-0.36996770000000001</v>
      </c>
      <c r="BR20" s="351">
        <v>-0.38400659999999998</v>
      </c>
      <c r="BS20" s="351">
        <v>-0.3808473</v>
      </c>
      <c r="BT20" s="351">
        <v>-0.37113950000000001</v>
      </c>
      <c r="BU20" s="351">
        <v>-0.37375370000000002</v>
      </c>
      <c r="BV20" s="351">
        <v>-0.38914939999999998</v>
      </c>
    </row>
    <row r="21" spans="1:74" x14ac:dyDescent="0.2">
      <c r="A21" s="616" t="s">
        <v>972</v>
      </c>
      <c r="B21" s="617" t="s">
        <v>981</v>
      </c>
      <c r="C21" s="213">
        <v>-0.70120400000000005</v>
      </c>
      <c r="D21" s="213">
        <v>-0.66364800000000002</v>
      </c>
      <c r="E21" s="213">
        <v>-0.54281100000000004</v>
      </c>
      <c r="F21" s="213">
        <v>-0.58425000000000005</v>
      </c>
      <c r="G21" s="213">
        <v>-0.74161600000000005</v>
      </c>
      <c r="H21" s="213">
        <v>-0.65653700000000004</v>
      </c>
      <c r="I21" s="213">
        <v>-0.63570000000000004</v>
      </c>
      <c r="J21" s="213">
        <v>-0.54196800000000001</v>
      </c>
      <c r="K21" s="213">
        <v>-0.53085700000000002</v>
      </c>
      <c r="L21" s="213">
        <v>-0.728043</v>
      </c>
      <c r="M21" s="213">
        <v>-0.66368300000000002</v>
      </c>
      <c r="N21" s="213">
        <v>-0.88667200000000002</v>
      </c>
      <c r="O21" s="213">
        <v>-0.85418300000000003</v>
      </c>
      <c r="P21" s="213">
        <v>-0.72855899999999996</v>
      </c>
      <c r="Q21" s="213">
        <v>-0.80412899999999998</v>
      </c>
      <c r="R21" s="213">
        <v>-0.80268200000000001</v>
      </c>
      <c r="S21" s="213">
        <v>-0.73609599999999997</v>
      </c>
      <c r="T21" s="213">
        <v>-0.63729000000000002</v>
      </c>
      <c r="U21" s="213">
        <v>-0.68186100000000005</v>
      </c>
      <c r="V21" s="213">
        <v>-0.593638</v>
      </c>
      <c r="W21" s="213">
        <v>-0.78761599999999998</v>
      </c>
      <c r="X21" s="213">
        <v>-0.90434800000000004</v>
      </c>
      <c r="Y21" s="213">
        <v>-0.75348999999999999</v>
      </c>
      <c r="Z21" s="213">
        <v>-0.80307700000000004</v>
      </c>
      <c r="AA21" s="213">
        <v>-0.60976799999999998</v>
      </c>
      <c r="AB21" s="213">
        <v>-0.62160599999999999</v>
      </c>
      <c r="AC21" s="213">
        <v>-0.71706999999999999</v>
      </c>
      <c r="AD21" s="213">
        <v>-0.73491899999999999</v>
      </c>
      <c r="AE21" s="213">
        <v>-0.86770599999999998</v>
      </c>
      <c r="AF21" s="213">
        <v>-0.77149299999999998</v>
      </c>
      <c r="AG21" s="213">
        <v>-0.94977900000000004</v>
      </c>
      <c r="AH21" s="213">
        <v>-0.91164299999999998</v>
      </c>
      <c r="AI21" s="213">
        <v>-0.69972199999999996</v>
      </c>
      <c r="AJ21" s="213">
        <v>-0.78050200000000003</v>
      </c>
      <c r="AK21" s="213">
        <v>-0.86913300000000004</v>
      </c>
      <c r="AL21" s="213">
        <v>-0.95758699999999997</v>
      </c>
      <c r="AM21" s="213">
        <v>-0.80049899999999996</v>
      </c>
      <c r="AN21" s="213">
        <v>-0.70601499999999995</v>
      </c>
      <c r="AO21" s="213">
        <v>-0.73214999999999997</v>
      </c>
      <c r="AP21" s="213">
        <v>-1.023512</v>
      </c>
      <c r="AQ21" s="213">
        <v>-0.95669999999999999</v>
      </c>
      <c r="AR21" s="213">
        <v>-1.0334300000000001</v>
      </c>
      <c r="AS21" s="213">
        <v>-1.066152</v>
      </c>
      <c r="AT21" s="213">
        <v>-0.913327</v>
      </c>
      <c r="AU21" s="213">
        <v>-1.0048490000000001</v>
      </c>
      <c r="AV21" s="213">
        <v>-1.0374110000000001</v>
      </c>
      <c r="AW21" s="213">
        <v>-1.0142910000000001</v>
      </c>
      <c r="AX21" s="213">
        <v>-1.0858749999999999</v>
      </c>
      <c r="AY21" s="213">
        <v>-1.0956669999999999</v>
      </c>
      <c r="AZ21" s="213">
        <v>-1.0621769999999999</v>
      </c>
      <c r="BA21" s="213">
        <v>-1.2108350000000001</v>
      </c>
      <c r="BB21" s="213">
        <v>-1.1082380000000001</v>
      </c>
      <c r="BC21" s="213">
        <v>-0.96004199999999995</v>
      </c>
      <c r="BD21" s="213">
        <v>-1.1785319999999999</v>
      </c>
      <c r="BE21" s="213">
        <v>-0.99793548386999997</v>
      </c>
      <c r="BF21" s="213">
        <v>-1.0253070968</v>
      </c>
      <c r="BG21" s="351">
        <v>-1.0030589999999999</v>
      </c>
      <c r="BH21" s="351">
        <v>-1.0497920000000001</v>
      </c>
      <c r="BI21" s="351">
        <v>-1.0404329999999999</v>
      </c>
      <c r="BJ21" s="351">
        <v>-1.1091569999999999</v>
      </c>
      <c r="BK21" s="351">
        <v>-0.9989479</v>
      </c>
      <c r="BL21" s="351">
        <v>-0.95858359999999998</v>
      </c>
      <c r="BM21" s="351">
        <v>-0.99714709999999995</v>
      </c>
      <c r="BN21" s="351">
        <v>-1.040333</v>
      </c>
      <c r="BO21" s="351">
        <v>-1.0605279999999999</v>
      </c>
      <c r="BP21" s="351">
        <v>-1.0153559999999999</v>
      </c>
      <c r="BQ21" s="351">
        <v>-1.0547169999999999</v>
      </c>
      <c r="BR21" s="351">
        <v>-0.99724820000000003</v>
      </c>
      <c r="BS21" s="351">
        <v>-0.99822319999999998</v>
      </c>
      <c r="BT21" s="351">
        <v>-1.049749</v>
      </c>
      <c r="BU21" s="351">
        <v>-1.0355909999999999</v>
      </c>
      <c r="BV21" s="351">
        <v>-1.1041719999999999</v>
      </c>
    </row>
    <row r="22" spans="1:74" x14ac:dyDescent="0.2">
      <c r="A22" s="616" t="s">
        <v>973</v>
      </c>
      <c r="B22" s="617" t="s">
        <v>974</v>
      </c>
      <c r="C22" s="213">
        <v>-5.4113000000000001E-2</v>
      </c>
      <c r="D22" s="213">
        <v>-4.2937999999999997E-2</v>
      </c>
      <c r="E22" s="213">
        <v>-9.7968E-2</v>
      </c>
      <c r="F22" s="213">
        <v>-0.12845400000000001</v>
      </c>
      <c r="G22" s="213">
        <v>-0.142425</v>
      </c>
      <c r="H22" s="213">
        <v>-9.2171000000000003E-2</v>
      </c>
      <c r="I22" s="213">
        <v>-8.0568000000000001E-2</v>
      </c>
      <c r="J22" s="213">
        <v>-6.2594999999999998E-2</v>
      </c>
      <c r="K22" s="213">
        <v>-0.10978499999999999</v>
      </c>
      <c r="L22" s="213">
        <v>-9.3952999999999995E-2</v>
      </c>
      <c r="M22" s="213">
        <v>-0.120063</v>
      </c>
      <c r="N22" s="213">
        <v>-7.2202000000000002E-2</v>
      </c>
      <c r="O22" s="213">
        <v>-1.7735999999999998E-2</v>
      </c>
      <c r="P22" s="213">
        <v>-8.4909999999999999E-2</v>
      </c>
      <c r="Q22" s="213">
        <v>-0.144922</v>
      </c>
      <c r="R22" s="213">
        <v>-0.158522</v>
      </c>
      <c r="S22" s="213">
        <v>-9.1484999999999997E-2</v>
      </c>
      <c r="T22" s="213">
        <v>-0.13181499999999999</v>
      </c>
      <c r="U22" s="213">
        <v>-8.3065E-2</v>
      </c>
      <c r="V22" s="213">
        <v>-0.13978399999999999</v>
      </c>
      <c r="W22" s="213">
        <v>-9.9971000000000004E-2</v>
      </c>
      <c r="X22" s="213">
        <v>-7.9181000000000001E-2</v>
      </c>
      <c r="Y22" s="213">
        <v>-0.12547</v>
      </c>
      <c r="Z22" s="213">
        <v>-0.13306699999999999</v>
      </c>
      <c r="AA22" s="213">
        <v>-0.20010900000000001</v>
      </c>
      <c r="AB22" s="213">
        <v>-0.137271</v>
      </c>
      <c r="AC22" s="213">
        <v>-0.121147</v>
      </c>
      <c r="AD22" s="213">
        <v>-0.233844</v>
      </c>
      <c r="AE22" s="213">
        <v>-0.20894399999999999</v>
      </c>
      <c r="AF22" s="213">
        <v>-0.20555799999999999</v>
      </c>
      <c r="AG22" s="213">
        <v>-0.17005400000000001</v>
      </c>
      <c r="AH22" s="213">
        <v>-0.145651</v>
      </c>
      <c r="AI22" s="213">
        <v>-0.24294499999999999</v>
      </c>
      <c r="AJ22" s="213">
        <v>-0.193769</v>
      </c>
      <c r="AK22" s="213">
        <v>-0.15851499999999999</v>
      </c>
      <c r="AL22" s="213">
        <v>-6.5434000000000006E-2</v>
      </c>
      <c r="AM22" s="213">
        <v>-9.1320999999999999E-2</v>
      </c>
      <c r="AN22" s="213">
        <v>-0.10777200000000001</v>
      </c>
      <c r="AO22" s="213">
        <v>-0.21798100000000001</v>
      </c>
      <c r="AP22" s="213">
        <v>-0.27332000000000001</v>
      </c>
      <c r="AQ22" s="213">
        <v>-0.232178</v>
      </c>
      <c r="AR22" s="213">
        <v>-0.25698599999999999</v>
      </c>
      <c r="AS22" s="213">
        <v>-0.22805800000000001</v>
      </c>
      <c r="AT22" s="213">
        <v>-0.27643699999999999</v>
      </c>
      <c r="AU22" s="213">
        <v>-0.28084599999999998</v>
      </c>
      <c r="AV22" s="213">
        <v>-0.28472599999999998</v>
      </c>
      <c r="AW22" s="213">
        <v>-0.25609900000000002</v>
      </c>
      <c r="AX22" s="213">
        <v>-0.2036</v>
      </c>
      <c r="AY22" s="213">
        <v>-0.26675599999999999</v>
      </c>
      <c r="AZ22" s="213">
        <v>-0.33626299999999998</v>
      </c>
      <c r="BA22" s="213">
        <v>-0.297879</v>
      </c>
      <c r="BB22" s="213">
        <v>-0.33552500000000002</v>
      </c>
      <c r="BC22" s="213">
        <v>-0.33426899999999998</v>
      </c>
      <c r="BD22" s="213">
        <v>-0.26640399999999997</v>
      </c>
      <c r="BE22" s="213">
        <v>-0.32606279999999999</v>
      </c>
      <c r="BF22" s="213">
        <v>-0.35673949999999999</v>
      </c>
      <c r="BG22" s="351">
        <v>-0.33258579999999999</v>
      </c>
      <c r="BH22" s="351">
        <v>-0.30141689999999999</v>
      </c>
      <c r="BI22" s="351">
        <v>-0.28370699999999999</v>
      </c>
      <c r="BJ22" s="351">
        <v>-0.25026569999999998</v>
      </c>
      <c r="BK22" s="351">
        <v>-0.2179836</v>
      </c>
      <c r="BL22" s="351">
        <v>-0.23634959999999999</v>
      </c>
      <c r="BM22" s="351">
        <v>-0.29913600000000001</v>
      </c>
      <c r="BN22" s="351">
        <v>-0.31163639999999998</v>
      </c>
      <c r="BO22" s="351">
        <v>-0.317552</v>
      </c>
      <c r="BP22" s="351">
        <v>-0.3263142</v>
      </c>
      <c r="BQ22" s="351">
        <v>-0.31351129999999999</v>
      </c>
      <c r="BR22" s="351">
        <v>-0.3350513</v>
      </c>
      <c r="BS22" s="351">
        <v>-0.32248209999999999</v>
      </c>
      <c r="BT22" s="351">
        <v>-0.2735127</v>
      </c>
      <c r="BU22" s="351">
        <v>-0.26287729999999998</v>
      </c>
      <c r="BV22" s="351">
        <v>-0.25157980000000002</v>
      </c>
    </row>
    <row r="23" spans="1:74" x14ac:dyDescent="0.2">
      <c r="A23" s="616" t="s">
        <v>182</v>
      </c>
      <c r="B23" s="617" t="s">
        <v>975</v>
      </c>
      <c r="C23" s="213">
        <v>-0.18809500000000001</v>
      </c>
      <c r="D23" s="213">
        <v>-0.212949</v>
      </c>
      <c r="E23" s="213">
        <v>-0.199797</v>
      </c>
      <c r="F23" s="213">
        <v>-0.20981900000000001</v>
      </c>
      <c r="G23" s="213">
        <v>-0.218667</v>
      </c>
      <c r="H23" s="213">
        <v>-0.16676099999999999</v>
      </c>
      <c r="I23" s="213">
        <v>-0.19217000000000001</v>
      </c>
      <c r="J23" s="213">
        <v>-0.18978999999999999</v>
      </c>
      <c r="K23" s="213">
        <v>-0.19400000000000001</v>
      </c>
      <c r="L23" s="213">
        <v>-0.15138399999999999</v>
      </c>
      <c r="M23" s="213">
        <v>-0.172595</v>
      </c>
      <c r="N23" s="213">
        <v>-0.15956200000000001</v>
      </c>
      <c r="O23" s="213">
        <v>-0.15914200000000001</v>
      </c>
      <c r="P23" s="213">
        <v>-0.217719</v>
      </c>
      <c r="Q23" s="213">
        <v>-0.16941000000000001</v>
      </c>
      <c r="R23" s="213">
        <v>-0.18615599999999999</v>
      </c>
      <c r="S23" s="213">
        <v>-0.16022600000000001</v>
      </c>
      <c r="T23" s="213">
        <v>-0.20535999999999999</v>
      </c>
      <c r="U23" s="213">
        <v>-0.172542</v>
      </c>
      <c r="V23" s="213">
        <v>-0.14993500000000001</v>
      </c>
      <c r="W23" s="213">
        <v>-0.164046</v>
      </c>
      <c r="X23" s="213">
        <v>-0.123282</v>
      </c>
      <c r="Y23" s="213">
        <v>-0.14918400000000001</v>
      </c>
      <c r="Z23" s="213">
        <v>-0.13839799999999999</v>
      </c>
      <c r="AA23" s="213">
        <v>-0.18815299999999999</v>
      </c>
      <c r="AB23" s="213">
        <v>-0.201179</v>
      </c>
      <c r="AC23" s="213">
        <v>-0.155752</v>
      </c>
      <c r="AD23" s="213">
        <v>-0.23050699999999999</v>
      </c>
      <c r="AE23" s="213">
        <v>-0.23402700000000001</v>
      </c>
      <c r="AF23" s="213">
        <v>-0.237952</v>
      </c>
      <c r="AG23" s="213">
        <v>-0.171232</v>
      </c>
      <c r="AH23" s="213">
        <v>-0.15843699999999999</v>
      </c>
      <c r="AI23" s="213">
        <v>-0.182531</v>
      </c>
      <c r="AJ23" s="213">
        <v>-0.17830299999999999</v>
      </c>
      <c r="AK23" s="213">
        <v>-0.133274</v>
      </c>
      <c r="AL23" s="213">
        <v>-0.122686</v>
      </c>
      <c r="AM23" s="213">
        <v>-0.106517</v>
      </c>
      <c r="AN23" s="213">
        <v>-0.20202999999999999</v>
      </c>
      <c r="AO23" s="213">
        <v>-0.201677</v>
      </c>
      <c r="AP23" s="213">
        <v>-0.16669999999999999</v>
      </c>
      <c r="AQ23" s="213">
        <v>-0.14588999999999999</v>
      </c>
      <c r="AR23" s="213">
        <v>-0.12500700000000001</v>
      </c>
      <c r="AS23" s="213">
        <v>-0.14049800000000001</v>
      </c>
      <c r="AT23" s="213">
        <v>-0.15157499999999999</v>
      </c>
      <c r="AU23" s="213">
        <v>-0.17624600000000001</v>
      </c>
      <c r="AV23" s="213">
        <v>-0.22196099999999999</v>
      </c>
      <c r="AW23" s="213">
        <v>-0.25397700000000001</v>
      </c>
      <c r="AX23" s="213">
        <v>-0.16434199999999999</v>
      </c>
      <c r="AY23" s="213">
        <v>-0.27481899999999998</v>
      </c>
      <c r="AZ23" s="213">
        <v>-0.36200100000000002</v>
      </c>
      <c r="BA23" s="213">
        <v>-0.18113799999999999</v>
      </c>
      <c r="BB23" s="213">
        <v>-0.27265099999999998</v>
      </c>
      <c r="BC23" s="213">
        <v>-0.13561799999999999</v>
      </c>
      <c r="BD23" s="213">
        <v>-0.17023199999999999</v>
      </c>
      <c r="BE23" s="213">
        <v>-0.22247049999999999</v>
      </c>
      <c r="BF23" s="213">
        <v>-0.2938944</v>
      </c>
      <c r="BG23" s="351">
        <v>-0.29669970000000001</v>
      </c>
      <c r="BH23" s="351">
        <v>-0.25608399999999998</v>
      </c>
      <c r="BI23" s="351">
        <v>-0.2449644</v>
      </c>
      <c r="BJ23" s="351">
        <v>-0.2346279</v>
      </c>
      <c r="BK23" s="351">
        <v>-0.26832820000000002</v>
      </c>
      <c r="BL23" s="351">
        <v>-0.29881049999999998</v>
      </c>
      <c r="BM23" s="351">
        <v>-0.27259090000000002</v>
      </c>
      <c r="BN23" s="351">
        <v>-0.2729878</v>
      </c>
      <c r="BO23" s="351">
        <v>-0.27458159999999998</v>
      </c>
      <c r="BP23" s="351">
        <v>-0.27347290000000002</v>
      </c>
      <c r="BQ23" s="351">
        <v>-0.28803380000000001</v>
      </c>
      <c r="BR23" s="351">
        <v>-0.28176849999999998</v>
      </c>
      <c r="BS23" s="351">
        <v>-0.28617389999999998</v>
      </c>
      <c r="BT23" s="351">
        <v>-0.27289239999999998</v>
      </c>
      <c r="BU23" s="351">
        <v>-0.2699703</v>
      </c>
      <c r="BV23" s="351">
        <v>-0.25964110000000001</v>
      </c>
    </row>
    <row r="24" spans="1:74" x14ac:dyDescent="0.2">
      <c r="A24" s="616"/>
      <c r="B24" s="617"/>
      <c r="C24" s="161"/>
      <c r="D24" s="161"/>
      <c r="E24" s="161"/>
      <c r="F24" s="161"/>
      <c r="G24" s="161"/>
      <c r="H24" s="161"/>
      <c r="I24" s="161"/>
      <c r="J24" s="161"/>
      <c r="K24" s="161"/>
      <c r="L24" s="161"/>
      <c r="M24" s="161"/>
      <c r="N24" s="161"/>
      <c r="O24" s="161"/>
      <c r="P24" s="161"/>
      <c r="Q24" s="161"/>
      <c r="R24" s="161"/>
      <c r="S24" s="161"/>
      <c r="T24" s="161"/>
      <c r="U24" s="161"/>
      <c r="V24" s="161"/>
      <c r="W24" s="161"/>
      <c r="X24" s="161"/>
      <c r="Y24" s="161"/>
      <c r="Z24" s="161"/>
      <c r="AA24" s="161"/>
      <c r="AB24" s="161"/>
      <c r="AC24" s="161"/>
      <c r="AD24" s="161"/>
      <c r="AE24" s="161"/>
      <c r="AF24" s="161"/>
      <c r="AG24" s="161"/>
      <c r="AH24" s="161"/>
      <c r="AI24" s="161"/>
      <c r="AJ24" s="161"/>
      <c r="AK24" s="161"/>
      <c r="AL24" s="161"/>
      <c r="AM24" s="161"/>
      <c r="AN24" s="161"/>
      <c r="AO24" s="161"/>
      <c r="AP24" s="161"/>
      <c r="AQ24" s="161"/>
      <c r="AR24" s="161"/>
      <c r="AS24" s="161"/>
      <c r="AT24" s="161"/>
      <c r="AU24" s="161"/>
      <c r="AV24" s="161"/>
      <c r="AW24" s="161"/>
      <c r="AX24" s="161"/>
      <c r="AY24" s="161"/>
      <c r="AZ24" s="161"/>
      <c r="BA24" s="161"/>
      <c r="BB24" s="213"/>
      <c r="BC24" s="213"/>
      <c r="BD24" s="213"/>
      <c r="BE24" s="213"/>
      <c r="BF24" s="213"/>
      <c r="BG24" s="399"/>
      <c r="BH24" s="399"/>
      <c r="BI24" s="399"/>
      <c r="BJ24" s="399"/>
      <c r="BK24" s="399"/>
      <c r="BL24" s="399"/>
      <c r="BM24" s="399"/>
      <c r="BN24" s="399"/>
      <c r="BO24" s="399"/>
      <c r="BP24" s="399"/>
      <c r="BQ24" s="399"/>
      <c r="BR24" s="399"/>
      <c r="BS24" s="399"/>
      <c r="BT24" s="399"/>
      <c r="BU24" s="399"/>
      <c r="BV24" s="399"/>
    </row>
    <row r="25" spans="1:74" x14ac:dyDescent="0.2">
      <c r="A25" s="615"/>
      <c r="B25" s="155" t="s">
        <v>976</v>
      </c>
      <c r="C25" s="161"/>
      <c r="D25" s="161"/>
      <c r="E25" s="161"/>
      <c r="F25" s="161"/>
      <c r="G25" s="161"/>
      <c r="H25" s="161"/>
      <c r="I25" s="161"/>
      <c r="J25" s="161"/>
      <c r="K25" s="161"/>
      <c r="L25" s="161"/>
      <c r="M25" s="161"/>
      <c r="N25" s="161"/>
      <c r="O25" s="161"/>
      <c r="P25" s="161"/>
      <c r="Q25" s="161"/>
      <c r="R25" s="161"/>
      <c r="S25" s="161"/>
      <c r="T25" s="161"/>
      <c r="U25" s="161"/>
      <c r="V25" s="161"/>
      <c r="W25" s="161"/>
      <c r="X25" s="161"/>
      <c r="Y25" s="161"/>
      <c r="Z25" s="161"/>
      <c r="AA25" s="161"/>
      <c r="AB25" s="161"/>
      <c r="AC25" s="161"/>
      <c r="AD25" s="161"/>
      <c r="AE25" s="161"/>
      <c r="AF25" s="161"/>
      <c r="AG25" s="161"/>
      <c r="AH25" s="161"/>
      <c r="AI25" s="161"/>
      <c r="AJ25" s="161"/>
      <c r="AK25" s="161"/>
      <c r="AL25" s="161"/>
      <c r="AM25" s="161"/>
      <c r="AN25" s="161"/>
      <c r="AO25" s="161"/>
      <c r="AP25" s="161"/>
      <c r="AQ25" s="161"/>
      <c r="AR25" s="161"/>
      <c r="AS25" s="161"/>
      <c r="AT25" s="161"/>
      <c r="AU25" s="161"/>
      <c r="AV25" s="161"/>
      <c r="AW25" s="161"/>
      <c r="AX25" s="161"/>
      <c r="AY25" s="161"/>
      <c r="AZ25" s="161"/>
      <c r="BA25" s="161"/>
      <c r="BB25" s="213"/>
      <c r="BC25" s="213"/>
      <c r="BD25" s="213"/>
      <c r="BE25" s="213"/>
      <c r="BF25" s="213"/>
      <c r="BG25" s="399"/>
      <c r="BH25" s="399"/>
      <c r="BI25" s="399"/>
      <c r="BJ25" s="399"/>
      <c r="BK25" s="399"/>
      <c r="BL25" s="399"/>
      <c r="BM25" s="399"/>
      <c r="BN25" s="399"/>
      <c r="BO25" s="399"/>
      <c r="BP25" s="399"/>
      <c r="BQ25" s="399"/>
      <c r="BR25" s="399"/>
      <c r="BS25" s="399"/>
      <c r="BT25" s="399"/>
      <c r="BU25" s="399"/>
      <c r="BV25" s="399"/>
    </row>
    <row r="26" spans="1:74" x14ac:dyDescent="0.2">
      <c r="A26" s="616" t="s">
        <v>977</v>
      </c>
      <c r="B26" s="617" t="s">
        <v>974</v>
      </c>
      <c r="C26" s="213">
        <v>0.51516099999999998</v>
      </c>
      <c r="D26" s="213">
        <v>0.43186200000000002</v>
      </c>
      <c r="E26" s="213">
        <v>0.34709699999999999</v>
      </c>
      <c r="F26" s="213">
        <v>0.31176700000000002</v>
      </c>
      <c r="G26" s="213">
        <v>0.26957999999999999</v>
      </c>
      <c r="H26" s="213">
        <v>0.27786699999999998</v>
      </c>
      <c r="I26" s="213">
        <v>0.28154899999999999</v>
      </c>
      <c r="J26" s="213">
        <v>0.28545199999999998</v>
      </c>
      <c r="K26" s="213">
        <v>0.39329999999999998</v>
      </c>
      <c r="L26" s="213">
        <v>0.48706500000000003</v>
      </c>
      <c r="M26" s="213">
        <v>0.55526699999999996</v>
      </c>
      <c r="N26" s="213">
        <v>0.53529000000000004</v>
      </c>
      <c r="O26" s="213">
        <v>0.50493500000000002</v>
      </c>
      <c r="P26" s="213">
        <v>0.43707200000000002</v>
      </c>
      <c r="Q26" s="213">
        <v>0.34867700000000001</v>
      </c>
      <c r="R26" s="213">
        <v>0.31846600000000003</v>
      </c>
      <c r="S26" s="213">
        <v>0.29232200000000003</v>
      </c>
      <c r="T26" s="213">
        <v>0.282833</v>
      </c>
      <c r="U26" s="213">
        <v>0.29109699999999999</v>
      </c>
      <c r="V26" s="213">
        <v>0.28880699999999998</v>
      </c>
      <c r="W26" s="213">
        <v>0.40510000000000002</v>
      </c>
      <c r="X26" s="213">
        <v>0.42399999999999999</v>
      </c>
      <c r="Y26" s="213">
        <v>0.53320000000000001</v>
      </c>
      <c r="Z26" s="213">
        <v>0.55058099999999999</v>
      </c>
      <c r="AA26" s="213">
        <v>0.47522599999999998</v>
      </c>
      <c r="AB26" s="213">
        <v>0.4955</v>
      </c>
      <c r="AC26" s="213">
        <v>0.396032</v>
      </c>
      <c r="AD26" s="213">
        <v>0.33793299999999998</v>
      </c>
      <c r="AE26" s="213">
        <v>0.29158099999999998</v>
      </c>
      <c r="AF26" s="213">
        <v>0.28389999999999999</v>
      </c>
      <c r="AG26" s="213">
        <v>0.26480700000000001</v>
      </c>
      <c r="AH26" s="213">
        <v>0.30364600000000003</v>
      </c>
      <c r="AI26" s="213">
        <v>0.39916600000000002</v>
      </c>
      <c r="AJ26" s="213">
        <v>0.50209700000000002</v>
      </c>
      <c r="AK26" s="213">
        <v>0.58096599999999998</v>
      </c>
      <c r="AL26" s="213">
        <v>0.58438699999999999</v>
      </c>
      <c r="AM26" s="213">
        <v>0.53335500000000002</v>
      </c>
      <c r="AN26" s="213">
        <v>0.456071</v>
      </c>
      <c r="AO26" s="213">
        <v>0.37861299999999998</v>
      </c>
      <c r="AP26" s="213">
        <v>0.32503300000000002</v>
      </c>
      <c r="AQ26" s="213">
        <v>0.275613</v>
      </c>
      <c r="AR26" s="213">
        <v>0.25883400000000001</v>
      </c>
      <c r="AS26" s="213">
        <v>0.268484</v>
      </c>
      <c r="AT26" s="213">
        <v>0.29877399999999998</v>
      </c>
      <c r="AU26" s="213">
        <v>0.42036699999999999</v>
      </c>
      <c r="AV26" s="213">
        <v>0.51129100000000005</v>
      </c>
      <c r="AW26" s="213">
        <v>0.5696</v>
      </c>
      <c r="AX26" s="213">
        <v>0.55051600000000001</v>
      </c>
      <c r="AY26" s="213">
        <v>0.53619300000000003</v>
      </c>
      <c r="AZ26" s="213">
        <v>0.473138</v>
      </c>
      <c r="BA26" s="213">
        <v>0.37070999999999998</v>
      </c>
      <c r="BB26" s="213">
        <v>0.23119999999999999</v>
      </c>
      <c r="BC26" s="213">
        <v>0.240452</v>
      </c>
      <c r="BD26" s="213">
        <v>0.27333400000000002</v>
      </c>
      <c r="BE26" s="213">
        <v>0.23160259999999999</v>
      </c>
      <c r="BF26" s="213">
        <v>0.24065990000000001</v>
      </c>
      <c r="BG26" s="351">
        <v>0.38759670000000002</v>
      </c>
      <c r="BH26" s="351">
        <v>0.43405129999999997</v>
      </c>
      <c r="BI26" s="351">
        <v>0.51276540000000004</v>
      </c>
      <c r="BJ26" s="351">
        <v>0.51159129999999997</v>
      </c>
      <c r="BK26" s="351">
        <v>0.44998450000000001</v>
      </c>
      <c r="BL26" s="351">
        <v>0.41241810000000001</v>
      </c>
      <c r="BM26" s="351">
        <v>0.34000370000000002</v>
      </c>
      <c r="BN26" s="351">
        <v>0.31140800000000002</v>
      </c>
      <c r="BO26" s="351">
        <v>0.28726869999999999</v>
      </c>
      <c r="BP26" s="351">
        <v>0.28217320000000001</v>
      </c>
      <c r="BQ26" s="351">
        <v>0.28493889999999999</v>
      </c>
      <c r="BR26" s="351">
        <v>0.29343269999999999</v>
      </c>
      <c r="BS26" s="351">
        <v>0.40819440000000001</v>
      </c>
      <c r="BT26" s="351">
        <v>0.469003</v>
      </c>
      <c r="BU26" s="351">
        <v>0.54586219999999996</v>
      </c>
      <c r="BV26" s="351">
        <v>0.52988089999999999</v>
      </c>
    </row>
    <row r="27" spans="1:74" x14ac:dyDescent="0.2">
      <c r="A27" s="616" t="s">
        <v>767</v>
      </c>
      <c r="B27" s="617" t="s">
        <v>975</v>
      </c>
      <c r="C27" s="213">
        <v>0.157226</v>
      </c>
      <c r="D27" s="213">
        <v>0.136655</v>
      </c>
      <c r="E27" s="213">
        <v>0.14016100000000001</v>
      </c>
      <c r="F27" s="213">
        <v>0.140433</v>
      </c>
      <c r="G27" s="213">
        <v>0.15058099999999999</v>
      </c>
      <c r="H27" s="213">
        <v>0.15459999999999999</v>
      </c>
      <c r="I27" s="213">
        <v>0.14341899999999999</v>
      </c>
      <c r="J27" s="213">
        <v>0.14116100000000001</v>
      </c>
      <c r="K27" s="213">
        <v>0.154033</v>
      </c>
      <c r="L27" s="213">
        <v>0.145677</v>
      </c>
      <c r="M27" s="213">
        <v>0.14360000000000001</v>
      </c>
      <c r="N27" s="213">
        <v>0.13825799999999999</v>
      </c>
      <c r="O27" s="213">
        <v>0.14435500000000001</v>
      </c>
      <c r="P27" s="213">
        <v>0.14960699999999999</v>
      </c>
      <c r="Q27" s="213">
        <v>0.170742</v>
      </c>
      <c r="R27" s="213">
        <v>0.159467</v>
      </c>
      <c r="S27" s="213">
        <v>0.191355</v>
      </c>
      <c r="T27" s="213">
        <v>0.1905</v>
      </c>
      <c r="U27" s="213">
        <v>0.154645</v>
      </c>
      <c r="V27" s="213">
        <v>0.19151599999999999</v>
      </c>
      <c r="W27" s="213">
        <v>0.20039999999999999</v>
      </c>
      <c r="X27" s="213">
        <v>0.16906499999999999</v>
      </c>
      <c r="Y27" s="213">
        <v>0.19766700000000001</v>
      </c>
      <c r="Z27" s="213">
        <v>0.19961300000000001</v>
      </c>
      <c r="AA27" s="213">
        <v>0.154645</v>
      </c>
      <c r="AB27" s="213">
        <v>0.13375000000000001</v>
      </c>
      <c r="AC27" s="213">
        <v>0.16006500000000001</v>
      </c>
      <c r="AD27" s="213">
        <v>0.1593</v>
      </c>
      <c r="AE27" s="213">
        <v>0.162129</v>
      </c>
      <c r="AF27" s="213">
        <v>0.171767</v>
      </c>
      <c r="AG27" s="213">
        <v>0.17751600000000001</v>
      </c>
      <c r="AH27" s="213">
        <v>0.200548</v>
      </c>
      <c r="AI27" s="213">
        <v>0.166267</v>
      </c>
      <c r="AJ27" s="213">
        <v>0.18454799999999999</v>
      </c>
      <c r="AK27" s="213">
        <v>0.16536699999999999</v>
      </c>
      <c r="AL27" s="213">
        <v>0.14758099999999999</v>
      </c>
      <c r="AM27" s="213">
        <v>0.14158100000000001</v>
      </c>
      <c r="AN27" s="213">
        <v>0.13564300000000001</v>
      </c>
      <c r="AO27" s="213">
        <v>0.13325799999999999</v>
      </c>
      <c r="AP27" s="213">
        <v>0.16070000000000001</v>
      </c>
      <c r="AQ27" s="213">
        <v>0.18429000000000001</v>
      </c>
      <c r="AR27" s="213">
        <v>0.17263300000000001</v>
      </c>
      <c r="AS27" s="213">
        <v>0.179452</v>
      </c>
      <c r="AT27" s="213">
        <v>0.18196799999999999</v>
      </c>
      <c r="AU27" s="213">
        <v>0.18029999999999999</v>
      </c>
      <c r="AV27" s="213">
        <v>0.200516</v>
      </c>
      <c r="AW27" s="213">
        <v>0.17403299999999999</v>
      </c>
      <c r="AX27" s="213">
        <v>0.165129</v>
      </c>
      <c r="AY27" s="213">
        <v>0.16287099999999999</v>
      </c>
      <c r="AZ27" s="213">
        <v>0.16520699999999999</v>
      </c>
      <c r="BA27" s="213">
        <v>0.127774</v>
      </c>
      <c r="BB27" s="213">
        <v>8.6400000000000005E-2</v>
      </c>
      <c r="BC27" s="213">
        <v>9.5644999999999994E-2</v>
      </c>
      <c r="BD27" s="213">
        <v>0.12903300000000001</v>
      </c>
      <c r="BE27" s="213">
        <v>0.1209532</v>
      </c>
      <c r="BF27" s="213">
        <v>0.15469939999999999</v>
      </c>
      <c r="BG27" s="351">
        <v>0.1767379</v>
      </c>
      <c r="BH27" s="351">
        <v>0.19067819999999999</v>
      </c>
      <c r="BI27" s="351">
        <v>0.18368870000000001</v>
      </c>
      <c r="BJ27" s="351">
        <v>0.18377830000000001</v>
      </c>
      <c r="BK27" s="351">
        <v>0.1598176</v>
      </c>
      <c r="BL27" s="351">
        <v>0.16594619999999999</v>
      </c>
      <c r="BM27" s="351">
        <v>0.1804268</v>
      </c>
      <c r="BN27" s="351">
        <v>0.17271980000000001</v>
      </c>
      <c r="BO27" s="351">
        <v>0.18072830000000001</v>
      </c>
      <c r="BP27" s="351">
        <v>0.1821614</v>
      </c>
      <c r="BQ27" s="351">
        <v>0.1722959</v>
      </c>
      <c r="BR27" s="351">
        <v>0.18351819999999999</v>
      </c>
      <c r="BS27" s="351">
        <v>0.19502369999999999</v>
      </c>
      <c r="BT27" s="351">
        <v>0.18906310000000001</v>
      </c>
      <c r="BU27" s="351">
        <v>0.17426459999999999</v>
      </c>
      <c r="BV27" s="351">
        <v>0.1753979</v>
      </c>
    </row>
    <row r="28" spans="1:74" x14ac:dyDescent="0.2">
      <c r="A28" s="616"/>
      <c r="B28" s="617"/>
      <c r="C28" s="161"/>
      <c r="D28" s="161"/>
      <c r="E28" s="161"/>
      <c r="F28" s="161"/>
      <c r="G28" s="161"/>
      <c r="H28" s="161"/>
      <c r="I28" s="161"/>
      <c r="J28" s="161"/>
      <c r="K28" s="161"/>
      <c r="L28" s="161"/>
      <c r="M28" s="161"/>
      <c r="N28" s="161"/>
      <c r="O28" s="161"/>
      <c r="P28" s="161"/>
      <c r="Q28" s="161"/>
      <c r="R28" s="161"/>
      <c r="S28" s="161"/>
      <c r="T28" s="161"/>
      <c r="U28" s="161"/>
      <c r="V28" s="161"/>
      <c r="W28" s="161"/>
      <c r="X28" s="161"/>
      <c r="Y28" s="161"/>
      <c r="Z28" s="161"/>
      <c r="AA28" s="161"/>
      <c r="AB28" s="161"/>
      <c r="AC28" s="161"/>
      <c r="AD28" s="161"/>
      <c r="AE28" s="161"/>
      <c r="AF28" s="161"/>
      <c r="AG28" s="161"/>
      <c r="AH28" s="161"/>
      <c r="AI28" s="161"/>
      <c r="AJ28" s="161"/>
      <c r="AK28" s="161"/>
      <c r="AL28" s="161"/>
      <c r="AM28" s="161"/>
      <c r="AN28" s="161"/>
      <c r="AO28" s="161"/>
      <c r="AP28" s="161"/>
      <c r="AQ28" s="161"/>
      <c r="AR28" s="161"/>
      <c r="AS28" s="161"/>
      <c r="AT28" s="161"/>
      <c r="AU28" s="161"/>
      <c r="AV28" s="161"/>
      <c r="AW28" s="161"/>
      <c r="AX28" s="161"/>
      <c r="AY28" s="161"/>
      <c r="AZ28" s="161"/>
      <c r="BA28" s="161"/>
      <c r="BB28" s="213"/>
      <c r="BC28" s="213"/>
      <c r="BD28" s="213"/>
      <c r="BE28" s="213"/>
      <c r="BF28" s="213"/>
      <c r="BG28" s="399"/>
      <c r="BH28" s="399"/>
      <c r="BI28" s="399"/>
      <c r="BJ28" s="399"/>
      <c r="BK28" s="399"/>
      <c r="BL28" s="399"/>
      <c r="BM28" s="399"/>
      <c r="BN28" s="399"/>
      <c r="BO28" s="399"/>
      <c r="BP28" s="399"/>
      <c r="BQ28" s="399"/>
      <c r="BR28" s="399"/>
      <c r="BS28" s="399"/>
      <c r="BT28" s="399"/>
      <c r="BU28" s="399"/>
      <c r="BV28" s="399"/>
    </row>
    <row r="29" spans="1:74" x14ac:dyDescent="0.2">
      <c r="A29" s="615"/>
      <c r="B29" s="155" t="s">
        <v>978</v>
      </c>
      <c r="C29" s="161"/>
      <c r="D29" s="161"/>
      <c r="E29" s="161"/>
      <c r="F29" s="161"/>
      <c r="G29" s="161"/>
      <c r="H29" s="161"/>
      <c r="I29" s="161"/>
      <c r="J29" s="161"/>
      <c r="K29" s="161"/>
      <c r="L29" s="161"/>
      <c r="M29" s="161"/>
      <c r="N29" s="161"/>
      <c r="O29" s="161"/>
      <c r="P29" s="161"/>
      <c r="Q29" s="161"/>
      <c r="R29" s="161"/>
      <c r="S29" s="161"/>
      <c r="T29" s="161"/>
      <c r="U29" s="161"/>
      <c r="V29" s="161"/>
      <c r="W29" s="161"/>
      <c r="X29" s="161"/>
      <c r="Y29" s="161"/>
      <c r="Z29" s="161"/>
      <c r="AA29" s="161"/>
      <c r="AB29" s="161"/>
      <c r="AC29" s="161"/>
      <c r="AD29" s="161"/>
      <c r="AE29" s="161"/>
      <c r="AF29" s="161"/>
      <c r="AG29" s="161"/>
      <c r="AH29" s="161"/>
      <c r="AI29" s="161"/>
      <c r="AJ29" s="161"/>
      <c r="AK29" s="161"/>
      <c r="AL29" s="161"/>
      <c r="AM29" s="161"/>
      <c r="AN29" s="161"/>
      <c r="AO29" s="161"/>
      <c r="AP29" s="161"/>
      <c r="AQ29" s="161"/>
      <c r="AR29" s="161"/>
      <c r="AS29" s="161"/>
      <c r="AT29" s="161"/>
      <c r="AU29" s="161"/>
      <c r="AV29" s="161"/>
      <c r="AW29" s="161"/>
      <c r="AX29" s="161"/>
      <c r="AY29" s="161"/>
      <c r="AZ29" s="161"/>
      <c r="BA29" s="161"/>
      <c r="BB29" s="213"/>
      <c r="BC29" s="213"/>
      <c r="BD29" s="213"/>
      <c r="BE29" s="213"/>
      <c r="BF29" s="213"/>
      <c r="BG29" s="399"/>
      <c r="BH29" s="399"/>
      <c r="BI29" s="399"/>
      <c r="BJ29" s="399"/>
      <c r="BK29" s="399"/>
      <c r="BL29" s="399"/>
      <c r="BM29" s="399"/>
      <c r="BN29" s="399"/>
      <c r="BO29" s="399"/>
      <c r="BP29" s="399"/>
      <c r="BQ29" s="399"/>
      <c r="BR29" s="399"/>
      <c r="BS29" s="399"/>
      <c r="BT29" s="399"/>
      <c r="BU29" s="399"/>
      <c r="BV29" s="399"/>
    </row>
    <row r="30" spans="1:74" x14ac:dyDescent="0.2">
      <c r="A30" s="616" t="s">
        <v>979</v>
      </c>
      <c r="B30" s="617" t="s">
        <v>980</v>
      </c>
      <c r="C30" s="213">
        <v>1.1133550000000001</v>
      </c>
      <c r="D30" s="213">
        <v>1.108449</v>
      </c>
      <c r="E30" s="213">
        <v>1.1807700000000001</v>
      </c>
      <c r="F30" s="213">
        <v>1.1401049999999999</v>
      </c>
      <c r="G30" s="213">
        <v>1.1311789999999999</v>
      </c>
      <c r="H30" s="213">
        <v>1.0894250000000001</v>
      </c>
      <c r="I30" s="213">
        <v>1.170083</v>
      </c>
      <c r="J30" s="213">
        <v>1.111278</v>
      </c>
      <c r="K30" s="213">
        <v>1.0531870000000001</v>
      </c>
      <c r="L30" s="213">
        <v>1.16978</v>
      </c>
      <c r="M30" s="213">
        <v>1.159022</v>
      </c>
      <c r="N30" s="213">
        <v>1.1322700000000001</v>
      </c>
      <c r="O30" s="213">
        <v>1.1828320000000001</v>
      </c>
      <c r="P30" s="213">
        <v>1.2067049999999999</v>
      </c>
      <c r="Q30" s="213">
        <v>1.1991069999999999</v>
      </c>
      <c r="R30" s="213">
        <v>1.1665669999999999</v>
      </c>
      <c r="S30" s="213">
        <v>1.25404</v>
      </c>
      <c r="T30" s="213">
        <v>1.325672</v>
      </c>
      <c r="U30" s="213">
        <v>1.2729550000000001</v>
      </c>
      <c r="V30" s="213">
        <v>1.1310260000000001</v>
      </c>
      <c r="W30" s="213">
        <v>1.047363</v>
      </c>
      <c r="X30" s="213">
        <v>1.268635</v>
      </c>
      <c r="Y30" s="213">
        <v>1.376728</v>
      </c>
      <c r="Z30" s="213">
        <v>1.4561649999999999</v>
      </c>
      <c r="AA30" s="213">
        <v>1.4728330000000001</v>
      </c>
      <c r="AB30" s="213">
        <v>1.3242620000000001</v>
      </c>
      <c r="AC30" s="213">
        <v>1.538678</v>
      </c>
      <c r="AD30" s="213">
        <v>1.5052909999999999</v>
      </c>
      <c r="AE30" s="213">
        <v>1.417726</v>
      </c>
      <c r="AF30" s="213">
        <v>1.468221</v>
      </c>
      <c r="AG30" s="213">
        <v>1.5292669999999999</v>
      </c>
      <c r="AH30" s="213">
        <v>1.537215</v>
      </c>
      <c r="AI30" s="213">
        <v>1.47997</v>
      </c>
      <c r="AJ30" s="213">
        <v>1.4342079999999999</v>
      </c>
      <c r="AK30" s="213">
        <v>1.5248809999999999</v>
      </c>
      <c r="AL30" s="213">
        <v>1.5084930000000001</v>
      </c>
      <c r="AM30" s="213">
        <v>1.6097589999999999</v>
      </c>
      <c r="AN30" s="213">
        <v>1.6569529999999999</v>
      </c>
      <c r="AO30" s="213">
        <v>1.559599</v>
      </c>
      <c r="AP30" s="213">
        <v>1.5908739999999999</v>
      </c>
      <c r="AQ30" s="213">
        <v>1.4883919999999999</v>
      </c>
      <c r="AR30" s="213">
        <v>1.4213899999999999</v>
      </c>
      <c r="AS30" s="213">
        <v>1.4921089999999999</v>
      </c>
      <c r="AT30" s="213">
        <v>1.458215</v>
      </c>
      <c r="AU30" s="213">
        <v>1.502934</v>
      </c>
      <c r="AV30" s="213">
        <v>1.466961</v>
      </c>
      <c r="AW30" s="213">
        <v>1.5779669999999999</v>
      </c>
      <c r="AX30" s="213">
        <v>1.6286929999999999</v>
      </c>
      <c r="AY30" s="213">
        <v>1.7317149999999999</v>
      </c>
      <c r="AZ30" s="213">
        <v>1.6490640000000001</v>
      </c>
      <c r="BA30" s="213">
        <v>1.7136990000000001</v>
      </c>
      <c r="BB30" s="213">
        <v>1.631521</v>
      </c>
      <c r="BC30" s="213">
        <v>1.6247180000000001</v>
      </c>
      <c r="BD30" s="213">
        <v>1.683108</v>
      </c>
      <c r="BE30" s="213">
        <v>1.6617569999999999</v>
      </c>
      <c r="BF30" s="213">
        <v>1.656854</v>
      </c>
      <c r="BG30" s="351">
        <v>1.698955</v>
      </c>
      <c r="BH30" s="351">
        <v>1.738024</v>
      </c>
      <c r="BI30" s="351">
        <v>1.769188</v>
      </c>
      <c r="BJ30" s="351">
        <v>1.7534259999999999</v>
      </c>
      <c r="BK30" s="351">
        <v>1.7698480000000001</v>
      </c>
      <c r="BL30" s="351">
        <v>1.7796879999999999</v>
      </c>
      <c r="BM30" s="351">
        <v>1.7906960000000001</v>
      </c>
      <c r="BN30" s="351">
        <v>1.820983</v>
      </c>
      <c r="BO30" s="351">
        <v>1.8157080000000001</v>
      </c>
      <c r="BP30" s="351">
        <v>1.8086789999999999</v>
      </c>
      <c r="BQ30" s="351">
        <v>1.8590009999999999</v>
      </c>
      <c r="BR30" s="351">
        <v>1.824316</v>
      </c>
      <c r="BS30" s="351">
        <v>1.847729</v>
      </c>
      <c r="BT30" s="351">
        <v>1.861723</v>
      </c>
      <c r="BU30" s="351">
        <v>1.912477</v>
      </c>
      <c r="BV30" s="351">
        <v>1.9123190000000001</v>
      </c>
    </row>
    <row r="31" spans="1:74" x14ac:dyDescent="0.2">
      <c r="A31" s="616" t="s">
        <v>1131</v>
      </c>
      <c r="B31" s="617" t="s">
        <v>1133</v>
      </c>
      <c r="C31" s="213">
        <v>1.2451190000000001</v>
      </c>
      <c r="D31" s="213">
        <v>1.2260070000000001</v>
      </c>
      <c r="E31" s="213">
        <v>0.90651199999999998</v>
      </c>
      <c r="F31" s="213">
        <v>0.65891599999999995</v>
      </c>
      <c r="G31" s="213">
        <v>0.66635200000000006</v>
      </c>
      <c r="H31" s="213">
        <v>0.52826300000000004</v>
      </c>
      <c r="I31" s="213">
        <v>0.63994499999999999</v>
      </c>
      <c r="J31" s="213">
        <v>0.64551599999999998</v>
      </c>
      <c r="K31" s="213">
        <v>0.74917699999999998</v>
      </c>
      <c r="L31" s="213">
        <v>0.79473000000000005</v>
      </c>
      <c r="M31" s="213">
        <v>0.86055000000000004</v>
      </c>
      <c r="N31" s="213">
        <v>1.083521</v>
      </c>
      <c r="O31" s="213">
        <v>1.319591</v>
      </c>
      <c r="P31" s="213">
        <v>0.93526299999999996</v>
      </c>
      <c r="Q31" s="213">
        <v>0.89245099999999999</v>
      </c>
      <c r="R31" s="213">
        <v>0.73681799999999997</v>
      </c>
      <c r="S31" s="213">
        <v>0.54809799999999997</v>
      </c>
      <c r="T31" s="213">
        <v>0.54424300000000003</v>
      </c>
      <c r="U31" s="213">
        <v>0.63723600000000002</v>
      </c>
      <c r="V31" s="213">
        <v>0.60371600000000003</v>
      </c>
      <c r="W31" s="213">
        <v>0.80225100000000005</v>
      </c>
      <c r="X31" s="213">
        <v>0.61768400000000001</v>
      </c>
      <c r="Y31" s="213">
        <v>0.95564300000000002</v>
      </c>
      <c r="Z31" s="213">
        <v>1.04789</v>
      </c>
      <c r="AA31" s="213">
        <v>1.4608760000000001</v>
      </c>
      <c r="AB31" s="213">
        <v>1.2071080000000001</v>
      </c>
      <c r="AC31" s="213">
        <v>1.0489930000000001</v>
      </c>
      <c r="AD31" s="213">
        <v>0.879081</v>
      </c>
      <c r="AE31" s="213">
        <v>0.52387399999999995</v>
      </c>
      <c r="AF31" s="213">
        <v>0.48810700000000001</v>
      </c>
      <c r="AG31" s="213">
        <v>0.64760799999999996</v>
      </c>
      <c r="AH31" s="213">
        <v>0.62484099999999998</v>
      </c>
      <c r="AI31" s="213">
        <v>0.77087700000000003</v>
      </c>
      <c r="AJ31" s="213">
        <v>0.83762700000000001</v>
      </c>
      <c r="AK31" s="213">
        <v>1.0473330000000001</v>
      </c>
      <c r="AL31" s="213">
        <v>1.1367350000000001</v>
      </c>
      <c r="AM31" s="213">
        <v>1.37205</v>
      </c>
      <c r="AN31" s="213">
        <v>1.2367710000000001</v>
      </c>
      <c r="AO31" s="213">
        <v>0.96346299999999996</v>
      </c>
      <c r="AP31" s="213">
        <v>0.65685400000000005</v>
      </c>
      <c r="AQ31" s="213">
        <v>0.55778399999999995</v>
      </c>
      <c r="AR31" s="213">
        <v>0.52547100000000002</v>
      </c>
      <c r="AS31" s="213">
        <v>0.590978</v>
      </c>
      <c r="AT31" s="213">
        <v>0.54067200000000004</v>
      </c>
      <c r="AU31" s="213">
        <v>0.76108399999999998</v>
      </c>
      <c r="AV31" s="213">
        <v>0.89455700000000005</v>
      </c>
      <c r="AW31" s="213">
        <v>1.168509</v>
      </c>
      <c r="AX31" s="213">
        <v>1.1717379999999999</v>
      </c>
      <c r="AY31" s="213">
        <v>1.0873980000000001</v>
      </c>
      <c r="AZ31" s="213">
        <v>1.242961</v>
      </c>
      <c r="BA31" s="213">
        <v>0.93645599999999996</v>
      </c>
      <c r="BB31" s="213">
        <v>0.74649600000000005</v>
      </c>
      <c r="BC31" s="213">
        <v>0.62624899999999994</v>
      </c>
      <c r="BD31" s="213">
        <v>0.394235</v>
      </c>
      <c r="BE31" s="213">
        <v>0.53056664839000001</v>
      </c>
      <c r="BF31" s="213">
        <v>0.58773008709999996</v>
      </c>
      <c r="BG31" s="351">
        <v>0.76783880000000004</v>
      </c>
      <c r="BH31" s="351">
        <v>0.84077469999999999</v>
      </c>
      <c r="BI31" s="351">
        <v>0.98535550000000005</v>
      </c>
      <c r="BJ31" s="351">
        <v>1.116274</v>
      </c>
      <c r="BK31" s="351">
        <v>1.2742819999999999</v>
      </c>
      <c r="BL31" s="351">
        <v>1.181252</v>
      </c>
      <c r="BM31" s="351">
        <v>0.92238200000000004</v>
      </c>
      <c r="BN31" s="351">
        <v>0.73481030000000003</v>
      </c>
      <c r="BO31" s="351">
        <v>0.60977190000000003</v>
      </c>
      <c r="BP31" s="351">
        <v>0.57903320000000003</v>
      </c>
      <c r="BQ31" s="351">
        <v>0.63488149999999999</v>
      </c>
      <c r="BR31" s="351">
        <v>0.64206110000000005</v>
      </c>
      <c r="BS31" s="351">
        <v>0.76930670000000001</v>
      </c>
      <c r="BT31" s="351">
        <v>0.8468871</v>
      </c>
      <c r="BU31" s="351">
        <v>0.99580420000000003</v>
      </c>
      <c r="BV31" s="351">
        <v>1.1363300000000001</v>
      </c>
    </row>
    <row r="32" spans="1:74" x14ac:dyDescent="0.2">
      <c r="A32" s="616" t="s">
        <v>1132</v>
      </c>
      <c r="B32" s="617" t="s">
        <v>1134</v>
      </c>
      <c r="C32" s="213">
        <v>0.329129</v>
      </c>
      <c r="D32" s="213">
        <v>0.31658599999999998</v>
      </c>
      <c r="E32" s="213">
        <v>0.28680699999999998</v>
      </c>
      <c r="F32" s="213">
        <v>0.29186699999999999</v>
      </c>
      <c r="G32" s="213">
        <v>0.29970999999999998</v>
      </c>
      <c r="H32" s="213">
        <v>0.30206699999999997</v>
      </c>
      <c r="I32" s="213">
        <v>0.31238700000000003</v>
      </c>
      <c r="J32" s="213">
        <v>0.30496800000000002</v>
      </c>
      <c r="K32" s="213">
        <v>0.280333</v>
      </c>
      <c r="L32" s="213">
        <v>0.242807</v>
      </c>
      <c r="M32" s="213">
        <v>0.28160000000000002</v>
      </c>
      <c r="N32" s="213">
        <v>0.31329000000000001</v>
      </c>
      <c r="O32" s="213">
        <v>0.33319399999999999</v>
      </c>
      <c r="P32" s="213">
        <v>0.37071399999999999</v>
      </c>
      <c r="Q32" s="213">
        <v>0.31283899999999998</v>
      </c>
      <c r="R32" s="213">
        <v>0.30763299999999999</v>
      </c>
      <c r="S32" s="213">
        <v>0.331258</v>
      </c>
      <c r="T32" s="213">
        <v>0.30606699999999998</v>
      </c>
      <c r="U32" s="213">
        <v>0.29799999999999999</v>
      </c>
      <c r="V32" s="213">
        <v>0.27841900000000003</v>
      </c>
      <c r="W32" s="213">
        <v>0.269067</v>
      </c>
      <c r="X32" s="213">
        <v>0.31496800000000003</v>
      </c>
      <c r="Y32" s="213">
        <v>0.31693300000000002</v>
      </c>
      <c r="Z32" s="213">
        <v>0.33751599999999998</v>
      </c>
      <c r="AA32" s="213">
        <v>0.31187100000000001</v>
      </c>
      <c r="AB32" s="213">
        <v>0.29803499999999999</v>
      </c>
      <c r="AC32" s="213">
        <v>0.33138699999999999</v>
      </c>
      <c r="AD32" s="213">
        <v>0.285833</v>
      </c>
      <c r="AE32" s="213">
        <v>0.30680600000000002</v>
      </c>
      <c r="AF32" s="213">
        <v>0.32803300000000002</v>
      </c>
      <c r="AG32" s="213">
        <v>0.30525799999999997</v>
      </c>
      <c r="AH32" s="213">
        <v>0.31587100000000001</v>
      </c>
      <c r="AI32" s="213">
        <v>0.30096600000000001</v>
      </c>
      <c r="AJ32" s="213">
        <v>0.26316099999999998</v>
      </c>
      <c r="AK32" s="213">
        <v>0.30033300000000002</v>
      </c>
      <c r="AL32" s="213">
        <v>0.301064</v>
      </c>
      <c r="AM32" s="213">
        <v>0.31983899999999998</v>
      </c>
      <c r="AN32" s="213">
        <v>0.299286</v>
      </c>
      <c r="AO32" s="213">
        <v>0.26454800000000001</v>
      </c>
      <c r="AP32" s="213">
        <v>0.28853299999999998</v>
      </c>
      <c r="AQ32" s="213">
        <v>0.302097</v>
      </c>
      <c r="AR32" s="213">
        <v>0.31093300000000001</v>
      </c>
      <c r="AS32" s="213">
        <v>0.29690299999999997</v>
      </c>
      <c r="AT32" s="213">
        <v>0.29361300000000001</v>
      </c>
      <c r="AU32" s="213">
        <v>0.28256700000000001</v>
      </c>
      <c r="AV32" s="213">
        <v>0.316</v>
      </c>
      <c r="AW32" s="213">
        <v>0.30123299999999997</v>
      </c>
      <c r="AX32" s="213">
        <v>0.305871</v>
      </c>
      <c r="AY32" s="213">
        <v>0.28174199999999999</v>
      </c>
      <c r="AZ32" s="213">
        <v>0.25420700000000002</v>
      </c>
      <c r="BA32" s="213">
        <v>0.25680700000000001</v>
      </c>
      <c r="BB32" s="213">
        <v>0.27750000000000002</v>
      </c>
      <c r="BC32" s="213">
        <v>0.27419399999999999</v>
      </c>
      <c r="BD32" s="213">
        <v>0.2626</v>
      </c>
      <c r="BE32" s="213">
        <v>0.27962690000000001</v>
      </c>
      <c r="BF32" s="213">
        <v>0.27232709999999999</v>
      </c>
      <c r="BG32" s="351">
        <v>0.27324900000000002</v>
      </c>
      <c r="BH32" s="351">
        <v>0.2719956</v>
      </c>
      <c r="BI32" s="351">
        <v>0.285333</v>
      </c>
      <c r="BJ32" s="351">
        <v>0.3112876</v>
      </c>
      <c r="BK32" s="351">
        <v>0.31292930000000002</v>
      </c>
      <c r="BL32" s="351">
        <v>0.29574489999999998</v>
      </c>
      <c r="BM32" s="351">
        <v>0.29964439999999998</v>
      </c>
      <c r="BN32" s="351">
        <v>0.29852450000000003</v>
      </c>
      <c r="BO32" s="351">
        <v>0.30465809999999999</v>
      </c>
      <c r="BP32" s="351">
        <v>0.30874689999999999</v>
      </c>
      <c r="BQ32" s="351">
        <v>0.30537789999999998</v>
      </c>
      <c r="BR32" s="351">
        <v>0.29106490000000002</v>
      </c>
      <c r="BS32" s="351">
        <v>0.29385630000000001</v>
      </c>
      <c r="BT32" s="351">
        <v>0.28434730000000003</v>
      </c>
      <c r="BU32" s="351">
        <v>0.29578480000000001</v>
      </c>
      <c r="BV32" s="351">
        <v>0.31656240000000002</v>
      </c>
    </row>
    <row r="33" spans="1:77" x14ac:dyDescent="0.2">
      <c r="A33" s="616" t="s">
        <v>982</v>
      </c>
      <c r="B33" s="617" t="s">
        <v>974</v>
      </c>
      <c r="C33" s="213">
        <v>0.21120800000000001</v>
      </c>
      <c r="D33" s="213">
        <v>0.145062</v>
      </c>
      <c r="E33" s="213">
        <v>0.175676</v>
      </c>
      <c r="F33" s="213">
        <v>0.25664599999999999</v>
      </c>
      <c r="G33" s="213">
        <v>0.26293</v>
      </c>
      <c r="H33" s="213">
        <v>0.25536199999999998</v>
      </c>
      <c r="I33" s="213">
        <v>0.223272</v>
      </c>
      <c r="J33" s="213">
        <v>0.20295299999999999</v>
      </c>
      <c r="K33" s="213">
        <v>0.280615</v>
      </c>
      <c r="L33" s="213">
        <v>0.227242</v>
      </c>
      <c r="M33" s="213">
        <v>0.14400399999999999</v>
      </c>
      <c r="N33" s="213">
        <v>0.13131399999999999</v>
      </c>
      <c r="O33" s="213">
        <v>0.12581200000000001</v>
      </c>
      <c r="P33" s="213">
        <v>5.2589999999999998E-2</v>
      </c>
      <c r="Q33" s="213">
        <v>0.21898000000000001</v>
      </c>
      <c r="R33" s="213">
        <v>0.20831</v>
      </c>
      <c r="S33" s="213">
        <v>0.20644999999999999</v>
      </c>
      <c r="T33" s="213">
        <v>0.28211799999999998</v>
      </c>
      <c r="U33" s="213">
        <v>0.309257</v>
      </c>
      <c r="V33" s="213">
        <v>0.15063599999999999</v>
      </c>
      <c r="W33" s="213">
        <v>0.127327</v>
      </c>
      <c r="X33" s="213">
        <v>0.194852</v>
      </c>
      <c r="Y33" s="213">
        <v>0.14726400000000001</v>
      </c>
      <c r="Z33" s="213">
        <v>0.15080399999999999</v>
      </c>
      <c r="AA33" s="213">
        <v>0.17447299999999999</v>
      </c>
      <c r="AB33" s="213">
        <v>0.20183799999999999</v>
      </c>
      <c r="AC33" s="213">
        <v>0.104724</v>
      </c>
      <c r="AD33" s="213">
        <v>0.110489</v>
      </c>
      <c r="AE33" s="213">
        <v>0.22557199999999999</v>
      </c>
      <c r="AF33" s="213">
        <v>0.24834300000000001</v>
      </c>
      <c r="AG33" s="213">
        <v>0.22997699999999999</v>
      </c>
      <c r="AH33" s="213">
        <v>0.25734800000000002</v>
      </c>
      <c r="AI33" s="213">
        <v>0.17169100000000001</v>
      </c>
      <c r="AJ33" s="213">
        <v>0.23813599999999999</v>
      </c>
      <c r="AK33" s="213">
        <v>0.24745300000000001</v>
      </c>
      <c r="AL33" s="213">
        <v>0.21782299999999999</v>
      </c>
      <c r="AM33" s="213">
        <v>0.19319500000000001</v>
      </c>
      <c r="AN33" s="213">
        <v>0.20058500000000001</v>
      </c>
      <c r="AO33" s="213">
        <v>0.183923</v>
      </c>
      <c r="AP33" s="213">
        <v>0.17014599999999999</v>
      </c>
      <c r="AQ33" s="213">
        <v>0.211337</v>
      </c>
      <c r="AR33" s="213">
        <v>0.270314</v>
      </c>
      <c r="AS33" s="213">
        <v>0.31732900000000003</v>
      </c>
      <c r="AT33" s="213">
        <v>0.31253199999999998</v>
      </c>
      <c r="AU33" s="213">
        <v>0.27511999999999998</v>
      </c>
      <c r="AV33" s="213">
        <v>0.30717699999999998</v>
      </c>
      <c r="AW33" s="213">
        <v>0.21546699999999999</v>
      </c>
      <c r="AX33" s="213">
        <v>0.19259200000000001</v>
      </c>
      <c r="AY33" s="213">
        <v>0.208729</v>
      </c>
      <c r="AZ33" s="213">
        <v>7.3668999999999998E-2</v>
      </c>
      <c r="BA33" s="213">
        <v>0.221668</v>
      </c>
      <c r="BB33" s="213">
        <v>0.17577400000000001</v>
      </c>
      <c r="BC33" s="213">
        <v>0.22269700000000001</v>
      </c>
      <c r="BD33" s="213">
        <v>0.19572899999999999</v>
      </c>
      <c r="BE33" s="213">
        <v>0.22584979999999999</v>
      </c>
      <c r="BF33" s="213">
        <v>0.20011429999999999</v>
      </c>
      <c r="BG33" s="351">
        <v>0.16375590000000001</v>
      </c>
      <c r="BH33" s="351">
        <v>0.21785969999999999</v>
      </c>
      <c r="BI33" s="351">
        <v>0.21086820000000001</v>
      </c>
      <c r="BJ33" s="351">
        <v>0.20745930000000001</v>
      </c>
      <c r="BK33" s="351">
        <v>0.17585029999999999</v>
      </c>
      <c r="BL33" s="351">
        <v>0.201983</v>
      </c>
      <c r="BM33" s="351">
        <v>0.21123149999999999</v>
      </c>
      <c r="BN33" s="351">
        <v>0.2342487</v>
      </c>
      <c r="BO33" s="351">
        <v>0.2346655</v>
      </c>
      <c r="BP33" s="351">
        <v>0.23579610000000001</v>
      </c>
      <c r="BQ33" s="351">
        <v>0.2481911</v>
      </c>
      <c r="BR33" s="351">
        <v>0.2156679</v>
      </c>
      <c r="BS33" s="351">
        <v>0.1731685</v>
      </c>
      <c r="BT33" s="351">
        <v>0.22301860000000001</v>
      </c>
      <c r="BU33" s="351">
        <v>0.2091566</v>
      </c>
      <c r="BV33" s="351">
        <v>0.20019590000000001</v>
      </c>
    </row>
    <row r="34" spans="1:77" x14ac:dyDescent="0.2">
      <c r="A34" s="616" t="s">
        <v>754</v>
      </c>
      <c r="B34" s="617" t="s">
        <v>975</v>
      </c>
      <c r="C34" s="213">
        <v>5.926E-2</v>
      </c>
      <c r="D34" s="213">
        <v>2.016E-3</v>
      </c>
      <c r="E34" s="213">
        <v>6.3428999999999999E-2</v>
      </c>
      <c r="F34" s="213">
        <v>5.5015000000000001E-2</v>
      </c>
      <c r="G34" s="213">
        <v>2.2817E-2</v>
      </c>
      <c r="H34" s="213">
        <v>9.4271999999999995E-2</v>
      </c>
      <c r="I34" s="213">
        <v>7.5572E-2</v>
      </c>
      <c r="J34" s="213">
        <v>4.3436000000000002E-2</v>
      </c>
      <c r="K34" s="213">
        <v>6.5865999999999994E-2</v>
      </c>
      <c r="L34" s="213">
        <v>0.122132</v>
      </c>
      <c r="M34" s="213">
        <v>7.4404999999999999E-2</v>
      </c>
      <c r="N34" s="213">
        <v>0.114373</v>
      </c>
      <c r="O34" s="213">
        <v>8.7083999999999995E-2</v>
      </c>
      <c r="P34" s="213">
        <v>9.0137999999999996E-2</v>
      </c>
      <c r="Q34" s="213">
        <v>0.10591299999999999</v>
      </c>
      <c r="R34" s="213">
        <v>0.104711</v>
      </c>
      <c r="S34" s="213">
        <v>0.111419</v>
      </c>
      <c r="T34" s="213">
        <v>2.0806999999999999E-2</v>
      </c>
      <c r="U34" s="213">
        <v>7.0329000000000003E-2</v>
      </c>
      <c r="V34" s="213">
        <v>8.5549E-2</v>
      </c>
      <c r="W34" s="213">
        <v>0.10132099999999999</v>
      </c>
      <c r="X34" s="213">
        <v>0.217975</v>
      </c>
      <c r="Y34" s="213">
        <v>0.105182</v>
      </c>
      <c r="Z34" s="213">
        <v>0.12515000000000001</v>
      </c>
      <c r="AA34" s="213">
        <v>9.7266000000000005E-2</v>
      </c>
      <c r="AB34" s="213">
        <v>0.111678</v>
      </c>
      <c r="AC34" s="213">
        <v>9.5377000000000003E-2</v>
      </c>
      <c r="AD34" s="213">
        <v>8.0326999999999996E-2</v>
      </c>
      <c r="AE34" s="213">
        <v>0.103683</v>
      </c>
      <c r="AF34" s="213">
        <v>9.1647999999999993E-2</v>
      </c>
      <c r="AG34" s="213">
        <v>0.14199400000000001</v>
      </c>
      <c r="AH34" s="213">
        <v>0.169789</v>
      </c>
      <c r="AI34" s="213">
        <v>0.17693600000000001</v>
      </c>
      <c r="AJ34" s="213">
        <v>0.15156700000000001</v>
      </c>
      <c r="AK34" s="213">
        <v>0.17699300000000001</v>
      </c>
      <c r="AL34" s="213">
        <v>0.19237899999999999</v>
      </c>
      <c r="AM34" s="213">
        <v>0.22035399999999999</v>
      </c>
      <c r="AN34" s="213">
        <v>0.19647000000000001</v>
      </c>
      <c r="AO34" s="213">
        <v>0.16471</v>
      </c>
      <c r="AP34" s="213">
        <v>0.179367</v>
      </c>
      <c r="AQ34" s="213">
        <v>0.18559400000000001</v>
      </c>
      <c r="AR34" s="213">
        <v>0.22506000000000001</v>
      </c>
      <c r="AS34" s="213">
        <v>0.23230799999999999</v>
      </c>
      <c r="AT34" s="213">
        <v>0.248941</v>
      </c>
      <c r="AU34" s="213">
        <v>0.21968799999999999</v>
      </c>
      <c r="AV34" s="213">
        <v>0.162911</v>
      </c>
      <c r="AW34" s="213">
        <v>0.13528999999999999</v>
      </c>
      <c r="AX34" s="213">
        <v>0.19972300000000001</v>
      </c>
      <c r="AY34" s="213">
        <v>8.6696999999999996E-2</v>
      </c>
      <c r="AZ34" s="213">
        <v>-1.1483999999999999E-2</v>
      </c>
      <c r="BA34" s="213">
        <v>0.18199100000000001</v>
      </c>
      <c r="BB34" s="213">
        <v>2.5715999999999999E-2</v>
      </c>
      <c r="BC34" s="213">
        <v>0.133156</v>
      </c>
      <c r="BD34" s="213">
        <v>0.22433400000000001</v>
      </c>
      <c r="BE34" s="213">
        <v>0.15802859999999999</v>
      </c>
      <c r="BF34" s="213">
        <v>8.0871499999999999E-2</v>
      </c>
      <c r="BG34" s="351">
        <v>9.4306500000000001E-2</v>
      </c>
      <c r="BH34" s="351">
        <v>0.10606309999999999</v>
      </c>
      <c r="BI34" s="351">
        <v>0.1098194</v>
      </c>
      <c r="BJ34" s="351">
        <v>0.1153624</v>
      </c>
      <c r="BK34" s="351">
        <v>9.8508299999999993E-2</v>
      </c>
      <c r="BL34" s="351">
        <v>8.3302100000000004E-2</v>
      </c>
      <c r="BM34" s="351">
        <v>9.0574600000000005E-2</v>
      </c>
      <c r="BN34" s="351">
        <v>8.4167199999999998E-2</v>
      </c>
      <c r="BO34" s="351">
        <v>7.8085100000000005E-2</v>
      </c>
      <c r="BP34" s="351">
        <v>8.8345599999999996E-2</v>
      </c>
      <c r="BQ34" s="351">
        <v>8.5396299999999994E-2</v>
      </c>
      <c r="BR34" s="351">
        <v>0.10541789999999999</v>
      </c>
      <c r="BS34" s="351">
        <v>0.1091613</v>
      </c>
      <c r="BT34" s="351">
        <v>0.11420470000000001</v>
      </c>
      <c r="BU34" s="351">
        <v>0.1071182</v>
      </c>
      <c r="BV34" s="351">
        <v>0.1038994</v>
      </c>
    </row>
    <row r="35" spans="1:77" x14ac:dyDescent="0.2">
      <c r="A35" s="616"/>
      <c r="B35" s="617"/>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61"/>
      <c r="AB35" s="161"/>
      <c r="AC35" s="161"/>
      <c r="AD35" s="161"/>
      <c r="AE35" s="161"/>
      <c r="AF35" s="161"/>
      <c r="AG35" s="161"/>
      <c r="AH35" s="161"/>
      <c r="AI35" s="161"/>
      <c r="AJ35" s="161"/>
      <c r="AK35" s="161"/>
      <c r="AL35" s="161"/>
      <c r="AM35" s="161"/>
      <c r="AN35" s="161"/>
      <c r="AO35" s="161"/>
      <c r="AP35" s="161"/>
      <c r="AQ35" s="161"/>
      <c r="AR35" s="161"/>
      <c r="AS35" s="161"/>
      <c r="AT35" s="161"/>
      <c r="AU35" s="161"/>
      <c r="AV35" s="161"/>
      <c r="AW35" s="161"/>
      <c r="AX35" s="161"/>
      <c r="AY35" s="161"/>
      <c r="AZ35" s="161"/>
      <c r="BA35" s="161"/>
      <c r="BB35" s="399"/>
      <c r="BC35" s="399"/>
      <c r="BD35" s="399"/>
      <c r="BE35" s="399"/>
      <c r="BF35" s="399"/>
      <c r="BG35" s="399"/>
      <c r="BH35" s="399"/>
      <c r="BI35" s="399"/>
      <c r="BJ35" s="399"/>
      <c r="BK35" s="399"/>
      <c r="BL35" s="399"/>
      <c r="BM35" s="399"/>
      <c r="BN35" s="399"/>
      <c r="BO35" s="399"/>
      <c r="BP35" s="399"/>
      <c r="BQ35" s="399"/>
      <c r="BR35" s="399"/>
      <c r="BS35" s="399"/>
      <c r="BT35" s="399"/>
      <c r="BU35" s="399"/>
      <c r="BV35" s="399"/>
    </row>
    <row r="36" spans="1:77" x14ac:dyDescent="0.2">
      <c r="A36" s="616"/>
      <c r="B36" s="155" t="s">
        <v>983</v>
      </c>
      <c r="C36" s="161"/>
      <c r="D36" s="161"/>
      <c r="E36" s="161"/>
      <c r="F36" s="161"/>
      <c r="G36" s="161"/>
      <c r="H36" s="161"/>
      <c r="I36" s="161"/>
      <c r="J36" s="161"/>
      <c r="K36" s="161"/>
      <c r="L36" s="161"/>
      <c r="M36" s="161"/>
      <c r="N36" s="161"/>
      <c r="O36" s="161"/>
      <c r="P36" s="161"/>
      <c r="Q36" s="161"/>
      <c r="R36" s="161"/>
      <c r="S36" s="161"/>
      <c r="T36" s="161"/>
      <c r="U36" s="161"/>
      <c r="V36" s="161"/>
      <c r="W36" s="161"/>
      <c r="X36" s="161"/>
      <c r="Y36" s="161"/>
      <c r="Z36" s="161"/>
      <c r="AA36" s="161"/>
      <c r="AB36" s="161"/>
      <c r="AC36" s="161"/>
      <c r="AD36" s="161"/>
      <c r="AE36" s="161"/>
      <c r="AF36" s="161"/>
      <c r="AG36" s="161"/>
      <c r="AH36" s="161"/>
      <c r="AI36" s="161"/>
      <c r="AJ36" s="161"/>
      <c r="AK36" s="161"/>
      <c r="AL36" s="161"/>
      <c r="AM36" s="161"/>
      <c r="AN36" s="161"/>
      <c r="AO36" s="161"/>
      <c r="AP36" s="161"/>
      <c r="AQ36" s="161"/>
      <c r="AR36" s="161"/>
      <c r="AS36" s="161"/>
      <c r="AT36" s="161"/>
      <c r="AU36" s="161"/>
      <c r="AV36" s="161"/>
      <c r="AW36" s="161"/>
      <c r="AX36" s="161"/>
      <c r="AY36" s="161"/>
      <c r="AZ36" s="161"/>
      <c r="BA36" s="161"/>
      <c r="BB36" s="713"/>
      <c r="BC36" s="713"/>
      <c r="BD36" s="713"/>
      <c r="BE36" s="713"/>
      <c r="BF36" s="713"/>
      <c r="BG36" s="713"/>
      <c r="BH36" s="713"/>
      <c r="BI36" s="713"/>
      <c r="BJ36" s="713"/>
      <c r="BK36" s="713"/>
      <c r="BL36" s="713"/>
      <c r="BM36" s="713"/>
      <c r="BN36" s="713"/>
      <c r="BO36" s="713"/>
      <c r="BP36" s="713"/>
      <c r="BQ36" s="713"/>
      <c r="BR36" s="713"/>
      <c r="BS36" s="713"/>
      <c r="BT36" s="713"/>
      <c r="BU36" s="713"/>
      <c r="BV36" s="713"/>
    </row>
    <row r="37" spans="1:77" x14ac:dyDescent="0.2">
      <c r="A37" s="616" t="s">
        <v>984</v>
      </c>
      <c r="B37" s="617" t="s">
        <v>971</v>
      </c>
      <c r="C37" s="213">
        <v>31.311</v>
      </c>
      <c r="D37" s="213">
        <v>31.091999999999999</v>
      </c>
      <c r="E37" s="213">
        <v>32.643000000000001</v>
      </c>
      <c r="F37" s="213">
        <v>35.909999999999997</v>
      </c>
      <c r="G37" s="213">
        <v>42.01</v>
      </c>
      <c r="H37" s="213">
        <v>49.045999999999999</v>
      </c>
      <c r="I37" s="213">
        <v>50.738</v>
      </c>
      <c r="J37" s="213">
        <v>47.649000000000001</v>
      </c>
      <c r="K37" s="213">
        <v>47.698</v>
      </c>
      <c r="L37" s="213">
        <v>48.991</v>
      </c>
      <c r="M37" s="213">
        <v>52.02</v>
      </c>
      <c r="N37" s="213">
        <v>50.691000000000003</v>
      </c>
      <c r="O37" s="213">
        <v>48.436999999999998</v>
      </c>
      <c r="P37" s="213">
        <v>49.591999999999999</v>
      </c>
      <c r="Q37" s="213">
        <v>50.933</v>
      </c>
      <c r="R37" s="213">
        <v>52.158999999999999</v>
      </c>
      <c r="S37" s="213">
        <v>51.82</v>
      </c>
      <c r="T37" s="213">
        <v>51.734000000000002</v>
      </c>
      <c r="U37" s="213">
        <v>50.110999999999997</v>
      </c>
      <c r="V37" s="213">
        <v>51.826000000000001</v>
      </c>
      <c r="W37" s="213">
        <v>53.396999999999998</v>
      </c>
      <c r="X37" s="213">
        <v>58.63</v>
      </c>
      <c r="Y37" s="213">
        <v>58.965000000000003</v>
      </c>
      <c r="Z37" s="213">
        <v>55.616</v>
      </c>
      <c r="AA37" s="213">
        <v>51.088000000000001</v>
      </c>
      <c r="AB37" s="213">
        <v>52.548999999999999</v>
      </c>
      <c r="AC37" s="213">
        <v>50.097999999999999</v>
      </c>
      <c r="AD37" s="213">
        <v>47.802</v>
      </c>
      <c r="AE37" s="213">
        <v>48.286999999999999</v>
      </c>
      <c r="AF37" s="213">
        <v>46.636000000000003</v>
      </c>
      <c r="AG37" s="213">
        <v>46.32</v>
      </c>
      <c r="AH37" s="213">
        <v>45.472000000000001</v>
      </c>
      <c r="AI37" s="213">
        <v>47.158999999999999</v>
      </c>
      <c r="AJ37" s="213">
        <v>50.555999999999997</v>
      </c>
      <c r="AK37" s="213">
        <v>50.762999999999998</v>
      </c>
      <c r="AL37" s="213">
        <v>49.841999999999999</v>
      </c>
      <c r="AM37" s="213">
        <v>47.609000000000002</v>
      </c>
      <c r="AN37" s="213">
        <v>48.271999999999998</v>
      </c>
      <c r="AO37" s="213">
        <v>51.441000000000003</v>
      </c>
      <c r="AP37" s="213">
        <v>52.692</v>
      </c>
      <c r="AQ37" s="213">
        <v>56.371000000000002</v>
      </c>
      <c r="AR37" s="213">
        <v>60.57</v>
      </c>
      <c r="AS37" s="213">
        <v>57.908000000000001</v>
      </c>
      <c r="AT37" s="213">
        <v>55.250999999999998</v>
      </c>
      <c r="AU37" s="213">
        <v>57.381999999999998</v>
      </c>
      <c r="AV37" s="213">
        <v>59.631</v>
      </c>
      <c r="AW37" s="213">
        <v>59.642000000000003</v>
      </c>
      <c r="AX37" s="213">
        <v>57.286000000000001</v>
      </c>
      <c r="AY37" s="213">
        <v>54.011000000000003</v>
      </c>
      <c r="AZ37" s="213">
        <v>52.097000000000001</v>
      </c>
      <c r="BA37" s="213">
        <v>51.58</v>
      </c>
      <c r="BB37" s="213">
        <v>49.162999999999997</v>
      </c>
      <c r="BC37" s="213">
        <v>47.463999999999999</v>
      </c>
      <c r="BD37" s="213">
        <v>52.061999999999998</v>
      </c>
      <c r="BE37" s="213">
        <v>50.115273000000002</v>
      </c>
      <c r="BF37" s="213">
        <v>51.076723000000001</v>
      </c>
      <c r="BG37" s="351">
        <v>51.25958</v>
      </c>
      <c r="BH37" s="351">
        <v>52.416820000000001</v>
      </c>
      <c r="BI37" s="351">
        <v>53.845689999999998</v>
      </c>
      <c r="BJ37" s="351">
        <v>52.609349999999999</v>
      </c>
      <c r="BK37" s="351">
        <v>51.12903</v>
      </c>
      <c r="BL37" s="351">
        <v>51.581440000000001</v>
      </c>
      <c r="BM37" s="351">
        <v>53.053669999999997</v>
      </c>
      <c r="BN37" s="351">
        <v>54.839010000000002</v>
      </c>
      <c r="BO37" s="351">
        <v>57.038969999999999</v>
      </c>
      <c r="BP37" s="351">
        <v>56.790370000000003</v>
      </c>
      <c r="BQ37" s="351">
        <v>55.068730000000002</v>
      </c>
      <c r="BR37" s="351">
        <v>55.548409999999997</v>
      </c>
      <c r="BS37" s="351">
        <v>55.716160000000002</v>
      </c>
      <c r="BT37" s="351">
        <v>56.957999999999998</v>
      </c>
      <c r="BU37" s="351">
        <v>57.92333</v>
      </c>
      <c r="BV37" s="351">
        <v>56.201160000000002</v>
      </c>
    </row>
    <row r="38" spans="1:77" x14ac:dyDescent="0.2">
      <c r="A38" s="616" t="s">
        <v>1135</v>
      </c>
      <c r="B38" s="617" t="s">
        <v>1133</v>
      </c>
      <c r="C38" s="213">
        <v>74.698999999999998</v>
      </c>
      <c r="D38" s="213">
        <v>61.234999999999999</v>
      </c>
      <c r="E38" s="213">
        <v>61.761000000000003</v>
      </c>
      <c r="F38" s="213">
        <v>68.766000000000005</v>
      </c>
      <c r="G38" s="213">
        <v>71.302000000000007</v>
      </c>
      <c r="H38" s="213">
        <v>79.819999999999993</v>
      </c>
      <c r="I38" s="213">
        <v>85.808000000000007</v>
      </c>
      <c r="J38" s="213">
        <v>94.159000000000006</v>
      </c>
      <c r="K38" s="213">
        <v>98.974999999999994</v>
      </c>
      <c r="L38" s="213">
        <v>96.251999999999995</v>
      </c>
      <c r="M38" s="213">
        <v>94.394000000000005</v>
      </c>
      <c r="N38" s="213">
        <v>77.046999999999997</v>
      </c>
      <c r="O38" s="213">
        <v>53.35</v>
      </c>
      <c r="P38" s="213">
        <v>47.243000000000002</v>
      </c>
      <c r="Q38" s="213">
        <v>40.155000000000001</v>
      </c>
      <c r="R38" s="213">
        <v>38.497</v>
      </c>
      <c r="S38" s="213">
        <v>46.146999999999998</v>
      </c>
      <c r="T38" s="213">
        <v>56.906999999999996</v>
      </c>
      <c r="U38" s="213">
        <v>63.676000000000002</v>
      </c>
      <c r="V38" s="213">
        <v>73.858000000000004</v>
      </c>
      <c r="W38" s="213">
        <v>71.391000000000005</v>
      </c>
      <c r="X38" s="213">
        <v>72.944000000000003</v>
      </c>
      <c r="Y38" s="213">
        <v>69.936000000000007</v>
      </c>
      <c r="Z38" s="213">
        <v>62.183</v>
      </c>
      <c r="AA38" s="213">
        <v>45.42</v>
      </c>
      <c r="AB38" s="213">
        <v>38.515999999999998</v>
      </c>
      <c r="AC38" s="213">
        <v>34.042000000000002</v>
      </c>
      <c r="AD38" s="213">
        <v>35.340000000000003</v>
      </c>
      <c r="AE38" s="213">
        <v>43.707000000000001</v>
      </c>
      <c r="AF38" s="213">
        <v>56.505000000000003</v>
      </c>
      <c r="AG38" s="213">
        <v>60.118000000000002</v>
      </c>
      <c r="AH38" s="213">
        <v>66.724999999999994</v>
      </c>
      <c r="AI38" s="213">
        <v>75.245000000000005</v>
      </c>
      <c r="AJ38" s="213">
        <v>78.825999999999993</v>
      </c>
      <c r="AK38" s="213">
        <v>73.986000000000004</v>
      </c>
      <c r="AL38" s="213">
        <v>63.738</v>
      </c>
      <c r="AM38" s="213">
        <v>51.215000000000003</v>
      </c>
      <c r="AN38" s="213">
        <v>45.709000000000003</v>
      </c>
      <c r="AO38" s="213">
        <v>48.942999999999998</v>
      </c>
      <c r="AP38" s="213">
        <v>53.396000000000001</v>
      </c>
      <c r="AQ38" s="213">
        <v>63.353000000000002</v>
      </c>
      <c r="AR38" s="213">
        <v>71.709999999999994</v>
      </c>
      <c r="AS38" s="213">
        <v>77.822000000000003</v>
      </c>
      <c r="AT38" s="213">
        <v>91.102999999999994</v>
      </c>
      <c r="AU38" s="213">
        <v>95.606999999999999</v>
      </c>
      <c r="AV38" s="213">
        <v>94.686000000000007</v>
      </c>
      <c r="AW38" s="213">
        <v>88.108999999999995</v>
      </c>
      <c r="AX38" s="213">
        <v>79.67</v>
      </c>
      <c r="AY38" s="213">
        <v>74.518000000000001</v>
      </c>
      <c r="AZ38" s="213">
        <v>64.108000000000004</v>
      </c>
      <c r="BA38" s="213">
        <v>60.280999999999999</v>
      </c>
      <c r="BB38" s="213">
        <v>61.877000000000002</v>
      </c>
      <c r="BC38" s="213">
        <v>66.965000000000003</v>
      </c>
      <c r="BD38" s="213">
        <v>75.305000000000007</v>
      </c>
      <c r="BE38" s="213">
        <v>86.637415685999997</v>
      </c>
      <c r="BF38" s="213">
        <v>94.595325458000005</v>
      </c>
      <c r="BG38" s="351">
        <v>97.258250000000004</v>
      </c>
      <c r="BH38" s="351">
        <v>96.295240000000007</v>
      </c>
      <c r="BI38" s="351">
        <v>91.897080000000003</v>
      </c>
      <c r="BJ38" s="351">
        <v>81.203670000000002</v>
      </c>
      <c r="BK38" s="351">
        <v>66.763589999999994</v>
      </c>
      <c r="BL38" s="351">
        <v>57.298299999999998</v>
      </c>
      <c r="BM38" s="351">
        <v>54.781419999999997</v>
      </c>
      <c r="BN38" s="351">
        <v>56.85848</v>
      </c>
      <c r="BO38" s="351">
        <v>63.815379999999998</v>
      </c>
      <c r="BP38" s="351">
        <v>72.405010000000004</v>
      </c>
      <c r="BQ38" s="351">
        <v>78.639030000000005</v>
      </c>
      <c r="BR38" s="351">
        <v>87.067170000000004</v>
      </c>
      <c r="BS38" s="351">
        <v>91.332049999999995</v>
      </c>
      <c r="BT38" s="351">
        <v>91.645099999999999</v>
      </c>
      <c r="BU38" s="351">
        <v>88.271929999999998</v>
      </c>
      <c r="BV38" s="351">
        <v>78.354249999999993</v>
      </c>
    </row>
    <row r="39" spans="1:77" x14ac:dyDescent="0.2">
      <c r="A39" s="616" t="s">
        <v>1136</v>
      </c>
      <c r="B39" s="617" t="s">
        <v>1414</v>
      </c>
      <c r="C39" s="213">
        <v>1.6839999999999999</v>
      </c>
      <c r="D39" s="213">
        <v>1.5620000000000001</v>
      </c>
      <c r="E39" s="213">
        <v>1.59</v>
      </c>
      <c r="F39" s="213">
        <v>1.829</v>
      </c>
      <c r="G39" s="213">
        <v>2.0350000000000001</v>
      </c>
      <c r="H39" s="213">
        <v>2.2719999999999998</v>
      </c>
      <c r="I39" s="213">
        <v>2.4649999999999999</v>
      </c>
      <c r="J39" s="213">
        <v>2.6150000000000002</v>
      </c>
      <c r="K39" s="213">
        <v>2.597</v>
      </c>
      <c r="L39" s="213">
        <v>2.7879999999999998</v>
      </c>
      <c r="M39" s="213">
        <v>2.5830000000000002</v>
      </c>
      <c r="N39" s="213">
        <v>2.3450000000000002</v>
      </c>
      <c r="O39" s="213">
        <v>2.177</v>
      </c>
      <c r="P39" s="213">
        <v>1.0369999999999999</v>
      </c>
      <c r="Q39" s="213">
        <v>1.3520000000000001</v>
      </c>
      <c r="R39" s="213">
        <v>1.167</v>
      </c>
      <c r="S39" s="213">
        <v>1.373</v>
      </c>
      <c r="T39" s="213">
        <v>1.252</v>
      </c>
      <c r="U39" s="213">
        <v>1.7529999999999999</v>
      </c>
      <c r="V39" s="213">
        <v>1.8620000000000001</v>
      </c>
      <c r="W39" s="213">
        <v>1.7390000000000001</v>
      </c>
      <c r="X39" s="213">
        <v>2.0350000000000001</v>
      </c>
      <c r="Y39" s="213">
        <v>2.0750000000000002</v>
      </c>
      <c r="Z39" s="213">
        <v>2.0699999999999998</v>
      </c>
      <c r="AA39" s="213">
        <v>1.71</v>
      </c>
      <c r="AB39" s="213">
        <v>1.252</v>
      </c>
      <c r="AC39" s="213">
        <v>1.0209999999999999</v>
      </c>
      <c r="AD39" s="213">
        <v>1.266</v>
      </c>
      <c r="AE39" s="213">
        <v>1.3360000000000001</v>
      </c>
      <c r="AF39" s="213">
        <v>1.284</v>
      </c>
      <c r="AG39" s="213">
        <v>1.681</v>
      </c>
      <c r="AH39" s="213">
        <v>1.72</v>
      </c>
      <c r="AI39" s="213">
        <v>1.88</v>
      </c>
      <c r="AJ39" s="213">
        <v>1.7030000000000001</v>
      </c>
      <c r="AK39" s="213">
        <v>1.6890000000000001</v>
      </c>
      <c r="AL39" s="213">
        <v>1.79</v>
      </c>
      <c r="AM39" s="213">
        <v>1.389</v>
      </c>
      <c r="AN39" s="213">
        <v>1.4550000000000001</v>
      </c>
      <c r="AO39" s="213">
        <v>1.6830000000000001</v>
      </c>
      <c r="AP39" s="213">
        <v>1.74</v>
      </c>
      <c r="AQ39" s="213">
        <v>1.8049999999999999</v>
      </c>
      <c r="AR39" s="213">
        <v>1.7609999999999999</v>
      </c>
      <c r="AS39" s="213">
        <v>1.9259999999999999</v>
      </c>
      <c r="AT39" s="213">
        <v>2.169</v>
      </c>
      <c r="AU39" s="213">
        <v>2.6459999999999999</v>
      </c>
      <c r="AV39" s="213">
        <v>2.0390000000000001</v>
      </c>
      <c r="AW39" s="213">
        <v>1.994</v>
      </c>
      <c r="AX39" s="213">
        <v>1.659</v>
      </c>
      <c r="AY39" s="213">
        <v>1.61</v>
      </c>
      <c r="AZ39" s="213">
        <v>1.2869999999999999</v>
      </c>
      <c r="BA39" s="213">
        <v>1.411</v>
      </c>
      <c r="BB39" s="213">
        <v>1.4179999999999999</v>
      </c>
      <c r="BC39" s="213">
        <v>1.355</v>
      </c>
      <c r="BD39" s="213">
        <v>1.504</v>
      </c>
      <c r="BE39" s="213">
        <v>1.8452986</v>
      </c>
      <c r="BF39" s="213">
        <v>2.1966367999999998</v>
      </c>
      <c r="BG39" s="351">
        <v>2.1964070000000002</v>
      </c>
      <c r="BH39" s="351">
        <v>2.4605070000000002</v>
      </c>
      <c r="BI39" s="351">
        <v>2.6466810000000001</v>
      </c>
      <c r="BJ39" s="351">
        <v>2.747649</v>
      </c>
      <c r="BK39" s="351">
        <v>2.5166979999999999</v>
      </c>
      <c r="BL39" s="351">
        <v>2.5715340000000002</v>
      </c>
      <c r="BM39" s="351">
        <v>2.761212</v>
      </c>
      <c r="BN39" s="351">
        <v>3.0265590000000002</v>
      </c>
      <c r="BO39" s="351">
        <v>3.1697099999999998</v>
      </c>
      <c r="BP39" s="351">
        <v>3.2115819999999999</v>
      </c>
      <c r="BQ39" s="351">
        <v>3.3889999999999998</v>
      </c>
      <c r="BR39" s="351">
        <v>3.7117049999999998</v>
      </c>
      <c r="BS39" s="351">
        <v>3.7092209999999999</v>
      </c>
      <c r="BT39" s="351">
        <v>3.8946619999999998</v>
      </c>
      <c r="BU39" s="351">
        <v>4.045833</v>
      </c>
      <c r="BV39" s="351">
        <v>4.1346850000000002</v>
      </c>
    </row>
    <row r="40" spans="1:77" x14ac:dyDescent="0.2">
      <c r="A40" s="616" t="s">
        <v>985</v>
      </c>
      <c r="B40" s="617" t="s">
        <v>974</v>
      </c>
      <c r="C40" s="213">
        <v>33.798000000000002</v>
      </c>
      <c r="D40" s="213">
        <v>29.777000000000001</v>
      </c>
      <c r="E40" s="213">
        <v>32.463999999999999</v>
      </c>
      <c r="F40" s="213">
        <v>37.396999999999998</v>
      </c>
      <c r="G40" s="213">
        <v>45.006999999999998</v>
      </c>
      <c r="H40" s="213">
        <v>54.171999999999997</v>
      </c>
      <c r="I40" s="213">
        <v>64.765000000000001</v>
      </c>
      <c r="J40" s="213">
        <v>75.825999999999993</v>
      </c>
      <c r="K40" s="213">
        <v>73.483999999999995</v>
      </c>
      <c r="L40" s="213">
        <v>65.581000000000003</v>
      </c>
      <c r="M40" s="213">
        <v>52.807000000000002</v>
      </c>
      <c r="N40" s="213">
        <v>40.381</v>
      </c>
      <c r="O40" s="213">
        <v>32.683999999999997</v>
      </c>
      <c r="P40" s="213">
        <v>30.513999999999999</v>
      </c>
      <c r="Q40" s="213">
        <v>31.283999999999999</v>
      </c>
      <c r="R40" s="213">
        <v>37.875999999999998</v>
      </c>
      <c r="S40" s="213">
        <v>48.814999999999998</v>
      </c>
      <c r="T40" s="213">
        <v>56.79</v>
      </c>
      <c r="U40" s="213">
        <v>64.825999999999993</v>
      </c>
      <c r="V40" s="213">
        <v>75.113</v>
      </c>
      <c r="W40" s="213">
        <v>75.546999999999997</v>
      </c>
      <c r="X40" s="213">
        <v>72.864999999999995</v>
      </c>
      <c r="Y40" s="213">
        <v>61.472000000000001</v>
      </c>
      <c r="Z40" s="213">
        <v>47.453000000000003</v>
      </c>
      <c r="AA40" s="213">
        <v>35.372</v>
      </c>
      <c r="AB40" s="213">
        <v>26.768999999999998</v>
      </c>
      <c r="AC40" s="213">
        <v>31.332999999999998</v>
      </c>
      <c r="AD40" s="213">
        <v>38.628999999999998</v>
      </c>
      <c r="AE40" s="213">
        <v>47.244</v>
      </c>
      <c r="AF40" s="213">
        <v>55.5</v>
      </c>
      <c r="AG40" s="213">
        <v>66.623000000000005</v>
      </c>
      <c r="AH40" s="213">
        <v>77.533000000000001</v>
      </c>
      <c r="AI40" s="213">
        <v>78.623000000000005</v>
      </c>
      <c r="AJ40" s="213">
        <v>70.501000000000005</v>
      </c>
      <c r="AK40" s="213">
        <v>57.856000000000002</v>
      </c>
      <c r="AL40" s="213">
        <v>47.581000000000003</v>
      </c>
      <c r="AM40" s="213">
        <v>39.506</v>
      </c>
      <c r="AN40" s="213">
        <v>36.786000000000001</v>
      </c>
      <c r="AO40" s="213">
        <v>39.841000000000001</v>
      </c>
      <c r="AP40" s="213">
        <v>48.649000000000001</v>
      </c>
      <c r="AQ40" s="213">
        <v>61.228999999999999</v>
      </c>
      <c r="AR40" s="213">
        <v>70.718000000000004</v>
      </c>
      <c r="AS40" s="213">
        <v>80.313000000000002</v>
      </c>
      <c r="AT40" s="213">
        <v>86.619</v>
      </c>
      <c r="AU40" s="213">
        <v>85.869</v>
      </c>
      <c r="AV40" s="213">
        <v>75.340999999999994</v>
      </c>
      <c r="AW40" s="213">
        <v>61.542999999999999</v>
      </c>
      <c r="AX40" s="213">
        <v>52.180999999999997</v>
      </c>
      <c r="AY40" s="213">
        <v>43.433</v>
      </c>
      <c r="AZ40" s="213">
        <v>39.457000000000001</v>
      </c>
      <c r="BA40" s="213">
        <v>43.576999999999998</v>
      </c>
      <c r="BB40" s="213">
        <v>53.850999999999999</v>
      </c>
      <c r="BC40" s="213">
        <v>59.686</v>
      </c>
      <c r="BD40" s="213">
        <v>69.328000000000003</v>
      </c>
      <c r="BE40" s="213">
        <v>79.708369642999997</v>
      </c>
      <c r="BF40" s="213">
        <v>88.315750531999996</v>
      </c>
      <c r="BG40" s="351">
        <v>88.699169999999995</v>
      </c>
      <c r="BH40" s="351">
        <v>82.654570000000007</v>
      </c>
      <c r="BI40" s="351">
        <v>70.838130000000007</v>
      </c>
      <c r="BJ40" s="351">
        <v>59.072560000000003</v>
      </c>
      <c r="BK40" s="351">
        <v>51.217239999999997</v>
      </c>
      <c r="BL40" s="351">
        <v>46.909790000000001</v>
      </c>
      <c r="BM40" s="351">
        <v>48.89087</v>
      </c>
      <c r="BN40" s="351">
        <v>55.51538</v>
      </c>
      <c r="BO40" s="351">
        <v>64.509020000000007</v>
      </c>
      <c r="BP40" s="351">
        <v>73.011179999999996</v>
      </c>
      <c r="BQ40" s="351">
        <v>81.612949999999998</v>
      </c>
      <c r="BR40" s="351">
        <v>90.090459999999993</v>
      </c>
      <c r="BS40" s="351">
        <v>90.473870000000005</v>
      </c>
      <c r="BT40" s="351">
        <v>84.429270000000002</v>
      </c>
      <c r="BU40" s="351">
        <v>72.612830000000002</v>
      </c>
      <c r="BV40" s="351">
        <v>60.847270000000002</v>
      </c>
    </row>
    <row r="41" spans="1:77" x14ac:dyDescent="0.2">
      <c r="A41" s="616" t="s">
        <v>761</v>
      </c>
      <c r="B41" s="617" t="s">
        <v>975</v>
      </c>
      <c r="C41" s="213">
        <v>19.664000000000001</v>
      </c>
      <c r="D41" s="213">
        <v>20.59</v>
      </c>
      <c r="E41" s="213">
        <v>20.428999999999998</v>
      </c>
      <c r="F41" s="213">
        <v>20.263999999999999</v>
      </c>
      <c r="G41" s="213">
        <v>20.887</v>
      </c>
      <c r="H41" s="213">
        <v>21.251000000000001</v>
      </c>
      <c r="I41" s="213">
        <v>22.358000000000001</v>
      </c>
      <c r="J41" s="213">
        <v>24.66</v>
      </c>
      <c r="K41" s="213">
        <v>25.314</v>
      </c>
      <c r="L41" s="213">
        <v>25.504999999999999</v>
      </c>
      <c r="M41" s="213">
        <v>26.196999999999999</v>
      </c>
      <c r="N41" s="213">
        <v>25.045000000000002</v>
      </c>
      <c r="O41" s="213">
        <v>24.588000000000001</v>
      </c>
      <c r="P41" s="213">
        <v>22.812999999999999</v>
      </c>
      <c r="Q41" s="213">
        <v>21.494</v>
      </c>
      <c r="R41" s="213">
        <v>20.533000000000001</v>
      </c>
      <c r="S41" s="213">
        <v>19.548999999999999</v>
      </c>
      <c r="T41" s="213">
        <v>20.552</v>
      </c>
      <c r="U41" s="213">
        <v>22.626999999999999</v>
      </c>
      <c r="V41" s="213">
        <v>23.629000000000001</v>
      </c>
      <c r="W41" s="213">
        <v>23.398</v>
      </c>
      <c r="X41" s="213">
        <v>21.593</v>
      </c>
      <c r="Y41" s="213">
        <v>21.337</v>
      </c>
      <c r="Z41" s="213">
        <v>20.113</v>
      </c>
      <c r="AA41" s="213">
        <v>18.978000000000002</v>
      </c>
      <c r="AB41" s="213">
        <v>18.283000000000001</v>
      </c>
      <c r="AC41" s="213">
        <v>19.359000000000002</v>
      </c>
      <c r="AD41" s="213">
        <v>18.922000000000001</v>
      </c>
      <c r="AE41" s="213">
        <v>18.594999999999999</v>
      </c>
      <c r="AF41" s="213">
        <v>18.648</v>
      </c>
      <c r="AG41" s="213">
        <v>19.718</v>
      </c>
      <c r="AH41" s="213">
        <v>20.146000000000001</v>
      </c>
      <c r="AI41" s="213">
        <v>20.393999999999998</v>
      </c>
      <c r="AJ41" s="213">
        <v>20.254999999999999</v>
      </c>
      <c r="AK41" s="213">
        <v>20.603999999999999</v>
      </c>
      <c r="AL41" s="213">
        <v>20.91</v>
      </c>
      <c r="AM41" s="213">
        <v>20.800999999999998</v>
      </c>
      <c r="AN41" s="213">
        <v>19.015999999999998</v>
      </c>
      <c r="AO41" s="213">
        <v>18.427</v>
      </c>
      <c r="AP41" s="213">
        <v>18.494</v>
      </c>
      <c r="AQ41" s="213">
        <v>18.981999999999999</v>
      </c>
      <c r="AR41" s="213">
        <v>19.721</v>
      </c>
      <c r="AS41" s="213">
        <v>20.393999999999998</v>
      </c>
      <c r="AT41" s="213">
        <v>20.664999999999999</v>
      </c>
      <c r="AU41" s="213">
        <v>21.263999999999999</v>
      </c>
      <c r="AV41" s="213">
        <v>20.805</v>
      </c>
      <c r="AW41" s="213">
        <v>20.6</v>
      </c>
      <c r="AX41" s="213">
        <v>20.9</v>
      </c>
      <c r="AY41" s="213">
        <v>21.538</v>
      </c>
      <c r="AZ41" s="213">
        <v>21.785</v>
      </c>
      <c r="BA41" s="213">
        <v>23.989000000000001</v>
      </c>
      <c r="BB41" s="213">
        <v>29.289000000000001</v>
      </c>
      <c r="BC41" s="213">
        <v>34.265999999999998</v>
      </c>
      <c r="BD41" s="213">
        <v>35.667999999999999</v>
      </c>
      <c r="BE41" s="213">
        <v>37.517214500000001</v>
      </c>
      <c r="BF41" s="213">
        <v>38.295935499999999</v>
      </c>
      <c r="BG41" s="351">
        <v>37.718679999999999</v>
      </c>
      <c r="BH41" s="351">
        <v>37.074039999999997</v>
      </c>
      <c r="BI41" s="351">
        <v>36.625839999999997</v>
      </c>
      <c r="BJ41" s="351">
        <v>36.005020000000002</v>
      </c>
      <c r="BK41" s="351">
        <v>34.957839999999997</v>
      </c>
      <c r="BL41" s="351">
        <v>33.42792</v>
      </c>
      <c r="BM41" s="351">
        <v>32.511569999999999</v>
      </c>
      <c r="BN41" s="351">
        <v>32.299869999999999</v>
      </c>
      <c r="BO41" s="351">
        <v>32.459919999999997</v>
      </c>
      <c r="BP41" s="351">
        <v>32.75009</v>
      </c>
      <c r="BQ41" s="351">
        <v>33.341250000000002</v>
      </c>
      <c r="BR41" s="351">
        <v>33.245640000000002</v>
      </c>
      <c r="BS41" s="351">
        <v>32.70787</v>
      </c>
      <c r="BT41" s="351">
        <v>32.109189999999998</v>
      </c>
      <c r="BU41" s="351">
        <v>31.71086</v>
      </c>
      <c r="BV41" s="351">
        <v>31.145569999999999</v>
      </c>
    </row>
    <row r="42" spans="1:77" x14ac:dyDescent="0.2">
      <c r="A42" s="616"/>
      <c r="C42" s="620"/>
      <c r="D42" s="620"/>
      <c r="E42" s="620"/>
      <c r="F42" s="620"/>
      <c r="G42" s="620"/>
      <c r="H42" s="620"/>
      <c r="I42" s="620"/>
      <c r="J42" s="620"/>
      <c r="K42" s="620"/>
      <c r="L42" s="620"/>
      <c r="M42" s="620"/>
      <c r="N42" s="620"/>
      <c r="O42" s="620"/>
      <c r="P42" s="620"/>
      <c r="Q42" s="620"/>
      <c r="R42" s="620"/>
      <c r="S42" s="620"/>
      <c r="T42" s="620"/>
      <c r="U42" s="620"/>
      <c r="V42" s="620"/>
      <c r="W42" s="620"/>
      <c r="X42" s="620"/>
      <c r="Y42" s="620"/>
      <c r="Z42" s="620"/>
      <c r="AA42" s="620"/>
      <c r="AB42" s="620"/>
      <c r="AC42" s="620"/>
      <c r="AD42" s="620"/>
      <c r="AE42" s="620"/>
      <c r="AF42" s="620"/>
      <c r="AG42" s="620"/>
      <c r="AH42" s="620"/>
      <c r="AI42" s="620"/>
      <c r="AJ42" s="620"/>
      <c r="AK42" s="620"/>
      <c r="AL42" s="620"/>
      <c r="AM42" s="620"/>
      <c r="AN42" s="620"/>
      <c r="AO42" s="620"/>
      <c r="AP42" s="620"/>
      <c r="AQ42" s="620"/>
      <c r="AR42" s="620"/>
      <c r="AS42" s="620"/>
      <c r="AT42" s="620"/>
      <c r="AU42" s="620"/>
      <c r="AV42" s="620"/>
      <c r="AW42" s="620"/>
      <c r="AX42" s="620"/>
      <c r="AY42" s="620"/>
      <c r="AZ42" s="620"/>
      <c r="BA42" s="620"/>
      <c r="BB42" s="783"/>
      <c r="BC42" s="783"/>
      <c r="BD42" s="783"/>
      <c r="BE42" s="783"/>
      <c r="BF42" s="783"/>
      <c r="BG42" s="621"/>
      <c r="BH42" s="621"/>
      <c r="BI42" s="621"/>
      <c r="BJ42" s="621"/>
      <c r="BK42" s="621"/>
      <c r="BL42" s="621"/>
      <c r="BM42" s="621"/>
      <c r="BN42" s="621"/>
      <c r="BO42" s="621"/>
      <c r="BP42" s="621"/>
      <c r="BQ42" s="621"/>
      <c r="BR42" s="621"/>
      <c r="BS42" s="621"/>
      <c r="BT42" s="621"/>
      <c r="BU42" s="621"/>
      <c r="BV42" s="621"/>
    </row>
    <row r="43" spans="1:77" ht="11.1" customHeight="1" x14ac:dyDescent="0.2">
      <c r="A43" s="57"/>
      <c r="B43" s="155" t="s">
        <v>583</v>
      </c>
      <c r="C43" s="618"/>
      <c r="D43" s="618"/>
      <c r="E43" s="618"/>
      <c r="F43" s="618"/>
      <c r="G43" s="618"/>
      <c r="H43" s="618"/>
      <c r="I43" s="618"/>
      <c r="J43" s="618"/>
      <c r="K43" s="618"/>
      <c r="L43" s="618"/>
      <c r="M43" s="618"/>
      <c r="N43" s="618"/>
      <c r="O43" s="618"/>
      <c r="P43" s="618"/>
      <c r="Q43" s="618"/>
      <c r="R43" s="618"/>
      <c r="S43" s="618"/>
      <c r="T43" s="618"/>
      <c r="U43" s="618"/>
      <c r="V43" s="618"/>
      <c r="W43" s="618"/>
      <c r="X43" s="618"/>
      <c r="Y43" s="618"/>
      <c r="Z43" s="618"/>
      <c r="AA43" s="618"/>
      <c r="AB43" s="618"/>
      <c r="AC43" s="618"/>
      <c r="AD43" s="618"/>
      <c r="AE43" s="618"/>
      <c r="AF43" s="618"/>
      <c r="AG43" s="618"/>
      <c r="AH43" s="618"/>
      <c r="AI43" s="618"/>
      <c r="AJ43" s="618"/>
      <c r="AK43" s="618"/>
      <c r="AL43" s="618"/>
      <c r="AM43" s="618"/>
      <c r="AN43" s="618"/>
      <c r="AO43" s="618"/>
      <c r="AP43" s="618"/>
      <c r="AQ43" s="618"/>
      <c r="AR43" s="618"/>
      <c r="AS43" s="618"/>
      <c r="AT43" s="618"/>
      <c r="AU43" s="618"/>
      <c r="AV43" s="618"/>
      <c r="AW43" s="618"/>
      <c r="AX43" s="618"/>
      <c r="AY43" s="618"/>
      <c r="AZ43" s="618"/>
      <c r="BA43" s="618"/>
      <c r="BB43" s="618"/>
      <c r="BC43" s="618"/>
      <c r="BD43" s="618"/>
      <c r="BE43" s="618"/>
      <c r="BF43" s="618"/>
      <c r="BG43" s="619"/>
      <c r="BH43" s="619"/>
      <c r="BI43" s="619"/>
      <c r="BJ43" s="619"/>
      <c r="BK43" s="619"/>
      <c r="BL43" s="619"/>
      <c r="BM43" s="619"/>
      <c r="BN43" s="619"/>
      <c r="BO43" s="619"/>
      <c r="BP43" s="619"/>
      <c r="BQ43" s="619"/>
      <c r="BR43" s="619"/>
      <c r="BS43" s="619"/>
      <c r="BT43" s="619"/>
      <c r="BU43" s="619"/>
      <c r="BV43" s="619"/>
      <c r="BX43" s="774"/>
      <c r="BY43" s="774"/>
    </row>
    <row r="44" spans="1:77" ht="11.1" customHeight="1" x14ac:dyDescent="0.2">
      <c r="A44" s="61" t="s">
        <v>517</v>
      </c>
      <c r="B44" s="179" t="s">
        <v>415</v>
      </c>
      <c r="C44" s="213">
        <v>15.95129</v>
      </c>
      <c r="D44" s="213">
        <v>15.842828000000001</v>
      </c>
      <c r="E44" s="213">
        <v>16.082452</v>
      </c>
      <c r="F44" s="213">
        <v>15.920267000000001</v>
      </c>
      <c r="G44" s="213">
        <v>16.236806999999999</v>
      </c>
      <c r="H44" s="213">
        <v>16.432600000000001</v>
      </c>
      <c r="I44" s="213">
        <v>16.621193999999999</v>
      </c>
      <c r="J44" s="213">
        <v>16.593354999999999</v>
      </c>
      <c r="K44" s="213">
        <v>16.339832999999999</v>
      </c>
      <c r="L44" s="213">
        <v>15.454355</v>
      </c>
      <c r="M44" s="213">
        <v>16.235233000000001</v>
      </c>
      <c r="N44" s="213">
        <v>16.515871000000001</v>
      </c>
      <c r="O44" s="213">
        <v>16.118226</v>
      </c>
      <c r="P44" s="213">
        <v>15.493107</v>
      </c>
      <c r="Q44" s="213">
        <v>16.047936</v>
      </c>
      <c r="R44" s="213">
        <v>16.954433000000002</v>
      </c>
      <c r="S44" s="213">
        <v>17.222387000000001</v>
      </c>
      <c r="T44" s="213">
        <v>17.204066999999998</v>
      </c>
      <c r="U44" s="213">
        <v>17.317451999999999</v>
      </c>
      <c r="V44" s="213">
        <v>16.980516000000001</v>
      </c>
      <c r="W44" s="213">
        <v>15.4602</v>
      </c>
      <c r="X44" s="213">
        <v>16.061194</v>
      </c>
      <c r="Y44" s="213">
        <v>16.839600000000001</v>
      </c>
      <c r="Z44" s="213">
        <v>17.274387000000001</v>
      </c>
      <c r="AA44" s="213">
        <v>16.599194000000001</v>
      </c>
      <c r="AB44" s="213">
        <v>15.936249999999999</v>
      </c>
      <c r="AC44" s="213">
        <v>16.665129</v>
      </c>
      <c r="AD44" s="213">
        <v>16.766200000000001</v>
      </c>
      <c r="AE44" s="213">
        <v>16.968741999999999</v>
      </c>
      <c r="AF44" s="213">
        <v>17.665666999999999</v>
      </c>
      <c r="AG44" s="213">
        <v>17.356999999999999</v>
      </c>
      <c r="AH44" s="213">
        <v>17.622903000000001</v>
      </c>
      <c r="AI44" s="213">
        <v>16.990867000000001</v>
      </c>
      <c r="AJ44" s="213">
        <v>16.412226</v>
      </c>
      <c r="AK44" s="213">
        <v>17.162099999999999</v>
      </c>
      <c r="AL44" s="213">
        <v>17.409386999999999</v>
      </c>
      <c r="AM44" s="213">
        <v>16.782968</v>
      </c>
      <c r="AN44" s="213">
        <v>15.845750000000001</v>
      </c>
      <c r="AO44" s="213">
        <v>15.934677000000001</v>
      </c>
      <c r="AP44" s="213">
        <v>16.341200000000001</v>
      </c>
      <c r="AQ44" s="213">
        <v>16.719452</v>
      </c>
      <c r="AR44" s="213">
        <v>17.235800000000001</v>
      </c>
      <c r="AS44" s="213">
        <v>17.175194000000001</v>
      </c>
      <c r="AT44" s="213">
        <v>17.296838999999999</v>
      </c>
      <c r="AU44" s="213">
        <v>16.403099999999998</v>
      </c>
      <c r="AV44" s="213">
        <v>15.680871</v>
      </c>
      <c r="AW44" s="213">
        <v>16.481767000000001</v>
      </c>
      <c r="AX44" s="213">
        <v>16.792548</v>
      </c>
      <c r="AY44" s="213">
        <v>16.230871</v>
      </c>
      <c r="AZ44" s="213">
        <v>15.866655</v>
      </c>
      <c r="BA44" s="213">
        <v>15.226290000000001</v>
      </c>
      <c r="BB44" s="213">
        <v>12.7864</v>
      </c>
      <c r="BC44" s="213">
        <v>12.957807000000001</v>
      </c>
      <c r="BD44" s="213">
        <v>13.732032999999999</v>
      </c>
      <c r="BE44" s="213">
        <v>14.438096774</v>
      </c>
      <c r="BF44" s="213">
        <v>14.274064515999999</v>
      </c>
      <c r="BG44" s="351">
        <v>14.5221</v>
      </c>
      <c r="BH44" s="351">
        <v>15.05167</v>
      </c>
      <c r="BI44" s="351">
        <v>15.73545</v>
      </c>
      <c r="BJ44" s="351">
        <v>16.495529999999999</v>
      </c>
      <c r="BK44" s="351">
        <v>16.03614</v>
      </c>
      <c r="BL44" s="351">
        <v>15.17216</v>
      </c>
      <c r="BM44" s="351">
        <v>15.64498</v>
      </c>
      <c r="BN44" s="351">
        <v>16.067730000000001</v>
      </c>
      <c r="BO44" s="351">
        <v>16.496099999999998</v>
      </c>
      <c r="BP44" s="351">
        <v>16.635100000000001</v>
      </c>
      <c r="BQ44" s="351">
        <v>17.17258</v>
      </c>
      <c r="BR44" s="351">
        <v>16.817319999999999</v>
      </c>
      <c r="BS44" s="351">
        <v>16.668759999999999</v>
      </c>
      <c r="BT44" s="351">
        <v>16.024519999999999</v>
      </c>
      <c r="BU44" s="351">
        <v>16.60332</v>
      </c>
      <c r="BV44" s="351">
        <v>17.117439999999998</v>
      </c>
      <c r="BX44" s="775"/>
      <c r="BY44" s="775"/>
    </row>
    <row r="45" spans="1:77" ht="11.1" customHeight="1" x14ac:dyDescent="0.2">
      <c r="A45" s="616" t="s">
        <v>999</v>
      </c>
      <c r="B45" s="617" t="s">
        <v>992</v>
      </c>
      <c r="C45" s="213">
        <v>0.67238699999999996</v>
      </c>
      <c r="D45" s="213">
        <v>0.56851700000000005</v>
      </c>
      <c r="E45" s="213">
        <v>0.48725800000000002</v>
      </c>
      <c r="F45" s="213">
        <v>0.45219999999999999</v>
      </c>
      <c r="G45" s="213">
        <v>0.42016100000000001</v>
      </c>
      <c r="H45" s="213">
        <v>0.43246699999999999</v>
      </c>
      <c r="I45" s="213">
        <v>0.42496800000000001</v>
      </c>
      <c r="J45" s="213">
        <v>0.42661300000000002</v>
      </c>
      <c r="K45" s="213">
        <v>0.54733299999999996</v>
      </c>
      <c r="L45" s="213">
        <v>0.63274200000000003</v>
      </c>
      <c r="M45" s="213">
        <v>0.69886700000000002</v>
      </c>
      <c r="N45" s="213">
        <v>0.67354800000000004</v>
      </c>
      <c r="O45" s="213">
        <v>0.64929000000000003</v>
      </c>
      <c r="P45" s="213">
        <v>0.58667899999999995</v>
      </c>
      <c r="Q45" s="213">
        <v>0.51941899999999996</v>
      </c>
      <c r="R45" s="213">
        <v>0.477933</v>
      </c>
      <c r="S45" s="213">
        <v>0.48367700000000002</v>
      </c>
      <c r="T45" s="213">
        <v>0.473333</v>
      </c>
      <c r="U45" s="213">
        <v>0.44574200000000003</v>
      </c>
      <c r="V45" s="213">
        <v>0.480323</v>
      </c>
      <c r="W45" s="213">
        <v>0.60550000000000004</v>
      </c>
      <c r="X45" s="213">
        <v>0.59306499999999995</v>
      </c>
      <c r="Y45" s="213">
        <v>0.73086700000000004</v>
      </c>
      <c r="Z45" s="213">
        <v>0.75019400000000003</v>
      </c>
      <c r="AA45" s="213">
        <v>0.62987099999999996</v>
      </c>
      <c r="AB45" s="213">
        <v>0.62924999999999998</v>
      </c>
      <c r="AC45" s="213">
        <v>0.55609699999999995</v>
      </c>
      <c r="AD45" s="213">
        <v>0.49723299999999998</v>
      </c>
      <c r="AE45" s="213">
        <v>0.45371</v>
      </c>
      <c r="AF45" s="213">
        <v>0.45566699999999999</v>
      </c>
      <c r="AG45" s="213">
        <v>0.44232300000000002</v>
      </c>
      <c r="AH45" s="213">
        <v>0.50419400000000003</v>
      </c>
      <c r="AI45" s="213">
        <v>0.56543299999999996</v>
      </c>
      <c r="AJ45" s="213">
        <v>0.68664499999999995</v>
      </c>
      <c r="AK45" s="213">
        <v>0.74633300000000002</v>
      </c>
      <c r="AL45" s="213">
        <v>0.73196799999999995</v>
      </c>
      <c r="AM45" s="213">
        <v>0.67493599999999998</v>
      </c>
      <c r="AN45" s="213">
        <v>0.59171399999999996</v>
      </c>
      <c r="AO45" s="213">
        <v>0.51187099999999996</v>
      </c>
      <c r="AP45" s="213">
        <v>0.48573300000000003</v>
      </c>
      <c r="AQ45" s="213">
        <v>0.45990300000000001</v>
      </c>
      <c r="AR45" s="213">
        <v>0.43146699999999999</v>
      </c>
      <c r="AS45" s="213">
        <v>0.447936</v>
      </c>
      <c r="AT45" s="213">
        <v>0.480742</v>
      </c>
      <c r="AU45" s="213">
        <v>0.60066699999999995</v>
      </c>
      <c r="AV45" s="213">
        <v>0.71180699999999997</v>
      </c>
      <c r="AW45" s="213">
        <v>0.74363299999999999</v>
      </c>
      <c r="AX45" s="213">
        <v>0.71564499999999998</v>
      </c>
      <c r="AY45" s="213">
        <v>0.69906400000000002</v>
      </c>
      <c r="AZ45" s="213">
        <v>0.63834500000000005</v>
      </c>
      <c r="BA45" s="213">
        <v>0.49848399999999998</v>
      </c>
      <c r="BB45" s="213">
        <v>0.31759999999999999</v>
      </c>
      <c r="BC45" s="213">
        <v>0.33609699999999998</v>
      </c>
      <c r="BD45" s="213">
        <v>0.40236699999999997</v>
      </c>
      <c r="BE45" s="213">
        <v>0.35255579999999997</v>
      </c>
      <c r="BF45" s="213">
        <v>0.39535930000000002</v>
      </c>
      <c r="BG45" s="351">
        <v>0.56433460000000002</v>
      </c>
      <c r="BH45" s="351">
        <v>0.62472950000000005</v>
      </c>
      <c r="BI45" s="351">
        <v>0.69645409999999996</v>
      </c>
      <c r="BJ45" s="351">
        <v>0.69536960000000003</v>
      </c>
      <c r="BK45" s="351">
        <v>0.60980210000000001</v>
      </c>
      <c r="BL45" s="351">
        <v>0.57836430000000005</v>
      </c>
      <c r="BM45" s="351">
        <v>0.52043050000000002</v>
      </c>
      <c r="BN45" s="351">
        <v>0.4841279</v>
      </c>
      <c r="BO45" s="351">
        <v>0.46799689999999999</v>
      </c>
      <c r="BP45" s="351">
        <v>0.46433459999999999</v>
      </c>
      <c r="BQ45" s="351">
        <v>0.4572348</v>
      </c>
      <c r="BR45" s="351">
        <v>0.47695090000000001</v>
      </c>
      <c r="BS45" s="351">
        <v>0.60321800000000003</v>
      </c>
      <c r="BT45" s="351">
        <v>0.65806609999999999</v>
      </c>
      <c r="BU45" s="351">
        <v>0.72012679999999996</v>
      </c>
      <c r="BV45" s="351">
        <v>0.70527890000000004</v>
      </c>
      <c r="BX45" s="775"/>
      <c r="BY45" s="775"/>
    </row>
    <row r="46" spans="1:77" ht="11.1" customHeight="1" x14ac:dyDescent="0.2">
      <c r="A46" s="61" t="s">
        <v>905</v>
      </c>
      <c r="B46" s="179" t="s">
        <v>416</v>
      </c>
      <c r="C46" s="213">
        <v>0.98</v>
      </c>
      <c r="D46" s="213">
        <v>1.155931</v>
      </c>
      <c r="E46" s="213">
        <v>1.174194</v>
      </c>
      <c r="F46" s="213">
        <v>1.2031670000000001</v>
      </c>
      <c r="G46" s="213">
        <v>1.215355</v>
      </c>
      <c r="H46" s="213">
        <v>1.248167</v>
      </c>
      <c r="I46" s="213">
        <v>1.2313229999999999</v>
      </c>
      <c r="J46" s="213">
        <v>1.2503869999999999</v>
      </c>
      <c r="K46" s="213">
        <v>1.2135</v>
      </c>
      <c r="L46" s="213">
        <v>1.193484</v>
      </c>
      <c r="M46" s="213">
        <v>1.195567</v>
      </c>
      <c r="N46" s="213">
        <v>1.1957739999999999</v>
      </c>
      <c r="O46" s="213">
        <v>1.1055159999999999</v>
      </c>
      <c r="P46" s="213">
        <v>1.161321</v>
      </c>
      <c r="Q46" s="213">
        <v>1.203452</v>
      </c>
      <c r="R46" s="213">
        <v>1.2047330000000001</v>
      </c>
      <c r="S46" s="213">
        <v>1.238807</v>
      </c>
      <c r="T46" s="213">
        <v>1.2611000000000001</v>
      </c>
      <c r="U46" s="213">
        <v>1.222129</v>
      </c>
      <c r="V46" s="213">
        <v>1.240516</v>
      </c>
      <c r="W46" s="213">
        <v>1.1862999999999999</v>
      </c>
      <c r="X46" s="213">
        <v>1.2110970000000001</v>
      </c>
      <c r="Y46" s="213">
        <v>1.207233</v>
      </c>
      <c r="Z46" s="213">
        <v>1.190742</v>
      </c>
      <c r="AA46" s="213">
        <v>1.109936</v>
      </c>
      <c r="AB46" s="213">
        <v>1.146857</v>
      </c>
      <c r="AC46" s="213">
        <v>1.2066129999999999</v>
      </c>
      <c r="AD46" s="213">
        <v>1.2078</v>
      </c>
      <c r="AE46" s="213">
        <v>1.241452</v>
      </c>
      <c r="AF46" s="213">
        <v>1.238067</v>
      </c>
      <c r="AG46" s="213">
        <v>1.2211289999999999</v>
      </c>
      <c r="AH46" s="213">
        <v>1.248129</v>
      </c>
      <c r="AI46" s="213">
        <v>1.1946669999999999</v>
      </c>
      <c r="AJ46" s="213">
        <v>1.1992579999999999</v>
      </c>
      <c r="AK46" s="213">
        <v>1.2073670000000001</v>
      </c>
      <c r="AL46" s="213">
        <v>1.1858709999999999</v>
      </c>
      <c r="AM46" s="213">
        <v>1.1460649999999999</v>
      </c>
      <c r="AN46" s="213">
        <v>1.1471789999999999</v>
      </c>
      <c r="AO46" s="213">
        <v>1.181387</v>
      </c>
      <c r="AP46" s="213">
        <v>1.1939</v>
      </c>
      <c r="AQ46" s="213">
        <v>1.216677</v>
      </c>
      <c r="AR46" s="213">
        <v>1.2227330000000001</v>
      </c>
      <c r="AS46" s="213">
        <v>1.2317739999999999</v>
      </c>
      <c r="AT46" s="213">
        <v>1.246194</v>
      </c>
      <c r="AU46" s="213">
        <v>1.177967</v>
      </c>
      <c r="AV46" s="213">
        <v>1.186903</v>
      </c>
      <c r="AW46" s="213">
        <v>1.1958329999999999</v>
      </c>
      <c r="AX46" s="213">
        <v>1.1856450000000001</v>
      </c>
      <c r="AY46" s="213">
        <v>1.1506769999999999</v>
      </c>
      <c r="AZ46" s="213">
        <v>1.1690689999999999</v>
      </c>
      <c r="BA46" s="213">
        <v>1.0488710000000001</v>
      </c>
      <c r="BB46" s="213">
        <v>0.82230000000000003</v>
      </c>
      <c r="BC46" s="213">
        <v>0.95422600000000002</v>
      </c>
      <c r="BD46" s="213">
        <v>1.0747</v>
      </c>
      <c r="BE46" s="213">
        <v>1.0879769483999999</v>
      </c>
      <c r="BF46" s="213">
        <v>1.1036471903</v>
      </c>
      <c r="BG46" s="351">
        <v>1.0845640000000001</v>
      </c>
      <c r="BH46" s="351">
        <v>1.0892310000000001</v>
      </c>
      <c r="BI46" s="351">
        <v>1.1190279999999999</v>
      </c>
      <c r="BJ46" s="351">
        <v>1.1301349999999999</v>
      </c>
      <c r="BK46" s="351">
        <v>1.127248</v>
      </c>
      <c r="BL46" s="351">
        <v>1.1473120000000001</v>
      </c>
      <c r="BM46" s="351">
        <v>1.1520280000000001</v>
      </c>
      <c r="BN46" s="351">
        <v>1.1723920000000001</v>
      </c>
      <c r="BO46" s="351">
        <v>1.196817</v>
      </c>
      <c r="BP46" s="351">
        <v>1.2060660000000001</v>
      </c>
      <c r="BQ46" s="351">
        <v>1.1971579999999999</v>
      </c>
      <c r="BR46" s="351">
        <v>1.213524</v>
      </c>
      <c r="BS46" s="351">
        <v>1.1447320000000001</v>
      </c>
      <c r="BT46" s="351">
        <v>1.17723</v>
      </c>
      <c r="BU46" s="351">
        <v>1.18449</v>
      </c>
      <c r="BV46" s="351">
        <v>1.162941</v>
      </c>
      <c r="BX46" s="775"/>
      <c r="BY46" s="775"/>
    </row>
    <row r="47" spans="1:77" ht="11.1" customHeight="1" x14ac:dyDescent="0.2">
      <c r="A47" s="61" t="s">
        <v>768</v>
      </c>
      <c r="B47" s="617" t="s">
        <v>417</v>
      </c>
      <c r="C47" s="213">
        <v>0.183</v>
      </c>
      <c r="D47" s="213">
        <v>0.15462100000000001</v>
      </c>
      <c r="E47" s="213">
        <v>0.32125799999999999</v>
      </c>
      <c r="F47" s="213">
        <v>0.43786700000000001</v>
      </c>
      <c r="G47" s="213">
        <v>0.50509700000000002</v>
      </c>
      <c r="H47" s="213">
        <v>0.65773300000000001</v>
      </c>
      <c r="I47" s="213">
        <v>0.56225800000000004</v>
      </c>
      <c r="J47" s="213">
        <v>0.50190299999999999</v>
      </c>
      <c r="K47" s="213">
        <v>0.34886699999999998</v>
      </c>
      <c r="L47" s="213">
        <v>0.28648400000000002</v>
      </c>
      <c r="M47" s="213">
        <v>0.47516700000000001</v>
      </c>
      <c r="N47" s="213">
        <v>0.39154800000000001</v>
      </c>
      <c r="O47" s="213">
        <v>0.19445200000000001</v>
      </c>
      <c r="P47" s="213">
        <v>0.31839299999999998</v>
      </c>
      <c r="Q47" s="213">
        <v>0.28661300000000001</v>
      </c>
      <c r="R47" s="213">
        <v>0.17283299999999999</v>
      </c>
      <c r="S47" s="213">
        <v>0.23577400000000001</v>
      </c>
      <c r="T47" s="213">
        <v>0.56489999999999996</v>
      </c>
      <c r="U47" s="213">
        <v>0.35825800000000002</v>
      </c>
      <c r="V47" s="213">
        <v>0.37751600000000002</v>
      </c>
      <c r="W47" s="213">
        <v>0.39163300000000001</v>
      </c>
      <c r="X47" s="213">
        <v>0.45487100000000003</v>
      </c>
      <c r="Y47" s="213">
        <v>0.47760000000000002</v>
      </c>
      <c r="Z47" s="213">
        <v>0.42419400000000002</v>
      </c>
      <c r="AA47" s="213">
        <v>0.223161</v>
      </c>
      <c r="AB47" s="213">
        <v>0.195607</v>
      </c>
      <c r="AC47" s="213">
        <v>-3.4097000000000002E-2</v>
      </c>
      <c r="AD47" s="213">
        <v>0.492867</v>
      </c>
      <c r="AE47" s="213">
        <v>0.46251599999999998</v>
      </c>
      <c r="AF47" s="213">
        <v>0.33313300000000001</v>
      </c>
      <c r="AG47" s="213">
        <v>0.45116099999999998</v>
      </c>
      <c r="AH47" s="213">
        <v>0.45009700000000002</v>
      </c>
      <c r="AI47" s="213">
        <v>0.42230000000000001</v>
      </c>
      <c r="AJ47" s="213">
        <v>0.26703199999999999</v>
      </c>
      <c r="AK47" s="213">
        <v>0.25469999999999998</v>
      </c>
      <c r="AL47" s="213">
        <v>0.48390300000000003</v>
      </c>
      <c r="AM47" s="213">
        <v>0.152839</v>
      </c>
      <c r="AN47" s="213">
        <v>9.9392999999999995E-2</v>
      </c>
      <c r="AO47" s="213">
        <v>0.276032</v>
      </c>
      <c r="AP47" s="213">
        <v>0.25783299999999998</v>
      </c>
      <c r="AQ47" s="213">
        <v>0.27154800000000001</v>
      </c>
      <c r="AR47" s="213">
        <v>0.48363299999999998</v>
      </c>
      <c r="AS47" s="213">
        <v>0.59235499999999996</v>
      </c>
      <c r="AT47" s="213">
        <v>0.42099999999999999</v>
      </c>
      <c r="AU47" s="213">
        <v>0.37823299999999999</v>
      </c>
      <c r="AV47" s="213">
        <v>0.19709699999999999</v>
      </c>
      <c r="AW47" s="213">
        <v>0.497367</v>
      </c>
      <c r="AX47" s="213">
        <v>0.59851600000000005</v>
      </c>
      <c r="AY47" s="213">
        <v>0.29406399999999999</v>
      </c>
      <c r="AZ47" s="213">
        <v>-0.13827600000000001</v>
      </c>
      <c r="BA47" s="213">
        <v>-1.1161000000000001E-2</v>
      </c>
      <c r="BB47" s="213">
        <v>0.194967</v>
      </c>
      <c r="BC47" s="213">
        <v>0.248581</v>
      </c>
      <c r="BD47" s="213">
        <v>0.24840000000000001</v>
      </c>
      <c r="BE47" s="213">
        <v>0.48144119124000001</v>
      </c>
      <c r="BF47" s="213">
        <v>0.35750161826999999</v>
      </c>
      <c r="BG47" s="351">
        <v>0.38067640000000003</v>
      </c>
      <c r="BH47" s="351">
        <v>0.3698227</v>
      </c>
      <c r="BI47" s="351">
        <v>0.40762009999999999</v>
      </c>
      <c r="BJ47" s="351">
        <v>0.47172560000000002</v>
      </c>
      <c r="BK47" s="351">
        <v>0.16510720000000001</v>
      </c>
      <c r="BL47" s="351">
        <v>0.23646739999999999</v>
      </c>
      <c r="BM47" s="351">
        <v>0.30525619999999998</v>
      </c>
      <c r="BN47" s="351">
        <v>0.387847</v>
      </c>
      <c r="BO47" s="351">
        <v>0.47205950000000002</v>
      </c>
      <c r="BP47" s="351">
        <v>0.55565560000000003</v>
      </c>
      <c r="BQ47" s="351">
        <v>0.504417</v>
      </c>
      <c r="BR47" s="351">
        <v>0.45199030000000001</v>
      </c>
      <c r="BS47" s="351">
        <v>0.39249430000000002</v>
      </c>
      <c r="BT47" s="351">
        <v>0.35036089999999998</v>
      </c>
      <c r="BU47" s="351">
        <v>0.36853599999999997</v>
      </c>
      <c r="BV47" s="351">
        <v>0.41966330000000002</v>
      </c>
      <c r="BX47" s="775"/>
      <c r="BY47" s="775"/>
    </row>
    <row r="48" spans="1:77" ht="11.1" customHeight="1" x14ac:dyDescent="0.2">
      <c r="A48" s="61" t="s">
        <v>769</v>
      </c>
      <c r="B48" s="179" t="s">
        <v>819</v>
      </c>
      <c r="C48" s="213">
        <v>-0.30351600000000001</v>
      </c>
      <c r="D48" s="213">
        <v>0.553759</v>
      </c>
      <c r="E48" s="213">
        <v>0.78874200000000005</v>
      </c>
      <c r="F48" s="213">
        <v>0.81</v>
      </c>
      <c r="G48" s="213">
        <v>0.77238700000000005</v>
      </c>
      <c r="H48" s="213">
        <v>0.91913299999999998</v>
      </c>
      <c r="I48" s="213">
        <v>0.88616099999999998</v>
      </c>
      <c r="J48" s="213">
        <v>1.060548</v>
      </c>
      <c r="K48" s="213">
        <v>0.74873299999999998</v>
      </c>
      <c r="L48" s="213">
        <v>0.93109699999999995</v>
      </c>
      <c r="M48" s="213">
        <v>0.29563299999999998</v>
      </c>
      <c r="N48" s="213">
        <v>0.16761300000000001</v>
      </c>
      <c r="O48" s="213">
        <v>-0.19780700000000001</v>
      </c>
      <c r="P48" s="213">
        <v>0.53157100000000002</v>
      </c>
      <c r="Q48" s="213">
        <v>0.72261299999999995</v>
      </c>
      <c r="R48" s="213">
        <v>0.54053300000000004</v>
      </c>
      <c r="S48" s="213">
        <v>0.69816100000000003</v>
      </c>
      <c r="T48" s="213">
        <v>0.66496699999999997</v>
      </c>
      <c r="U48" s="213">
        <v>0.66093599999999997</v>
      </c>
      <c r="V48" s="213">
        <v>0.72199999999999998</v>
      </c>
      <c r="W48" s="213">
        <v>0.62306700000000004</v>
      </c>
      <c r="X48" s="213">
        <v>0.724742</v>
      </c>
      <c r="Y48" s="213">
        <v>0.16303300000000001</v>
      </c>
      <c r="Z48" s="213">
        <v>-0.16480700000000001</v>
      </c>
      <c r="AA48" s="213">
        <v>-0.100161</v>
      </c>
      <c r="AB48" s="213">
        <v>0.37532100000000002</v>
      </c>
      <c r="AC48" s="213">
        <v>0.75087099999999996</v>
      </c>
      <c r="AD48" s="213">
        <v>0.62423300000000004</v>
      </c>
      <c r="AE48" s="213">
        <v>0.75925799999999999</v>
      </c>
      <c r="AF48" s="213">
        <v>0.73796700000000004</v>
      </c>
      <c r="AG48" s="213">
        <v>0.73838700000000002</v>
      </c>
      <c r="AH48" s="213">
        <v>0.61680699999999999</v>
      </c>
      <c r="AI48" s="213">
        <v>0.41583300000000001</v>
      </c>
      <c r="AJ48" s="213">
        <v>0.72890299999999997</v>
      </c>
      <c r="AK48" s="213">
        <v>0.24193300000000001</v>
      </c>
      <c r="AL48" s="213">
        <v>-0.19625799999999999</v>
      </c>
      <c r="AM48" s="213">
        <v>0.116161</v>
      </c>
      <c r="AN48" s="213">
        <v>0.68782100000000002</v>
      </c>
      <c r="AO48" s="213">
        <v>1.122871</v>
      </c>
      <c r="AP48" s="213">
        <v>1.0298</v>
      </c>
      <c r="AQ48" s="213">
        <v>1.030613</v>
      </c>
      <c r="AR48" s="213">
        <v>0.76226700000000003</v>
      </c>
      <c r="AS48" s="213">
        <v>0.76864500000000002</v>
      </c>
      <c r="AT48" s="213">
        <v>0.912161</v>
      </c>
      <c r="AU48" s="213">
        <v>0.62116700000000002</v>
      </c>
      <c r="AV48" s="213">
        <v>0.97103200000000001</v>
      </c>
      <c r="AW48" s="213">
        <v>0.27643299999999998</v>
      </c>
      <c r="AX48" s="213">
        <v>-4.9709999999999997E-2</v>
      </c>
      <c r="AY48" s="213">
        <v>0.16203200000000001</v>
      </c>
      <c r="AZ48" s="213">
        <v>0.76182799999999995</v>
      </c>
      <c r="BA48" s="213">
        <v>0.32477400000000001</v>
      </c>
      <c r="BB48" s="213">
        <v>0.117033</v>
      </c>
      <c r="BC48" s="213">
        <v>0.45551599999999998</v>
      </c>
      <c r="BD48" s="213">
        <v>0.87756699999999999</v>
      </c>
      <c r="BE48" s="213">
        <v>0.61029032258000004</v>
      </c>
      <c r="BF48" s="213">
        <v>0.88603108386999996</v>
      </c>
      <c r="BG48" s="351">
        <v>0.57376490000000002</v>
      </c>
      <c r="BH48" s="351">
        <v>0.74280040000000003</v>
      </c>
      <c r="BI48" s="351">
        <v>0.25852259999999999</v>
      </c>
      <c r="BJ48" s="351">
        <v>-0.2114531</v>
      </c>
      <c r="BK48" s="351">
        <v>0.38492300000000002</v>
      </c>
      <c r="BL48" s="351">
        <v>0.60483690000000001</v>
      </c>
      <c r="BM48" s="351">
        <v>0.73031769999999996</v>
      </c>
      <c r="BN48" s="351">
        <v>0.81039740000000005</v>
      </c>
      <c r="BO48" s="351">
        <v>0.87872870000000003</v>
      </c>
      <c r="BP48" s="351">
        <v>0.81962380000000001</v>
      </c>
      <c r="BQ48" s="351">
        <v>0.71397540000000004</v>
      </c>
      <c r="BR48" s="351">
        <v>0.73327439999999999</v>
      </c>
      <c r="BS48" s="351">
        <v>0.54315020000000003</v>
      </c>
      <c r="BT48" s="351">
        <v>0.73574859999999997</v>
      </c>
      <c r="BU48" s="351">
        <v>0.25683610000000001</v>
      </c>
      <c r="BV48" s="351">
        <v>-0.21185999999999999</v>
      </c>
      <c r="BX48" s="775"/>
      <c r="BY48" s="775"/>
    </row>
    <row r="49" spans="1:79" ht="11.1" customHeight="1" x14ac:dyDescent="0.2">
      <c r="A49" s="61" t="s">
        <v>770</v>
      </c>
      <c r="B49" s="179" t="s">
        <v>820</v>
      </c>
      <c r="C49" s="213">
        <v>9.7E-5</v>
      </c>
      <c r="D49" s="213">
        <v>-3.4999999999999997E-5</v>
      </c>
      <c r="E49" s="213">
        <v>1.94E-4</v>
      </c>
      <c r="F49" s="213">
        <v>-1E-4</v>
      </c>
      <c r="G49" s="213">
        <v>3.1999999999999999E-5</v>
      </c>
      <c r="H49" s="213">
        <v>2.6699999999999998E-4</v>
      </c>
      <c r="I49" s="213">
        <v>9.7E-5</v>
      </c>
      <c r="J49" s="213">
        <v>-1.6100000000000001E-4</v>
      </c>
      <c r="K49" s="213">
        <v>8.3299999999999997E-4</v>
      </c>
      <c r="L49" s="213">
        <v>2.2599999999999999E-4</v>
      </c>
      <c r="M49" s="213">
        <v>1.6699999999999999E-4</v>
      </c>
      <c r="N49" s="213">
        <v>2.5799999999999998E-4</v>
      </c>
      <c r="O49" s="213">
        <v>3.2299999999999999E-4</v>
      </c>
      <c r="P49" s="213">
        <v>3.6000000000000001E-5</v>
      </c>
      <c r="Q49" s="213">
        <v>6.4999999999999994E-5</v>
      </c>
      <c r="R49" s="213">
        <v>2.33E-4</v>
      </c>
      <c r="S49" s="213">
        <v>-3.1999999999999999E-5</v>
      </c>
      <c r="T49" s="213">
        <v>6.7000000000000002E-5</v>
      </c>
      <c r="U49" s="213">
        <v>3.1999999999999999E-5</v>
      </c>
      <c r="V49" s="213">
        <v>2.5799999999999998E-4</v>
      </c>
      <c r="W49" s="213">
        <v>1.3300000000000001E-4</v>
      </c>
      <c r="X49" s="213">
        <v>3.1999999999999999E-5</v>
      </c>
      <c r="Y49" s="213">
        <v>-1E-4</v>
      </c>
      <c r="Z49" s="213">
        <v>0</v>
      </c>
      <c r="AA49" s="213">
        <v>5.1599999999999997E-4</v>
      </c>
      <c r="AB49" s="213">
        <v>1.07E-4</v>
      </c>
      <c r="AC49" s="213">
        <v>-2.2599999999999999E-4</v>
      </c>
      <c r="AD49" s="213">
        <v>1E-3</v>
      </c>
      <c r="AE49" s="213">
        <v>1.2899999999999999E-3</v>
      </c>
      <c r="AF49" s="213">
        <v>-4.3300000000000001E-4</v>
      </c>
      <c r="AG49" s="213">
        <v>2.9030000000000002E-3</v>
      </c>
      <c r="AH49" s="213">
        <v>1.194E-3</v>
      </c>
      <c r="AI49" s="213">
        <v>1.933E-3</v>
      </c>
      <c r="AJ49" s="213">
        <v>8.7100000000000003E-4</v>
      </c>
      <c r="AK49" s="213">
        <v>-1.3300000000000001E-4</v>
      </c>
      <c r="AL49" s="213">
        <v>4.84E-4</v>
      </c>
      <c r="AM49" s="213">
        <v>-2.5799999999999998E-4</v>
      </c>
      <c r="AN49" s="213">
        <v>1.7899999999999999E-4</v>
      </c>
      <c r="AO49" s="213">
        <v>1.2899999999999999E-4</v>
      </c>
      <c r="AP49" s="213">
        <v>1.6699999999999999E-4</v>
      </c>
      <c r="AQ49" s="213">
        <v>6.1300000000000005E-4</v>
      </c>
      <c r="AR49" s="213">
        <v>2.9999999999999997E-4</v>
      </c>
      <c r="AS49" s="213">
        <v>4.5199999999999998E-4</v>
      </c>
      <c r="AT49" s="213">
        <v>6.1300000000000005E-4</v>
      </c>
      <c r="AU49" s="213">
        <v>5.9999999999999995E-4</v>
      </c>
      <c r="AV49" s="213">
        <v>1.5809999999999999E-3</v>
      </c>
      <c r="AW49" s="213">
        <v>2.0330000000000001E-3</v>
      </c>
      <c r="AX49" s="213">
        <v>9.68E-4</v>
      </c>
      <c r="AY49" s="213">
        <v>1.225E-3</v>
      </c>
      <c r="AZ49" s="213">
        <v>-1.03E-4</v>
      </c>
      <c r="BA49" s="213">
        <v>9.68E-4</v>
      </c>
      <c r="BB49" s="213">
        <v>-1E-4</v>
      </c>
      <c r="BC49" s="213">
        <v>1.2260000000000001E-3</v>
      </c>
      <c r="BD49" s="213">
        <v>1.1000000000000001E-3</v>
      </c>
      <c r="BE49" s="213">
        <v>5.7800000000000002E-5</v>
      </c>
      <c r="BF49" s="213">
        <v>-1.9999999999999999E-7</v>
      </c>
      <c r="BG49" s="351">
        <v>1.8679999999999999E-4</v>
      </c>
      <c r="BH49" s="351">
        <v>-1.2799999999999999E-5</v>
      </c>
      <c r="BI49" s="351">
        <v>-5.3199999999999999E-5</v>
      </c>
      <c r="BJ49" s="351">
        <v>-1.7440000000000001E-4</v>
      </c>
      <c r="BK49" s="351">
        <v>-4.29667E-4</v>
      </c>
      <c r="BL49" s="351">
        <v>-7.1333299999999997E-5</v>
      </c>
      <c r="BM49" s="351">
        <v>2.36333E-4</v>
      </c>
      <c r="BN49" s="351">
        <v>1.3300000000000001E-4</v>
      </c>
      <c r="BO49" s="351">
        <v>1.7699999999999999E-4</v>
      </c>
      <c r="BP49" s="351">
        <v>1.6640000000000001E-4</v>
      </c>
      <c r="BQ49" s="351">
        <v>5.7800000000000002E-5</v>
      </c>
      <c r="BR49" s="351">
        <v>-1.9999999999999999E-7</v>
      </c>
      <c r="BS49" s="351">
        <v>1.8679999999999999E-4</v>
      </c>
      <c r="BT49" s="351">
        <v>-1.2799999999999999E-5</v>
      </c>
      <c r="BU49" s="351">
        <v>-5.3199999999999999E-5</v>
      </c>
      <c r="BV49" s="351">
        <v>-1.7440000000000001E-4</v>
      </c>
      <c r="BX49" s="775"/>
      <c r="BY49" s="775"/>
    </row>
    <row r="50" spans="1:79" s="157" customFormat="1" ht="11.1" customHeight="1" x14ac:dyDescent="0.2">
      <c r="A50" s="61" t="s">
        <v>771</v>
      </c>
      <c r="B50" s="179" t="s">
        <v>584</v>
      </c>
      <c r="C50" s="213">
        <v>17.618161000000001</v>
      </c>
      <c r="D50" s="213">
        <v>18.275621000000001</v>
      </c>
      <c r="E50" s="213">
        <v>18.854098</v>
      </c>
      <c r="F50" s="213">
        <v>18.823401</v>
      </c>
      <c r="G50" s="213">
        <v>19.149839</v>
      </c>
      <c r="H50" s="213">
        <v>19.690366999999998</v>
      </c>
      <c r="I50" s="213">
        <v>19.726001</v>
      </c>
      <c r="J50" s="213">
        <v>19.832644999999999</v>
      </c>
      <c r="K50" s="213">
        <v>19.199099</v>
      </c>
      <c r="L50" s="213">
        <v>18.498387999999998</v>
      </c>
      <c r="M50" s="213">
        <v>18.900634</v>
      </c>
      <c r="N50" s="213">
        <v>18.944611999999999</v>
      </c>
      <c r="O50" s="213">
        <v>17.87</v>
      </c>
      <c r="P50" s="213">
        <v>18.091107000000001</v>
      </c>
      <c r="Q50" s="213">
        <v>18.780097999999999</v>
      </c>
      <c r="R50" s="213">
        <v>19.350698000000001</v>
      </c>
      <c r="S50" s="213">
        <v>19.878774</v>
      </c>
      <c r="T50" s="213">
        <v>20.168434000000001</v>
      </c>
      <c r="U50" s="213">
        <v>20.004549000000001</v>
      </c>
      <c r="V50" s="213">
        <v>19.801129</v>
      </c>
      <c r="W50" s="213">
        <v>18.266832999999998</v>
      </c>
      <c r="X50" s="213">
        <v>19.045000999999999</v>
      </c>
      <c r="Y50" s="213">
        <v>19.418233000000001</v>
      </c>
      <c r="Z50" s="213">
        <v>19.474710000000002</v>
      </c>
      <c r="AA50" s="213">
        <v>18.462516999999998</v>
      </c>
      <c r="AB50" s="213">
        <v>18.283391999999999</v>
      </c>
      <c r="AC50" s="213">
        <v>19.144386999999998</v>
      </c>
      <c r="AD50" s="213">
        <v>19.589333</v>
      </c>
      <c r="AE50" s="213">
        <v>19.886968</v>
      </c>
      <c r="AF50" s="213">
        <v>20.430067999999999</v>
      </c>
      <c r="AG50" s="213">
        <v>20.212903000000001</v>
      </c>
      <c r="AH50" s="213">
        <v>20.443324</v>
      </c>
      <c r="AI50" s="213">
        <v>19.591032999999999</v>
      </c>
      <c r="AJ50" s="213">
        <v>19.294934999999999</v>
      </c>
      <c r="AK50" s="213">
        <v>19.612300000000001</v>
      </c>
      <c r="AL50" s="213">
        <v>19.615355000000001</v>
      </c>
      <c r="AM50" s="213">
        <v>18.872710999999999</v>
      </c>
      <c r="AN50" s="213">
        <v>18.372036000000001</v>
      </c>
      <c r="AO50" s="213">
        <v>19.026966999999999</v>
      </c>
      <c r="AP50" s="213">
        <v>19.308633</v>
      </c>
      <c r="AQ50" s="213">
        <v>19.698806000000001</v>
      </c>
      <c r="AR50" s="213">
        <v>20.136199999999999</v>
      </c>
      <c r="AS50" s="213">
        <v>20.216356000000001</v>
      </c>
      <c r="AT50" s="213">
        <v>20.357548999999999</v>
      </c>
      <c r="AU50" s="213">
        <v>19.181733999999999</v>
      </c>
      <c r="AV50" s="213">
        <v>18.749290999999999</v>
      </c>
      <c r="AW50" s="213">
        <v>19.197066</v>
      </c>
      <c r="AX50" s="213">
        <v>19.243611999999999</v>
      </c>
      <c r="AY50" s="213">
        <v>18.537932999999999</v>
      </c>
      <c r="AZ50" s="213">
        <v>18.297518</v>
      </c>
      <c r="BA50" s="213">
        <v>17.088225999999999</v>
      </c>
      <c r="BB50" s="213">
        <v>14.238200000000001</v>
      </c>
      <c r="BC50" s="213">
        <v>14.953453</v>
      </c>
      <c r="BD50" s="213">
        <v>16.336167</v>
      </c>
      <c r="BE50" s="213">
        <v>16.970418836</v>
      </c>
      <c r="BF50" s="213">
        <v>17.016603508999999</v>
      </c>
      <c r="BG50" s="351">
        <v>17.125630000000001</v>
      </c>
      <c r="BH50" s="351">
        <v>17.878240000000002</v>
      </c>
      <c r="BI50" s="351">
        <v>18.217020000000002</v>
      </c>
      <c r="BJ50" s="351">
        <v>18.581130000000002</v>
      </c>
      <c r="BK50" s="351">
        <v>18.322800000000001</v>
      </c>
      <c r="BL50" s="351">
        <v>17.739070000000002</v>
      </c>
      <c r="BM50" s="351">
        <v>18.353249999999999</v>
      </c>
      <c r="BN50" s="351">
        <v>18.922619999999998</v>
      </c>
      <c r="BO50" s="351">
        <v>19.511880000000001</v>
      </c>
      <c r="BP50" s="351">
        <v>19.680949999999999</v>
      </c>
      <c r="BQ50" s="351">
        <v>20.04542</v>
      </c>
      <c r="BR50" s="351">
        <v>19.693059999999999</v>
      </c>
      <c r="BS50" s="351">
        <v>19.352540000000001</v>
      </c>
      <c r="BT50" s="351">
        <v>18.945910000000001</v>
      </c>
      <c r="BU50" s="351">
        <v>19.13325</v>
      </c>
      <c r="BV50" s="351">
        <v>19.193290000000001</v>
      </c>
      <c r="BX50" s="775"/>
      <c r="BY50" s="775"/>
      <c r="BZ50" s="777"/>
      <c r="CA50" s="776"/>
    </row>
    <row r="51" spans="1:79" s="157" customFormat="1" ht="11.1" customHeight="1" x14ac:dyDescent="0.2">
      <c r="A51" s="61"/>
      <c r="B51" s="156"/>
      <c r="C51" s="213"/>
      <c r="D51" s="213"/>
      <c r="E51" s="213"/>
      <c r="F51" s="213"/>
      <c r="G51" s="213"/>
      <c r="H51" s="213"/>
      <c r="I51" s="213"/>
      <c r="J51" s="213"/>
      <c r="K51" s="213"/>
      <c r="L51" s="213"/>
      <c r="M51" s="213"/>
      <c r="N51" s="213"/>
      <c r="O51" s="213"/>
      <c r="P51" s="213"/>
      <c r="Q51" s="213"/>
      <c r="R51" s="213"/>
      <c r="S51" s="213"/>
      <c r="T51" s="213"/>
      <c r="U51" s="213"/>
      <c r="V51" s="213"/>
      <c r="W51" s="213"/>
      <c r="X51" s="213"/>
      <c r="Y51" s="213"/>
      <c r="Z51" s="213"/>
      <c r="AA51" s="213"/>
      <c r="AB51" s="213"/>
      <c r="AC51" s="213"/>
      <c r="AD51" s="213"/>
      <c r="AE51" s="213"/>
      <c r="AF51" s="213"/>
      <c r="AG51" s="213"/>
      <c r="AH51" s="213"/>
      <c r="AI51" s="213"/>
      <c r="AJ51" s="213"/>
      <c r="AK51" s="213"/>
      <c r="AL51" s="213"/>
      <c r="AM51" s="213"/>
      <c r="AN51" s="213"/>
      <c r="AO51" s="213"/>
      <c r="AP51" s="213"/>
      <c r="AQ51" s="213"/>
      <c r="AR51" s="213"/>
      <c r="AS51" s="213"/>
      <c r="AT51" s="213"/>
      <c r="AU51" s="213"/>
      <c r="AV51" s="213"/>
      <c r="AW51" s="213"/>
      <c r="AX51" s="213"/>
      <c r="AY51" s="213"/>
      <c r="AZ51" s="213"/>
      <c r="BA51" s="213"/>
      <c r="BB51" s="213"/>
      <c r="BC51" s="213"/>
      <c r="BD51" s="213"/>
      <c r="BE51" s="213"/>
      <c r="BF51" s="213"/>
      <c r="BG51" s="351"/>
      <c r="BH51" s="351"/>
      <c r="BI51" s="351"/>
      <c r="BJ51" s="351"/>
      <c r="BK51" s="351"/>
      <c r="BL51" s="351"/>
      <c r="BM51" s="351"/>
      <c r="BN51" s="351"/>
      <c r="BO51" s="351"/>
      <c r="BP51" s="351"/>
      <c r="BQ51" s="351"/>
      <c r="BR51" s="351"/>
      <c r="BS51" s="351"/>
      <c r="BT51" s="351"/>
      <c r="BU51" s="351"/>
      <c r="BV51" s="351"/>
    </row>
    <row r="52" spans="1:79" ht="11.1" customHeight="1" x14ac:dyDescent="0.2">
      <c r="A52" s="61" t="s">
        <v>519</v>
      </c>
      <c r="B52" s="180" t="s">
        <v>418</v>
      </c>
      <c r="C52" s="213">
        <v>1.116614</v>
      </c>
      <c r="D52" s="213">
        <v>1.070379</v>
      </c>
      <c r="E52" s="213">
        <v>1.0491280000000001</v>
      </c>
      <c r="F52" s="213">
        <v>1.0950979999999999</v>
      </c>
      <c r="G52" s="213">
        <v>1.1603540000000001</v>
      </c>
      <c r="H52" s="213">
        <v>1.1139669999999999</v>
      </c>
      <c r="I52" s="213">
        <v>1.1902569999999999</v>
      </c>
      <c r="J52" s="213">
        <v>1.1487769999999999</v>
      </c>
      <c r="K52" s="213">
        <v>1.122369</v>
      </c>
      <c r="L52" s="213">
        <v>1.088838</v>
      </c>
      <c r="M52" s="213">
        <v>1.1125670000000001</v>
      </c>
      <c r="N52" s="213">
        <v>1.143324</v>
      </c>
      <c r="O52" s="213">
        <v>1.1390020000000001</v>
      </c>
      <c r="P52" s="213">
        <v>1.0624990000000001</v>
      </c>
      <c r="Q52" s="213">
        <v>1.112063</v>
      </c>
      <c r="R52" s="213">
        <v>1.145969</v>
      </c>
      <c r="S52" s="213">
        <v>1.1351610000000001</v>
      </c>
      <c r="T52" s="213">
        <v>1.1592009999999999</v>
      </c>
      <c r="U52" s="213">
        <v>1.1010310000000001</v>
      </c>
      <c r="V52" s="213">
        <v>1.112841</v>
      </c>
      <c r="W52" s="213">
        <v>1.0098</v>
      </c>
      <c r="X52" s="213">
        <v>1.081485</v>
      </c>
      <c r="Y52" s="213">
        <v>1.146164</v>
      </c>
      <c r="Z52" s="213">
        <v>1.125775</v>
      </c>
      <c r="AA52" s="213">
        <v>1.1024210000000001</v>
      </c>
      <c r="AB52" s="213">
        <v>1.0965020000000001</v>
      </c>
      <c r="AC52" s="213">
        <v>1.095742</v>
      </c>
      <c r="AD52" s="213">
        <v>1.113267</v>
      </c>
      <c r="AE52" s="213">
        <v>1.1414200000000001</v>
      </c>
      <c r="AF52" s="213">
        <v>1.1328990000000001</v>
      </c>
      <c r="AG52" s="213">
        <v>1.1689050000000001</v>
      </c>
      <c r="AH52" s="213">
        <v>1.1854849999999999</v>
      </c>
      <c r="AI52" s="213">
        <v>1.1408659999999999</v>
      </c>
      <c r="AJ52" s="213">
        <v>1.1155809999999999</v>
      </c>
      <c r="AK52" s="213">
        <v>1.1494329999999999</v>
      </c>
      <c r="AL52" s="213">
        <v>1.210356</v>
      </c>
      <c r="AM52" s="213">
        <v>1.108708</v>
      </c>
      <c r="AN52" s="213">
        <v>1.007071</v>
      </c>
      <c r="AO52" s="213">
        <v>1.0383579999999999</v>
      </c>
      <c r="AP52" s="213">
        <v>1.0650999999999999</v>
      </c>
      <c r="AQ52" s="213">
        <v>1.064227</v>
      </c>
      <c r="AR52" s="213">
        <v>1.0761670000000001</v>
      </c>
      <c r="AS52" s="213">
        <v>1.066033</v>
      </c>
      <c r="AT52" s="213">
        <v>1.098679</v>
      </c>
      <c r="AU52" s="213">
        <v>1.0174989999999999</v>
      </c>
      <c r="AV52" s="213">
        <v>1.0142260000000001</v>
      </c>
      <c r="AW52" s="213">
        <v>1.1312009999999999</v>
      </c>
      <c r="AX52" s="213">
        <v>1.1334200000000001</v>
      </c>
      <c r="AY52" s="213">
        <v>1.1360269999999999</v>
      </c>
      <c r="AZ52" s="213">
        <v>0.93948100000000001</v>
      </c>
      <c r="BA52" s="213">
        <v>0.97841800000000001</v>
      </c>
      <c r="BB52" s="213">
        <v>0.76726499999999997</v>
      </c>
      <c r="BC52" s="213">
        <v>0.80670799999999998</v>
      </c>
      <c r="BD52" s="213">
        <v>0.872498</v>
      </c>
      <c r="BE52" s="213">
        <v>0.99217120000000003</v>
      </c>
      <c r="BF52" s="213">
        <v>1.029342</v>
      </c>
      <c r="BG52" s="351">
        <v>0.99655280000000002</v>
      </c>
      <c r="BH52" s="351">
        <v>1.070273</v>
      </c>
      <c r="BI52" s="351">
        <v>1.1049720000000001</v>
      </c>
      <c r="BJ52" s="351">
        <v>1.1630229999999999</v>
      </c>
      <c r="BK52" s="351">
        <v>1.15046</v>
      </c>
      <c r="BL52" s="351">
        <v>1.0626450000000001</v>
      </c>
      <c r="BM52" s="351">
        <v>1.0714699999999999</v>
      </c>
      <c r="BN52" s="351">
        <v>1.110309</v>
      </c>
      <c r="BO52" s="351">
        <v>1.147308</v>
      </c>
      <c r="BP52" s="351">
        <v>1.1577500000000001</v>
      </c>
      <c r="BQ52" s="351">
        <v>1.1223449999999999</v>
      </c>
      <c r="BR52" s="351">
        <v>1.1354550000000001</v>
      </c>
      <c r="BS52" s="351">
        <v>1.128428</v>
      </c>
      <c r="BT52" s="351">
        <v>1.0865880000000001</v>
      </c>
      <c r="BU52" s="351">
        <v>1.1312770000000001</v>
      </c>
      <c r="BV52" s="351">
        <v>1.1710419999999999</v>
      </c>
    </row>
    <row r="53" spans="1:79" ht="11.1" customHeight="1" x14ac:dyDescent="0.2">
      <c r="A53" s="61"/>
      <c r="B53" s="158"/>
      <c r="C53" s="213"/>
      <c r="D53" s="213"/>
      <c r="E53" s="213"/>
      <c r="F53" s="213"/>
      <c r="G53" s="213"/>
      <c r="H53" s="213"/>
      <c r="I53" s="213"/>
      <c r="J53" s="213"/>
      <c r="K53" s="213"/>
      <c r="L53" s="213"/>
      <c r="M53" s="213"/>
      <c r="N53" s="213"/>
      <c r="O53" s="213"/>
      <c r="P53" s="213"/>
      <c r="Q53" s="213"/>
      <c r="R53" s="213"/>
      <c r="S53" s="213"/>
      <c r="T53" s="213"/>
      <c r="U53" s="213"/>
      <c r="V53" s="213"/>
      <c r="W53" s="213"/>
      <c r="X53" s="213"/>
      <c r="Y53" s="213"/>
      <c r="Z53" s="213"/>
      <c r="AA53" s="213"/>
      <c r="AB53" s="213"/>
      <c r="AC53" s="213"/>
      <c r="AD53" s="213"/>
      <c r="AE53" s="213"/>
      <c r="AF53" s="213"/>
      <c r="AG53" s="213"/>
      <c r="AH53" s="213"/>
      <c r="AI53" s="213"/>
      <c r="AJ53" s="213"/>
      <c r="AK53" s="213"/>
      <c r="AL53" s="213"/>
      <c r="AM53" s="213"/>
      <c r="AN53" s="213"/>
      <c r="AO53" s="213"/>
      <c r="AP53" s="213"/>
      <c r="AQ53" s="213"/>
      <c r="AR53" s="213"/>
      <c r="AS53" s="213"/>
      <c r="AT53" s="213"/>
      <c r="AU53" s="213"/>
      <c r="AV53" s="213"/>
      <c r="AW53" s="213"/>
      <c r="AX53" s="213"/>
      <c r="AY53" s="213"/>
      <c r="AZ53" s="213"/>
      <c r="BA53" s="213"/>
      <c r="BB53" s="213"/>
      <c r="BC53" s="213"/>
      <c r="BD53" s="213"/>
      <c r="BE53" s="213"/>
      <c r="BF53" s="213"/>
      <c r="BG53" s="351"/>
      <c r="BH53" s="351"/>
      <c r="BI53" s="351"/>
      <c r="BJ53" s="351"/>
      <c r="BK53" s="351"/>
      <c r="BL53" s="351"/>
      <c r="BM53" s="351"/>
      <c r="BN53" s="351"/>
      <c r="BO53" s="351"/>
      <c r="BP53" s="351"/>
      <c r="BQ53" s="351"/>
      <c r="BR53" s="351"/>
      <c r="BS53" s="351"/>
      <c r="BT53" s="351"/>
      <c r="BU53" s="351"/>
      <c r="BV53" s="351"/>
    </row>
    <row r="54" spans="1:79" ht="11.1" customHeight="1" x14ac:dyDescent="0.2">
      <c r="A54" s="57"/>
      <c r="B54" s="155" t="s">
        <v>585</v>
      </c>
      <c r="C54" s="213"/>
      <c r="D54" s="213"/>
      <c r="E54" s="213"/>
      <c r="F54" s="213"/>
      <c r="G54" s="213"/>
      <c r="H54" s="213"/>
      <c r="I54" s="213"/>
      <c r="J54" s="213"/>
      <c r="K54" s="213"/>
      <c r="L54" s="213"/>
      <c r="M54" s="213"/>
      <c r="N54" s="213"/>
      <c r="O54" s="213"/>
      <c r="P54" s="213"/>
      <c r="Q54" s="213"/>
      <c r="R54" s="213"/>
      <c r="S54" s="213"/>
      <c r="T54" s="213"/>
      <c r="U54" s="213"/>
      <c r="V54" s="213"/>
      <c r="W54" s="213"/>
      <c r="X54" s="213"/>
      <c r="Y54" s="213"/>
      <c r="Z54" s="213"/>
      <c r="AA54" s="213"/>
      <c r="AB54" s="213"/>
      <c r="AC54" s="213"/>
      <c r="AD54" s="213"/>
      <c r="AE54" s="213"/>
      <c r="AF54" s="213"/>
      <c r="AG54" s="213"/>
      <c r="AH54" s="213"/>
      <c r="AI54" s="213"/>
      <c r="AJ54" s="213"/>
      <c r="AK54" s="213"/>
      <c r="AL54" s="213"/>
      <c r="AM54" s="213"/>
      <c r="AN54" s="213"/>
      <c r="AO54" s="213"/>
      <c r="AP54" s="213"/>
      <c r="AQ54" s="213"/>
      <c r="AR54" s="213"/>
      <c r="AS54" s="213"/>
      <c r="AT54" s="213"/>
      <c r="AU54" s="213"/>
      <c r="AV54" s="213"/>
      <c r="AW54" s="213"/>
      <c r="AX54" s="213"/>
      <c r="AY54" s="213"/>
      <c r="AZ54" s="213"/>
      <c r="BA54" s="213"/>
      <c r="BB54" s="213"/>
      <c r="BC54" s="213"/>
      <c r="BD54" s="213"/>
      <c r="BE54" s="213"/>
      <c r="BF54" s="213"/>
      <c r="BG54" s="351"/>
      <c r="BH54" s="351"/>
      <c r="BI54" s="351"/>
      <c r="BJ54" s="351"/>
      <c r="BK54" s="351"/>
      <c r="BL54" s="351"/>
      <c r="BM54" s="351"/>
      <c r="BN54" s="351"/>
      <c r="BO54" s="351"/>
      <c r="BP54" s="351"/>
      <c r="BQ54" s="351"/>
      <c r="BR54" s="351"/>
      <c r="BS54" s="351"/>
      <c r="BT54" s="351"/>
      <c r="BU54" s="351"/>
      <c r="BV54" s="351"/>
    </row>
    <row r="55" spans="1:79" ht="11.1" customHeight="1" x14ac:dyDescent="0.2">
      <c r="A55" s="616" t="s">
        <v>1000</v>
      </c>
      <c r="B55" s="617" t="s">
        <v>992</v>
      </c>
      <c r="C55" s="213">
        <v>0.354323</v>
      </c>
      <c r="D55" s="213">
        <v>0.42596600000000001</v>
      </c>
      <c r="E55" s="213">
        <v>0.66554800000000003</v>
      </c>
      <c r="F55" s="213">
        <v>0.8286</v>
      </c>
      <c r="G55" s="213">
        <v>0.89722599999999997</v>
      </c>
      <c r="H55" s="213">
        <v>0.88816700000000004</v>
      </c>
      <c r="I55" s="213">
        <v>0.87251599999999996</v>
      </c>
      <c r="J55" s="213">
        <v>0.83828999999999998</v>
      </c>
      <c r="K55" s="213">
        <v>0.6452</v>
      </c>
      <c r="L55" s="213">
        <v>0.47635499999999997</v>
      </c>
      <c r="M55" s="213">
        <v>0.34889999999999999</v>
      </c>
      <c r="N55" s="213">
        <v>0.32983899999999999</v>
      </c>
      <c r="O55" s="213">
        <v>0.35490300000000002</v>
      </c>
      <c r="P55" s="213">
        <v>0.412964</v>
      </c>
      <c r="Q55" s="213">
        <v>0.67790300000000003</v>
      </c>
      <c r="R55" s="213">
        <v>0.85693299999999994</v>
      </c>
      <c r="S55" s="213">
        <v>0.90803199999999995</v>
      </c>
      <c r="T55" s="213">
        <v>0.91520000000000001</v>
      </c>
      <c r="U55" s="213">
        <v>0.87716099999999997</v>
      </c>
      <c r="V55" s="213">
        <v>0.83377400000000002</v>
      </c>
      <c r="W55" s="213">
        <v>0.47733300000000001</v>
      </c>
      <c r="X55" s="213">
        <v>0.51964500000000002</v>
      </c>
      <c r="Y55" s="213">
        <v>0.34843299999999999</v>
      </c>
      <c r="Z55" s="213">
        <v>0.341194</v>
      </c>
      <c r="AA55" s="213">
        <v>0.39277400000000001</v>
      </c>
      <c r="AB55" s="213">
        <v>0.40939300000000001</v>
      </c>
      <c r="AC55" s="213">
        <v>0.63161299999999998</v>
      </c>
      <c r="AD55" s="213">
        <v>0.80033299999999996</v>
      </c>
      <c r="AE55" s="213">
        <v>0.85506499999999996</v>
      </c>
      <c r="AF55" s="213">
        <v>0.87393299999999996</v>
      </c>
      <c r="AG55" s="213">
        <v>0.87009700000000001</v>
      </c>
      <c r="AH55" s="213">
        <v>0.88048400000000004</v>
      </c>
      <c r="AI55" s="213">
        <v>0.65033300000000005</v>
      </c>
      <c r="AJ55" s="213">
        <v>0.464032</v>
      </c>
      <c r="AK55" s="213">
        <v>0.39513300000000001</v>
      </c>
      <c r="AL55" s="213">
        <v>0.37303199999999997</v>
      </c>
      <c r="AM55" s="213">
        <v>0.36767699999999998</v>
      </c>
      <c r="AN55" s="213">
        <v>0.42875000000000002</v>
      </c>
      <c r="AO55" s="213">
        <v>0.62864500000000001</v>
      </c>
      <c r="AP55" s="213">
        <v>0.80416699999999997</v>
      </c>
      <c r="AQ55" s="213">
        <v>0.86735499999999999</v>
      </c>
      <c r="AR55" s="213">
        <v>0.85940000000000005</v>
      </c>
      <c r="AS55" s="213">
        <v>0.85199999999999998</v>
      </c>
      <c r="AT55" s="213">
        <v>0.80619399999999997</v>
      </c>
      <c r="AU55" s="213">
        <v>0.61306700000000003</v>
      </c>
      <c r="AV55" s="213">
        <v>0.40922599999999998</v>
      </c>
      <c r="AW55" s="213">
        <v>0.27229999999999999</v>
      </c>
      <c r="AX55" s="213">
        <v>0.34790300000000002</v>
      </c>
      <c r="AY55" s="213">
        <v>0.38770900000000003</v>
      </c>
      <c r="AZ55" s="213">
        <v>0.381241</v>
      </c>
      <c r="BA55" s="213">
        <v>0.62116099999999996</v>
      </c>
      <c r="BB55" s="213">
        <v>0.68279999999999996</v>
      </c>
      <c r="BC55" s="213">
        <v>0.671323</v>
      </c>
      <c r="BD55" s="213">
        <v>0.70996700000000001</v>
      </c>
      <c r="BE55" s="213">
        <v>0.81776218000000001</v>
      </c>
      <c r="BF55" s="213">
        <v>0.76477894000000002</v>
      </c>
      <c r="BG55" s="351">
        <v>0.55446490000000004</v>
      </c>
      <c r="BH55" s="351">
        <v>0.42594320000000002</v>
      </c>
      <c r="BI55" s="351">
        <v>0.3201273</v>
      </c>
      <c r="BJ55" s="351">
        <v>0.34169690000000003</v>
      </c>
      <c r="BK55" s="351">
        <v>0.36164079999999998</v>
      </c>
      <c r="BL55" s="351">
        <v>0.42443629999999999</v>
      </c>
      <c r="BM55" s="351">
        <v>0.63622999999999996</v>
      </c>
      <c r="BN55" s="351">
        <v>0.79681100000000005</v>
      </c>
      <c r="BO55" s="351">
        <v>0.88571319999999998</v>
      </c>
      <c r="BP55" s="351">
        <v>0.87092210000000003</v>
      </c>
      <c r="BQ55" s="351">
        <v>0.87252010000000002</v>
      </c>
      <c r="BR55" s="351">
        <v>0.83951390000000004</v>
      </c>
      <c r="BS55" s="351">
        <v>0.60651860000000002</v>
      </c>
      <c r="BT55" s="351">
        <v>0.45928950000000002</v>
      </c>
      <c r="BU55" s="351">
        <v>0.34870499999999999</v>
      </c>
      <c r="BV55" s="351">
        <v>0.36252099999999998</v>
      </c>
    </row>
    <row r="56" spans="1:79" ht="11.1" customHeight="1" x14ac:dyDescent="0.2">
      <c r="A56" s="61" t="s">
        <v>772</v>
      </c>
      <c r="B56" s="179" t="s">
        <v>419</v>
      </c>
      <c r="C56" s="213">
        <v>9.378387</v>
      </c>
      <c r="D56" s="213">
        <v>9.8343100000000003</v>
      </c>
      <c r="E56" s="213">
        <v>9.9317740000000008</v>
      </c>
      <c r="F56" s="213">
        <v>9.8762670000000004</v>
      </c>
      <c r="G56" s="213">
        <v>10.057968000000001</v>
      </c>
      <c r="H56" s="213">
        <v>10.279733</v>
      </c>
      <c r="I56" s="213">
        <v>10.224031999999999</v>
      </c>
      <c r="J56" s="213">
        <v>10.292548</v>
      </c>
      <c r="K56" s="213">
        <v>10.020367</v>
      </c>
      <c r="L56" s="213">
        <v>10.059032</v>
      </c>
      <c r="M56" s="213">
        <v>9.9687669999999997</v>
      </c>
      <c r="N56" s="213">
        <v>10.012871000000001</v>
      </c>
      <c r="O56" s="213">
        <v>9.2810970000000008</v>
      </c>
      <c r="P56" s="213">
        <v>9.5069289999999995</v>
      </c>
      <c r="Q56" s="213">
        <v>9.8021290000000008</v>
      </c>
      <c r="R56" s="213">
        <v>9.8551669999999998</v>
      </c>
      <c r="S56" s="213">
        <v>10.125548</v>
      </c>
      <c r="T56" s="213">
        <v>10.27</v>
      </c>
      <c r="U56" s="213">
        <v>10.164161</v>
      </c>
      <c r="V56" s="213">
        <v>10.176484</v>
      </c>
      <c r="W56" s="213">
        <v>9.7781000000000002</v>
      </c>
      <c r="X56" s="213">
        <v>10.128581000000001</v>
      </c>
      <c r="Y56" s="213">
        <v>10.219733</v>
      </c>
      <c r="Z56" s="213">
        <v>10.103903000000001</v>
      </c>
      <c r="AA56" s="213">
        <v>9.5288389999999996</v>
      </c>
      <c r="AB56" s="213">
        <v>9.7971430000000002</v>
      </c>
      <c r="AC56" s="213">
        <v>10.052516000000001</v>
      </c>
      <c r="AD56" s="213">
        <v>9.9741999999999997</v>
      </c>
      <c r="AE56" s="213">
        <v>10.138323</v>
      </c>
      <c r="AF56" s="213">
        <v>10.313632999999999</v>
      </c>
      <c r="AG56" s="213">
        <v>10.174097</v>
      </c>
      <c r="AH56" s="213">
        <v>10.242613</v>
      </c>
      <c r="AI56" s="213">
        <v>9.9268999999999998</v>
      </c>
      <c r="AJ56" s="213">
        <v>10.30071</v>
      </c>
      <c r="AK56" s="213">
        <v>10.24</v>
      </c>
      <c r="AL56" s="213">
        <v>10.020032</v>
      </c>
      <c r="AM56" s="213">
        <v>9.7469999999999999</v>
      </c>
      <c r="AN56" s="213">
        <v>9.7441790000000008</v>
      </c>
      <c r="AO56" s="213">
        <v>10.060226</v>
      </c>
      <c r="AP56" s="213">
        <v>10.019567</v>
      </c>
      <c r="AQ56" s="213">
        <v>10.229419</v>
      </c>
      <c r="AR56" s="213">
        <v>10.235799999999999</v>
      </c>
      <c r="AS56" s="213">
        <v>10.240226</v>
      </c>
      <c r="AT56" s="213">
        <v>10.436935999999999</v>
      </c>
      <c r="AU56" s="213">
        <v>9.9161330000000003</v>
      </c>
      <c r="AV56" s="213">
        <v>10.258645</v>
      </c>
      <c r="AW56" s="213">
        <v>10.228866999999999</v>
      </c>
      <c r="AX56" s="213">
        <v>9.9917099999999994</v>
      </c>
      <c r="AY56" s="213">
        <v>9.6255799999999994</v>
      </c>
      <c r="AZ56" s="213">
        <v>9.7415520000000004</v>
      </c>
      <c r="BA56" s="213">
        <v>8.5752579999999998</v>
      </c>
      <c r="BB56" s="213">
        <v>6.3520669999999999</v>
      </c>
      <c r="BC56" s="213">
        <v>7.4770000000000003</v>
      </c>
      <c r="BD56" s="213">
        <v>8.7450670000000006</v>
      </c>
      <c r="BE56" s="213">
        <v>9.0012258065000008</v>
      </c>
      <c r="BF56" s="213">
        <v>9.3553994838999994</v>
      </c>
      <c r="BG56" s="351">
        <v>9.0306320000000007</v>
      </c>
      <c r="BH56" s="351">
        <v>9.4707150000000002</v>
      </c>
      <c r="BI56" s="351">
        <v>9.5678339999999995</v>
      </c>
      <c r="BJ56" s="351">
        <v>9.5679029999999994</v>
      </c>
      <c r="BK56" s="351">
        <v>9.6052649999999993</v>
      </c>
      <c r="BL56" s="351">
        <v>9.4167880000000004</v>
      </c>
      <c r="BM56" s="351">
        <v>9.5510190000000001</v>
      </c>
      <c r="BN56" s="351">
        <v>9.8202780000000001</v>
      </c>
      <c r="BO56" s="351">
        <v>10.09111</v>
      </c>
      <c r="BP56" s="351">
        <v>10.15371</v>
      </c>
      <c r="BQ56" s="351">
        <v>10.18576</v>
      </c>
      <c r="BR56" s="351">
        <v>10.03462</v>
      </c>
      <c r="BS56" s="351">
        <v>10.032719999999999</v>
      </c>
      <c r="BT56" s="351">
        <v>10.0487</v>
      </c>
      <c r="BU56" s="351">
        <v>10.11515</v>
      </c>
      <c r="BV56" s="351">
        <v>9.8703529999999997</v>
      </c>
    </row>
    <row r="57" spans="1:79" ht="11.1" customHeight="1" x14ac:dyDescent="0.2">
      <c r="A57" s="61" t="s">
        <v>773</v>
      </c>
      <c r="B57" s="179" t="s">
        <v>420</v>
      </c>
      <c r="C57" s="213">
        <v>1.5814189999999999</v>
      </c>
      <c r="D57" s="213">
        <v>1.5778970000000001</v>
      </c>
      <c r="E57" s="213">
        <v>1.574613</v>
      </c>
      <c r="F57" s="213">
        <v>1.592433</v>
      </c>
      <c r="G57" s="213">
        <v>1.606419</v>
      </c>
      <c r="H57" s="213">
        <v>1.6618329999999999</v>
      </c>
      <c r="I57" s="213">
        <v>1.736548</v>
      </c>
      <c r="J57" s="213">
        <v>1.7958069999999999</v>
      </c>
      <c r="K57" s="213">
        <v>1.737933</v>
      </c>
      <c r="L57" s="213">
        <v>1.591161</v>
      </c>
      <c r="M57" s="213">
        <v>1.6803999999999999</v>
      </c>
      <c r="N57" s="213">
        <v>1.6611940000000001</v>
      </c>
      <c r="O57" s="213">
        <v>1.6142259999999999</v>
      </c>
      <c r="P57" s="213">
        <v>1.602714</v>
      </c>
      <c r="Q57" s="213">
        <v>1.6744520000000001</v>
      </c>
      <c r="R57" s="213">
        <v>1.7350669999999999</v>
      </c>
      <c r="S57" s="213">
        <v>1.7131609999999999</v>
      </c>
      <c r="T57" s="213">
        <v>1.763533</v>
      </c>
      <c r="U57" s="213">
        <v>1.816516</v>
      </c>
      <c r="V57" s="213">
        <v>1.7635810000000001</v>
      </c>
      <c r="W57" s="213">
        <v>1.6646000000000001</v>
      </c>
      <c r="X57" s="213">
        <v>1.6105160000000001</v>
      </c>
      <c r="Y57" s="213">
        <v>1.670633</v>
      </c>
      <c r="Z57" s="213">
        <v>1.784484</v>
      </c>
      <c r="AA57" s="213">
        <v>1.686936</v>
      </c>
      <c r="AB57" s="213">
        <v>1.6881429999999999</v>
      </c>
      <c r="AC57" s="213">
        <v>1.780645</v>
      </c>
      <c r="AD57" s="213">
        <v>1.7954669999999999</v>
      </c>
      <c r="AE57" s="213">
        <v>1.803742</v>
      </c>
      <c r="AF57" s="213">
        <v>1.893167</v>
      </c>
      <c r="AG57" s="213">
        <v>1.8941939999999999</v>
      </c>
      <c r="AH57" s="213">
        <v>1.9547099999999999</v>
      </c>
      <c r="AI57" s="213">
        <v>1.8558330000000001</v>
      </c>
      <c r="AJ57" s="213">
        <v>1.690871</v>
      </c>
      <c r="AK57" s="213">
        <v>1.768667</v>
      </c>
      <c r="AL57" s="213">
        <v>1.85571</v>
      </c>
      <c r="AM57" s="213">
        <v>1.7710319999999999</v>
      </c>
      <c r="AN57" s="213">
        <v>1.6893929999999999</v>
      </c>
      <c r="AO57" s="213">
        <v>1.7279679999999999</v>
      </c>
      <c r="AP57" s="213">
        <v>1.7276</v>
      </c>
      <c r="AQ57" s="213">
        <v>1.7285809999999999</v>
      </c>
      <c r="AR57" s="213">
        <v>1.8825670000000001</v>
      </c>
      <c r="AS57" s="213">
        <v>1.922323</v>
      </c>
      <c r="AT57" s="213">
        <v>1.924258</v>
      </c>
      <c r="AU57" s="213">
        <v>1.7987</v>
      </c>
      <c r="AV57" s="213">
        <v>1.6533869999999999</v>
      </c>
      <c r="AW57" s="213">
        <v>1.833467</v>
      </c>
      <c r="AX57" s="213">
        <v>1.8900319999999999</v>
      </c>
      <c r="AY57" s="213">
        <v>1.8553539999999999</v>
      </c>
      <c r="AZ57" s="213">
        <v>1.6663790000000001</v>
      </c>
      <c r="BA57" s="213">
        <v>1.359097</v>
      </c>
      <c r="BB57" s="213">
        <v>0.61890000000000001</v>
      </c>
      <c r="BC57" s="213">
        <v>0.50541899999999995</v>
      </c>
      <c r="BD57" s="213">
        <v>0.73113300000000003</v>
      </c>
      <c r="BE57" s="213">
        <v>0.84703225806000004</v>
      </c>
      <c r="BF57" s="213">
        <v>0.94522141935000004</v>
      </c>
      <c r="BG57" s="351">
        <v>1.343745</v>
      </c>
      <c r="BH57" s="351">
        <v>1.5141910000000001</v>
      </c>
      <c r="BI57" s="351">
        <v>1.5796889999999999</v>
      </c>
      <c r="BJ57" s="351">
        <v>1.642946</v>
      </c>
      <c r="BK57" s="351">
        <v>1.550756</v>
      </c>
      <c r="BL57" s="351">
        <v>1.563372</v>
      </c>
      <c r="BM57" s="351">
        <v>1.6076299999999999</v>
      </c>
      <c r="BN57" s="351">
        <v>1.6106400000000001</v>
      </c>
      <c r="BO57" s="351">
        <v>1.6468039999999999</v>
      </c>
      <c r="BP57" s="351">
        <v>1.6914530000000001</v>
      </c>
      <c r="BQ57" s="351">
        <v>1.749444</v>
      </c>
      <c r="BR57" s="351">
        <v>1.691087</v>
      </c>
      <c r="BS57" s="351">
        <v>1.673346</v>
      </c>
      <c r="BT57" s="351">
        <v>1.6067560000000001</v>
      </c>
      <c r="BU57" s="351">
        <v>1.660364</v>
      </c>
      <c r="BV57" s="351">
        <v>1.723549</v>
      </c>
    </row>
    <row r="58" spans="1:79" ht="11.1" customHeight="1" x14ac:dyDescent="0.2">
      <c r="A58" s="61" t="s">
        <v>774</v>
      </c>
      <c r="B58" s="179" t="s">
        <v>421</v>
      </c>
      <c r="C58" s="213">
        <v>4.5302579999999999</v>
      </c>
      <c r="D58" s="213">
        <v>4.6677929999999996</v>
      </c>
      <c r="E58" s="213">
        <v>4.8482900000000004</v>
      </c>
      <c r="F58" s="213">
        <v>4.6588000000000003</v>
      </c>
      <c r="G58" s="213">
        <v>4.7604189999999997</v>
      </c>
      <c r="H58" s="213">
        <v>4.9535999999999998</v>
      </c>
      <c r="I58" s="213">
        <v>4.9334189999999998</v>
      </c>
      <c r="J58" s="213">
        <v>4.9391939999999996</v>
      </c>
      <c r="K58" s="213">
        <v>4.8881329999999998</v>
      </c>
      <c r="L58" s="213">
        <v>4.6141290000000001</v>
      </c>
      <c r="M58" s="213">
        <v>5.0659669999999997</v>
      </c>
      <c r="N58" s="213">
        <v>5.1476449999999998</v>
      </c>
      <c r="O58" s="213">
        <v>4.7854520000000003</v>
      </c>
      <c r="P58" s="213">
        <v>4.6566429999999999</v>
      </c>
      <c r="Q58" s="213">
        <v>4.792516</v>
      </c>
      <c r="R58" s="213">
        <v>5.0188670000000002</v>
      </c>
      <c r="S58" s="213">
        <v>5.215516</v>
      </c>
      <c r="T58" s="213">
        <v>5.2837670000000001</v>
      </c>
      <c r="U58" s="213">
        <v>5.1618709999999997</v>
      </c>
      <c r="V58" s="213">
        <v>5.0440649999999998</v>
      </c>
      <c r="W58" s="213">
        <v>4.5597329999999996</v>
      </c>
      <c r="X58" s="213">
        <v>4.9720319999999996</v>
      </c>
      <c r="Y58" s="213">
        <v>5.3620999999999999</v>
      </c>
      <c r="Z58" s="213">
        <v>5.4078710000000001</v>
      </c>
      <c r="AA58" s="213">
        <v>5.0059360000000002</v>
      </c>
      <c r="AB58" s="213">
        <v>4.5841430000000001</v>
      </c>
      <c r="AC58" s="213">
        <v>4.8225160000000002</v>
      </c>
      <c r="AD58" s="213">
        <v>5.1195329999999997</v>
      </c>
      <c r="AE58" s="213">
        <v>5.2141289999999998</v>
      </c>
      <c r="AF58" s="213">
        <v>5.4103669999999999</v>
      </c>
      <c r="AG58" s="213">
        <v>5.2570649999999999</v>
      </c>
      <c r="AH58" s="213">
        <v>5.3694839999999999</v>
      </c>
      <c r="AI58" s="213">
        <v>5.23</v>
      </c>
      <c r="AJ58" s="213">
        <v>5.0353870000000001</v>
      </c>
      <c r="AK58" s="213">
        <v>5.3501000000000003</v>
      </c>
      <c r="AL58" s="213">
        <v>5.5756449999999997</v>
      </c>
      <c r="AM58" s="213">
        <v>5.2495159999999998</v>
      </c>
      <c r="AN58" s="213">
        <v>4.9046789999999998</v>
      </c>
      <c r="AO58" s="213">
        <v>4.9684189999999999</v>
      </c>
      <c r="AP58" s="213">
        <v>5.0591999999999997</v>
      </c>
      <c r="AQ58" s="213">
        <v>5.2117100000000001</v>
      </c>
      <c r="AR58" s="213">
        <v>5.3506999999999998</v>
      </c>
      <c r="AS58" s="213">
        <v>5.2458070000000001</v>
      </c>
      <c r="AT58" s="213">
        <v>5.2664840000000002</v>
      </c>
      <c r="AU58" s="213">
        <v>5.0350000000000001</v>
      </c>
      <c r="AV58" s="213">
        <v>4.7939360000000004</v>
      </c>
      <c r="AW58" s="213">
        <v>5.2310999999999996</v>
      </c>
      <c r="AX58" s="213">
        <v>5.3094190000000001</v>
      </c>
      <c r="AY58" s="213">
        <v>5.0848709999999997</v>
      </c>
      <c r="AZ58" s="213">
        <v>4.8115860000000001</v>
      </c>
      <c r="BA58" s="213">
        <v>4.9511609999999999</v>
      </c>
      <c r="BB58" s="213">
        <v>5.1005330000000004</v>
      </c>
      <c r="BC58" s="213">
        <v>4.821161</v>
      </c>
      <c r="BD58" s="213">
        <v>4.5796330000000003</v>
      </c>
      <c r="BE58" s="213">
        <v>4.7481343935</v>
      </c>
      <c r="BF58" s="213">
        <v>4.7155293418999999</v>
      </c>
      <c r="BG58" s="351">
        <v>4.5863940000000003</v>
      </c>
      <c r="BH58" s="351">
        <v>4.6916469999999997</v>
      </c>
      <c r="BI58" s="351">
        <v>4.9707400000000002</v>
      </c>
      <c r="BJ58" s="351">
        <v>5.1791939999999999</v>
      </c>
      <c r="BK58" s="351">
        <v>4.9558939999999998</v>
      </c>
      <c r="BL58" s="351">
        <v>4.684545</v>
      </c>
      <c r="BM58" s="351">
        <v>4.8097450000000004</v>
      </c>
      <c r="BN58" s="351">
        <v>4.8865850000000002</v>
      </c>
      <c r="BO58" s="351">
        <v>5.0657120000000004</v>
      </c>
      <c r="BP58" s="351">
        <v>5.1160620000000003</v>
      </c>
      <c r="BQ58" s="351">
        <v>5.1776999999999997</v>
      </c>
      <c r="BR58" s="351">
        <v>5.1340510000000004</v>
      </c>
      <c r="BS58" s="351">
        <v>5.0981449999999997</v>
      </c>
      <c r="BT58" s="351">
        <v>4.9229659999999997</v>
      </c>
      <c r="BU58" s="351">
        <v>5.1187189999999996</v>
      </c>
      <c r="BV58" s="351">
        <v>5.268478</v>
      </c>
      <c r="BX58" s="775"/>
      <c r="BY58" s="775"/>
      <c r="BZ58" s="775"/>
      <c r="CA58" s="776"/>
    </row>
    <row r="59" spans="1:79" ht="11.1" customHeight="1" x14ac:dyDescent="0.2">
      <c r="A59" s="61" t="s">
        <v>775</v>
      </c>
      <c r="B59" s="179" t="s">
        <v>422</v>
      </c>
      <c r="C59" s="213">
        <v>0.39503199999999999</v>
      </c>
      <c r="D59" s="213">
        <v>0.40337899999999999</v>
      </c>
      <c r="E59" s="213">
        <v>0.39993600000000001</v>
      </c>
      <c r="F59" s="213">
        <v>0.43496699999999999</v>
      </c>
      <c r="G59" s="213">
        <v>0.42699999999999999</v>
      </c>
      <c r="H59" s="213">
        <v>0.38943299999999997</v>
      </c>
      <c r="I59" s="213">
        <v>0.400613</v>
      </c>
      <c r="J59" s="213">
        <v>0.41983900000000002</v>
      </c>
      <c r="K59" s="213">
        <v>0.43596699999999999</v>
      </c>
      <c r="L59" s="213">
        <v>0.45480700000000002</v>
      </c>
      <c r="M59" s="213">
        <v>0.45013300000000001</v>
      </c>
      <c r="N59" s="213">
        <v>0.40090300000000001</v>
      </c>
      <c r="O59" s="213">
        <v>0.48519400000000001</v>
      </c>
      <c r="P59" s="213">
        <v>0.482464</v>
      </c>
      <c r="Q59" s="213">
        <v>0.40567700000000001</v>
      </c>
      <c r="R59" s="213">
        <v>0.41656700000000002</v>
      </c>
      <c r="S59" s="213">
        <v>0.40771000000000002</v>
      </c>
      <c r="T59" s="213">
        <v>0.40626699999999999</v>
      </c>
      <c r="U59" s="213">
        <v>0.390484</v>
      </c>
      <c r="V59" s="213">
        <v>0.45254800000000001</v>
      </c>
      <c r="W59" s="213">
        <v>0.459233</v>
      </c>
      <c r="X59" s="213">
        <v>0.44219399999999998</v>
      </c>
      <c r="Y59" s="213">
        <v>0.40776699999999999</v>
      </c>
      <c r="Z59" s="213">
        <v>0.37254799999999999</v>
      </c>
      <c r="AA59" s="213">
        <v>0.46741899999999997</v>
      </c>
      <c r="AB59" s="213">
        <v>0.46150000000000002</v>
      </c>
      <c r="AC59" s="213">
        <v>0.40316099999999999</v>
      </c>
      <c r="AD59" s="213">
        <v>0.45043299999999997</v>
      </c>
      <c r="AE59" s="213">
        <v>0.41480699999999998</v>
      </c>
      <c r="AF59" s="213">
        <v>0.34756700000000001</v>
      </c>
      <c r="AG59" s="213">
        <v>0.44422600000000001</v>
      </c>
      <c r="AH59" s="213">
        <v>0.39132299999999998</v>
      </c>
      <c r="AI59" s="213">
        <v>0.429367</v>
      </c>
      <c r="AJ59" s="213">
        <v>0.39719399999999999</v>
      </c>
      <c r="AK59" s="213">
        <v>0.44976699999999997</v>
      </c>
      <c r="AL59" s="213">
        <v>0.44025799999999998</v>
      </c>
      <c r="AM59" s="213">
        <v>0.39780700000000002</v>
      </c>
      <c r="AN59" s="213">
        <v>0.30896400000000002</v>
      </c>
      <c r="AO59" s="213">
        <v>0.35735499999999998</v>
      </c>
      <c r="AP59" s="213">
        <v>0.38896700000000001</v>
      </c>
      <c r="AQ59" s="213">
        <v>0.36348399999999997</v>
      </c>
      <c r="AR59" s="213">
        <v>0.42993300000000001</v>
      </c>
      <c r="AS59" s="213">
        <v>0.389903</v>
      </c>
      <c r="AT59" s="213">
        <v>0.40954800000000002</v>
      </c>
      <c r="AU59" s="213">
        <v>0.38279999999999997</v>
      </c>
      <c r="AV59" s="213">
        <v>0.33996799999999999</v>
      </c>
      <c r="AW59" s="213">
        <v>0.313633</v>
      </c>
      <c r="AX59" s="213">
        <v>0.24909700000000001</v>
      </c>
      <c r="AY59" s="213">
        <v>0.22922500000000001</v>
      </c>
      <c r="AZ59" s="213">
        <v>0.22927600000000001</v>
      </c>
      <c r="BA59" s="213">
        <v>0.23245199999999999</v>
      </c>
      <c r="BB59" s="213">
        <v>0.1449</v>
      </c>
      <c r="BC59" s="213">
        <v>0.16722600000000001</v>
      </c>
      <c r="BD59" s="213">
        <v>0.239033</v>
      </c>
      <c r="BE59" s="213">
        <v>0.18670967742</v>
      </c>
      <c r="BF59" s="213">
        <v>0.19161705806000001</v>
      </c>
      <c r="BG59" s="351">
        <v>0.24151149999999999</v>
      </c>
      <c r="BH59" s="351">
        <v>0.28277010000000002</v>
      </c>
      <c r="BI59" s="351">
        <v>0.22363359999999999</v>
      </c>
      <c r="BJ59" s="351">
        <v>0.26358310000000001</v>
      </c>
      <c r="BK59" s="351">
        <v>0.35687780000000002</v>
      </c>
      <c r="BL59" s="351">
        <v>0.28532020000000002</v>
      </c>
      <c r="BM59" s="351">
        <v>0.33014640000000001</v>
      </c>
      <c r="BN59" s="351">
        <v>0.3558712</v>
      </c>
      <c r="BO59" s="351">
        <v>0.35545339999999997</v>
      </c>
      <c r="BP59" s="351">
        <v>0.33017930000000001</v>
      </c>
      <c r="BQ59" s="351">
        <v>0.3447732</v>
      </c>
      <c r="BR59" s="351">
        <v>0.3412385</v>
      </c>
      <c r="BS59" s="351">
        <v>0.3339008</v>
      </c>
      <c r="BT59" s="351">
        <v>0.33931640000000002</v>
      </c>
      <c r="BU59" s="351">
        <v>0.2577219</v>
      </c>
      <c r="BV59" s="351">
        <v>0.28844720000000001</v>
      </c>
    </row>
    <row r="60" spans="1:79" ht="11.1" customHeight="1" x14ac:dyDescent="0.2">
      <c r="A60" s="61" t="s">
        <v>776</v>
      </c>
      <c r="B60" s="617" t="s">
        <v>1001</v>
      </c>
      <c r="C60" s="213">
        <v>2.4953560000000001</v>
      </c>
      <c r="D60" s="213">
        <v>2.436655</v>
      </c>
      <c r="E60" s="213">
        <v>2.4830649999999999</v>
      </c>
      <c r="F60" s="213">
        <v>2.5274320000000001</v>
      </c>
      <c r="G60" s="213">
        <v>2.5611609999999998</v>
      </c>
      <c r="H60" s="213">
        <v>2.6315680000000001</v>
      </c>
      <c r="I60" s="213">
        <v>2.7491300000000001</v>
      </c>
      <c r="J60" s="213">
        <v>2.6957439999999999</v>
      </c>
      <c r="K60" s="213">
        <v>2.5938680000000001</v>
      </c>
      <c r="L60" s="213">
        <v>2.3917419999999998</v>
      </c>
      <c r="M60" s="213">
        <v>2.499034</v>
      </c>
      <c r="N60" s="213">
        <v>2.5354839999999998</v>
      </c>
      <c r="O60" s="213">
        <v>2.48813</v>
      </c>
      <c r="P60" s="213">
        <v>2.491892</v>
      </c>
      <c r="Q60" s="213">
        <v>2.5394839999999999</v>
      </c>
      <c r="R60" s="213">
        <v>2.6140659999999998</v>
      </c>
      <c r="S60" s="213">
        <v>2.6439680000000001</v>
      </c>
      <c r="T60" s="213">
        <v>2.6888679999999998</v>
      </c>
      <c r="U60" s="213">
        <v>2.6953870000000002</v>
      </c>
      <c r="V60" s="213">
        <v>2.6435179999999998</v>
      </c>
      <c r="W60" s="213">
        <v>2.337634</v>
      </c>
      <c r="X60" s="213">
        <v>2.4535179999999999</v>
      </c>
      <c r="Y60" s="213">
        <v>2.5557310000000002</v>
      </c>
      <c r="Z60" s="213">
        <v>2.5904850000000001</v>
      </c>
      <c r="AA60" s="213">
        <v>2.483034</v>
      </c>
      <c r="AB60" s="213">
        <v>2.4395720000000001</v>
      </c>
      <c r="AC60" s="213">
        <v>2.5496780000000001</v>
      </c>
      <c r="AD60" s="213">
        <v>2.5626340000000001</v>
      </c>
      <c r="AE60" s="213">
        <v>2.602322</v>
      </c>
      <c r="AF60" s="213">
        <v>2.7242999999999999</v>
      </c>
      <c r="AG60" s="213">
        <v>2.7421289999999998</v>
      </c>
      <c r="AH60" s="213">
        <v>2.7901950000000002</v>
      </c>
      <c r="AI60" s="213">
        <v>2.6394660000000001</v>
      </c>
      <c r="AJ60" s="213">
        <v>2.522322</v>
      </c>
      <c r="AK60" s="213">
        <v>2.5580660000000002</v>
      </c>
      <c r="AL60" s="213">
        <v>2.5610339999999998</v>
      </c>
      <c r="AM60" s="213">
        <v>2.4483869999999999</v>
      </c>
      <c r="AN60" s="213">
        <v>2.3031419999999998</v>
      </c>
      <c r="AO60" s="213">
        <v>2.3227120000000001</v>
      </c>
      <c r="AP60" s="213">
        <v>2.3742320000000001</v>
      </c>
      <c r="AQ60" s="213">
        <v>2.3624839999999998</v>
      </c>
      <c r="AR60" s="213">
        <v>2.453967</v>
      </c>
      <c r="AS60" s="213">
        <v>2.6321300000000001</v>
      </c>
      <c r="AT60" s="213">
        <v>2.6128079999999998</v>
      </c>
      <c r="AU60" s="213">
        <v>2.4535330000000002</v>
      </c>
      <c r="AV60" s="213">
        <v>2.3083550000000002</v>
      </c>
      <c r="AW60" s="213">
        <v>2.4489000000000001</v>
      </c>
      <c r="AX60" s="213">
        <v>2.5888710000000001</v>
      </c>
      <c r="AY60" s="213">
        <v>2.4912209999999999</v>
      </c>
      <c r="AZ60" s="213">
        <v>2.406965</v>
      </c>
      <c r="BA60" s="213">
        <v>2.327515</v>
      </c>
      <c r="BB60" s="213">
        <v>2.1062650000000001</v>
      </c>
      <c r="BC60" s="213">
        <v>2.1180319999999999</v>
      </c>
      <c r="BD60" s="213">
        <v>2.2038319999999998</v>
      </c>
      <c r="BE60" s="213">
        <v>2.3617257209</v>
      </c>
      <c r="BF60" s="213">
        <v>2.0733992654</v>
      </c>
      <c r="BG60" s="351">
        <v>2.3654350000000002</v>
      </c>
      <c r="BH60" s="351">
        <v>2.5632489999999999</v>
      </c>
      <c r="BI60" s="351">
        <v>2.6599699999999999</v>
      </c>
      <c r="BJ60" s="351">
        <v>2.7488350000000001</v>
      </c>
      <c r="BK60" s="351">
        <v>2.6428229999999999</v>
      </c>
      <c r="BL60" s="351">
        <v>2.4272499999999999</v>
      </c>
      <c r="BM60" s="351">
        <v>2.489951</v>
      </c>
      <c r="BN60" s="351">
        <v>2.562748</v>
      </c>
      <c r="BO60" s="351">
        <v>2.6144029999999998</v>
      </c>
      <c r="BP60" s="351">
        <v>2.6763699999999999</v>
      </c>
      <c r="BQ60" s="351">
        <v>2.8375680000000001</v>
      </c>
      <c r="BR60" s="351">
        <v>2.7880050000000001</v>
      </c>
      <c r="BS60" s="351">
        <v>2.7363409999999999</v>
      </c>
      <c r="BT60" s="351">
        <v>2.6554720000000001</v>
      </c>
      <c r="BU60" s="351">
        <v>2.7638729999999998</v>
      </c>
      <c r="BV60" s="351">
        <v>2.8509829999999998</v>
      </c>
    </row>
    <row r="61" spans="1:79" ht="11.1" customHeight="1" x14ac:dyDescent="0.2">
      <c r="A61" s="61" t="s">
        <v>777</v>
      </c>
      <c r="B61" s="179" t="s">
        <v>586</v>
      </c>
      <c r="C61" s="213">
        <v>18.734774999999999</v>
      </c>
      <c r="D61" s="213">
        <v>19.346</v>
      </c>
      <c r="E61" s="213">
        <v>19.903226</v>
      </c>
      <c r="F61" s="213">
        <v>19.918499000000001</v>
      </c>
      <c r="G61" s="213">
        <v>20.310193000000002</v>
      </c>
      <c r="H61" s="213">
        <v>20.804334000000001</v>
      </c>
      <c r="I61" s="213">
        <v>20.916257999999999</v>
      </c>
      <c r="J61" s="213">
        <v>20.981421999999998</v>
      </c>
      <c r="K61" s="213">
        <v>20.321467999999999</v>
      </c>
      <c r="L61" s="213">
        <v>19.587226000000001</v>
      </c>
      <c r="M61" s="213">
        <v>20.013200999999999</v>
      </c>
      <c r="N61" s="213">
        <v>20.087935999999999</v>
      </c>
      <c r="O61" s="213">
        <v>19.009001999999999</v>
      </c>
      <c r="P61" s="213">
        <v>19.153606</v>
      </c>
      <c r="Q61" s="213">
        <v>19.892161000000002</v>
      </c>
      <c r="R61" s="213">
        <v>20.496666999999999</v>
      </c>
      <c r="S61" s="213">
        <v>21.013935</v>
      </c>
      <c r="T61" s="213">
        <v>21.327635000000001</v>
      </c>
      <c r="U61" s="213">
        <v>21.10558</v>
      </c>
      <c r="V61" s="213">
        <v>20.913969999999999</v>
      </c>
      <c r="W61" s="213">
        <v>19.276633</v>
      </c>
      <c r="X61" s="213">
        <v>20.126486</v>
      </c>
      <c r="Y61" s="213">
        <v>20.564397</v>
      </c>
      <c r="Z61" s="213">
        <v>20.600484999999999</v>
      </c>
      <c r="AA61" s="213">
        <v>19.564938000000001</v>
      </c>
      <c r="AB61" s="213">
        <v>19.379894</v>
      </c>
      <c r="AC61" s="213">
        <v>20.240129</v>
      </c>
      <c r="AD61" s="213">
        <v>20.7026</v>
      </c>
      <c r="AE61" s="213">
        <v>21.028388</v>
      </c>
      <c r="AF61" s="213">
        <v>21.562967</v>
      </c>
      <c r="AG61" s="213">
        <v>21.381807999999999</v>
      </c>
      <c r="AH61" s="213">
        <v>21.628809</v>
      </c>
      <c r="AI61" s="213">
        <v>20.731898999999999</v>
      </c>
      <c r="AJ61" s="213">
        <v>20.410516000000001</v>
      </c>
      <c r="AK61" s="213">
        <v>20.761733</v>
      </c>
      <c r="AL61" s="213">
        <v>20.825710999999998</v>
      </c>
      <c r="AM61" s="213">
        <v>19.981418999999999</v>
      </c>
      <c r="AN61" s="213">
        <v>19.379107000000001</v>
      </c>
      <c r="AO61" s="213">
        <v>20.065325000000001</v>
      </c>
      <c r="AP61" s="213">
        <v>20.373733000000001</v>
      </c>
      <c r="AQ61" s="213">
        <v>20.763033</v>
      </c>
      <c r="AR61" s="213">
        <v>21.212367</v>
      </c>
      <c r="AS61" s="213">
        <v>21.282388999999998</v>
      </c>
      <c r="AT61" s="213">
        <v>21.456227999999999</v>
      </c>
      <c r="AU61" s="213">
        <v>20.199233</v>
      </c>
      <c r="AV61" s="213">
        <v>19.763517</v>
      </c>
      <c r="AW61" s="213">
        <v>20.328267</v>
      </c>
      <c r="AX61" s="213">
        <v>20.377032</v>
      </c>
      <c r="AY61" s="213">
        <v>19.673960000000001</v>
      </c>
      <c r="AZ61" s="213">
        <v>19.236999000000001</v>
      </c>
      <c r="BA61" s="213">
        <v>18.066644</v>
      </c>
      <c r="BB61" s="213">
        <v>15.005464999999999</v>
      </c>
      <c r="BC61" s="213">
        <v>15.760161</v>
      </c>
      <c r="BD61" s="213">
        <v>17.208665</v>
      </c>
      <c r="BE61" s="213">
        <v>17.962590036000002</v>
      </c>
      <c r="BF61" s="213">
        <v>18.045945508999999</v>
      </c>
      <c r="BG61" s="351">
        <v>18.12218</v>
      </c>
      <c r="BH61" s="351">
        <v>18.948519999999998</v>
      </c>
      <c r="BI61" s="351">
        <v>19.32199</v>
      </c>
      <c r="BJ61" s="351">
        <v>19.744160000000001</v>
      </c>
      <c r="BK61" s="351">
        <v>19.47326</v>
      </c>
      <c r="BL61" s="351">
        <v>18.80171</v>
      </c>
      <c r="BM61" s="351">
        <v>19.424720000000001</v>
      </c>
      <c r="BN61" s="351">
        <v>20.03293</v>
      </c>
      <c r="BO61" s="351">
        <v>20.659189999999999</v>
      </c>
      <c r="BP61" s="351">
        <v>20.838699999999999</v>
      </c>
      <c r="BQ61" s="351">
        <v>21.167770000000001</v>
      </c>
      <c r="BR61" s="351">
        <v>20.828520000000001</v>
      </c>
      <c r="BS61" s="351">
        <v>20.480969999999999</v>
      </c>
      <c r="BT61" s="351">
        <v>20.032499999999999</v>
      </c>
      <c r="BU61" s="351">
        <v>20.264530000000001</v>
      </c>
      <c r="BV61" s="351">
        <v>20.364329999999999</v>
      </c>
    </row>
    <row r="62" spans="1:79" ht="11.1" customHeight="1" x14ac:dyDescent="0.2">
      <c r="A62" s="61"/>
      <c r="B62" s="156"/>
      <c r="C62" s="213"/>
      <c r="D62" s="213"/>
      <c r="E62" s="213"/>
      <c r="F62" s="213"/>
      <c r="G62" s="213"/>
      <c r="H62" s="213"/>
      <c r="I62" s="213"/>
      <c r="J62" s="213"/>
      <c r="K62" s="213"/>
      <c r="L62" s="213"/>
      <c r="M62" s="213"/>
      <c r="N62" s="213"/>
      <c r="O62" s="213"/>
      <c r="P62" s="213"/>
      <c r="Q62" s="213"/>
      <c r="R62" s="213"/>
      <c r="S62" s="213"/>
      <c r="T62" s="213"/>
      <c r="U62" s="213"/>
      <c r="V62" s="213"/>
      <c r="W62" s="213"/>
      <c r="X62" s="213"/>
      <c r="Y62" s="213"/>
      <c r="Z62" s="213"/>
      <c r="AA62" s="213"/>
      <c r="AB62" s="213"/>
      <c r="AC62" s="213"/>
      <c r="AD62" s="213"/>
      <c r="AE62" s="213"/>
      <c r="AF62" s="213"/>
      <c r="AG62" s="213"/>
      <c r="AH62" s="213"/>
      <c r="AI62" s="213"/>
      <c r="AJ62" s="213"/>
      <c r="AK62" s="213"/>
      <c r="AL62" s="213"/>
      <c r="AM62" s="213"/>
      <c r="AN62" s="213"/>
      <c r="AO62" s="213"/>
      <c r="AP62" s="213"/>
      <c r="AQ62" s="213"/>
      <c r="AR62" s="213"/>
      <c r="AS62" s="213"/>
      <c r="AT62" s="213"/>
      <c r="AU62" s="213"/>
      <c r="AV62" s="213"/>
      <c r="AW62" s="213"/>
      <c r="AX62" s="213"/>
      <c r="AY62" s="213"/>
      <c r="AZ62" s="213"/>
      <c r="BA62" s="213"/>
      <c r="BB62" s="213"/>
      <c r="BC62" s="213"/>
      <c r="BD62" s="213"/>
      <c r="BE62" s="213"/>
      <c r="BF62" s="213"/>
      <c r="BG62" s="351"/>
      <c r="BH62" s="351"/>
      <c r="BI62" s="351"/>
      <c r="BJ62" s="351"/>
      <c r="BK62" s="351"/>
      <c r="BL62" s="351"/>
      <c r="BM62" s="351"/>
      <c r="BN62" s="351"/>
      <c r="BO62" s="351"/>
      <c r="BP62" s="351"/>
      <c r="BQ62" s="351"/>
      <c r="BR62" s="351"/>
      <c r="BS62" s="351"/>
      <c r="BT62" s="351"/>
      <c r="BU62" s="351"/>
      <c r="BV62" s="351"/>
    </row>
    <row r="63" spans="1:79" ht="11.1" customHeight="1" x14ac:dyDescent="0.2">
      <c r="A63" s="61" t="s">
        <v>780</v>
      </c>
      <c r="B63" s="180" t="s">
        <v>424</v>
      </c>
      <c r="C63" s="213">
        <v>16.296935999999999</v>
      </c>
      <c r="D63" s="213">
        <v>16.178792999999999</v>
      </c>
      <c r="E63" s="213">
        <v>16.287289999999999</v>
      </c>
      <c r="F63" s="213">
        <v>16.223099999999999</v>
      </c>
      <c r="G63" s="213">
        <v>16.476807000000001</v>
      </c>
      <c r="H63" s="213">
        <v>16.802900000000001</v>
      </c>
      <c r="I63" s="213">
        <v>16.999516</v>
      </c>
      <c r="J63" s="213">
        <v>16.975999999999999</v>
      </c>
      <c r="K63" s="213">
        <v>16.6874</v>
      </c>
      <c r="L63" s="213">
        <v>15.782774</v>
      </c>
      <c r="M63" s="213">
        <v>16.544899999999998</v>
      </c>
      <c r="N63" s="213">
        <v>16.895807000000001</v>
      </c>
      <c r="O63" s="213">
        <v>16.461548000000001</v>
      </c>
      <c r="P63" s="213">
        <v>15.826499999999999</v>
      </c>
      <c r="Q63" s="213">
        <v>16.421419</v>
      </c>
      <c r="R63" s="213">
        <v>17.276233000000001</v>
      </c>
      <c r="S63" s="213">
        <v>17.513999999999999</v>
      </c>
      <c r="T63" s="213">
        <v>17.526767</v>
      </c>
      <c r="U63" s="213">
        <v>17.658548</v>
      </c>
      <c r="V63" s="213">
        <v>17.243258000000001</v>
      </c>
      <c r="W63" s="213">
        <v>15.787667000000001</v>
      </c>
      <c r="X63" s="213">
        <v>16.342676999999998</v>
      </c>
      <c r="Y63" s="213">
        <v>17.126532999999998</v>
      </c>
      <c r="Z63" s="213">
        <v>17.561516000000001</v>
      </c>
      <c r="AA63" s="213">
        <v>16.917031999999999</v>
      </c>
      <c r="AB63" s="213">
        <v>16.359749999999998</v>
      </c>
      <c r="AC63" s="213">
        <v>16.945097000000001</v>
      </c>
      <c r="AD63" s="213">
        <v>17.100899999999999</v>
      </c>
      <c r="AE63" s="213">
        <v>17.340807000000002</v>
      </c>
      <c r="AF63" s="213">
        <v>18.041467000000001</v>
      </c>
      <c r="AG63" s="213">
        <v>17.687839</v>
      </c>
      <c r="AH63" s="213">
        <v>17.969387000000001</v>
      </c>
      <c r="AI63" s="213">
        <v>17.383099999999999</v>
      </c>
      <c r="AJ63" s="213">
        <v>16.734839000000001</v>
      </c>
      <c r="AK63" s="213">
        <v>17.499732999999999</v>
      </c>
      <c r="AL63" s="213">
        <v>17.749226</v>
      </c>
      <c r="AM63" s="213">
        <v>17.110903</v>
      </c>
      <c r="AN63" s="213">
        <v>16.160429000000001</v>
      </c>
      <c r="AO63" s="213">
        <v>16.323419000000001</v>
      </c>
      <c r="AP63" s="213">
        <v>16.691299999999998</v>
      </c>
      <c r="AQ63" s="213">
        <v>17.043194</v>
      </c>
      <c r="AR63" s="213">
        <v>17.698799999999999</v>
      </c>
      <c r="AS63" s="213">
        <v>17.686710000000001</v>
      </c>
      <c r="AT63" s="213">
        <v>17.833161</v>
      </c>
      <c r="AU63" s="213">
        <v>16.727699999999999</v>
      </c>
      <c r="AV63" s="213">
        <v>16.127742000000001</v>
      </c>
      <c r="AW63" s="213">
        <v>17.040566999999999</v>
      </c>
      <c r="AX63" s="213">
        <v>17.395354999999999</v>
      </c>
      <c r="AY63" s="213">
        <v>16.856611999999998</v>
      </c>
      <c r="AZ63" s="213">
        <v>16.441966000000001</v>
      </c>
      <c r="BA63" s="213">
        <v>15.772484</v>
      </c>
      <c r="BB63" s="213">
        <v>13.322699999999999</v>
      </c>
      <c r="BC63" s="213">
        <v>13.424968</v>
      </c>
      <c r="BD63" s="213">
        <v>14.212300000000001</v>
      </c>
      <c r="BE63" s="213">
        <v>14.93816129</v>
      </c>
      <c r="BF63" s="213">
        <v>15.034307096999999</v>
      </c>
      <c r="BG63" s="351">
        <v>15.02369</v>
      </c>
      <c r="BH63" s="351">
        <v>15.418240000000001</v>
      </c>
      <c r="BI63" s="351">
        <v>16.09817</v>
      </c>
      <c r="BJ63" s="351">
        <v>16.773219999999998</v>
      </c>
      <c r="BK63" s="351">
        <v>16.361719999999998</v>
      </c>
      <c r="BL63" s="351">
        <v>15.54584</v>
      </c>
      <c r="BM63" s="351">
        <v>15.87843</v>
      </c>
      <c r="BN63" s="351">
        <v>16.3413</v>
      </c>
      <c r="BO63" s="351">
        <v>16.6477</v>
      </c>
      <c r="BP63" s="351">
        <v>16.916360000000001</v>
      </c>
      <c r="BQ63" s="351">
        <v>17.40849</v>
      </c>
      <c r="BR63" s="351">
        <v>17.084499999999998</v>
      </c>
      <c r="BS63" s="351">
        <v>16.913540000000001</v>
      </c>
      <c r="BT63" s="351">
        <v>16.272130000000001</v>
      </c>
      <c r="BU63" s="351">
        <v>16.857669999999999</v>
      </c>
      <c r="BV63" s="351">
        <v>17.314979999999998</v>
      </c>
    </row>
    <row r="64" spans="1:79" ht="11.1" customHeight="1" x14ac:dyDescent="0.2">
      <c r="A64" s="61" t="s">
        <v>778</v>
      </c>
      <c r="B64" s="180" t="s">
        <v>423</v>
      </c>
      <c r="C64" s="213">
        <v>18.317036000000002</v>
      </c>
      <c r="D64" s="213">
        <v>18.317036000000002</v>
      </c>
      <c r="E64" s="213">
        <v>18.319036000000001</v>
      </c>
      <c r="F64" s="213">
        <v>18.319036000000001</v>
      </c>
      <c r="G64" s="213">
        <v>18.319036000000001</v>
      </c>
      <c r="H64" s="213">
        <v>18.433316000000001</v>
      </c>
      <c r="I64" s="213">
        <v>18.433316000000001</v>
      </c>
      <c r="J64" s="213">
        <v>18.433316000000001</v>
      </c>
      <c r="K64" s="213">
        <v>18.456316000000001</v>
      </c>
      <c r="L64" s="213">
        <v>18.471316000000002</v>
      </c>
      <c r="M64" s="213">
        <v>18.491015999999998</v>
      </c>
      <c r="N64" s="213">
        <v>18.510016</v>
      </c>
      <c r="O64" s="213">
        <v>18.617027</v>
      </c>
      <c r="P64" s="213">
        <v>18.617027</v>
      </c>
      <c r="Q64" s="213">
        <v>18.620777</v>
      </c>
      <c r="R64" s="213">
        <v>18.620777</v>
      </c>
      <c r="S64" s="213">
        <v>18.556777</v>
      </c>
      <c r="T64" s="213">
        <v>18.566776999999998</v>
      </c>
      <c r="U64" s="213">
        <v>18.566776999999998</v>
      </c>
      <c r="V64" s="213">
        <v>18.570577</v>
      </c>
      <c r="W64" s="213">
        <v>18.495577000000001</v>
      </c>
      <c r="X64" s="213">
        <v>18.497496999999999</v>
      </c>
      <c r="Y64" s="213">
        <v>18.505496999999998</v>
      </c>
      <c r="Z64" s="213">
        <v>18.543026999999999</v>
      </c>
      <c r="AA64" s="213">
        <v>18.598496999999998</v>
      </c>
      <c r="AB64" s="213">
        <v>18.598496999999998</v>
      </c>
      <c r="AC64" s="213">
        <v>18.598496999999998</v>
      </c>
      <c r="AD64" s="213">
        <v>18.598496999999998</v>
      </c>
      <c r="AE64" s="213">
        <v>18.598496999999998</v>
      </c>
      <c r="AF64" s="213">
        <v>18.598496999999998</v>
      </c>
      <c r="AG64" s="213">
        <v>18.598496999999998</v>
      </c>
      <c r="AH64" s="213">
        <v>18.601496999999998</v>
      </c>
      <c r="AI64" s="213">
        <v>18.601496999999998</v>
      </c>
      <c r="AJ64" s="213">
        <v>18.603497000000001</v>
      </c>
      <c r="AK64" s="213">
        <v>18.603497000000001</v>
      </c>
      <c r="AL64" s="213">
        <v>18.603497000000001</v>
      </c>
      <c r="AM64" s="213">
        <v>18.808434999999999</v>
      </c>
      <c r="AN64" s="213">
        <v>18.808434999999999</v>
      </c>
      <c r="AO64" s="213">
        <v>18.808434999999999</v>
      </c>
      <c r="AP64" s="213">
        <v>18.808434999999999</v>
      </c>
      <c r="AQ64" s="213">
        <v>18.808434999999999</v>
      </c>
      <c r="AR64" s="213">
        <v>18.808434999999999</v>
      </c>
      <c r="AS64" s="213">
        <v>18.808434999999999</v>
      </c>
      <c r="AT64" s="213">
        <v>18.808434999999999</v>
      </c>
      <c r="AU64" s="213">
        <v>18.808434999999999</v>
      </c>
      <c r="AV64" s="213">
        <v>18.808434999999999</v>
      </c>
      <c r="AW64" s="213">
        <v>18.808434999999999</v>
      </c>
      <c r="AX64" s="213">
        <v>18.808434999999999</v>
      </c>
      <c r="AY64" s="213">
        <v>18.973685</v>
      </c>
      <c r="AZ64" s="213">
        <v>18.976085000000001</v>
      </c>
      <c r="BA64" s="213">
        <v>18.976085000000001</v>
      </c>
      <c r="BB64" s="213">
        <v>18.976085000000001</v>
      </c>
      <c r="BC64" s="213">
        <v>18.641085</v>
      </c>
      <c r="BD64" s="213">
        <v>18.622084999999998</v>
      </c>
      <c r="BE64" s="213">
        <v>18.62208</v>
      </c>
      <c r="BF64" s="213">
        <v>18.62208</v>
      </c>
      <c r="BG64" s="351">
        <v>18.38608</v>
      </c>
      <c r="BH64" s="351">
        <v>18.38608</v>
      </c>
      <c r="BI64" s="351">
        <v>18.38608</v>
      </c>
      <c r="BJ64" s="351">
        <v>18.38608</v>
      </c>
      <c r="BK64" s="351">
        <v>18.38608</v>
      </c>
      <c r="BL64" s="351">
        <v>18.38608</v>
      </c>
      <c r="BM64" s="351">
        <v>18.38608</v>
      </c>
      <c r="BN64" s="351">
        <v>18.38608</v>
      </c>
      <c r="BO64" s="351">
        <v>18.38608</v>
      </c>
      <c r="BP64" s="351">
        <v>18.38608</v>
      </c>
      <c r="BQ64" s="351">
        <v>18.38608</v>
      </c>
      <c r="BR64" s="351">
        <v>18.38608</v>
      </c>
      <c r="BS64" s="351">
        <v>18.38608</v>
      </c>
      <c r="BT64" s="351">
        <v>18.38608</v>
      </c>
      <c r="BU64" s="351">
        <v>18.38608</v>
      </c>
      <c r="BV64" s="351">
        <v>18.38608</v>
      </c>
    </row>
    <row r="65" spans="1:74" ht="11.1" customHeight="1" x14ac:dyDescent="0.2">
      <c r="A65" s="61" t="s">
        <v>779</v>
      </c>
      <c r="B65" s="181" t="s">
        <v>693</v>
      </c>
      <c r="C65" s="214">
        <v>0.88971468965</v>
      </c>
      <c r="D65" s="214">
        <v>0.8832647924</v>
      </c>
      <c r="E65" s="214">
        <v>0.88909099802000002</v>
      </c>
      <c r="F65" s="214">
        <v>0.88558699267999996</v>
      </c>
      <c r="G65" s="214">
        <v>0.8994363568</v>
      </c>
      <c r="H65" s="214">
        <v>0.91155058591000004</v>
      </c>
      <c r="I65" s="214">
        <v>0.92221692504999997</v>
      </c>
      <c r="J65" s="214">
        <v>0.92094119147999998</v>
      </c>
      <c r="K65" s="214">
        <v>0.90415660416999999</v>
      </c>
      <c r="L65" s="214">
        <v>0.85444772857999995</v>
      </c>
      <c r="M65" s="214">
        <v>0.89475343053</v>
      </c>
      <c r="N65" s="214">
        <v>0.91279267397999997</v>
      </c>
      <c r="O65" s="214">
        <v>0.88422002073999995</v>
      </c>
      <c r="P65" s="214">
        <v>0.85010888150999997</v>
      </c>
      <c r="Q65" s="214">
        <v>0.88188688367000001</v>
      </c>
      <c r="R65" s="214">
        <v>0.92779334610999997</v>
      </c>
      <c r="S65" s="214">
        <v>0.94380613615999998</v>
      </c>
      <c r="T65" s="214">
        <v>0.94398543161000004</v>
      </c>
      <c r="U65" s="214">
        <v>0.95108310935999996</v>
      </c>
      <c r="V65" s="214">
        <v>0.92852569954999997</v>
      </c>
      <c r="W65" s="214">
        <v>0.85359148297999998</v>
      </c>
      <c r="X65" s="214">
        <v>0.88350748211999997</v>
      </c>
      <c r="Y65" s="214">
        <v>0.92548354686000001</v>
      </c>
      <c r="Z65" s="214">
        <v>0.94706845867</v>
      </c>
      <c r="AA65" s="214">
        <v>0.90959135031000005</v>
      </c>
      <c r="AB65" s="214">
        <v>0.87962753119000003</v>
      </c>
      <c r="AC65" s="214">
        <v>0.91110034322</v>
      </c>
      <c r="AD65" s="214">
        <v>0.91947752551999995</v>
      </c>
      <c r="AE65" s="214">
        <v>0.93237679367000004</v>
      </c>
      <c r="AF65" s="214">
        <v>0.97004973035999997</v>
      </c>
      <c r="AG65" s="214">
        <v>0.95103593586000001</v>
      </c>
      <c r="AH65" s="214">
        <v>0.96601832636999996</v>
      </c>
      <c r="AI65" s="214">
        <v>0.93450005664000002</v>
      </c>
      <c r="AJ65" s="214">
        <v>0.89955340117000004</v>
      </c>
      <c r="AK65" s="214">
        <v>0.94066900433</v>
      </c>
      <c r="AL65" s="214">
        <v>0.95408008504999997</v>
      </c>
      <c r="AM65" s="214">
        <v>0.90974623885999994</v>
      </c>
      <c r="AN65" s="214">
        <v>0.85921178450000002</v>
      </c>
      <c r="AO65" s="214">
        <v>0.86787757727000003</v>
      </c>
      <c r="AP65" s="214">
        <v>0.88743693986000005</v>
      </c>
      <c r="AQ65" s="214">
        <v>0.90614631148000002</v>
      </c>
      <c r="AR65" s="214">
        <v>0.94100333174999995</v>
      </c>
      <c r="AS65" s="214">
        <v>0.94036053504999995</v>
      </c>
      <c r="AT65" s="214">
        <v>0.94814698830999999</v>
      </c>
      <c r="AU65" s="214">
        <v>0.88937224175999996</v>
      </c>
      <c r="AV65" s="214">
        <v>0.85747389402999996</v>
      </c>
      <c r="AW65" s="214">
        <v>0.90600664010999998</v>
      </c>
      <c r="AX65" s="214">
        <v>0.92486987886000005</v>
      </c>
      <c r="AY65" s="214">
        <v>0.88842056775</v>
      </c>
      <c r="AZ65" s="214">
        <v>0.86645722760999999</v>
      </c>
      <c r="BA65" s="214">
        <v>0.83117692612000005</v>
      </c>
      <c r="BB65" s="214">
        <v>0.70207843187999996</v>
      </c>
      <c r="BC65" s="214">
        <v>0.72018168469999999</v>
      </c>
      <c r="BD65" s="214">
        <v>0.76319595791999995</v>
      </c>
      <c r="BE65" s="214">
        <v>0.80217469210000003</v>
      </c>
      <c r="BF65" s="214">
        <v>0.80733769249999998</v>
      </c>
      <c r="BG65" s="380">
        <v>0.81712309999999999</v>
      </c>
      <c r="BH65" s="380">
        <v>0.83858220000000006</v>
      </c>
      <c r="BI65" s="380">
        <v>0.87556279999999997</v>
      </c>
      <c r="BJ65" s="380">
        <v>0.91227800000000003</v>
      </c>
      <c r="BK65" s="380">
        <v>0.88989739999999995</v>
      </c>
      <c r="BL65" s="380">
        <v>0.84552210000000005</v>
      </c>
      <c r="BM65" s="380">
        <v>0.86361129999999997</v>
      </c>
      <c r="BN65" s="380">
        <v>0.88878670000000004</v>
      </c>
      <c r="BO65" s="380">
        <v>0.90545149999999996</v>
      </c>
      <c r="BP65" s="380">
        <v>0.92006370000000004</v>
      </c>
      <c r="BQ65" s="380">
        <v>0.94682980000000005</v>
      </c>
      <c r="BR65" s="380">
        <v>0.92920840000000005</v>
      </c>
      <c r="BS65" s="380">
        <v>0.91990989999999995</v>
      </c>
      <c r="BT65" s="380">
        <v>0.8850247</v>
      </c>
      <c r="BU65" s="380">
        <v>0.9168714</v>
      </c>
      <c r="BV65" s="380">
        <v>0.94174400000000003</v>
      </c>
    </row>
    <row r="66" spans="1:74" ht="11.1" customHeight="1" x14ac:dyDescent="0.2">
      <c r="A66" s="61"/>
      <c r="B66" s="159"/>
      <c r="C66" s="160"/>
      <c r="D66" s="160"/>
      <c r="E66" s="160"/>
      <c r="F66" s="160"/>
      <c r="G66" s="160"/>
      <c r="H66" s="160"/>
      <c r="I66" s="160"/>
      <c r="J66" s="160"/>
      <c r="K66" s="160"/>
      <c r="L66" s="160"/>
      <c r="M66" s="160"/>
      <c r="N66" s="160"/>
      <c r="O66" s="160"/>
      <c r="P66" s="160"/>
      <c r="Q66" s="160"/>
      <c r="R66" s="160"/>
      <c r="S66" s="160"/>
      <c r="T66" s="160"/>
      <c r="U66" s="160"/>
      <c r="V66" s="160"/>
      <c r="W66" s="160"/>
      <c r="X66" s="160"/>
      <c r="Y66" s="160"/>
      <c r="Z66" s="160"/>
      <c r="AA66" s="160"/>
      <c r="AB66" s="160"/>
      <c r="AC66" s="160"/>
      <c r="AD66" s="160"/>
      <c r="AE66" s="160"/>
      <c r="AF66" s="160"/>
      <c r="AG66" s="160"/>
      <c r="AH66" s="160"/>
      <c r="AI66" s="160"/>
      <c r="AJ66" s="160"/>
      <c r="AK66" s="160"/>
      <c r="AL66" s="160"/>
      <c r="AM66" s="160"/>
      <c r="AN66" s="160"/>
      <c r="AO66" s="160"/>
      <c r="AP66" s="160"/>
      <c r="AQ66" s="160"/>
      <c r="AR66" s="160"/>
      <c r="AS66" s="160"/>
      <c r="AT66" s="160"/>
      <c r="AU66" s="160"/>
      <c r="AV66" s="160"/>
      <c r="AW66" s="160"/>
      <c r="AX66" s="160"/>
      <c r="AY66" s="160"/>
      <c r="AZ66" s="160"/>
      <c r="BA66" s="398"/>
      <c r="BB66" s="398"/>
      <c r="BC66" s="398"/>
      <c r="BD66" s="398"/>
      <c r="BE66" s="160"/>
      <c r="BF66" s="160"/>
      <c r="BG66" s="160"/>
      <c r="BH66" s="213"/>
      <c r="BI66" s="398"/>
      <c r="BJ66" s="398"/>
      <c r="BK66" s="398"/>
      <c r="BL66" s="398"/>
      <c r="BM66" s="398"/>
      <c r="BN66" s="398"/>
      <c r="BO66" s="398"/>
      <c r="BP66" s="398"/>
      <c r="BQ66" s="398"/>
      <c r="BR66" s="398"/>
      <c r="BS66" s="398"/>
      <c r="BT66" s="398"/>
      <c r="BU66" s="398"/>
      <c r="BV66" s="398"/>
    </row>
    <row r="67" spans="1:74" ht="12" customHeight="1" x14ac:dyDescent="0.25">
      <c r="A67" s="61"/>
      <c r="B67" s="808" t="s">
        <v>826</v>
      </c>
      <c r="C67" s="805"/>
      <c r="D67" s="805"/>
      <c r="E67" s="805"/>
      <c r="F67" s="805"/>
      <c r="G67" s="805"/>
      <c r="H67" s="805"/>
      <c r="I67" s="805"/>
      <c r="J67" s="805"/>
      <c r="K67" s="805"/>
      <c r="L67" s="805"/>
      <c r="M67" s="805"/>
      <c r="N67" s="805"/>
      <c r="O67" s="805"/>
      <c r="P67" s="805"/>
      <c r="Q67" s="805"/>
      <c r="BG67" s="637"/>
      <c r="BH67" s="213"/>
    </row>
    <row r="68" spans="1:74" s="436" customFormat="1" ht="22.35" customHeight="1" x14ac:dyDescent="0.2">
      <c r="A68" s="435"/>
      <c r="B68" s="832" t="s">
        <v>1003</v>
      </c>
      <c r="C68" s="795"/>
      <c r="D68" s="795"/>
      <c r="E68" s="795"/>
      <c r="F68" s="795"/>
      <c r="G68" s="795"/>
      <c r="H68" s="795"/>
      <c r="I68" s="795"/>
      <c r="J68" s="795"/>
      <c r="K68" s="795"/>
      <c r="L68" s="795"/>
      <c r="M68" s="795"/>
      <c r="N68" s="795"/>
      <c r="O68" s="795"/>
      <c r="P68" s="795"/>
      <c r="Q68" s="791"/>
      <c r="AY68" s="527"/>
      <c r="AZ68" s="527"/>
      <c r="BA68" s="527"/>
      <c r="BB68" s="527"/>
      <c r="BC68" s="527"/>
      <c r="BD68" s="638"/>
      <c r="BE68" s="638"/>
      <c r="BF68" s="638"/>
      <c r="BG68" s="638"/>
      <c r="BH68" s="213"/>
      <c r="BI68" s="527"/>
      <c r="BJ68" s="527"/>
    </row>
    <row r="69" spans="1:74" s="436" customFormat="1" ht="12" customHeight="1" x14ac:dyDescent="0.2">
      <c r="A69" s="435"/>
      <c r="B69" s="794" t="s">
        <v>851</v>
      </c>
      <c r="C69" s="795"/>
      <c r="D69" s="795"/>
      <c r="E69" s="795"/>
      <c r="F69" s="795"/>
      <c r="G69" s="795"/>
      <c r="H69" s="795"/>
      <c r="I69" s="795"/>
      <c r="J69" s="795"/>
      <c r="K69" s="795"/>
      <c r="L69" s="795"/>
      <c r="M69" s="795"/>
      <c r="N69" s="795"/>
      <c r="O69" s="795"/>
      <c r="P69" s="795"/>
      <c r="Q69" s="791"/>
      <c r="AY69" s="527"/>
      <c r="AZ69" s="527"/>
      <c r="BA69" s="527"/>
      <c r="BB69" s="527"/>
      <c r="BC69" s="527"/>
      <c r="BD69" s="638"/>
      <c r="BE69" s="638"/>
      <c r="BF69" s="638"/>
      <c r="BG69" s="638"/>
      <c r="BH69" s="213"/>
      <c r="BI69" s="527"/>
      <c r="BJ69" s="527"/>
    </row>
    <row r="70" spans="1:74" s="436" customFormat="1" ht="12" customHeight="1" x14ac:dyDescent="0.2">
      <c r="A70" s="435"/>
      <c r="B70" s="794" t="s">
        <v>868</v>
      </c>
      <c r="C70" s="795"/>
      <c r="D70" s="795"/>
      <c r="E70" s="795"/>
      <c r="F70" s="795"/>
      <c r="G70" s="795"/>
      <c r="H70" s="795"/>
      <c r="I70" s="795"/>
      <c r="J70" s="795"/>
      <c r="K70" s="795"/>
      <c r="L70" s="795"/>
      <c r="M70" s="795"/>
      <c r="N70" s="795"/>
      <c r="O70" s="795"/>
      <c r="P70" s="795"/>
      <c r="Q70" s="791"/>
      <c r="AY70" s="527"/>
      <c r="AZ70" s="527"/>
      <c r="BA70" s="527"/>
      <c r="BB70" s="527"/>
      <c r="BC70" s="527"/>
      <c r="BD70" s="638"/>
      <c r="BE70" s="638"/>
      <c r="BF70" s="638"/>
      <c r="BG70" s="638"/>
      <c r="BH70" s="213"/>
      <c r="BI70" s="527"/>
      <c r="BJ70" s="527"/>
    </row>
    <row r="71" spans="1:74" s="436" customFormat="1" ht="12" customHeight="1" x14ac:dyDescent="0.2">
      <c r="A71" s="435"/>
      <c r="B71" s="796" t="s">
        <v>870</v>
      </c>
      <c r="C71" s="790"/>
      <c r="D71" s="790"/>
      <c r="E71" s="790"/>
      <c r="F71" s="790"/>
      <c r="G71" s="790"/>
      <c r="H71" s="790"/>
      <c r="I71" s="790"/>
      <c r="J71" s="790"/>
      <c r="K71" s="790"/>
      <c r="L71" s="790"/>
      <c r="M71" s="790"/>
      <c r="N71" s="790"/>
      <c r="O71" s="790"/>
      <c r="P71" s="790"/>
      <c r="Q71" s="791"/>
      <c r="AY71" s="527"/>
      <c r="AZ71" s="527"/>
      <c r="BA71" s="527"/>
      <c r="BB71" s="527"/>
      <c r="BC71" s="527"/>
      <c r="BD71" s="638"/>
      <c r="BE71" s="638"/>
      <c r="BF71" s="638"/>
      <c r="BG71" s="638"/>
      <c r="BH71" s="213"/>
      <c r="BI71" s="527"/>
      <c r="BJ71" s="527"/>
    </row>
    <row r="72" spans="1:74" s="436" customFormat="1" ht="12" customHeight="1" x14ac:dyDescent="0.2">
      <c r="A72" s="435"/>
      <c r="B72" s="789" t="s">
        <v>855</v>
      </c>
      <c r="C72" s="790"/>
      <c r="D72" s="790"/>
      <c r="E72" s="790"/>
      <c r="F72" s="790"/>
      <c r="G72" s="790"/>
      <c r="H72" s="790"/>
      <c r="I72" s="790"/>
      <c r="J72" s="790"/>
      <c r="K72" s="790"/>
      <c r="L72" s="790"/>
      <c r="M72" s="790"/>
      <c r="N72" s="790"/>
      <c r="O72" s="790"/>
      <c r="P72" s="790"/>
      <c r="Q72" s="791"/>
      <c r="AY72" s="527"/>
      <c r="AZ72" s="527"/>
      <c r="BA72" s="527"/>
      <c r="BB72" s="527"/>
      <c r="BC72" s="527"/>
      <c r="BD72" s="638"/>
      <c r="BE72" s="638"/>
      <c r="BF72" s="638"/>
      <c r="BG72" s="638"/>
      <c r="BH72" s="213"/>
      <c r="BI72" s="527"/>
      <c r="BJ72" s="527"/>
    </row>
    <row r="73" spans="1:74" s="436" customFormat="1" ht="12" customHeight="1" x14ac:dyDescent="0.2">
      <c r="A73" s="429"/>
      <c r="B73" s="811" t="s">
        <v>949</v>
      </c>
      <c r="C73" s="791"/>
      <c r="D73" s="791"/>
      <c r="E73" s="791"/>
      <c r="F73" s="791"/>
      <c r="G73" s="791"/>
      <c r="H73" s="791"/>
      <c r="I73" s="791"/>
      <c r="J73" s="791"/>
      <c r="K73" s="791"/>
      <c r="L73" s="791"/>
      <c r="M73" s="791"/>
      <c r="N73" s="791"/>
      <c r="O73" s="791"/>
      <c r="P73" s="791"/>
      <c r="Q73" s="791"/>
      <c r="AY73" s="527"/>
      <c r="AZ73" s="527"/>
      <c r="BA73" s="527"/>
      <c r="BB73" s="527"/>
      <c r="BC73" s="527"/>
      <c r="BD73" s="638"/>
      <c r="BE73" s="638"/>
      <c r="BF73" s="638"/>
      <c r="BG73" s="638"/>
      <c r="BH73" s="213"/>
      <c r="BI73" s="527"/>
      <c r="BJ73" s="527"/>
    </row>
    <row r="74" spans="1:74" x14ac:dyDescent="0.2">
      <c r="C74" s="161"/>
      <c r="D74" s="161"/>
      <c r="E74" s="161"/>
      <c r="F74" s="161"/>
      <c r="G74" s="161"/>
      <c r="H74" s="161"/>
      <c r="I74" s="161"/>
      <c r="J74" s="161"/>
      <c r="K74" s="161"/>
      <c r="L74" s="161"/>
      <c r="M74" s="161"/>
      <c r="N74" s="161"/>
      <c r="O74" s="161"/>
      <c r="P74" s="161"/>
      <c r="Q74" s="161"/>
      <c r="R74" s="161"/>
      <c r="S74" s="161"/>
      <c r="T74" s="161"/>
      <c r="U74" s="161"/>
      <c r="V74" s="161"/>
      <c r="W74" s="161"/>
      <c r="X74" s="161"/>
      <c r="Y74" s="161"/>
      <c r="Z74" s="161"/>
      <c r="AA74" s="161"/>
      <c r="AB74" s="161"/>
      <c r="AC74" s="161"/>
      <c r="AD74" s="161"/>
      <c r="AE74" s="161"/>
      <c r="AF74" s="161"/>
      <c r="AG74" s="161"/>
      <c r="AH74" s="161"/>
      <c r="AI74" s="161"/>
      <c r="AJ74" s="161"/>
      <c r="AK74" s="161"/>
      <c r="AL74" s="161"/>
      <c r="AM74" s="161"/>
      <c r="AN74" s="161"/>
      <c r="AO74" s="161"/>
      <c r="AP74" s="161"/>
      <c r="AQ74" s="161"/>
      <c r="AR74" s="161"/>
      <c r="AS74" s="161"/>
      <c r="AT74" s="161"/>
      <c r="AU74" s="161"/>
      <c r="AV74" s="161"/>
      <c r="AW74" s="161"/>
      <c r="AX74" s="161"/>
      <c r="AY74" s="399"/>
      <c r="AZ74" s="399"/>
      <c r="BA74" s="399"/>
      <c r="BB74" s="399"/>
      <c r="BC74" s="399"/>
      <c r="BD74" s="624"/>
      <c r="BE74" s="624"/>
      <c r="BF74" s="624"/>
      <c r="BG74" s="624"/>
      <c r="BH74" s="213"/>
      <c r="BI74" s="399"/>
      <c r="BJ74" s="399"/>
      <c r="BK74" s="399"/>
      <c r="BL74" s="399"/>
      <c r="BM74" s="399"/>
      <c r="BN74" s="399"/>
      <c r="BO74" s="399"/>
      <c r="BP74" s="399"/>
      <c r="BQ74" s="399"/>
      <c r="BR74" s="399"/>
      <c r="BS74" s="399"/>
      <c r="BT74" s="399"/>
      <c r="BU74" s="399"/>
      <c r="BV74" s="399"/>
    </row>
    <row r="75" spans="1:74" x14ac:dyDescent="0.2">
      <c r="C75" s="161"/>
      <c r="D75" s="161"/>
      <c r="E75" s="161"/>
      <c r="F75" s="161"/>
      <c r="G75" s="161"/>
      <c r="H75" s="161"/>
      <c r="I75" s="161"/>
      <c r="J75" s="161"/>
      <c r="K75" s="161"/>
      <c r="L75" s="161"/>
      <c r="M75" s="161"/>
      <c r="N75" s="161"/>
      <c r="O75" s="161"/>
      <c r="P75" s="161"/>
      <c r="Q75" s="161"/>
      <c r="R75" s="161"/>
      <c r="S75" s="161"/>
      <c r="T75" s="161"/>
      <c r="U75" s="161"/>
      <c r="V75" s="161"/>
      <c r="W75" s="161"/>
      <c r="X75" s="161"/>
      <c r="Y75" s="161"/>
      <c r="Z75" s="161"/>
      <c r="AA75" s="161"/>
      <c r="AB75" s="161"/>
      <c r="AC75" s="161"/>
      <c r="AD75" s="161"/>
      <c r="AE75" s="161"/>
      <c r="AF75" s="161"/>
      <c r="AG75" s="161"/>
      <c r="AH75" s="161"/>
      <c r="AI75" s="161"/>
      <c r="AJ75" s="161"/>
      <c r="AK75" s="161"/>
      <c r="AL75" s="161"/>
      <c r="AM75" s="161"/>
      <c r="AN75" s="161"/>
      <c r="AO75" s="161"/>
      <c r="AP75" s="161"/>
      <c r="AQ75" s="161"/>
      <c r="AR75" s="161"/>
      <c r="AS75" s="161"/>
      <c r="AT75" s="161"/>
      <c r="AU75" s="161"/>
      <c r="AV75" s="161"/>
      <c r="AW75" s="161"/>
      <c r="AX75" s="161"/>
      <c r="AY75" s="399"/>
      <c r="AZ75" s="399"/>
      <c r="BA75" s="399"/>
      <c r="BB75" s="399"/>
      <c r="BC75" s="399"/>
      <c r="BD75" s="624"/>
      <c r="BE75" s="624"/>
      <c r="BF75" s="624"/>
      <c r="BG75" s="624"/>
      <c r="BH75" s="213"/>
      <c r="BI75" s="399"/>
      <c r="BJ75" s="399"/>
      <c r="BK75" s="399"/>
      <c r="BL75" s="399"/>
      <c r="BM75" s="399"/>
      <c r="BN75" s="399"/>
      <c r="BO75" s="399"/>
      <c r="BP75" s="399"/>
      <c r="BQ75" s="399"/>
      <c r="BR75" s="399"/>
      <c r="BS75" s="399"/>
      <c r="BT75" s="399"/>
      <c r="BU75" s="399"/>
      <c r="BV75" s="399"/>
    </row>
    <row r="76" spans="1:74" x14ac:dyDescent="0.2">
      <c r="C76" s="161"/>
      <c r="D76" s="161"/>
      <c r="E76" s="161"/>
      <c r="F76" s="161"/>
      <c r="G76" s="161"/>
      <c r="H76" s="161"/>
      <c r="I76" s="161"/>
      <c r="J76" s="161"/>
      <c r="K76" s="161"/>
      <c r="L76" s="161"/>
      <c r="M76" s="161"/>
      <c r="N76" s="161"/>
      <c r="O76" s="161"/>
      <c r="P76" s="161"/>
      <c r="Q76" s="161"/>
      <c r="R76" s="161"/>
      <c r="S76" s="161"/>
      <c r="T76" s="161"/>
      <c r="U76" s="161"/>
      <c r="V76" s="161"/>
      <c r="W76" s="161"/>
      <c r="X76" s="161"/>
      <c r="Y76" s="161"/>
      <c r="Z76" s="161"/>
      <c r="AA76" s="161"/>
      <c r="AB76" s="161"/>
      <c r="AC76" s="161"/>
      <c r="AD76" s="161"/>
      <c r="AE76" s="161"/>
      <c r="AF76" s="161"/>
      <c r="AG76" s="161"/>
      <c r="AH76" s="161"/>
      <c r="AI76" s="161"/>
      <c r="AJ76" s="161"/>
      <c r="AK76" s="161"/>
      <c r="AL76" s="161"/>
      <c r="AM76" s="161"/>
      <c r="AN76" s="161"/>
      <c r="AO76" s="161"/>
      <c r="AP76" s="161"/>
      <c r="AQ76" s="161"/>
      <c r="AR76" s="161"/>
      <c r="AS76" s="161"/>
      <c r="AT76" s="161"/>
      <c r="AU76" s="161"/>
      <c r="AV76" s="161"/>
      <c r="AW76" s="161"/>
      <c r="AX76" s="161"/>
      <c r="AY76" s="399"/>
      <c r="AZ76" s="399"/>
      <c r="BA76" s="399"/>
      <c r="BB76" s="399"/>
      <c r="BC76" s="399"/>
      <c r="BD76" s="624"/>
      <c r="BE76" s="624"/>
      <c r="BF76" s="624"/>
      <c r="BG76" s="624"/>
      <c r="BH76" s="213"/>
      <c r="BI76" s="399"/>
      <c r="BJ76" s="399"/>
      <c r="BK76" s="399"/>
      <c r="BL76" s="399"/>
      <c r="BM76" s="399"/>
      <c r="BN76" s="399"/>
      <c r="BO76" s="399"/>
      <c r="BP76" s="399"/>
      <c r="BQ76" s="399"/>
      <c r="BR76" s="399"/>
      <c r="BS76" s="399"/>
      <c r="BT76" s="399"/>
      <c r="BU76" s="399"/>
      <c r="BV76" s="399"/>
    </row>
    <row r="77" spans="1:74" x14ac:dyDescent="0.2">
      <c r="C77" s="161"/>
      <c r="D77" s="161"/>
      <c r="E77" s="161"/>
      <c r="F77" s="161"/>
      <c r="G77" s="161"/>
      <c r="H77" s="161"/>
      <c r="I77" s="161"/>
      <c r="J77" s="161"/>
      <c r="K77" s="161"/>
      <c r="L77" s="161"/>
      <c r="M77" s="161"/>
      <c r="N77" s="161"/>
      <c r="O77" s="161"/>
      <c r="P77" s="161"/>
      <c r="Q77" s="161"/>
      <c r="R77" s="161"/>
      <c r="S77" s="161"/>
      <c r="T77" s="161"/>
      <c r="U77" s="161"/>
      <c r="V77" s="161"/>
      <c r="W77" s="161"/>
      <c r="X77" s="161"/>
      <c r="Y77" s="161"/>
      <c r="Z77" s="161"/>
      <c r="AA77" s="161"/>
      <c r="AB77" s="161"/>
      <c r="AC77" s="161"/>
      <c r="AD77" s="161"/>
      <c r="AE77" s="161"/>
      <c r="AF77" s="161"/>
      <c r="AG77" s="161"/>
      <c r="AH77" s="161"/>
      <c r="AI77" s="161"/>
      <c r="AJ77" s="161"/>
      <c r="AK77" s="161"/>
      <c r="AL77" s="161"/>
      <c r="AM77" s="161"/>
      <c r="AN77" s="161"/>
      <c r="AO77" s="161"/>
      <c r="AP77" s="161"/>
      <c r="AQ77" s="161"/>
      <c r="AR77" s="161"/>
      <c r="AS77" s="161"/>
      <c r="AT77" s="161"/>
      <c r="AU77" s="161"/>
      <c r="AV77" s="161"/>
      <c r="AW77" s="161"/>
      <c r="AX77" s="161"/>
      <c r="AY77" s="399"/>
      <c r="AZ77" s="399"/>
      <c r="BA77" s="399"/>
      <c r="BB77" s="399"/>
      <c r="BC77" s="399"/>
      <c r="BD77" s="624"/>
      <c r="BE77" s="624"/>
      <c r="BF77" s="624"/>
      <c r="BG77" s="624"/>
      <c r="BH77" s="213"/>
      <c r="BI77" s="399"/>
      <c r="BJ77" s="399"/>
      <c r="BK77" s="399"/>
      <c r="BL77" s="399"/>
      <c r="BM77" s="399"/>
      <c r="BN77" s="399"/>
      <c r="BO77" s="399"/>
      <c r="BP77" s="399"/>
      <c r="BQ77" s="399"/>
      <c r="BR77" s="399"/>
      <c r="BS77" s="399"/>
      <c r="BT77" s="399"/>
      <c r="BU77" s="399"/>
      <c r="BV77" s="399"/>
    </row>
    <row r="78" spans="1:74" x14ac:dyDescent="0.2">
      <c r="C78" s="161"/>
      <c r="D78" s="161"/>
      <c r="E78" s="161"/>
      <c r="F78" s="161"/>
      <c r="G78" s="161"/>
      <c r="H78" s="161"/>
      <c r="I78" s="161"/>
      <c r="J78" s="161"/>
      <c r="K78" s="161"/>
      <c r="L78" s="161"/>
      <c r="M78" s="161"/>
      <c r="N78" s="161"/>
      <c r="O78" s="161"/>
      <c r="P78" s="161"/>
      <c r="Q78" s="161"/>
      <c r="R78" s="161"/>
      <c r="S78" s="161"/>
      <c r="T78" s="161"/>
      <c r="U78" s="161"/>
      <c r="V78" s="161"/>
      <c r="W78" s="161"/>
      <c r="X78" s="161"/>
      <c r="Y78" s="161"/>
      <c r="Z78" s="161"/>
      <c r="AA78" s="161"/>
      <c r="AB78" s="161"/>
      <c r="AC78" s="161"/>
      <c r="AD78" s="161"/>
      <c r="AE78" s="161"/>
      <c r="AF78" s="161"/>
      <c r="AG78" s="161"/>
      <c r="AH78" s="161"/>
      <c r="AI78" s="161"/>
      <c r="AJ78" s="161"/>
      <c r="AK78" s="161"/>
      <c r="AL78" s="161"/>
      <c r="AM78" s="161"/>
      <c r="AN78" s="161"/>
      <c r="AO78" s="161"/>
      <c r="AP78" s="161"/>
      <c r="AQ78" s="161"/>
      <c r="AR78" s="161"/>
      <c r="AS78" s="161"/>
      <c r="AT78" s="161"/>
      <c r="AU78" s="161"/>
      <c r="AV78" s="161"/>
      <c r="AW78" s="161"/>
      <c r="AX78" s="161"/>
      <c r="AY78" s="399"/>
      <c r="AZ78" s="399"/>
      <c r="BA78" s="399"/>
      <c r="BB78" s="399"/>
      <c r="BC78" s="399"/>
      <c r="BD78" s="624"/>
      <c r="BE78" s="624"/>
      <c r="BF78" s="624"/>
      <c r="BG78" s="624"/>
      <c r="BI78" s="399"/>
      <c r="BJ78" s="399"/>
      <c r="BK78" s="399"/>
      <c r="BL78" s="399"/>
      <c r="BM78" s="399"/>
      <c r="BN78" s="399"/>
      <c r="BO78" s="399"/>
      <c r="BP78" s="399"/>
      <c r="BQ78" s="399"/>
      <c r="BR78" s="399"/>
      <c r="BS78" s="399"/>
      <c r="BT78" s="399"/>
      <c r="BU78" s="399"/>
      <c r="BV78" s="399"/>
    </row>
    <row r="79" spans="1:74" x14ac:dyDescent="0.2">
      <c r="C79" s="161"/>
      <c r="D79" s="161"/>
      <c r="E79" s="161"/>
      <c r="F79" s="161"/>
      <c r="G79" s="161"/>
      <c r="H79" s="161"/>
      <c r="I79" s="161"/>
      <c r="J79" s="161"/>
      <c r="K79" s="161"/>
      <c r="L79" s="161"/>
      <c r="M79" s="161"/>
      <c r="N79" s="161"/>
      <c r="O79" s="161"/>
      <c r="P79" s="161"/>
      <c r="Q79" s="161"/>
      <c r="R79" s="161"/>
      <c r="S79" s="161"/>
      <c r="T79" s="161"/>
      <c r="U79" s="161"/>
      <c r="V79" s="161"/>
      <c r="W79" s="161"/>
      <c r="X79" s="161"/>
      <c r="Y79" s="161"/>
      <c r="Z79" s="161"/>
      <c r="AA79" s="161"/>
      <c r="AB79" s="161"/>
      <c r="AC79" s="161"/>
      <c r="AD79" s="161"/>
      <c r="AE79" s="161"/>
      <c r="AF79" s="161"/>
      <c r="AG79" s="161"/>
      <c r="AH79" s="161"/>
      <c r="AI79" s="161"/>
      <c r="AJ79" s="161"/>
      <c r="AK79" s="161"/>
      <c r="AL79" s="161"/>
      <c r="AM79" s="161"/>
      <c r="AN79" s="161"/>
      <c r="AO79" s="161"/>
      <c r="AP79" s="161"/>
      <c r="AQ79" s="161"/>
      <c r="AR79" s="161"/>
      <c r="AS79" s="161"/>
      <c r="AT79" s="161"/>
      <c r="AU79" s="161"/>
      <c r="AV79" s="161"/>
      <c r="AW79" s="161"/>
      <c r="AX79" s="161"/>
      <c r="AY79" s="399"/>
      <c r="AZ79" s="399"/>
      <c r="BA79" s="399"/>
      <c r="BB79" s="399"/>
      <c r="BC79" s="399"/>
      <c r="BD79" s="624"/>
      <c r="BE79" s="624"/>
      <c r="BF79" s="624"/>
      <c r="BG79" s="624"/>
      <c r="BI79" s="399"/>
      <c r="BJ79" s="399"/>
      <c r="BK79" s="399"/>
      <c r="BL79" s="399"/>
      <c r="BM79" s="399"/>
      <c r="BN79" s="399"/>
      <c r="BO79" s="399"/>
      <c r="BP79" s="399"/>
      <c r="BQ79" s="399"/>
      <c r="BR79" s="399"/>
      <c r="BS79" s="399"/>
      <c r="BT79" s="399"/>
      <c r="BU79" s="399"/>
      <c r="BV79" s="399"/>
    </row>
    <row r="80" spans="1:74" x14ac:dyDescent="0.2">
      <c r="C80" s="161"/>
      <c r="D80" s="161"/>
      <c r="E80" s="161"/>
      <c r="F80" s="161"/>
      <c r="G80" s="161"/>
      <c r="H80" s="161"/>
      <c r="I80" s="161"/>
      <c r="J80" s="161"/>
      <c r="K80" s="161"/>
      <c r="L80" s="161"/>
      <c r="M80" s="161"/>
      <c r="N80" s="161"/>
      <c r="O80" s="161"/>
      <c r="P80" s="161"/>
      <c r="Q80" s="161"/>
      <c r="R80" s="161"/>
      <c r="S80" s="161"/>
      <c r="T80" s="161"/>
      <c r="U80" s="161"/>
      <c r="V80" s="161"/>
      <c r="W80" s="161"/>
      <c r="X80" s="161"/>
      <c r="Y80" s="161"/>
      <c r="Z80" s="161"/>
      <c r="AA80" s="161"/>
      <c r="AB80" s="161"/>
      <c r="AC80" s="161"/>
      <c r="AD80" s="161"/>
      <c r="AE80" s="161"/>
      <c r="AF80" s="161"/>
      <c r="AG80" s="161"/>
      <c r="AH80" s="161"/>
      <c r="AI80" s="161"/>
      <c r="AJ80" s="161"/>
      <c r="AK80" s="161"/>
      <c r="AL80" s="161"/>
      <c r="AM80" s="161"/>
      <c r="AN80" s="161"/>
      <c r="AO80" s="161"/>
      <c r="AP80" s="161"/>
      <c r="AQ80" s="161"/>
      <c r="AR80" s="161"/>
      <c r="AS80" s="161"/>
      <c r="AT80" s="161"/>
      <c r="AU80" s="161"/>
      <c r="AV80" s="161"/>
      <c r="AW80" s="161"/>
      <c r="AX80" s="161"/>
      <c r="AY80" s="399"/>
      <c r="AZ80" s="399"/>
      <c r="BA80" s="399"/>
      <c r="BB80" s="399"/>
      <c r="BC80" s="399"/>
      <c r="BD80" s="624"/>
      <c r="BE80" s="624"/>
      <c r="BF80" s="624"/>
      <c r="BG80" s="624"/>
      <c r="BI80" s="399"/>
      <c r="BJ80" s="399"/>
      <c r="BK80" s="399"/>
      <c r="BL80" s="399"/>
      <c r="BM80" s="399"/>
      <c r="BN80" s="399"/>
      <c r="BO80" s="399"/>
      <c r="BP80" s="399"/>
      <c r="BQ80" s="399"/>
      <c r="BR80" s="399"/>
      <c r="BS80" s="399"/>
      <c r="BT80" s="399"/>
      <c r="BU80" s="399"/>
      <c r="BV80" s="399"/>
    </row>
    <row r="81" spans="3:74" x14ac:dyDescent="0.2">
      <c r="C81" s="161"/>
      <c r="D81" s="161"/>
      <c r="E81" s="161"/>
      <c r="F81" s="161"/>
      <c r="G81" s="161"/>
      <c r="H81" s="161"/>
      <c r="I81" s="161"/>
      <c r="J81" s="161"/>
      <c r="K81" s="161"/>
      <c r="L81" s="161"/>
      <c r="M81" s="161"/>
      <c r="N81" s="161"/>
      <c r="O81" s="161"/>
      <c r="P81" s="161"/>
      <c r="Q81" s="161"/>
      <c r="R81" s="161"/>
      <c r="S81" s="161"/>
      <c r="T81" s="161"/>
      <c r="U81" s="161"/>
      <c r="V81" s="161"/>
      <c r="W81" s="161"/>
      <c r="X81" s="161"/>
      <c r="Y81" s="161"/>
      <c r="Z81" s="161"/>
      <c r="AA81" s="161"/>
      <c r="AB81" s="161"/>
      <c r="AC81" s="161"/>
      <c r="AD81" s="161"/>
      <c r="AE81" s="161"/>
      <c r="AF81" s="161"/>
      <c r="AG81" s="161"/>
      <c r="AH81" s="161"/>
      <c r="AI81" s="161"/>
      <c r="AJ81" s="161"/>
      <c r="AK81" s="161"/>
      <c r="AL81" s="161"/>
      <c r="AM81" s="161"/>
      <c r="AN81" s="161"/>
      <c r="AO81" s="161"/>
      <c r="AP81" s="161"/>
      <c r="AQ81" s="161"/>
      <c r="AR81" s="161"/>
      <c r="AS81" s="161"/>
      <c r="AT81" s="161"/>
      <c r="AU81" s="161"/>
      <c r="AV81" s="161"/>
      <c r="AW81" s="161"/>
      <c r="AX81" s="161"/>
      <c r="AY81" s="399"/>
      <c r="AZ81" s="399"/>
      <c r="BA81" s="399"/>
      <c r="BB81" s="399"/>
      <c r="BC81" s="399"/>
      <c r="BD81" s="624"/>
      <c r="BE81" s="624"/>
      <c r="BF81" s="624"/>
      <c r="BG81" s="624"/>
      <c r="BI81" s="399"/>
      <c r="BJ81" s="399"/>
      <c r="BK81" s="399"/>
      <c r="BL81" s="399"/>
      <c r="BM81" s="399"/>
      <c r="BN81" s="399"/>
      <c r="BO81" s="399"/>
      <c r="BP81" s="399"/>
      <c r="BQ81" s="399"/>
      <c r="BR81" s="399"/>
      <c r="BS81" s="399"/>
      <c r="BT81" s="399"/>
      <c r="BU81" s="399"/>
      <c r="BV81" s="399"/>
    </row>
    <row r="82" spans="3:74" x14ac:dyDescent="0.2">
      <c r="C82" s="161"/>
      <c r="D82" s="161"/>
      <c r="E82" s="161"/>
      <c r="F82" s="161"/>
      <c r="G82" s="161"/>
      <c r="H82" s="161"/>
      <c r="I82" s="161"/>
      <c r="J82" s="161"/>
      <c r="K82" s="161"/>
      <c r="L82" s="161"/>
      <c r="M82" s="161"/>
      <c r="N82" s="161"/>
      <c r="O82" s="161"/>
      <c r="P82" s="161"/>
      <c r="Q82" s="161"/>
      <c r="R82" s="161"/>
      <c r="S82" s="161"/>
      <c r="T82" s="161"/>
      <c r="U82" s="161"/>
      <c r="V82" s="161"/>
      <c r="W82" s="161"/>
      <c r="X82" s="161"/>
      <c r="Y82" s="161"/>
      <c r="Z82" s="161"/>
      <c r="AA82" s="161"/>
      <c r="AB82" s="161"/>
      <c r="AC82" s="161"/>
      <c r="AD82" s="161"/>
      <c r="AE82" s="161"/>
      <c r="AF82" s="161"/>
      <c r="AG82" s="161"/>
      <c r="AH82" s="161"/>
      <c r="AI82" s="161"/>
      <c r="AJ82" s="161"/>
      <c r="AK82" s="161"/>
      <c r="AL82" s="161"/>
      <c r="AM82" s="161"/>
      <c r="AN82" s="161"/>
      <c r="AO82" s="161"/>
      <c r="AP82" s="161"/>
      <c r="AQ82" s="161"/>
      <c r="AR82" s="161"/>
      <c r="AS82" s="161"/>
      <c r="AT82" s="161"/>
      <c r="AU82" s="161"/>
      <c r="AV82" s="161"/>
      <c r="AW82" s="161"/>
      <c r="AX82" s="161"/>
      <c r="AY82" s="399"/>
      <c r="AZ82" s="399"/>
      <c r="BA82" s="399"/>
      <c r="BB82" s="399"/>
      <c r="BC82" s="399"/>
      <c r="BD82" s="624"/>
      <c r="BE82" s="624"/>
      <c r="BF82" s="624"/>
      <c r="BG82" s="624"/>
      <c r="BI82" s="399"/>
      <c r="BJ82" s="399"/>
      <c r="BK82" s="399"/>
      <c r="BL82" s="399"/>
      <c r="BM82" s="399"/>
      <c r="BN82" s="399"/>
      <c r="BO82" s="399"/>
      <c r="BP82" s="399"/>
      <c r="BQ82" s="399"/>
      <c r="BR82" s="399"/>
      <c r="BS82" s="399"/>
      <c r="BT82" s="399"/>
      <c r="BU82" s="399"/>
      <c r="BV82" s="399"/>
    </row>
    <row r="83" spans="3:74" x14ac:dyDescent="0.2">
      <c r="BG83" s="637"/>
      <c r="BK83" s="400"/>
      <c r="BL83" s="400"/>
      <c r="BM83" s="400"/>
      <c r="BN83" s="400"/>
      <c r="BO83" s="400"/>
      <c r="BP83" s="400"/>
      <c r="BQ83" s="400"/>
      <c r="BR83" s="400"/>
      <c r="BS83" s="400"/>
      <c r="BT83" s="400"/>
      <c r="BU83" s="400"/>
      <c r="BV83" s="400"/>
    </row>
    <row r="84" spans="3:74" x14ac:dyDescent="0.2">
      <c r="BG84" s="637"/>
      <c r="BK84" s="400"/>
      <c r="BL84" s="400"/>
      <c r="BM84" s="400"/>
      <c r="BN84" s="400"/>
      <c r="BO84" s="400"/>
      <c r="BP84" s="400"/>
      <c r="BQ84" s="400"/>
      <c r="BR84" s="400"/>
      <c r="BS84" s="400"/>
      <c r="BT84" s="400"/>
      <c r="BU84" s="400"/>
      <c r="BV84" s="400"/>
    </row>
    <row r="85" spans="3:74" x14ac:dyDescent="0.2">
      <c r="BG85" s="637"/>
      <c r="BK85" s="400"/>
      <c r="BL85" s="400"/>
      <c r="BM85" s="400"/>
      <c r="BN85" s="400"/>
      <c r="BO85" s="400"/>
      <c r="BP85" s="400"/>
      <c r="BQ85" s="400"/>
      <c r="BR85" s="400"/>
      <c r="BS85" s="400"/>
      <c r="BT85" s="400"/>
      <c r="BU85" s="400"/>
      <c r="BV85" s="400"/>
    </row>
    <row r="86" spans="3:74" x14ac:dyDescent="0.2">
      <c r="BG86" s="637"/>
      <c r="BK86" s="400"/>
      <c r="BL86" s="400"/>
      <c r="BM86" s="400"/>
      <c r="BN86" s="400"/>
      <c r="BO86" s="400"/>
      <c r="BP86" s="400"/>
      <c r="BQ86" s="400"/>
      <c r="BR86" s="400"/>
      <c r="BS86" s="400"/>
      <c r="BT86" s="400"/>
      <c r="BU86" s="400"/>
      <c r="BV86" s="400"/>
    </row>
    <row r="87" spans="3:74" x14ac:dyDescent="0.2">
      <c r="BG87" s="637"/>
      <c r="BK87" s="400"/>
      <c r="BL87" s="400"/>
      <c r="BM87" s="400"/>
      <c r="BN87" s="400"/>
      <c r="BO87" s="400"/>
      <c r="BP87" s="400"/>
      <c r="BQ87" s="400"/>
      <c r="BR87" s="400"/>
      <c r="BS87" s="400"/>
      <c r="BT87" s="400"/>
      <c r="BU87" s="400"/>
      <c r="BV87" s="400"/>
    </row>
    <row r="88" spans="3:74" x14ac:dyDescent="0.2">
      <c r="BG88" s="637"/>
      <c r="BK88" s="400"/>
      <c r="BL88" s="400"/>
      <c r="BM88" s="400"/>
      <c r="BN88" s="400"/>
      <c r="BO88" s="400"/>
      <c r="BP88" s="400"/>
      <c r="BQ88" s="400"/>
      <c r="BR88" s="400"/>
      <c r="BS88" s="400"/>
      <c r="BT88" s="400"/>
      <c r="BU88" s="400"/>
      <c r="BV88" s="400"/>
    </row>
    <row r="89" spans="3:74" x14ac:dyDescent="0.2">
      <c r="BG89" s="637"/>
      <c r="BK89" s="400"/>
      <c r="BL89" s="400"/>
      <c r="BM89" s="400"/>
      <c r="BN89" s="400"/>
      <c r="BO89" s="400"/>
      <c r="BP89" s="400"/>
      <c r="BQ89" s="400"/>
      <c r="BR89" s="400"/>
      <c r="BS89" s="400"/>
      <c r="BT89" s="400"/>
      <c r="BU89" s="400"/>
      <c r="BV89" s="400"/>
    </row>
    <row r="90" spans="3:74" x14ac:dyDescent="0.2">
      <c r="BG90" s="637"/>
      <c r="BK90" s="400"/>
      <c r="BL90" s="400"/>
      <c r="BM90" s="400"/>
      <c r="BN90" s="400"/>
      <c r="BO90" s="400"/>
      <c r="BP90" s="400"/>
      <c r="BQ90" s="400"/>
      <c r="BR90" s="400"/>
      <c r="BS90" s="400"/>
      <c r="BT90" s="400"/>
      <c r="BU90" s="400"/>
      <c r="BV90" s="400"/>
    </row>
    <row r="91" spans="3:74" x14ac:dyDescent="0.2">
      <c r="BG91" s="637"/>
      <c r="BK91" s="400"/>
      <c r="BL91" s="400"/>
      <c r="BM91" s="400"/>
      <c r="BN91" s="400"/>
      <c r="BO91" s="400"/>
      <c r="BP91" s="400"/>
      <c r="BQ91" s="400"/>
      <c r="BR91" s="400"/>
      <c r="BS91" s="400"/>
      <c r="BT91" s="400"/>
      <c r="BU91" s="400"/>
      <c r="BV91" s="400"/>
    </row>
    <row r="92" spans="3:74" x14ac:dyDescent="0.2">
      <c r="BG92" s="637"/>
      <c r="BK92" s="400"/>
      <c r="BL92" s="400"/>
      <c r="BM92" s="400"/>
      <c r="BN92" s="400"/>
      <c r="BO92" s="400"/>
      <c r="BP92" s="400"/>
      <c r="BQ92" s="400"/>
      <c r="BR92" s="400"/>
      <c r="BS92" s="400"/>
      <c r="BT92" s="400"/>
      <c r="BU92" s="400"/>
      <c r="BV92" s="400"/>
    </row>
    <row r="93" spans="3:74" x14ac:dyDescent="0.2">
      <c r="BG93" s="637"/>
      <c r="BK93" s="400"/>
      <c r="BL93" s="400"/>
      <c r="BM93" s="400"/>
      <c r="BN93" s="400"/>
      <c r="BO93" s="400"/>
      <c r="BP93" s="400"/>
      <c r="BQ93" s="400"/>
      <c r="BR93" s="400"/>
      <c r="BS93" s="400"/>
      <c r="BT93" s="400"/>
      <c r="BU93" s="400"/>
      <c r="BV93" s="400"/>
    </row>
    <row r="94" spans="3:74" x14ac:dyDescent="0.2">
      <c r="BG94" s="637"/>
      <c r="BK94" s="400"/>
      <c r="BL94" s="400"/>
      <c r="BM94" s="400"/>
      <c r="BN94" s="400"/>
      <c r="BO94" s="400"/>
      <c r="BP94" s="400"/>
      <c r="BQ94" s="400"/>
      <c r="BR94" s="400"/>
      <c r="BS94" s="400"/>
      <c r="BT94" s="400"/>
      <c r="BU94" s="400"/>
      <c r="BV94" s="400"/>
    </row>
    <row r="95" spans="3:74" x14ac:dyDescent="0.2">
      <c r="BG95" s="637"/>
      <c r="BK95" s="400"/>
      <c r="BL95" s="400"/>
      <c r="BM95" s="400"/>
      <c r="BN95" s="400"/>
      <c r="BO95" s="400"/>
      <c r="BP95" s="400"/>
      <c r="BQ95" s="400"/>
      <c r="BR95" s="400"/>
      <c r="BS95" s="400"/>
      <c r="BT95" s="400"/>
      <c r="BU95" s="400"/>
      <c r="BV95" s="400"/>
    </row>
    <row r="96" spans="3:74" x14ac:dyDescent="0.2">
      <c r="BG96" s="637"/>
      <c r="BK96" s="400"/>
      <c r="BL96" s="400"/>
      <c r="BM96" s="400"/>
      <c r="BN96" s="400"/>
      <c r="BO96" s="400"/>
      <c r="BP96" s="400"/>
      <c r="BQ96" s="400"/>
      <c r="BR96" s="400"/>
      <c r="BS96" s="400"/>
      <c r="BT96" s="400"/>
      <c r="BU96" s="400"/>
      <c r="BV96" s="400"/>
    </row>
    <row r="97" spans="59:74" x14ac:dyDescent="0.2">
      <c r="BG97" s="637"/>
      <c r="BK97" s="400"/>
      <c r="BL97" s="400"/>
      <c r="BM97" s="400"/>
      <c r="BN97" s="400"/>
      <c r="BO97" s="400"/>
      <c r="BP97" s="400"/>
      <c r="BQ97" s="400"/>
      <c r="BR97" s="400"/>
      <c r="BS97" s="400"/>
      <c r="BT97" s="400"/>
      <c r="BU97" s="400"/>
      <c r="BV97" s="400"/>
    </row>
    <row r="98" spans="59:74" x14ac:dyDescent="0.2">
      <c r="BG98" s="637"/>
      <c r="BK98" s="400"/>
      <c r="BL98" s="400"/>
      <c r="BM98" s="400"/>
      <c r="BN98" s="400"/>
      <c r="BO98" s="400"/>
      <c r="BP98" s="400"/>
      <c r="BQ98" s="400"/>
      <c r="BR98" s="400"/>
      <c r="BS98" s="400"/>
      <c r="BT98" s="400"/>
      <c r="BU98" s="400"/>
      <c r="BV98" s="400"/>
    </row>
    <row r="99" spans="59:74" x14ac:dyDescent="0.2">
      <c r="BG99" s="637"/>
      <c r="BK99" s="400"/>
      <c r="BL99" s="400"/>
      <c r="BM99" s="400"/>
      <c r="BN99" s="400"/>
      <c r="BO99" s="400"/>
      <c r="BP99" s="400"/>
      <c r="BQ99" s="400"/>
      <c r="BR99" s="400"/>
      <c r="BS99" s="400"/>
      <c r="BT99" s="400"/>
      <c r="BU99" s="400"/>
      <c r="BV99" s="400"/>
    </row>
    <row r="100" spans="59:74" x14ac:dyDescent="0.2">
      <c r="BG100" s="637"/>
      <c r="BK100" s="400"/>
      <c r="BL100" s="400"/>
      <c r="BM100" s="400"/>
      <c r="BN100" s="400"/>
      <c r="BO100" s="400"/>
      <c r="BP100" s="400"/>
      <c r="BQ100" s="400"/>
      <c r="BR100" s="400"/>
      <c r="BS100" s="400"/>
      <c r="BT100" s="400"/>
      <c r="BU100" s="400"/>
      <c r="BV100" s="400"/>
    </row>
    <row r="101" spans="59:74" x14ac:dyDescent="0.2">
      <c r="BG101" s="637"/>
      <c r="BK101" s="400"/>
      <c r="BL101" s="400"/>
      <c r="BM101" s="400"/>
      <c r="BN101" s="400"/>
      <c r="BO101" s="400"/>
      <c r="BP101" s="400"/>
      <c r="BQ101" s="400"/>
      <c r="BR101" s="400"/>
      <c r="BS101" s="400"/>
      <c r="BT101" s="400"/>
      <c r="BU101" s="400"/>
      <c r="BV101" s="400"/>
    </row>
    <row r="102" spans="59:74" x14ac:dyDescent="0.2">
      <c r="BG102" s="637"/>
      <c r="BK102" s="400"/>
      <c r="BL102" s="400"/>
      <c r="BM102" s="400"/>
      <c r="BN102" s="400"/>
      <c r="BO102" s="400"/>
      <c r="BP102" s="400"/>
      <c r="BQ102" s="400"/>
      <c r="BR102" s="400"/>
      <c r="BS102" s="400"/>
      <c r="BT102" s="400"/>
      <c r="BU102" s="400"/>
      <c r="BV102" s="400"/>
    </row>
    <row r="103" spans="59:74" x14ac:dyDescent="0.2">
      <c r="BG103" s="637"/>
      <c r="BK103" s="400"/>
      <c r="BL103" s="400"/>
      <c r="BM103" s="400"/>
      <c r="BN103" s="400"/>
      <c r="BO103" s="400"/>
      <c r="BP103" s="400"/>
      <c r="BQ103" s="400"/>
      <c r="BR103" s="400"/>
      <c r="BS103" s="400"/>
      <c r="BT103" s="400"/>
      <c r="BU103" s="400"/>
      <c r="BV103" s="400"/>
    </row>
    <row r="104" spans="59:74" x14ac:dyDescent="0.2">
      <c r="BG104" s="637"/>
      <c r="BK104" s="400"/>
      <c r="BL104" s="400"/>
      <c r="BM104" s="400"/>
      <c r="BN104" s="400"/>
      <c r="BO104" s="400"/>
      <c r="BP104" s="400"/>
      <c r="BQ104" s="400"/>
      <c r="BR104" s="400"/>
      <c r="BS104" s="400"/>
      <c r="BT104" s="400"/>
      <c r="BU104" s="400"/>
      <c r="BV104" s="400"/>
    </row>
    <row r="105" spans="59:74" x14ac:dyDescent="0.2">
      <c r="BG105" s="637"/>
      <c r="BK105" s="400"/>
      <c r="BL105" s="400"/>
      <c r="BM105" s="400"/>
      <c r="BN105" s="400"/>
      <c r="BO105" s="400"/>
      <c r="BP105" s="400"/>
      <c r="BQ105" s="400"/>
      <c r="BR105" s="400"/>
      <c r="BS105" s="400"/>
      <c r="BT105" s="400"/>
      <c r="BU105" s="400"/>
      <c r="BV105" s="400"/>
    </row>
    <row r="106" spans="59:74" x14ac:dyDescent="0.2">
      <c r="BG106" s="637"/>
      <c r="BK106" s="400"/>
      <c r="BL106" s="400"/>
      <c r="BM106" s="400"/>
      <c r="BN106" s="400"/>
      <c r="BO106" s="400"/>
      <c r="BP106" s="400"/>
      <c r="BQ106" s="400"/>
      <c r="BR106" s="400"/>
      <c r="BS106" s="400"/>
      <c r="BT106" s="400"/>
      <c r="BU106" s="400"/>
      <c r="BV106" s="400"/>
    </row>
    <row r="107" spans="59:74" x14ac:dyDescent="0.2">
      <c r="BG107" s="637"/>
      <c r="BK107" s="400"/>
      <c r="BL107" s="400"/>
      <c r="BM107" s="400"/>
      <c r="BN107" s="400"/>
      <c r="BO107" s="400"/>
      <c r="BP107" s="400"/>
      <c r="BQ107" s="400"/>
      <c r="BR107" s="400"/>
      <c r="BS107" s="400"/>
      <c r="BT107" s="400"/>
      <c r="BU107" s="400"/>
      <c r="BV107" s="400"/>
    </row>
    <row r="108" spans="59:74" x14ac:dyDescent="0.2">
      <c r="BG108" s="637"/>
      <c r="BK108" s="400"/>
      <c r="BL108" s="400"/>
      <c r="BM108" s="400"/>
      <c r="BN108" s="400"/>
      <c r="BO108" s="400"/>
      <c r="BP108" s="400"/>
      <c r="BQ108" s="400"/>
      <c r="BR108" s="400"/>
      <c r="BS108" s="400"/>
      <c r="BT108" s="400"/>
      <c r="BU108" s="400"/>
      <c r="BV108" s="400"/>
    </row>
    <row r="109" spans="59:74" x14ac:dyDescent="0.2">
      <c r="BG109" s="637"/>
      <c r="BK109" s="400"/>
      <c r="BL109" s="400"/>
      <c r="BM109" s="400"/>
      <c r="BN109" s="400"/>
      <c r="BO109" s="400"/>
      <c r="BP109" s="400"/>
      <c r="BQ109" s="400"/>
      <c r="BR109" s="400"/>
      <c r="BS109" s="400"/>
      <c r="BT109" s="400"/>
      <c r="BU109" s="400"/>
      <c r="BV109" s="400"/>
    </row>
    <row r="110" spans="59:74" x14ac:dyDescent="0.2">
      <c r="BK110" s="400"/>
      <c r="BL110" s="400"/>
      <c r="BM110" s="400"/>
      <c r="BN110" s="400"/>
      <c r="BO110" s="400"/>
      <c r="BP110" s="400"/>
      <c r="BQ110" s="400"/>
      <c r="BR110" s="400"/>
      <c r="BS110" s="400"/>
      <c r="BT110" s="400"/>
      <c r="BU110" s="400"/>
      <c r="BV110" s="400"/>
    </row>
    <row r="111" spans="59:74" x14ac:dyDescent="0.2">
      <c r="BK111" s="400"/>
      <c r="BL111" s="400"/>
      <c r="BM111" s="400"/>
      <c r="BN111" s="400"/>
      <c r="BO111" s="400"/>
      <c r="BP111" s="400"/>
      <c r="BQ111" s="400"/>
      <c r="BR111" s="400"/>
      <c r="BS111" s="400"/>
      <c r="BT111" s="400"/>
      <c r="BU111" s="400"/>
      <c r="BV111" s="400"/>
    </row>
    <row r="112" spans="59:74" x14ac:dyDescent="0.2">
      <c r="BK112" s="400"/>
      <c r="BL112" s="400"/>
      <c r="BM112" s="400"/>
      <c r="BN112" s="400"/>
      <c r="BO112" s="400"/>
      <c r="BP112" s="400"/>
      <c r="BQ112" s="400"/>
      <c r="BR112" s="400"/>
      <c r="BS112" s="400"/>
      <c r="BT112" s="400"/>
      <c r="BU112" s="400"/>
      <c r="BV112" s="400"/>
    </row>
    <row r="113" spans="63:74" x14ac:dyDescent="0.2">
      <c r="BK113" s="400"/>
      <c r="BL113" s="400"/>
      <c r="BM113" s="400"/>
      <c r="BN113" s="400"/>
      <c r="BO113" s="400"/>
      <c r="BP113" s="400"/>
      <c r="BQ113" s="400"/>
      <c r="BR113" s="400"/>
      <c r="BS113" s="400"/>
      <c r="BT113" s="400"/>
      <c r="BU113" s="400"/>
      <c r="BV113" s="400"/>
    </row>
    <row r="114" spans="63:74" x14ac:dyDescent="0.2">
      <c r="BK114" s="400"/>
      <c r="BL114" s="400"/>
      <c r="BM114" s="400"/>
      <c r="BN114" s="400"/>
      <c r="BO114" s="400"/>
      <c r="BP114" s="400"/>
      <c r="BQ114" s="400"/>
      <c r="BR114" s="400"/>
      <c r="BS114" s="400"/>
      <c r="BT114" s="400"/>
      <c r="BU114" s="400"/>
      <c r="BV114" s="400"/>
    </row>
    <row r="115" spans="63:74" x14ac:dyDescent="0.2">
      <c r="BK115" s="400"/>
      <c r="BL115" s="400"/>
      <c r="BM115" s="400"/>
      <c r="BN115" s="400"/>
      <c r="BO115" s="400"/>
      <c r="BP115" s="400"/>
      <c r="BQ115" s="400"/>
      <c r="BR115" s="400"/>
      <c r="BS115" s="400"/>
      <c r="BT115" s="400"/>
      <c r="BU115" s="400"/>
      <c r="BV115" s="400"/>
    </row>
    <row r="116" spans="63:74" x14ac:dyDescent="0.2">
      <c r="BK116" s="400"/>
      <c r="BL116" s="400"/>
      <c r="BM116" s="400"/>
      <c r="BN116" s="400"/>
      <c r="BO116" s="400"/>
      <c r="BP116" s="400"/>
      <c r="BQ116" s="400"/>
      <c r="BR116" s="400"/>
      <c r="BS116" s="400"/>
      <c r="BT116" s="400"/>
      <c r="BU116" s="400"/>
      <c r="BV116" s="400"/>
    </row>
    <row r="117" spans="63:74" x14ac:dyDescent="0.2">
      <c r="BK117" s="400"/>
      <c r="BL117" s="400"/>
      <c r="BM117" s="400"/>
      <c r="BN117" s="400"/>
      <c r="BO117" s="400"/>
      <c r="BP117" s="400"/>
      <c r="BQ117" s="400"/>
      <c r="BR117" s="400"/>
      <c r="BS117" s="400"/>
      <c r="BT117" s="400"/>
      <c r="BU117" s="400"/>
      <c r="BV117" s="400"/>
    </row>
    <row r="118" spans="63:74" x14ac:dyDescent="0.2">
      <c r="BK118" s="400"/>
      <c r="BL118" s="400"/>
      <c r="BM118" s="400"/>
      <c r="BN118" s="400"/>
      <c r="BO118" s="400"/>
      <c r="BP118" s="400"/>
      <c r="BQ118" s="400"/>
      <c r="BR118" s="400"/>
      <c r="BS118" s="400"/>
      <c r="BT118" s="400"/>
      <c r="BU118" s="400"/>
      <c r="BV118" s="400"/>
    </row>
    <row r="119" spans="63:74" x14ac:dyDescent="0.2">
      <c r="BK119" s="400"/>
      <c r="BL119" s="400"/>
      <c r="BM119" s="400"/>
      <c r="BN119" s="400"/>
      <c r="BO119" s="400"/>
      <c r="BP119" s="400"/>
      <c r="BQ119" s="400"/>
      <c r="BR119" s="400"/>
      <c r="BS119" s="400"/>
      <c r="BT119" s="400"/>
      <c r="BU119" s="400"/>
      <c r="BV119" s="400"/>
    </row>
    <row r="120" spans="63:74" x14ac:dyDescent="0.2">
      <c r="BK120" s="400"/>
      <c r="BL120" s="400"/>
      <c r="BM120" s="400"/>
      <c r="BN120" s="400"/>
      <c r="BO120" s="400"/>
      <c r="BP120" s="400"/>
      <c r="BQ120" s="400"/>
      <c r="BR120" s="400"/>
      <c r="BS120" s="400"/>
      <c r="BT120" s="400"/>
      <c r="BU120" s="400"/>
      <c r="BV120" s="400"/>
    </row>
    <row r="121" spans="63:74" x14ac:dyDescent="0.2">
      <c r="BK121" s="400"/>
      <c r="BL121" s="400"/>
      <c r="BM121" s="400"/>
      <c r="BN121" s="400"/>
      <c r="BO121" s="400"/>
      <c r="BP121" s="400"/>
      <c r="BQ121" s="400"/>
      <c r="BR121" s="400"/>
      <c r="BS121" s="400"/>
      <c r="BT121" s="400"/>
      <c r="BU121" s="400"/>
      <c r="BV121" s="400"/>
    </row>
    <row r="122" spans="63:74" x14ac:dyDescent="0.2">
      <c r="BK122" s="400"/>
      <c r="BL122" s="400"/>
      <c r="BM122" s="400"/>
      <c r="BN122" s="400"/>
      <c r="BO122" s="400"/>
      <c r="BP122" s="400"/>
      <c r="BQ122" s="400"/>
      <c r="BR122" s="400"/>
      <c r="BS122" s="400"/>
      <c r="BT122" s="400"/>
      <c r="BU122" s="400"/>
      <c r="BV122" s="400"/>
    </row>
    <row r="123" spans="63:74" x14ac:dyDescent="0.2">
      <c r="BK123" s="400"/>
      <c r="BL123" s="400"/>
      <c r="BM123" s="400"/>
      <c r="BN123" s="400"/>
      <c r="BO123" s="400"/>
      <c r="BP123" s="400"/>
      <c r="BQ123" s="400"/>
      <c r="BR123" s="400"/>
      <c r="BS123" s="400"/>
      <c r="BT123" s="400"/>
      <c r="BU123" s="400"/>
      <c r="BV123" s="400"/>
    </row>
    <row r="124" spans="63:74" x14ac:dyDescent="0.2">
      <c r="BK124" s="400"/>
      <c r="BL124" s="400"/>
      <c r="BM124" s="400"/>
      <c r="BN124" s="400"/>
      <c r="BO124" s="400"/>
      <c r="BP124" s="400"/>
      <c r="BQ124" s="400"/>
      <c r="BR124" s="400"/>
      <c r="BS124" s="400"/>
      <c r="BT124" s="400"/>
      <c r="BU124" s="400"/>
      <c r="BV124" s="400"/>
    </row>
    <row r="125" spans="63:74" x14ac:dyDescent="0.2">
      <c r="BK125" s="400"/>
      <c r="BL125" s="400"/>
      <c r="BM125" s="400"/>
      <c r="BN125" s="400"/>
      <c r="BO125" s="400"/>
      <c r="BP125" s="400"/>
      <c r="BQ125" s="400"/>
      <c r="BR125" s="400"/>
      <c r="BS125" s="400"/>
      <c r="BT125" s="400"/>
      <c r="BU125" s="400"/>
      <c r="BV125" s="400"/>
    </row>
    <row r="126" spans="63:74" x14ac:dyDescent="0.2">
      <c r="BK126" s="400"/>
      <c r="BL126" s="400"/>
      <c r="BM126" s="400"/>
      <c r="BN126" s="400"/>
      <c r="BO126" s="400"/>
      <c r="BP126" s="400"/>
      <c r="BQ126" s="400"/>
      <c r="BR126" s="400"/>
      <c r="BS126" s="400"/>
      <c r="BT126" s="400"/>
      <c r="BU126" s="400"/>
      <c r="BV126" s="400"/>
    </row>
    <row r="127" spans="63:74" x14ac:dyDescent="0.2">
      <c r="BK127" s="400"/>
      <c r="BL127" s="400"/>
      <c r="BM127" s="400"/>
      <c r="BN127" s="400"/>
      <c r="BO127" s="400"/>
      <c r="BP127" s="400"/>
      <c r="BQ127" s="400"/>
      <c r="BR127" s="400"/>
      <c r="BS127" s="400"/>
      <c r="BT127" s="400"/>
      <c r="BU127" s="400"/>
      <c r="BV127" s="400"/>
    </row>
    <row r="128" spans="63:74" x14ac:dyDescent="0.2">
      <c r="BK128" s="400"/>
      <c r="BL128" s="400"/>
      <c r="BM128" s="400"/>
      <c r="BN128" s="400"/>
      <c r="BO128" s="400"/>
      <c r="BP128" s="400"/>
      <c r="BQ128" s="400"/>
      <c r="BR128" s="400"/>
      <c r="BS128" s="400"/>
      <c r="BT128" s="400"/>
      <c r="BU128" s="400"/>
      <c r="BV128" s="400"/>
    </row>
    <row r="129" spans="63:74" x14ac:dyDescent="0.2">
      <c r="BK129" s="400"/>
      <c r="BL129" s="400"/>
      <c r="BM129" s="400"/>
      <c r="BN129" s="400"/>
      <c r="BO129" s="400"/>
      <c r="BP129" s="400"/>
      <c r="BQ129" s="400"/>
      <c r="BR129" s="400"/>
      <c r="BS129" s="400"/>
      <c r="BT129" s="400"/>
      <c r="BU129" s="400"/>
      <c r="BV129" s="400"/>
    </row>
    <row r="130" spans="63:74" x14ac:dyDescent="0.2">
      <c r="BK130" s="400"/>
      <c r="BL130" s="400"/>
      <c r="BM130" s="400"/>
      <c r="BN130" s="400"/>
      <c r="BO130" s="400"/>
      <c r="BP130" s="400"/>
      <c r="BQ130" s="400"/>
      <c r="BR130" s="400"/>
      <c r="BS130" s="400"/>
      <c r="BT130" s="400"/>
      <c r="BU130" s="400"/>
      <c r="BV130" s="400"/>
    </row>
    <row r="131" spans="63:74" x14ac:dyDescent="0.2">
      <c r="BK131" s="400"/>
      <c r="BL131" s="400"/>
      <c r="BM131" s="400"/>
      <c r="BN131" s="400"/>
      <c r="BO131" s="400"/>
      <c r="BP131" s="400"/>
      <c r="BQ131" s="400"/>
      <c r="BR131" s="400"/>
      <c r="BS131" s="400"/>
      <c r="BT131" s="400"/>
      <c r="BU131" s="400"/>
      <c r="BV131" s="400"/>
    </row>
    <row r="132" spans="63:74" x14ac:dyDescent="0.2">
      <c r="BK132" s="400"/>
      <c r="BL132" s="400"/>
      <c r="BM132" s="400"/>
      <c r="BN132" s="400"/>
      <c r="BO132" s="400"/>
      <c r="BP132" s="400"/>
      <c r="BQ132" s="400"/>
      <c r="BR132" s="400"/>
      <c r="BS132" s="400"/>
      <c r="BT132" s="400"/>
      <c r="BU132" s="400"/>
      <c r="BV132" s="400"/>
    </row>
    <row r="133" spans="63:74" x14ac:dyDescent="0.2">
      <c r="BK133" s="400"/>
      <c r="BL133" s="400"/>
      <c r="BM133" s="400"/>
      <c r="BN133" s="400"/>
      <c r="BO133" s="400"/>
      <c r="BP133" s="400"/>
      <c r="BQ133" s="400"/>
      <c r="BR133" s="400"/>
      <c r="BS133" s="400"/>
      <c r="BT133" s="400"/>
      <c r="BU133" s="400"/>
      <c r="BV133" s="400"/>
    </row>
    <row r="134" spans="63:74" x14ac:dyDescent="0.2">
      <c r="BK134" s="400"/>
      <c r="BL134" s="400"/>
      <c r="BM134" s="400"/>
      <c r="BN134" s="400"/>
      <c r="BO134" s="400"/>
      <c r="BP134" s="400"/>
      <c r="BQ134" s="400"/>
      <c r="BR134" s="400"/>
      <c r="BS134" s="400"/>
      <c r="BT134" s="400"/>
      <c r="BU134" s="400"/>
      <c r="BV134" s="400"/>
    </row>
    <row r="135" spans="63:74" x14ac:dyDescent="0.2">
      <c r="BK135" s="400"/>
      <c r="BL135" s="400"/>
      <c r="BM135" s="400"/>
      <c r="BN135" s="400"/>
      <c r="BO135" s="400"/>
      <c r="BP135" s="400"/>
      <c r="BQ135" s="400"/>
      <c r="BR135" s="400"/>
      <c r="BS135" s="400"/>
      <c r="BT135" s="400"/>
      <c r="BU135" s="400"/>
      <c r="BV135" s="400"/>
    </row>
    <row r="136" spans="63:74" x14ac:dyDescent="0.2">
      <c r="BK136" s="400"/>
      <c r="BL136" s="400"/>
      <c r="BM136" s="400"/>
      <c r="BN136" s="400"/>
      <c r="BO136" s="400"/>
      <c r="BP136" s="400"/>
      <c r="BQ136" s="400"/>
      <c r="BR136" s="400"/>
      <c r="BS136" s="400"/>
      <c r="BT136" s="400"/>
      <c r="BU136" s="400"/>
      <c r="BV136" s="400"/>
    </row>
    <row r="137" spans="63:74" x14ac:dyDescent="0.2">
      <c r="BK137" s="400"/>
      <c r="BL137" s="400"/>
      <c r="BM137" s="400"/>
      <c r="BN137" s="400"/>
      <c r="BO137" s="400"/>
      <c r="BP137" s="400"/>
      <c r="BQ137" s="400"/>
      <c r="BR137" s="400"/>
      <c r="BS137" s="400"/>
      <c r="BT137" s="400"/>
      <c r="BU137" s="400"/>
      <c r="BV137" s="400"/>
    </row>
    <row r="138" spans="63:74" x14ac:dyDescent="0.2">
      <c r="BK138" s="400"/>
      <c r="BL138" s="400"/>
      <c r="BM138" s="400"/>
      <c r="BN138" s="400"/>
      <c r="BO138" s="400"/>
      <c r="BP138" s="400"/>
      <c r="BQ138" s="400"/>
      <c r="BR138" s="400"/>
      <c r="BS138" s="400"/>
      <c r="BT138" s="400"/>
      <c r="BU138" s="400"/>
      <c r="BV138" s="400"/>
    </row>
    <row r="139" spans="63:74" x14ac:dyDescent="0.2">
      <c r="BK139" s="400"/>
      <c r="BL139" s="400"/>
      <c r="BM139" s="400"/>
      <c r="BN139" s="400"/>
      <c r="BO139" s="400"/>
      <c r="BP139" s="400"/>
      <c r="BQ139" s="400"/>
      <c r="BR139" s="400"/>
      <c r="BS139" s="400"/>
      <c r="BT139" s="400"/>
      <c r="BU139" s="400"/>
      <c r="BV139" s="400"/>
    </row>
    <row r="140" spans="63:74" x14ac:dyDescent="0.2">
      <c r="BK140" s="400"/>
      <c r="BL140" s="400"/>
      <c r="BM140" s="400"/>
      <c r="BN140" s="400"/>
      <c r="BO140" s="400"/>
      <c r="BP140" s="400"/>
      <c r="BQ140" s="400"/>
      <c r="BR140" s="400"/>
      <c r="BS140" s="400"/>
      <c r="BT140" s="400"/>
      <c r="BU140" s="400"/>
      <c r="BV140" s="400"/>
    </row>
    <row r="141" spans="63:74" x14ac:dyDescent="0.2">
      <c r="BK141" s="400"/>
      <c r="BL141" s="400"/>
      <c r="BM141" s="400"/>
      <c r="BN141" s="400"/>
      <c r="BO141" s="400"/>
      <c r="BP141" s="400"/>
      <c r="BQ141" s="400"/>
      <c r="BR141" s="400"/>
      <c r="BS141" s="400"/>
      <c r="BT141" s="400"/>
      <c r="BU141" s="400"/>
      <c r="BV141" s="400"/>
    </row>
    <row r="142" spans="63:74" x14ac:dyDescent="0.2">
      <c r="BK142" s="400"/>
      <c r="BL142" s="400"/>
      <c r="BM142" s="400"/>
      <c r="BN142" s="400"/>
      <c r="BO142" s="400"/>
      <c r="BP142" s="400"/>
      <c r="BQ142" s="400"/>
      <c r="BR142" s="400"/>
      <c r="BS142" s="400"/>
      <c r="BT142" s="400"/>
      <c r="BU142" s="400"/>
      <c r="BV142" s="400"/>
    </row>
    <row r="143" spans="63:74" x14ac:dyDescent="0.2">
      <c r="BK143" s="400"/>
      <c r="BL143" s="400"/>
      <c r="BM143" s="400"/>
      <c r="BN143" s="400"/>
      <c r="BO143" s="400"/>
      <c r="BP143" s="400"/>
      <c r="BQ143" s="400"/>
      <c r="BR143" s="400"/>
      <c r="BS143" s="400"/>
      <c r="BT143" s="400"/>
      <c r="BU143" s="400"/>
      <c r="BV143" s="400"/>
    </row>
    <row r="144" spans="63:74" x14ac:dyDescent="0.2">
      <c r="BK144" s="400"/>
      <c r="BL144" s="400"/>
      <c r="BM144" s="400"/>
      <c r="BN144" s="400"/>
      <c r="BO144" s="400"/>
      <c r="BP144" s="400"/>
      <c r="BQ144" s="400"/>
      <c r="BR144" s="400"/>
      <c r="BS144" s="400"/>
      <c r="BT144" s="400"/>
      <c r="BU144" s="400"/>
      <c r="BV144" s="400"/>
    </row>
    <row r="145" spans="63:74" x14ac:dyDescent="0.2">
      <c r="BK145" s="400"/>
      <c r="BL145" s="400"/>
      <c r="BM145" s="400"/>
      <c r="BN145" s="400"/>
      <c r="BO145" s="400"/>
      <c r="BP145" s="400"/>
      <c r="BQ145" s="400"/>
      <c r="BR145" s="400"/>
      <c r="BS145" s="400"/>
      <c r="BT145" s="400"/>
      <c r="BU145" s="400"/>
      <c r="BV145" s="400"/>
    </row>
    <row r="146" spans="63:74" x14ac:dyDescent="0.2">
      <c r="BK146" s="400"/>
      <c r="BL146" s="400"/>
      <c r="BM146" s="400"/>
      <c r="BN146" s="400"/>
      <c r="BO146" s="400"/>
      <c r="BP146" s="400"/>
      <c r="BQ146" s="400"/>
      <c r="BR146" s="400"/>
      <c r="BS146" s="400"/>
      <c r="BT146" s="400"/>
      <c r="BU146" s="400"/>
      <c r="BV146" s="400"/>
    </row>
    <row r="147" spans="63:74" x14ac:dyDescent="0.2">
      <c r="BK147" s="400"/>
      <c r="BL147" s="400"/>
      <c r="BM147" s="400"/>
      <c r="BN147" s="400"/>
      <c r="BO147" s="400"/>
      <c r="BP147" s="400"/>
      <c r="BQ147" s="400"/>
      <c r="BR147" s="400"/>
      <c r="BS147" s="400"/>
      <c r="BT147" s="400"/>
      <c r="BU147" s="400"/>
      <c r="BV147" s="400"/>
    </row>
    <row r="148" spans="63:74" x14ac:dyDescent="0.2">
      <c r="BK148" s="400"/>
      <c r="BL148" s="400"/>
      <c r="BM148" s="400"/>
      <c r="BN148" s="400"/>
      <c r="BO148" s="400"/>
      <c r="BP148" s="400"/>
      <c r="BQ148" s="400"/>
      <c r="BR148" s="400"/>
      <c r="BS148" s="400"/>
      <c r="BT148" s="400"/>
      <c r="BU148" s="400"/>
      <c r="BV148" s="400"/>
    </row>
    <row r="149" spans="63:74" x14ac:dyDescent="0.2">
      <c r="BK149" s="400"/>
      <c r="BL149" s="400"/>
      <c r="BM149" s="400"/>
      <c r="BN149" s="400"/>
      <c r="BO149" s="400"/>
      <c r="BP149" s="400"/>
      <c r="BQ149" s="400"/>
      <c r="BR149" s="400"/>
      <c r="BS149" s="400"/>
      <c r="BT149" s="400"/>
      <c r="BU149" s="400"/>
      <c r="BV149" s="400"/>
    </row>
    <row r="150" spans="63:74" x14ac:dyDescent="0.2">
      <c r="BK150" s="400"/>
      <c r="BL150" s="400"/>
      <c r="BM150" s="400"/>
      <c r="BN150" s="400"/>
      <c r="BO150" s="400"/>
      <c r="BP150" s="400"/>
      <c r="BQ150" s="400"/>
      <c r="BR150" s="400"/>
      <c r="BS150" s="400"/>
      <c r="BT150" s="400"/>
      <c r="BU150" s="400"/>
      <c r="BV150" s="400"/>
    </row>
    <row r="151" spans="63:74" x14ac:dyDescent="0.2">
      <c r="BK151" s="400"/>
      <c r="BL151" s="400"/>
      <c r="BM151" s="400"/>
      <c r="BN151" s="400"/>
      <c r="BO151" s="400"/>
      <c r="BP151" s="400"/>
      <c r="BQ151" s="400"/>
      <c r="BR151" s="400"/>
      <c r="BS151" s="400"/>
      <c r="BT151" s="400"/>
      <c r="BU151" s="400"/>
      <c r="BV151" s="400"/>
    </row>
    <row r="152" spans="63:74" x14ac:dyDescent="0.2">
      <c r="BK152" s="400"/>
      <c r="BL152" s="400"/>
      <c r="BM152" s="400"/>
      <c r="BN152" s="400"/>
      <c r="BO152" s="400"/>
      <c r="BP152" s="400"/>
      <c r="BQ152" s="400"/>
      <c r="BR152" s="400"/>
      <c r="BS152" s="400"/>
      <c r="BT152" s="400"/>
      <c r="BU152" s="400"/>
      <c r="BV152" s="400"/>
    </row>
    <row r="153" spans="63:74" x14ac:dyDescent="0.2">
      <c r="BK153" s="400"/>
      <c r="BL153" s="400"/>
      <c r="BM153" s="400"/>
      <c r="BN153" s="400"/>
      <c r="BO153" s="400"/>
      <c r="BP153" s="400"/>
      <c r="BQ153" s="400"/>
      <c r="BR153" s="400"/>
      <c r="BS153" s="400"/>
      <c r="BT153" s="400"/>
      <c r="BU153" s="400"/>
      <c r="BV153" s="400"/>
    </row>
    <row r="154" spans="63:74" x14ac:dyDescent="0.2">
      <c r="BK154" s="400"/>
      <c r="BL154" s="400"/>
      <c r="BM154" s="400"/>
      <c r="BN154" s="400"/>
      <c r="BO154" s="400"/>
      <c r="BP154" s="400"/>
      <c r="BQ154" s="400"/>
      <c r="BR154" s="400"/>
      <c r="BS154" s="400"/>
      <c r="BT154" s="400"/>
      <c r="BU154" s="400"/>
      <c r="BV154" s="400"/>
    </row>
    <row r="155" spans="63:74" x14ac:dyDescent="0.2">
      <c r="BK155" s="400"/>
      <c r="BL155" s="400"/>
      <c r="BM155" s="400"/>
      <c r="BN155" s="400"/>
      <c r="BO155" s="400"/>
      <c r="BP155" s="400"/>
      <c r="BQ155" s="400"/>
      <c r="BR155" s="400"/>
      <c r="BS155" s="400"/>
      <c r="BT155" s="400"/>
      <c r="BU155" s="400"/>
      <c r="BV155" s="400"/>
    </row>
    <row r="156" spans="63:74" x14ac:dyDescent="0.2">
      <c r="BK156" s="400"/>
      <c r="BL156" s="400"/>
      <c r="BM156" s="400"/>
      <c r="BN156" s="400"/>
      <c r="BO156" s="400"/>
      <c r="BP156" s="400"/>
      <c r="BQ156" s="400"/>
      <c r="BR156" s="400"/>
      <c r="BS156" s="400"/>
      <c r="BT156" s="400"/>
      <c r="BU156" s="400"/>
      <c r="BV156" s="400"/>
    </row>
    <row r="157" spans="63:74" x14ac:dyDescent="0.2">
      <c r="BK157" s="400"/>
      <c r="BL157" s="400"/>
      <c r="BM157" s="400"/>
      <c r="BN157" s="400"/>
      <c r="BO157" s="400"/>
      <c r="BP157" s="400"/>
      <c r="BQ157" s="400"/>
      <c r="BR157" s="400"/>
      <c r="BS157" s="400"/>
      <c r="BT157" s="400"/>
      <c r="BU157" s="400"/>
      <c r="BV157" s="400"/>
    </row>
    <row r="158" spans="63:74" x14ac:dyDescent="0.2">
      <c r="BK158" s="400"/>
      <c r="BL158" s="400"/>
      <c r="BM158" s="400"/>
      <c r="BN158" s="400"/>
      <c r="BO158" s="400"/>
      <c r="BP158" s="400"/>
      <c r="BQ158" s="400"/>
      <c r="BR158" s="400"/>
      <c r="BS158" s="400"/>
      <c r="BT158" s="400"/>
      <c r="BU158" s="400"/>
      <c r="BV158" s="400"/>
    </row>
    <row r="159" spans="63:74" x14ac:dyDescent="0.2">
      <c r="BK159" s="400"/>
      <c r="BL159" s="400"/>
      <c r="BM159" s="400"/>
      <c r="BN159" s="400"/>
      <c r="BO159" s="400"/>
      <c r="BP159" s="400"/>
      <c r="BQ159" s="400"/>
      <c r="BR159" s="400"/>
      <c r="BS159" s="400"/>
      <c r="BT159" s="400"/>
      <c r="BU159" s="400"/>
      <c r="BV159" s="400"/>
    </row>
    <row r="160" spans="63:74" x14ac:dyDescent="0.2">
      <c r="BK160" s="400"/>
      <c r="BL160" s="400"/>
      <c r="BM160" s="400"/>
      <c r="BN160" s="400"/>
      <c r="BO160" s="400"/>
      <c r="BP160" s="400"/>
      <c r="BQ160" s="400"/>
      <c r="BR160" s="400"/>
      <c r="BS160" s="400"/>
      <c r="BT160" s="400"/>
      <c r="BU160" s="400"/>
      <c r="BV160" s="400"/>
    </row>
    <row r="161" spans="63:74" x14ac:dyDescent="0.2">
      <c r="BK161" s="400"/>
      <c r="BL161" s="400"/>
      <c r="BM161" s="400"/>
      <c r="BN161" s="400"/>
      <c r="BO161" s="400"/>
      <c r="BP161" s="400"/>
      <c r="BQ161" s="400"/>
      <c r="BR161" s="400"/>
      <c r="BS161" s="400"/>
      <c r="BT161" s="400"/>
      <c r="BU161" s="400"/>
      <c r="BV161" s="400"/>
    </row>
    <row r="162" spans="63:74" x14ac:dyDescent="0.2">
      <c r="BK162" s="400"/>
      <c r="BL162" s="400"/>
      <c r="BM162" s="400"/>
      <c r="BN162" s="400"/>
      <c r="BO162" s="400"/>
      <c r="BP162" s="400"/>
      <c r="BQ162" s="400"/>
      <c r="BR162" s="400"/>
      <c r="BS162" s="400"/>
      <c r="BT162" s="400"/>
      <c r="BU162" s="400"/>
      <c r="BV162" s="400"/>
    </row>
    <row r="163" spans="63:74" x14ac:dyDescent="0.2">
      <c r="BK163" s="400"/>
      <c r="BL163" s="400"/>
      <c r="BM163" s="400"/>
      <c r="BN163" s="400"/>
      <c r="BO163" s="400"/>
      <c r="BP163" s="400"/>
      <c r="BQ163" s="400"/>
      <c r="BR163" s="400"/>
      <c r="BS163" s="400"/>
      <c r="BT163" s="400"/>
      <c r="BU163" s="400"/>
      <c r="BV163" s="400"/>
    </row>
    <row r="164" spans="63:74" x14ac:dyDescent="0.2">
      <c r="BK164" s="400"/>
      <c r="BL164" s="400"/>
      <c r="BM164" s="400"/>
      <c r="BN164" s="400"/>
      <c r="BO164" s="400"/>
      <c r="BP164" s="400"/>
      <c r="BQ164" s="400"/>
      <c r="BR164" s="400"/>
      <c r="BS164" s="400"/>
      <c r="BT164" s="400"/>
      <c r="BU164" s="400"/>
      <c r="BV164" s="400"/>
    </row>
    <row r="165" spans="63:74" x14ac:dyDescent="0.2">
      <c r="BK165" s="400"/>
      <c r="BL165" s="400"/>
      <c r="BM165" s="400"/>
      <c r="BN165" s="400"/>
      <c r="BO165" s="400"/>
      <c r="BP165" s="400"/>
      <c r="BQ165" s="400"/>
      <c r="BR165" s="400"/>
      <c r="BS165" s="400"/>
      <c r="BT165" s="400"/>
      <c r="BU165" s="400"/>
      <c r="BV165" s="400"/>
    </row>
    <row r="166" spans="63:74" x14ac:dyDescent="0.2">
      <c r="BK166" s="400"/>
      <c r="BL166" s="400"/>
      <c r="BM166" s="400"/>
      <c r="BN166" s="400"/>
      <c r="BO166" s="400"/>
      <c r="BP166" s="400"/>
      <c r="BQ166" s="400"/>
      <c r="BR166" s="400"/>
      <c r="BS166" s="400"/>
      <c r="BT166" s="400"/>
      <c r="BU166" s="400"/>
      <c r="BV166" s="400"/>
    </row>
    <row r="167" spans="63:74" x14ac:dyDescent="0.2">
      <c r="BK167" s="400"/>
      <c r="BL167" s="400"/>
      <c r="BM167" s="400"/>
      <c r="BN167" s="400"/>
      <c r="BO167" s="400"/>
      <c r="BP167" s="400"/>
      <c r="BQ167" s="400"/>
      <c r="BR167" s="400"/>
      <c r="BS167" s="400"/>
      <c r="BT167" s="400"/>
      <c r="BU167" s="400"/>
      <c r="BV167" s="400"/>
    </row>
    <row r="168" spans="63:74" x14ac:dyDescent="0.2">
      <c r="BK168" s="400"/>
      <c r="BL168" s="400"/>
      <c r="BM168" s="400"/>
      <c r="BN168" s="400"/>
      <c r="BO168" s="400"/>
      <c r="BP168" s="400"/>
      <c r="BQ168" s="400"/>
      <c r="BR168" s="400"/>
      <c r="BS168" s="400"/>
      <c r="BT168" s="400"/>
      <c r="BU168" s="400"/>
      <c r="BV168" s="400"/>
    </row>
    <row r="169" spans="63:74" x14ac:dyDescent="0.2">
      <c r="BK169" s="400"/>
      <c r="BL169" s="400"/>
      <c r="BM169" s="400"/>
      <c r="BN169" s="400"/>
      <c r="BO169" s="400"/>
      <c r="BP169" s="400"/>
      <c r="BQ169" s="400"/>
      <c r="BR169" s="400"/>
      <c r="BS169" s="400"/>
      <c r="BT169" s="400"/>
      <c r="BU169" s="400"/>
      <c r="BV169" s="400"/>
    </row>
    <row r="170" spans="63:74" x14ac:dyDescent="0.2">
      <c r="BK170" s="400"/>
      <c r="BL170" s="400"/>
      <c r="BM170" s="400"/>
      <c r="BN170" s="400"/>
      <c r="BO170" s="400"/>
      <c r="BP170" s="400"/>
      <c r="BQ170" s="400"/>
      <c r="BR170" s="400"/>
      <c r="BS170" s="400"/>
      <c r="BT170" s="400"/>
      <c r="BU170" s="400"/>
      <c r="BV170" s="400"/>
    </row>
    <row r="171" spans="63:74" x14ac:dyDescent="0.2">
      <c r="BK171" s="400"/>
      <c r="BL171" s="400"/>
      <c r="BM171" s="400"/>
      <c r="BN171" s="400"/>
      <c r="BO171" s="400"/>
      <c r="BP171" s="400"/>
      <c r="BQ171" s="400"/>
      <c r="BR171" s="400"/>
      <c r="BS171" s="400"/>
      <c r="BT171" s="400"/>
      <c r="BU171" s="400"/>
      <c r="BV171" s="400"/>
    </row>
    <row r="172" spans="63:74" x14ac:dyDescent="0.2">
      <c r="BK172" s="400"/>
      <c r="BL172" s="400"/>
      <c r="BM172" s="400"/>
      <c r="BN172" s="400"/>
      <c r="BO172" s="400"/>
      <c r="BP172" s="400"/>
      <c r="BQ172" s="400"/>
      <c r="BR172" s="400"/>
      <c r="BS172" s="400"/>
      <c r="BT172" s="400"/>
      <c r="BU172" s="400"/>
      <c r="BV172" s="400"/>
    </row>
    <row r="173" spans="63:74" x14ac:dyDescent="0.2">
      <c r="BK173" s="400"/>
      <c r="BL173" s="400"/>
      <c r="BM173" s="400"/>
      <c r="BN173" s="400"/>
      <c r="BO173" s="400"/>
      <c r="BP173" s="400"/>
      <c r="BQ173" s="400"/>
      <c r="BR173" s="400"/>
      <c r="BS173" s="400"/>
      <c r="BT173" s="400"/>
      <c r="BU173" s="400"/>
      <c r="BV173" s="400"/>
    </row>
    <row r="174" spans="63:74" x14ac:dyDescent="0.2">
      <c r="BK174" s="400"/>
      <c r="BL174" s="400"/>
      <c r="BM174" s="400"/>
      <c r="BN174" s="400"/>
      <c r="BO174" s="400"/>
      <c r="BP174" s="400"/>
      <c r="BQ174" s="400"/>
      <c r="BR174" s="400"/>
      <c r="BS174" s="400"/>
      <c r="BT174" s="400"/>
      <c r="BU174" s="400"/>
      <c r="BV174" s="400"/>
    </row>
    <row r="175" spans="63:74" x14ac:dyDescent="0.2">
      <c r="BK175" s="400"/>
      <c r="BL175" s="400"/>
      <c r="BM175" s="400"/>
      <c r="BN175" s="400"/>
      <c r="BO175" s="400"/>
      <c r="BP175" s="400"/>
      <c r="BQ175" s="400"/>
      <c r="BR175" s="400"/>
      <c r="BS175" s="400"/>
      <c r="BT175" s="400"/>
      <c r="BU175" s="400"/>
      <c r="BV175" s="400"/>
    </row>
    <row r="176" spans="63:74" x14ac:dyDescent="0.2">
      <c r="BK176" s="400"/>
      <c r="BL176" s="400"/>
      <c r="BM176" s="400"/>
      <c r="BN176" s="400"/>
      <c r="BO176" s="400"/>
      <c r="BP176" s="400"/>
      <c r="BQ176" s="400"/>
      <c r="BR176" s="400"/>
      <c r="BS176" s="400"/>
      <c r="BT176" s="400"/>
      <c r="BU176" s="400"/>
      <c r="BV176" s="400"/>
    </row>
    <row r="177" spans="63:74" x14ac:dyDescent="0.2">
      <c r="BK177" s="400"/>
      <c r="BL177" s="400"/>
      <c r="BM177" s="400"/>
      <c r="BN177" s="400"/>
      <c r="BO177" s="400"/>
      <c r="BP177" s="400"/>
      <c r="BQ177" s="400"/>
      <c r="BR177" s="400"/>
      <c r="BS177" s="400"/>
      <c r="BT177" s="400"/>
      <c r="BU177" s="400"/>
      <c r="BV177" s="400"/>
    </row>
    <row r="178" spans="63:74" x14ac:dyDescent="0.2">
      <c r="BK178" s="400"/>
      <c r="BL178" s="400"/>
      <c r="BM178" s="400"/>
      <c r="BN178" s="400"/>
      <c r="BO178" s="400"/>
      <c r="BP178" s="400"/>
      <c r="BQ178" s="400"/>
      <c r="BR178" s="400"/>
      <c r="BS178" s="400"/>
      <c r="BT178" s="400"/>
      <c r="BU178" s="400"/>
      <c r="BV178" s="400"/>
    </row>
    <row r="179" spans="63:74" x14ac:dyDescent="0.2">
      <c r="BK179" s="400"/>
      <c r="BL179" s="400"/>
      <c r="BM179" s="400"/>
      <c r="BN179" s="400"/>
      <c r="BO179" s="400"/>
      <c r="BP179" s="400"/>
      <c r="BQ179" s="400"/>
      <c r="BR179" s="400"/>
      <c r="BS179" s="400"/>
      <c r="BT179" s="400"/>
      <c r="BU179" s="400"/>
      <c r="BV179" s="400"/>
    </row>
    <row r="180" spans="63:74" x14ac:dyDescent="0.2">
      <c r="BK180" s="400"/>
      <c r="BL180" s="400"/>
      <c r="BM180" s="400"/>
      <c r="BN180" s="400"/>
      <c r="BO180" s="400"/>
      <c r="BP180" s="400"/>
      <c r="BQ180" s="400"/>
      <c r="BR180" s="400"/>
      <c r="BS180" s="400"/>
      <c r="BT180" s="400"/>
      <c r="BU180" s="400"/>
      <c r="BV180" s="400"/>
    </row>
  </sheetData>
  <mergeCells count="15">
    <mergeCell ref="A1:A2"/>
    <mergeCell ref="AM3:AX3"/>
    <mergeCell ref="AY3:BJ3"/>
    <mergeCell ref="BK3:BV3"/>
    <mergeCell ref="B1:AL1"/>
    <mergeCell ref="C3:N3"/>
    <mergeCell ref="O3:Z3"/>
    <mergeCell ref="AA3:AL3"/>
    <mergeCell ref="B71:Q71"/>
    <mergeCell ref="B72:Q72"/>
    <mergeCell ref="B73:Q73"/>
    <mergeCell ref="B67:Q67"/>
    <mergeCell ref="B68:Q68"/>
    <mergeCell ref="B69:Q69"/>
    <mergeCell ref="B70:Q70"/>
  </mergeCells>
  <phoneticPr fontId="3" type="noConversion"/>
  <conditionalFormatting sqref="C69:Q69">
    <cfRule type="cellIs" dxfId="2" priority="1" stopIfTrue="1" operator="notEqual">
      <formula>C$68</formula>
    </cfRule>
  </conditionalFormatting>
  <hyperlinks>
    <hyperlink ref="A1:A2" location="Contents!A1" display="Table of Contents"/>
  </hyperlinks>
  <pageMargins left="0.25" right="0.25" top="0.25" bottom="0.25" header="0.5" footer="0.5"/>
  <pageSetup scale="78"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8">
    <pageSetUpPr fitToPage="1"/>
  </sheetPr>
  <dimension ref="A1:BV127"/>
  <sheetViews>
    <sheetView showGridLines="0" workbookViewId="0">
      <pane xSplit="2" ySplit="4" topLeftCell="AY5" activePane="bottomRight" state="frozen"/>
      <selection activeCell="BF63" sqref="BF63"/>
      <selection pane="topRight" activeCell="BF63" sqref="BF63"/>
      <selection pane="bottomLeft" activeCell="BF63" sqref="BF63"/>
      <selection pane="bottomRight" activeCell="B1" sqref="B1:AL1"/>
    </sheetView>
  </sheetViews>
  <sheetFormatPr defaultColWidth="9.5546875" defaultRowHeight="9.6" x14ac:dyDescent="0.15"/>
  <cols>
    <col min="1" max="1" width="8.5546875" style="2" customWidth="1"/>
    <col min="2" max="2" width="45.44140625" style="2" customWidth="1"/>
    <col min="3" max="50" width="6.5546875" style="2" customWidth="1"/>
    <col min="51" max="55" width="6.5546875" style="397" customWidth="1"/>
    <col min="56" max="58" width="6.5546875" style="640" customWidth="1"/>
    <col min="59" max="62" width="6.5546875" style="397" customWidth="1"/>
    <col min="63" max="74" width="6.5546875" style="2" customWidth="1"/>
    <col min="75" max="16384" width="9.5546875" style="2"/>
  </cols>
  <sheetData>
    <row r="1" spans="1:74" ht="15.75" customHeight="1" x14ac:dyDescent="0.25">
      <c r="A1" s="797" t="s">
        <v>809</v>
      </c>
      <c r="B1" s="839" t="s">
        <v>241</v>
      </c>
      <c r="C1" s="805"/>
      <c r="D1" s="805"/>
      <c r="E1" s="805"/>
      <c r="F1" s="805"/>
      <c r="G1" s="805"/>
      <c r="H1" s="805"/>
      <c r="I1" s="805"/>
      <c r="J1" s="805"/>
      <c r="K1" s="805"/>
      <c r="L1" s="805"/>
      <c r="M1" s="805"/>
      <c r="N1" s="805"/>
      <c r="O1" s="805"/>
      <c r="P1" s="805"/>
      <c r="Q1" s="805"/>
      <c r="R1" s="805"/>
      <c r="S1" s="805"/>
      <c r="T1" s="805"/>
      <c r="U1" s="805"/>
      <c r="V1" s="805"/>
      <c r="W1" s="805"/>
      <c r="X1" s="805"/>
      <c r="Y1" s="805"/>
      <c r="Z1" s="805"/>
      <c r="AA1" s="805"/>
      <c r="AB1" s="805"/>
      <c r="AC1" s="805"/>
      <c r="AD1" s="805"/>
      <c r="AE1" s="805"/>
      <c r="AF1" s="805"/>
      <c r="AG1" s="805"/>
      <c r="AH1" s="805"/>
      <c r="AI1" s="805"/>
      <c r="AJ1" s="805"/>
      <c r="AK1" s="805"/>
      <c r="AL1" s="805"/>
      <c r="AM1" s="302"/>
    </row>
    <row r="2" spans="1:74" s="5" customFormat="1" ht="13.2" x14ac:dyDescent="0.25">
      <c r="A2" s="798"/>
      <c r="B2" s="532" t="str">
        <f>"U.S. Energy Information Administration  |  Short-Term Energy Outlook  - "&amp;Dates!D1</f>
        <v>U.S. Energy Information Administration  |  Short-Term Energy Outlook  - September 2020</v>
      </c>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c r="AK2" s="533"/>
      <c r="AL2" s="533"/>
      <c r="AM2" s="303"/>
      <c r="AY2" s="523"/>
      <c r="AZ2" s="523"/>
      <c r="BA2" s="523"/>
      <c r="BB2" s="523"/>
      <c r="BC2" s="523"/>
      <c r="BD2" s="641"/>
      <c r="BE2" s="641"/>
      <c r="BF2" s="641"/>
      <c r="BG2" s="523"/>
      <c r="BH2" s="523"/>
      <c r="BI2" s="523"/>
      <c r="BJ2" s="523"/>
    </row>
    <row r="3" spans="1:74" s="12" customFormat="1" ht="13.2" x14ac:dyDescent="0.25">
      <c r="A3" s="14"/>
      <c r="B3" s="15"/>
      <c r="C3" s="806">
        <f>Dates!D3</f>
        <v>2016</v>
      </c>
      <c r="D3" s="802"/>
      <c r="E3" s="802"/>
      <c r="F3" s="802"/>
      <c r="G3" s="802"/>
      <c r="H3" s="802"/>
      <c r="I3" s="802"/>
      <c r="J3" s="802"/>
      <c r="K3" s="802"/>
      <c r="L3" s="802"/>
      <c r="M3" s="802"/>
      <c r="N3" s="803"/>
      <c r="O3" s="806">
        <f>C3+1</f>
        <v>2017</v>
      </c>
      <c r="P3" s="807"/>
      <c r="Q3" s="807"/>
      <c r="R3" s="807"/>
      <c r="S3" s="807"/>
      <c r="T3" s="807"/>
      <c r="U3" s="807"/>
      <c r="V3" s="807"/>
      <c r="W3" s="807"/>
      <c r="X3" s="802"/>
      <c r="Y3" s="802"/>
      <c r="Z3" s="803"/>
      <c r="AA3" s="799">
        <f>O3+1</f>
        <v>2018</v>
      </c>
      <c r="AB3" s="802"/>
      <c r="AC3" s="802"/>
      <c r="AD3" s="802"/>
      <c r="AE3" s="802"/>
      <c r="AF3" s="802"/>
      <c r="AG3" s="802"/>
      <c r="AH3" s="802"/>
      <c r="AI3" s="802"/>
      <c r="AJ3" s="802"/>
      <c r="AK3" s="802"/>
      <c r="AL3" s="803"/>
      <c r="AM3" s="799">
        <f>AA3+1</f>
        <v>2019</v>
      </c>
      <c r="AN3" s="802"/>
      <c r="AO3" s="802"/>
      <c r="AP3" s="802"/>
      <c r="AQ3" s="802"/>
      <c r="AR3" s="802"/>
      <c r="AS3" s="802"/>
      <c r="AT3" s="802"/>
      <c r="AU3" s="802"/>
      <c r="AV3" s="802"/>
      <c r="AW3" s="802"/>
      <c r="AX3" s="803"/>
      <c r="AY3" s="799">
        <f>AM3+1</f>
        <v>2020</v>
      </c>
      <c r="AZ3" s="800"/>
      <c r="BA3" s="800"/>
      <c r="BB3" s="800"/>
      <c r="BC3" s="800"/>
      <c r="BD3" s="800"/>
      <c r="BE3" s="800"/>
      <c r="BF3" s="800"/>
      <c r="BG3" s="800"/>
      <c r="BH3" s="800"/>
      <c r="BI3" s="800"/>
      <c r="BJ3" s="801"/>
      <c r="BK3" s="799">
        <f>AY3+1</f>
        <v>2021</v>
      </c>
      <c r="BL3" s="802"/>
      <c r="BM3" s="802"/>
      <c r="BN3" s="802"/>
      <c r="BO3" s="802"/>
      <c r="BP3" s="802"/>
      <c r="BQ3" s="802"/>
      <c r="BR3" s="802"/>
      <c r="BS3" s="802"/>
      <c r="BT3" s="802"/>
      <c r="BU3" s="802"/>
      <c r="BV3" s="803"/>
    </row>
    <row r="4" spans="1:74" s="12" customFormat="1" ht="10.199999999999999" x14ac:dyDescent="0.2">
      <c r="A4" s="16"/>
      <c r="B4" s="17"/>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A5" s="3"/>
      <c r="B5" s="7" t="s">
        <v>130</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21"/>
      <c r="AZ5" s="421"/>
      <c r="BA5" s="421"/>
      <c r="BB5" s="421"/>
      <c r="BC5" s="421"/>
      <c r="BD5" s="642"/>
      <c r="BE5" s="642"/>
      <c r="BF5" s="642"/>
      <c r="BG5" s="642"/>
      <c r="BH5" s="421"/>
      <c r="BI5" s="421"/>
      <c r="BJ5" s="421"/>
      <c r="BK5" s="421"/>
      <c r="BL5" s="421"/>
      <c r="BM5" s="421"/>
      <c r="BN5" s="421"/>
      <c r="BO5" s="421"/>
      <c r="BP5" s="421"/>
      <c r="BQ5" s="421"/>
      <c r="BR5" s="421"/>
      <c r="BS5" s="421"/>
      <c r="BT5" s="421"/>
      <c r="BU5" s="421"/>
      <c r="BV5" s="421"/>
    </row>
    <row r="6" spans="1:74" ht="11.1" customHeight="1" x14ac:dyDescent="0.2">
      <c r="A6" s="3" t="s">
        <v>781</v>
      </c>
      <c r="B6" s="182" t="s">
        <v>13</v>
      </c>
      <c r="C6" s="238">
        <v>118.7</v>
      </c>
      <c r="D6" s="238">
        <v>104.6</v>
      </c>
      <c r="E6" s="238">
        <v>133.5</v>
      </c>
      <c r="F6" s="238">
        <v>147.6</v>
      </c>
      <c r="G6" s="238">
        <v>161.30000000000001</v>
      </c>
      <c r="H6" s="238">
        <v>164.3</v>
      </c>
      <c r="I6" s="238">
        <v>149</v>
      </c>
      <c r="J6" s="238">
        <v>150.80000000000001</v>
      </c>
      <c r="K6" s="238">
        <v>151.4</v>
      </c>
      <c r="L6" s="238">
        <v>156.80000000000001</v>
      </c>
      <c r="M6" s="238">
        <v>142.69999999999999</v>
      </c>
      <c r="N6" s="238">
        <v>158.5</v>
      </c>
      <c r="O6" s="238">
        <v>162.69999999999999</v>
      </c>
      <c r="P6" s="238">
        <v>162.5</v>
      </c>
      <c r="Q6" s="238">
        <v>163.4</v>
      </c>
      <c r="R6" s="238">
        <v>172.3</v>
      </c>
      <c r="S6" s="238">
        <v>166.8</v>
      </c>
      <c r="T6" s="238">
        <v>157.4</v>
      </c>
      <c r="U6" s="238">
        <v>162.1</v>
      </c>
      <c r="V6" s="238">
        <v>171.1</v>
      </c>
      <c r="W6" s="238">
        <v>182.6</v>
      </c>
      <c r="X6" s="238">
        <v>173</v>
      </c>
      <c r="Y6" s="238">
        <v>180.6</v>
      </c>
      <c r="Z6" s="238">
        <v>172</v>
      </c>
      <c r="AA6" s="238">
        <v>184.9</v>
      </c>
      <c r="AB6" s="238">
        <v>182.3</v>
      </c>
      <c r="AC6" s="238">
        <v>188.9</v>
      </c>
      <c r="AD6" s="238">
        <v>205.4</v>
      </c>
      <c r="AE6" s="238">
        <v>220.5</v>
      </c>
      <c r="AF6" s="238">
        <v>213.5</v>
      </c>
      <c r="AG6" s="238">
        <v>214.8</v>
      </c>
      <c r="AH6" s="238">
        <v>211.8</v>
      </c>
      <c r="AI6" s="238">
        <v>213.6</v>
      </c>
      <c r="AJ6" s="238">
        <v>209</v>
      </c>
      <c r="AK6" s="238">
        <v>173.2</v>
      </c>
      <c r="AL6" s="238">
        <v>151.4</v>
      </c>
      <c r="AM6" s="238">
        <v>148.30000000000001</v>
      </c>
      <c r="AN6" s="238">
        <v>162.4</v>
      </c>
      <c r="AO6" s="238">
        <v>188.1</v>
      </c>
      <c r="AP6" s="238">
        <v>213.8</v>
      </c>
      <c r="AQ6" s="238">
        <v>211</v>
      </c>
      <c r="AR6" s="238">
        <v>190.9</v>
      </c>
      <c r="AS6" s="238">
        <v>198.4</v>
      </c>
      <c r="AT6" s="238">
        <v>182</v>
      </c>
      <c r="AU6" s="238">
        <v>185.4</v>
      </c>
      <c r="AV6" s="238">
        <v>187.1</v>
      </c>
      <c r="AW6" s="238">
        <v>181.9</v>
      </c>
      <c r="AX6" s="238">
        <v>175.7</v>
      </c>
      <c r="AY6" s="238">
        <v>174.3</v>
      </c>
      <c r="AZ6" s="238">
        <v>166.9</v>
      </c>
      <c r="BA6" s="238">
        <v>112.7</v>
      </c>
      <c r="BB6" s="238">
        <v>64.5</v>
      </c>
      <c r="BC6" s="238">
        <v>104.9</v>
      </c>
      <c r="BD6" s="238">
        <v>131.1</v>
      </c>
      <c r="BE6" s="238">
        <v>135.72640000000001</v>
      </c>
      <c r="BF6" s="238">
        <v>135.357</v>
      </c>
      <c r="BG6" s="329">
        <v>134.32079999999999</v>
      </c>
      <c r="BH6" s="329">
        <v>131.01089999999999</v>
      </c>
      <c r="BI6" s="329">
        <v>129.60169999999999</v>
      </c>
      <c r="BJ6" s="329">
        <v>125.6939</v>
      </c>
      <c r="BK6" s="329">
        <v>126.0864</v>
      </c>
      <c r="BL6" s="329">
        <v>134.0299</v>
      </c>
      <c r="BM6" s="329">
        <v>146.3235</v>
      </c>
      <c r="BN6" s="329">
        <v>157.45429999999999</v>
      </c>
      <c r="BO6" s="329">
        <v>162.77289999999999</v>
      </c>
      <c r="BP6" s="329">
        <v>163.93690000000001</v>
      </c>
      <c r="BQ6" s="329">
        <v>161.9385</v>
      </c>
      <c r="BR6" s="329">
        <v>163.65280000000001</v>
      </c>
      <c r="BS6" s="329">
        <v>156.83279999999999</v>
      </c>
      <c r="BT6" s="329">
        <v>154.04679999999999</v>
      </c>
      <c r="BU6" s="329">
        <v>149.63079999999999</v>
      </c>
      <c r="BV6" s="329">
        <v>146.7825</v>
      </c>
    </row>
    <row r="7" spans="1:74" ht="11.1" customHeight="1" x14ac:dyDescent="0.2">
      <c r="A7" s="1"/>
      <c r="B7" s="7" t="s">
        <v>14</v>
      </c>
      <c r="C7" s="224"/>
      <c r="D7" s="224"/>
      <c r="E7" s="224"/>
      <c r="F7" s="224"/>
      <c r="G7" s="224"/>
      <c r="H7" s="224"/>
      <c r="I7" s="224"/>
      <c r="J7" s="224"/>
      <c r="K7" s="224"/>
      <c r="L7" s="224"/>
      <c r="M7" s="224"/>
      <c r="N7" s="224"/>
      <c r="O7" s="224"/>
      <c r="P7" s="224"/>
      <c r="Q7" s="224"/>
      <c r="R7" s="224"/>
      <c r="S7" s="224"/>
      <c r="T7" s="224"/>
      <c r="U7" s="224"/>
      <c r="V7" s="224"/>
      <c r="W7" s="224"/>
      <c r="X7" s="224"/>
      <c r="Y7" s="224"/>
      <c r="Z7" s="224"/>
      <c r="AA7" s="224"/>
      <c r="AB7" s="224"/>
      <c r="AC7" s="224"/>
      <c r="AD7" s="224"/>
      <c r="AE7" s="224"/>
      <c r="AF7" s="224"/>
      <c r="AG7" s="224"/>
      <c r="AH7" s="224"/>
      <c r="AI7" s="224"/>
      <c r="AJ7" s="224"/>
      <c r="AK7" s="224"/>
      <c r="AL7" s="224"/>
      <c r="AM7" s="224"/>
      <c r="AN7" s="224"/>
      <c r="AO7" s="224"/>
      <c r="AP7" s="224"/>
      <c r="AQ7" s="224"/>
      <c r="AR7" s="224"/>
      <c r="AS7" s="224"/>
      <c r="AT7" s="224"/>
      <c r="AU7" s="224"/>
      <c r="AV7" s="224"/>
      <c r="AW7" s="224"/>
      <c r="AX7" s="224"/>
      <c r="AY7" s="224"/>
      <c r="AZ7" s="224"/>
      <c r="BA7" s="224"/>
      <c r="BB7" s="224"/>
      <c r="BC7" s="224"/>
      <c r="BD7" s="224"/>
      <c r="BE7" s="224"/>
      <c r="BF7" s="224"/>
      <c r="BG7" s="391"/>
      <c r="BH7" s="391"/>
      <c r="BI7" s="391"/>
      <c r="BJ7" s="391"/>
      <c r="BK7" s="391"/>
      <c r="BL7" s="391"/>
      <c r="BM7" s="391"/>
      <c r="BN7" s="391"/>
      <c r="BO7" s="391"/>
      <c r="BP7" s="391"/>
      <c r="BQ7" s="391"/>
      <c r="BR7" s="391"/>
      <c r="BS7" s="391"/>
      <c r="BT7" s="391"/>
      <c r="BU7" s="391"/>
      <c r="BV7" s="391"/>
    </row>
    <row r="8" spans="1:74" ht="11.1" customHeight="1" x14ac:dyDescent="0.2">
      <c r="A8" s="1" t="s">
        <v>505</v>
      </c>
      <c r="B8" s="183" t="s">
        <v>426</v>
      </c>
      <c r="C8" s="238">
        <v>193.5</v>
      </c>
      <c r="D8" s="238">
        <v>177.14</v>
      </c>
      <c r="E8" s="238">
        <v>190.52500000000001</v>
      </c>
      <c r="F8" s="238">
        <v>207.22499999999999</v>
      </c>
      <c r="G8" s="238">
        <v>223.68</v>
      </c>
      <c r="H8" s="238">
        <v>228.875</v>
      </c>
      <c r="I8" s="238">
        <v>217.65</v>
      </c>
      <c r="J8" s="238">
        <v>210.78</v>
      </c>
      <c r="K8" s="238">
        <v>217.875</v>
      </c>
      <c r="L8" s="238">
        <v>222.46</v>
      </c>
      <c r="M8" s="238">
        <v>219.82499999999999</v>
      </c>
      <c r="N8" s="238">
        <v>227.32499999999999</v>
      </c>
      <c r="O8" s="238">
        <v>236.46</v>
      </c>
      <c r="P8" s="238">
        <v>229.35</v>
      </c>
      <c r="Q8" s="238">
        <v>227.5</v>
      </c>
      <c r="R8" s="238">
        <v>237.25</v>
      </c>
      <c r="S8" s="238">
        <v>234.46</v>
      </c>
      <c r="T8" s="238">
        <v>228.75</v>
      </c>
      <c r="U8" s="238">
        <v>224.18</v>
      </c>
      <c r="V8" s="238">
        <v>232.57499999999999</v>
      </c>
      <c r="W8" s="238">
        <v>269.64999999999998</v>
      </c>
      <c r="X8" s="238">
        <v>249.58</v>
      </c>
      <c r="Y8" s="238">
        <v>251.42500000000001</v>
      </c>
      <c r="Z8" s="238">
        <v>245.5</v>
      </c>
      <c r="AA8" s="238">
        <v>253.04</v>
      </c>
      <c r="AB8" s="238">
        <v>257.72500000000002</v>
      </c>
      <c r="AC8" s="238">
        <v>254.27500000000001</v>
      </c>
      <c r="AD8" s="238">
        <v>270.26</v>
      </c>
      <c r="AE8" s="238">
        <v>284.55</v>
      </c>
      <c r="AF8" s="238">
        <v>281.97500000000002</v>
      </c>
      <c r="AG8" s="238">
        <v>278.33999999999997</v>
      </c>
      <c r="AH8" s="238">
        <v>278.64999999999998</v>
      </c>
      <c r="AI8" s="238">
        <v>278.02499999999998</v>
      </c>
      <c r="AJ8" s="238">
        <v>278.82</v>
      </c>
      <c r="AK8" s="238">
        <v>258.82499999999999</v>
      </c>
      <c r="AL8" s="238">
        <v>234.12</v>
      </c>
      <c r="AM8" s="238">
        <v>223.1</v>
      </c>
      <c r="AN8" s="238">
        <v>227.4</v>
      </c>
      <c r="AO8" s="238">
        <v>247.5</v>
      </c>
      <c r="AP8" s="238">
        <v>270.04000000000002</v>
      </c>
      <c r="AQ8" s="238">
        <v>274.125</v>
      </c>
      <c r="AR8" s="238">
        <v>259.55</v>
      </c>
      <c r="AS8" s="238">
        <v>265.36</v>
      </c>
      <c r="AT8" s="238">
        <v>253.77500000000001</v>
      </c>
      <c r="AU8" s="238">
        <v>248.82</v>
      </c>
      <c r="AV8" s="238">
        <v>247.1</v>
      </c>
      <c r="AW8" s="238">
        <v>246.625</v>
      </c>
      <c r="AX8" s="238">
        <v>247.56</v>
      </c>
      <c r="AY8" s="238">
        <v>250.1</v>
      </c>
      <c r="AZ8" s="238">
        <v>238.15</v>
      </c>
      <c r="BA8" s="238">
        <v>218.2</v>
      </c>
      <c r="BB8" s="238">
        <v>186.32499999999999</v>
      </c>
      <c r="BC8" s="238">
        <v>183.7</v>
      </c>
      <c r="BD8" s="238">
        <v>200.42</v>
      </c>
      <c r="BE8" s="238">
        <v>210.27500000000001</v>
      </c>
      <c r="BF8" s="238">
        <v>210.72</v>
      </c>
      <c r="BG8" s="329">
        <v>206.33170000000001</v>
      </c>
      <c r="BH8" s="329">
        <v>199.82089999999999</v>
      </c>
      <c r="BI8" s="329">
        <v>197.74100000000001</v>
      </c>
      <c r="BJ8" s="329">
        <v>196.01329999999999</v>
      </c>
      <c r="BK8" s="329">
        <v>197.98759999999999</v>
      </c>
      <c r="BL8" s="329">
        <v>201.01759999999999</v>
      </c>
      <c r="BM8" s="329">
        <v>210.0985</v>
      </c>
      <c r="BN8" s="329">
        <v>221.45939999999999</v>
      </c>
      <c r="BO8" s="329">
        <v>231.85599999999999</v>
      </c>
      <c r="BP8" s="329">
        <v>237.96190000000001</v>
      </c>
      <c r="BQ8" s="329">
        <v>236.47640000000001</v>
      </c>
      <c r="BR8" s="329">
        <v>242.6105</v>
      </c>
      <c r="BS8" s="329">
        <v>225.58160000000001</v>
      </c>
      <c r="BT8" s="329">
        <v>221.40039999999999</v>
      </c>
      <c r="BU8" s="329">
        <v>222.7492</v>
      </c>
      <c r="BV8" s="329">
        <v>225.16489999999999</v>
      </c>
    </row>
    <row r="9" spans="1:74" ht="11.1" customHeight="1" x14ac:dyDescent="0.2">
      <c r="A9" s="1" t="s">
        <v>506</v>
      </c>
      <c r="B9" s="183" t="s">
        <v>427</v>
      </c>
      <c r="C9" s="238">
        <v>175.57499999999999</v>
      </c>
      <c r="D9" s="238">
        <v>159.86000000000001</v>
      </c>
      <c r="E9" s="238">
        <v>191</v>
      </c>
      <c r="F9" s="238">
        <v>202.67500000000001</v>
      </c>
      <c r="G9" s="238">
        <v>221.94</v>
      </c>
      <c r="H9" s="238">
        <v>238.4</v>
      </c>
      <c r="I9" s="238">
        <v>214.82499999999999</v>
      </c>
      <c r="J9" s="238">
        <v>214.18</v>
      </c>
      <c r="K9" s="238">
        <v>215.32499999999999</v>
      </c>
      <c r="L9" s="238">
        <v>214.62</v>
      </c>
      <c r="M9" s="238">
        <v>203.22499999999999</v>
      </c>
      <c r="N9" s="238">
        <v>218.52500000000001</v>
      </c>
      <c r="O9" s="238">
        <v>227.22</v>
      </c>
      <c r="P9" s="238">
        <v>219.85</v>
      </c>
      <c r="Q9" s="238">
        <v>222.22499999999999</v>
      </c>
      <c r="R9" s="238">
        <v>233.42500000000001</v>
      </c>
      <c r="S9" s="238">
        <v>228.12</v>
      </c>
      <c r="T9" s="238">
        <v>223.05</v>
      </c>
      <c r="U9" s="238">
        <v>220.68</v>
      </c>
      <c r="V9" s="238">
        <v>228.47499999999999</v>
      </c>
      <c r="W9" s="238">
        <v>247.32499999999999</v>
      </c>
      <c r="X9" s="238">
        <v>238.62</v>
      </c>
      <c r="Y9" s="238">
        <v>249.75</v>
      </c>
      <c r="Z9" s="238">
        <v>236.52500000000001</v>
      </c>
      <c r="AA9" s="238">
        <v>247.34</v>
      </c>
      <c r="AB9" s="238">
        <v>244.82499999999999</v>
      </c>
      <c r="AC9" s="238">
        <v>246.92500000000001</v>
      </c>
      <c r="AD9" s="238">
        <v>261.95999999999998</v>
      </c>
      <c r="AE9" s="238">
        <v>280.27499999999998</v>
      </c>
      <c r="AF9" s="238">
        <v>279.32499999999999</v>
      </c>
      <c r="AG9" s="238">
        <v>276.89999999999998</v>
      </c>
      <c r="AH9" s="238">
        <v>275.27499999999998</v>
      </c>
      <c r="AI9" s="238">
        <v>275.52499999999998</v>
      </c>
      <c r="AJ9" s="238">
        <v>274.77999999999997</v>
      </c>
      <c r="AK9" s="238">
        <v>246.17500000000001</v>
      </c>
      <c r="AL9" s="238">
        <v>212.58</v>
      </c>
      <c r="AM9" s="238">
        <v>203.52500000000001</v>
      </c>
      <c r="AN9" s="238">
        <v>218.57499999999999</v>
      </c>
      <c r="AO9" s="238">
        <v>244.15</v>
      </c>
      <c r="AP9" s="238">
        <v>270.38</v>
      </c>
      <c r="AQ9" s="238">
        <v>273.97500000000002</v>
      </c>
      <c r="AR9" s="238">
        <v>261.72500000000002</v>
      </c>
      <c r="AS9" s="238">
        <v>268.16000000000003</v>
      </c>
      <c r="AT9" s="238">
        <v>254.17500000000001</v>
      </c>
      <c r="AU9" s="238">
        <v>248.62</v>
      </c>
      <c r="AV9" s="238">
        <v>246.57499999999999</v>
      </c>
      <c r="AW9" s="238">
        <v>242.25</v>
      </c>
      <c r="AX9" s="238">
        <v>241.88</v>
      </c>
      <c r="AY9" s="238">
        <v>240.9</v>
      </c>
      <c r="AZ9" s="238">
        <v>230.875</v>
      </c>
      <c r="BA9" s="238">
        <v>203.56</v>
      </c>
      <c r="BB9" s="238">
        <v>154.19999999999999</v>
      </c>
      <c r="BC9" s="238">
        <v>174.8</v>
      </c>
      <c r="BD9" s="238">
        <v>201.44</v>
      </c>
      <c r="BE9" s="238">
        <v>209.82499999999999</v>
      </c>
      <c r="BF9" s="238">
        <v>207.18</v>
      </c>
      <c r="BG9" s="329">
        <v>201.95230000000001</v>
      </c>
      <c r="BH9" s="329">
        <v>198.16120000000001</v>
      </c>
      <c r="BI9" s="329">
        <v>194.97739999999999</v>
      </c>
      <c r="BJ9" s="329">
        <v>190.91569999999999</v>
      </c>
      <c r="BK9" s="329">
        <v>183.4289</v>
      </c>
      <c r="BL9" s="329">
        <v>190.39490000000001</v>
      </c>
      <c r="BM9" s="329">
        <v>203.5171</v>
      </c>
      <c r="BN9" s="329">
        <v>221.93819999999999</v>
      </c>
      <c r="BO9" s="329">
        <v>234.48939999999999</v>
      </c>
      <c r="BP9" s="329">
        <v>234.55449999999999</v>
      </c>
      <c r="BQ9" s="329">
        <v>234.48689999999999</v>
      </c>
      <c r="BR9" s="329">
        <v>227.31639999999999</v>
      </c>
      <c r="BS9" s="329">
        <v>219.3646</v>
      </c>
      <c r="BT9" s="329">
        <v>217.24170000000001</v>
      </c>
      <c r="BU9" s="329">
        <v>216.7568</v>
      </c>
      <c r="BV9" s="329">
        <v>204.8982</v>
      </c>
    </row>
    <row r="10" spans="1:74" ht="11.1" customHeight="1" x14ac:dyDescent="0.2">
      <c r="A10" s="1" t="s">
        <v>507</v>
      </c>
      <c r="B10" s="183" t="s">
        <v>428</v>
      </c>
      <c r="C10" s="238">
        <v>169.42500000000001</v>
      </c>
      <c r="D10" s="238">
        <v>155.28</v>
      </c>
      <c r="E10" s="238">
        <v>175.42500000000001</v>
      </c>
      <c r="F10" s="238">
        <v>188.17500000000001</v>
      </c>
      <c r="G10" s="238">
        <v>202.46</v>
      </c>
      <c r="H10" s="238">
        <v>211.75</v>
      </c>
      <c r="I10" s="238">
        <v>202.65</v>
      </c>
      <c r="J10" s="238">
        <v>195.66</v>
      </c>
      <c r="K10" s="238">
        <v>197.72499999999999</v>
      </c>
      <c r="L10" s="238">
        <v>203.72</v>
      </c>
      <c r="M10" s="238">
        <v>195.35</v>
      </c>
      <c r="N10" s="238">
        <v>203</v>
      </c>
      <c r="O10" s="238">
        <v>213.42</v>
      </c>
      <c r="P10" s="238">
        <v>207.22499999999999</v>
      </c>
      <c r="Q10" s="238">
        <v>208.2</v>
      </c>
      <c r="R10" s="238">
        <v>219.55</v>
      </c>
      <c r="S10" s="238">
        <v>215.94</v>
      </c>
      <c r="T10" s="238">
        <v>211.4</v>
      </c>
      <c r="U10" s="238">
        <v>204.34</v>
      </c>
      <c r="V10" s="238">
        <v>214.32499999999999</v>
      </c>
      <c r="W10" s="238">
        <v>247.375</v>
      </c>
      <c r="X10" s="238">
        <v>228</v>
      </c>
      <c r="Y10" s="238">
        <v>227.45</v>
      </c>
      <c r="Z10" s="238">
        <v>220</v>
      </c>
      <c r="AA10" s="238">
        <v>228.24</v>
      </c>
      <c r="AB10" s="238">
        <v>230.625</v>
      </c>
      <c r="AC10" s="238">
        <v>230.92500000000001</v>
      </c>
      <c r="AD10" s="238">
        <v>249.64</v>
      </c>
      <c r="AE10" s="238">
        <v>264.97500000000002</v>
      </c>
      <c r="AF10" s="238">
        <v>267.25</v>
      </c>
      <c r="AG10" s="238">
        <v>259.82</v>
      </c>
      <c r="AH10" s="238">
        <v>257.82499999999999</v>
      </c>
      <c r="AI10" s="238">
        <v>256.02499999999998</v>
      </c>
      <c r="AJ10" s="238">
        <v>259.02</v>
      </c>
      <c r="AK10" s="238">
        <v>234.15</v>
      </c>
      <c r="AL10" s="238">
        <v>202.7</v>
      </c>
      <c r="AM10" s="238">
        <v>191.72499999999999</v>
      </c>
      <c r="AN10" s="238">
        <v>201.27500000000001</v>
      </c>
      <c r="AO10" s="238">
        <v>226.95</v>
      </c>
      <c r="AP10" s="238">
        <v>251.04</v>
      </c>
      <c r="AQ10" s="238">
        <v>251.625</v>
      </c>
      <c r="AR10" s="238">
        <v>235.52500000000001</v>
      </c>
      <c r="AS10" s="238">
        <v>242.52</v>
      </c>
      <c r="AT10" s="238">
        <v>230.97499999999999</v>
      </c>
      <c r="AU10" s="238">
        <v>227.48</v>
      </c>
      <c r="AV10" s="238">
        <v>226.57499999999999</v>
      </c>
      <c r="AW10" s="238">
        <v>223.75</v>
      </c>
      <c r="AX10" s="238">
        <v>223.06</v>
      </c>
      <c r="AY10" s="238">
        <v>224.42500000000001</v>
      </c>
      <c r="AZ10" s="238">
        <v>211.42500000000001</v>
      </c>
      <c r="BA10" s="238">
        <v>195.2</v>
      </c>
      <c r="BB10" s="238">
        <v>157.15</v>
      </c>
      <c r="BC10" s="238">
        <v>153.19999999999999</v>
      </c>
      <c r="BD10" s="238">
        <v>175.2</v>
      </c>
      <c r="BE10" s="238">
        <v>186.5</v>
      </c>
      <c r="BF10" s="238">
        <v>185.3</v>
      </c>
      <c r="BG10" s="329">
        <v>186.1104</v>
      </c>
      <c r="BH10" s="329">
        <v>181.6156</v>
      </c>
      <c r="BI10" s="329">
        <v>177.5213</v>
      </c>
      <c r="BJ10" s="329">
        <v>173.14699999999999</v>
      </c>
      <c r="BK10" s="329">
        <v>174.0102</v>
      </c>
      <c r="BL10" s="329">
        <v>181.0112</v>
      </c>
      <c r="BM10" s="329">
        <v>193.46700000000001</v>
      </c>
      <c r="BN10" s="329">
        <v>206.29900000000001</v>
      </c>
      <c r="BO10" s="329">
        <v>210.4203</v>
      </c>
      <c r="BP10" s="329">
        <v>212.524</v>
      </c>
      <c r="BQ10" s="329">
        <v>209.5746</v>
      </c>
      <c r="BR10" s="329">
        <v>213.24100000000001</v>
      </c>
      <c r="BS10" s="329">
        <v>206.4787</v>
      </c>
      <c r="BT10" s="329">
        <v>200.16970000000001</v>
      </c>
      <c r="BU10" s="329">
        <v>197.40799999999999</v>
      </c>
      <c r="BV10" s="329">
        <v>195.97280000000001</v>
      </c>
    </row>
    <row r="11" spans="1:74" ht="11.1" customHeight="1" x14ac:dyDescent="0.2">
      <c r="A11" s="1" t="s">
        <v>508</v>
      </c>
      <c r="B11" s="183" t="s">
        <v>429</v>
      </c>
      <c r="C11" s="238">
        <v>191.92500000000001</v>
      </c>
      <c r="D11" s="238">
        <v>172.44</v>
      </c>
      <c r="E11" s="238">
        <v>187.5</v>
      </c>
      <c r="F11" s="238">
        <v>204.1</v>
      </c>
      <c r="G11" s="238">
        <v>224.8</v>
      </c>
      <c r="H11" s="238">
        <v>232.125</v>
      </c>
      <c r="I11" s="238">
        <v>228.32499999999999</v>
      </c>
      <c r="J11" s="238">
        <v>223.68</v>
      </c>
      <c r="K11" s="238">
        <v>226.3</v>
      </c>
      <c r="L11" s="238">
        <v>226.68</v>
      </c>
      <c r="M11" s="238">
        <v>220.85</v>
      </c>
      <c r="N11" s="238">
        <v>213.8</v>
      </c>
      <c r="O11" s="238">
        <v>225.36</v>
      </c>
      <c r="P11" s="238">
        <v>224.7</v>
      </c>
      <c r="Q11" s="238">
        <v>229.97499999999999</v>
      </c>
      <c r="R11" s="238">
        <v>235.47499999999999</v>
      </c>
      <c r="S11" s="238">
        <v>239.68</v>
      </c>
      <c r="T11" s="238">
        <v>241.4</v>
      </c>
      <c r="U11" s="238">
        <v>234</v>
      </c>
      <c r="V11" s="238">
        <v>243.45</v>
      </c>
      <c r="W11" s="238">
        <v>259.95</v>
      </c>
      <c r="X11" s="238">
        <v>253.58</v>
      </c>
      <c r="Y11" s="238">
        <v>254</v>
      </c>
      <c r="Z11" s="238">
        <v>249.35</v>
      </c>
      <c r="AA11" s="238">
        <v>245.76</v>
      </c>
      <c r="AB11" s="238">
        <v>248.65</v>
      </c>
      <c r="AC11" s="238">
        <v>245.77500000000001</v>
      </c>
      <c r="AD11" s="238">
        <v>270.94</v>
      </c>
      <c r="AE11" s="238">
        <v>292.55</v>
      </c>
      <c r="AF11" s="238">
        <v>298.05</v>
      </c>
      <c r="AG11" s="238">
        <v>294.72000000000003</v>
      </c>
      <c r="AH11" s="238">
        <v>295.625</v>
      </c>
      <c r="AI11" s="238">
        <v>301.07499999999999</v>
      </c>
      <c r="AJ11" s="238">
        <v>298.04000000000002</v>
      </c>
      <c r="AK11" s="238">
        <v>286.25</v>
      </c>
      <c r="AL11" s="238">
        <v>257.22000000000003</v>
      </c>
      <c r="AM11" s="238">
        <v>229.55</v>
      </c>
      <c r="AN11" s="238">
        <v>217.9</v>
      </c>
      <c r="AO11" s="238">
        <v>229.65</v>
      </c>
      <c r="AP11" s="238">
        <v>265</v>
      </c>
      <c r="AQ11" s="238">
        <v>296.10000000000002</v>
      </c>
      <c r="AR11" s="238">
        <v>292.64999999999998</v>
      </c>
      <c r="AS11" s="238">
        <v>276.66000000000003</v>
      </c>
      <c r="AT11" s="238">
        <v>267.7</v>
      </c>
      <c r="AU11" s="238">
        <v>266.44</v>
      </c>
      <c r="AV11" s="238">
        <v>272.07499999999999</v>
      </c>
      <c r="AW11" s="238">
        <v>281.75</v>
      </c>
      <c r="AX11" s="238">
        <v>273.82</v>
      </c>
      <c r="AY11" s="238">
        <v>259.375</v>
      </c>
      <c r="AZ11" s="238">
        <v>248.65</v>
      </c>
      <c r="BA11" s="238">
        <v>229.26</v>
      </c>
      <c r="BB11" s="238">
        <v>190.1</v>
      </c>
      <c r="BC11" s="238">
        <v>183.67500000000001</v>
      </c>
      <c r="BD11" s="238">
        <v>221.82</v>
      </c>
      <c r="BE11" s="238">
        <v>232.32499999999999</v>
      </c>
      <c r="BF11" s="238">
        <v>235.54</v>
      </c>
      <c r="BG11" s="329">
        <v>221.66139999999999</v>
      </c>
      <c r="BH11" s="329">
        <v>211.98</v>
      </c>
      <c r="BI11" s="329">
        <v>208.81440000000001</v>
      </c>
      <c r="BJ11" s="329">
        <v>204.3115</v>
      </c>
      <c r="BK11" s="329">
        <v>193.31299999999999</v>
      </c>
      <c r="BL11" s="329">
        <v>196.81139999999999</v>
      </c>
      <c r="BM11" s="329">
        <v>210.26150000000001</v>
      </c>
      <c r="BN11" s="329">
        <v>222.26750000000001</v>
      </c>
      <c r="BO11" s="329">
        <v>233.6729</v>
      </c>
      <c r="BP11" s="329">
        <v>232.61170000000001</v>
      </c>
      <c r="BQ11" s="329">
        <v>233.4597</v>
      </c>
      <c r="BR11" s="329">
        <v>236.1311</v>
      </c>
      <c r="BS11" s="329">
        <v>235.41210000000001</v>
      </c>
      <c r="BT11" s="329">
        <v>228.96340000000001</v>
      </c>
      <c r="BU11" s="329">
        <v>220.03960000000001</v>
      </c>
      <c r="BV11" s="329">
        <v>210.61600000000001</v>
      </c>
    </row>
    <row r="12" spans="1:74" ht="11.1" customHeight="1" x14ac:dyDescent="0.2">
      <c r="A12" s="1" t="s">
        <v>509</v>
      </c>
      <c r="B12" s="183" t="s">
        <v>430</v>
      </c>
      <c r="C12" s="238">
        <v>256.875</v>
      </c>
      <c r="D12" s="238">
        <v>225.06</v>
      </c>
      <c r="E12" s="238">
        <v>242.2</v>
      </c>
      <c r="F12" s="238">
        <v>258.25</v>
      </c>
      <c r="G12" s="238">
        <v>264.88</v>
      </c>
      <c r="H12" s="238">
        <v>272.57499999999999</v>
      </c>
      <c r="I12" s="238">
        <v>272.02499999999998</v>
      </c>
      <c r="J12" s="238">
        <v>257.72000000000003</v>
      </c>
      <c r="K12" s="238">
        <v>263.17500000000001</v>
      </c>
      <c r="L12" s="238">
        <v>268.2</v>
      </c>
      <c r="M12" s="238">
        <v>262.35000000000002</v>
      </c>
      <c r="N12" s="238">
        <v>257.05</v>
      </c>
      <c r="O12" s="238">
        <v>267.36</v>
      </c>
      <c r="P12" s="238">
        <v>274.45</v>
      </c>
      <c r="Q12" s="238">
        <v>284.5</v>
      </c>
      <c r="R12" s="238">
        <v>287.5</v>
      </c>
      <c r="S12" s="238">
        <v>290.12</v>
      </c>
      <c r="T12" s="238">
        <v>288</v>
      </c>
      <c r="U12" s="238">
        <v>281.64</v>
      </c>
      <c r="V12" s="238">
        <v>287.39999999999998</v>
      </c>
      <c r="W12" s="238">
        <v>302.02499999999998</v>
      </c>
      <c r="X12" s="238">
        <v>294.26</v>
      </c>
      <c r="Y12" s="238">
        <v>305.47500000000002</v>
      </c>
      <c r="Z12" s="238">
        <v>297.67500000000001</v>
      </c>
      <c r="AA12" s="238">
        <v>302.18</v>
      </c>
      <c r="AB12" s="238">
        <v>313.82499999999999</v>
      </c>
      <c r="AC12" s="238">
        <v>320</v>
      </c>
      <c r="AD12" s="238">
        <v>336.94</v>
      </c>
      <c r="AE12" s="238">
        <v>344.17500000000001</v>
      </c>
      <c r="AF12" s="238">
        <v>343.875</v>
      </c>
      <c r="AG12" s="238">
        <v>337.44</v>
      </c>
      <c r="AH12" s="238">
        <v>332.2</v>
      </c>
      <c r="AI12" s="238">
        <v>333.97500000000002</v>
      </c>
      <c r="AJ12" s="238">
        <v>347.24</v>
      </c>
      <c r="AK12" s="238">
        <v>337.67500000000001</v>
      </c>
      <c r="AL12" s="238">
        <v>313.26</v>
      </c>
      <c r="AM12" s="238">
        <v>296.92500000000001</v>
      </c>
      <c r="AN12" s="238">
        <v>292.22500000000002</v>
      </c>
      <c r="AO12" s="238">
        <v>302.35000000000002</v>
      </c>
      <c r="AP12" s="238">
        <v>351.24</v>
      </c>
      <c r="AQ12" s="238">
        <v>367.4</v>
      </c>
      <c r="AR12" s="238">
        <v>348.95</v>
      </c>
      <c r="AS12" s="238">
        <v>335.1</v>
      </c>
      <c r="AT12" s="238">
        <v>325.5</v>
      </c>
      <c r="AU12" s="238">
        <v>332.82</v>
      </c>
      <c r="AV12" s="238">
        <v>363.95</v>
      </c>
      <c r="AW12" s="238">
        <v>355.1</v>
      </c>
      <c r="AX12" s="238">
        <v>329.3</v>
      </c>
      <c r="AY12" s="238">
        <v>319.02499999999998</v>
      </c>
      <c r="AZ12" s="238">
        <v>314.375</v>
      </c>
      <c r="BA12" s="238">
        <v>298.06</v>
      </c>
      <c r="BB12" s="238">
        <v>255.77500000000001</v>
      </c>
      <c r="BC12" s="238">
        <v>248.1</v>
      </c>
      <c r="BD12" s="238">
        <v>267.27999999999997</v>
      </c>
      <c r="BE12" s="238">
        <v>280.2</v>
      </c>
      <c r="BF12" s="238">
        <v>284.04000000000002</v>
      </c>
      <c r="BG12" s="329">
        <v>278.99650000000003</v>
      </c>
      <c r="BH12" s="329">
        <v>273.93509999999998</v>
      </c>
      <c r="BI12" s="329">
        <v>272.68610000000001</v>
      </c>
      <c r="BJ12" s="329">
        <v>263.39429999999999</v>
      </c>
      <c r="BK12" s="329">
        <v>248.91059999999999</v>
      </c>
      <c r="BL12" s="329">
        <v>255.75550000000001</v>
      </c>
      <c r="BM12" s="329">
        <v>272.6062</v>
      </c>
      <c r="BN12" s="329">
        <v>291.0772</v>
      </c>
      <c r="BO12" s="329">
        <v>297.32850000000002</v>
      </c>
      <c r="BP12" s="329">
        <v>295.73390000000001</v>
      </c>
      <c r="BQ12" s="329">
        <v>290.95389999999998</v>
      </c>
      <c r="BR12" s="329">
        <v>296.0104</v>
      </c>
      <c r="BS12" s="329">
        <v>296.23039999999997</v>
      </c>
      <c r="BT12" s="329">
        <v>294.38920000000002</v>
      </c>
      <c r="BU12" s="329">
        <v>286.1232</v>
      </c>
      <c r="BV12" s="329">
        <v>268.89150000000001</v>
      </c>
    </row>
    <row r="13" spans="1:74" ht="11.1" customHeight="1" x14ac:dyDescent="0.2">
      <c r="A13" s="1" t="s">
        <v>510</v>
      </c>
      <c r="B13" s="183" t="s">
        <v>468</v>
      </c>
      <c r="C13" s="238">
        <v>194.85</v>
      </c>
      <c r="D13" s="238">
        <v>176.36</v>
      </c>
      <c r="E13" s="238">
        <v>196.875</v>
      </c>
      <c r="F13" s="238">
        <v>211.27500000000001</v>
      </c>
      <c r="G13" s="238">
        <v>226.82</v>
      </c>
      <c r="H13" s="238">
        <v>236.55</v>
      </c>
      <c r="I13" s="238">
        <v>223.9</v>
      </c>
      <c r="J13" s="238">
        <v>217.76</v>
      </c>
      <c r="K13" s="238">
        <v>221.85</v>
      </c>
      <c r="L13" s="238">
        <v>224.94</v>
      </c>
      <c r="M13" s="238">
        <v>218.15</v>
      </c>
      <c r="N13" s="238">
        <v>225.42500000000001</v>
      </c>
      <c r="O13" s="238">
        <v>234.9</v>
      </c>
      <c r="P13" s="238">
        <v>230.4</v>
      </c>
      <c r="Q13" s="238">
        <v>232.5</v>
      </c>
      <c r="R13" s="238">
        <v>241.72499999999999</v>
      </c>
      <c r="S13" s="238">
        <v>239.14</v>
      </c>
      <c r="T13" s="238">
        <v>234.65</v>
      </c>
      <c r="U13" s="238">
        <v>229.98</v>
      </c>
      <c r="V13" s="238">
        <v>238.02500000000001</v>
      </c>
      <c r="W13" s="238">
        <v>264.52499999999998</v>
      </c>
      <c r="X13" s="238">
        <v>250.5</v>
      </c>
      <c r="Y13" s="238">
        <v>256.35000000000002</v>
      </c>
      <c r="Z13" s="238">
        <v>247.67500000000001</v>
      </c>
      <c r="AA13" s="238">
        <v>255.46</v>
      </c>
      <c r="AB13" s="238">
        <v>258.72500000000002</v>
      </c>
      <c r="AC13" s="238">
        <v>259.125</v>
      </c>
      <c r="AD13" s="238">
        <v>275.7</v>
      </c>
      <c r="AE13" s="238">
        <v>290.07499999999999</v>
      </c>
      <c r="AF13" s="238">
        <v>289.07499999999999</v>
      </c>
      <c r="AG13" s="238">
        <v>284.86</v>
      </c>
      <c r="AH13" s="238">
        <v>283.57499999999999</v>
      </c>
      <c r="AI13" s="238">
        <v>283.55</v>
      </c>
      <c r="AJ13" s="238">
        <v>286</v>
      </c>
      <c r="AK13" s="238">
        <v>264.72500000000002</v>
      </c>
      <c r="AL13" s="238">
        <v>236.56</v>
      </c>
      <c r="AM13" s="238">
        <v>224.77500000000001</v>
      </c>
      <c r="AN13" s="238">
        <v>230.92500000000001</v>
      </c>
      <c r="AO13" s="238">
        <v>251.6</v>
      </c>
      <c r="AP13" s="238">
        <v>279.83999999999997</v>
      </c>
      <c r="AQ13" s="238">
        <v>285.92500000000001</v>
      </c>
      <c r="AR13" s="238">
        <v>271.57499999999999</v>
      </c>
      <c r="AS13" s="238">
        <v>274</v>
      </c>
      <c r="AT13" s="238">
        <v>262.10000000000002</v>
      </c>
      <c r="AU13" s="238">
        <v>259.22000000000003</v>
      </c>
      <c r="AV13" s="238">
        <v>262.7</v>
      </c>
      <c r="AW13" s="238">
        <v>259.77499999999998</v>
      </c>
      <c r="AX13" s="238">
        <v>255.5</v>
      </c>
      <c r="AY13" s="238">
        <v>254.77500000000001</v>
      </c>
      <c r="AZ13" s="238">
        <v>244.2</v>
      </c>
      <c r="BA13" s="238">
        <v>223.42</v>
      </c>
      <c r="BB13" s="238">
        <v>184.05</v>
      </c>
      <c r="BC13" s="238">
        <v>186.95</v>
      </c>
      <c r="BD13" s="238">
        <v>208.22</v>
      </c>
      <c r="BE13" s="238">
        <v>218.32499999999999</v>
      </c>
      <c r="BF13" s="238">
        <v>218.24</v>
      </c>
      <c r="BG13" s="329">
        <v>214.9041</v>
      </c>
      <c r="BH13" s="329">
        <v>209.4726</v>
      </c>
      <c r="BI13" s="329">
        <v>206.6344</v>
      </c>
      <c r="BJ13" s="329">
        <v>202.55699999999999</v>
      </c>
      <c r="BK13" s="329">
        <v>198.50239999999999</v>
      </c>
      <c r="BL13" s="329">
        <v>204.00729999999999</v>
      </c>
      <c r="BM13" s="329">
        <v>216.40629999999999</v>
      </c>
      <c r="BN13" s="329">
        <v>231.14590000000001</v>
      </c>
      <c r="BO13" s="329">
        <v>240.4855</v>
      </c>
      <c r="BP13" s="329">
        <v>242.6891</v>
      </c>
      <c r="BQ13" s="329">
        <v>240.87350000000001</v>
      </c>
      <c r="BR13" s="329">
        <v>242.17850000000001</v>
      </c>
      <c r="BS13" s="329">
        <v>233.2741</v>
      </c>
      <c r="BT13" s="329">
        <v>229.50190000000001</v>
      </c>
      <c r="BU13" s="329">
        <v>227.4434</v>
      </c>
      <c r="BV13" s="329">
        <v>221.54249999999999</v>
      </c>
    </row>
    <row r="14" spans="1:74" ht="11.1" customHeight="1" x14ac:dyDescent="0.2">
      <c r="A14" s="1" t="s">
        <v>533</v>
      </c>
      <c r="B14" s="10" t="s">
        <v>15</v>
      </c>
      <c r="C14" s="238">
        <v>205.65</v>
      </c>
      <c r="D14" s="238">
        <v>187.2</v>
      </c>
      <c r="E14" s="238">
        <v>207.07499999999999</v>
      </c>
      <c r="F14" s="238">
        <v>221.57499999999999</v>
      </c>
      <c r="G14" s="238">
        <v>237.1</v>
      </c>
      <c r="H14" s="238">
        <v>246.7</v>
      </c>
      <c r="I14" s="238">
        <v>234.5</v>
      </c>
      <c r="J14" s="238">
        <v>228.38</v>
      </c>
      <c r="K14" s="238">
        <v>232.65</v>
      </c>
      <c r="L14" s="238">
        <v>235.92</v>
      </c>
      <c r="M14" s="238">
        <v>229.5</v>
      </c>
      <c r="N14" s="238">
        <v>236.55</v>
      </c>
      <c r="O14" s="238">
        <v>245.84</v>
      </c>
      <c r="P14" s="238">
        <v>241.6</v>
      </c>
      <c r="Q14" s="238">
        <v>243.67500000000001</v>
      </c>
      <c r="R14" s="238">
        <v>252.75</v>
      </c>
      <c r="S14" s="238">
        <v>250.26</v>
      </c>
      <c r="T14" s="238">
        <v>246.02500000000001</v>
      </c>
      <c r="U14" s="238">
        <v>241.44</v>
      </c>
      <c r="V14" s="238">
        <v>249.4</v>
      </c>
      <c r="W14" s="238">
        <v>276.125</v>
      </c>
      <c r="X14" s="238">
        <v>262.10000000000002</v>
      </c>
      <c r="Y14" s="238">
        <v>267.75</v>
      </c>
      <c r="Z14" s="238">
        <v>259.375</v>
      </c>
      <c r="AA14" s="238">
        <v>267.12</v>
      </c>
      <c r="AB14" s="238">
        <v>270.47500000000002</v>
      </c>
      <c r="AC14" s="238">
        <v>270.89999999999998</v>
      </c>
      <c r="AD14" s="238">
        <v>287.32</v>
      </c>
      <c r="AE14" s="238">
        <v>298.67500000000001</v>
      </c>
      <c r="AF14" s="238">
        <v>296.95</v>
      </c>
      <c r="AG14" s="238">
        <v>292.77999999999997</v>
      </c>
      <c r="AH14" s="238">
        <v>291.42500000000001</v>
      </c>
      <c r="AI14" s="238">
        <v>291.47500000000002</v>
      </c>
      <c r="AJ14" s="238">
        <v>294.26</v>
      </c>
      <c r="AK14" s="238">
        <v>273.57499999999999</v>
      </c>
      <c r="AL14" s="238">
        <v>245.72</v>
      </c>
      <c r="AM14" s="238">
        <v>233.75</v>
      </c>
      <c r="AN14" s="238">
        <v>239.32499999999999</v>
      </c>
      <c r="AO14" s="238">
        <v>259.42500000000001</v>
      </c>
      <c r="AP14" s="238">
        <v>288.12</v>
      </c>
      <c r="AQ14" s="238">
        <v>294.625</v>
      </c>
      <c r="AR14" s="238">
        <v>280.35000000000002</v>
      </c>
      <c r="AS14" s="238">
        <v>282.32</v>
      </c>
      <c r="AT14" s="238">
        <v>270.67500000000001</v>
      </c>
      <c r="AU14" s="238">
        <v>268.14</v>
      </c>
      <c r="AV14" s="238">
        <v>272.39999999999998</v>
      </c>
      <c r="AW14" s="238">
        <v>269.32499999999999</v>
      </c>
      <c r="AX14" s="238">
        <v>264.5</v>
      </c>
      <c r="AY14" s="238">
        <v>263.55</v>
      </c>
      <c r="AZ14" s="238">
        <v>253.25</v>
      </c>
      <c r="BA14" s="238">
        <v>232.9</v>
      </c>
      <c r="BB14" s="238">
        <v>193.82499999999999</v>
      </c>
      <c r="BC14" s="238">
        <v>196.05</v>
      </c>
      <c r="BD14" s="238">
        <v>216.96</v>
      </c>
      <c r="BE14" s="238">
        <v>227.2</v>
      </c>
      <c r="BF14" s="238">
        <v>227.22</v>
      </c>
      <c r="BG14" s="329">
        <v>225.2929</v>
      </c>
      <c r="BH14" s="329">
        <v>220.90969999999999</v>
      </c>
      <c r="BI14" s="329">
        <v>218.78389999999999</v>
      </c>
      <c r="BJ14" s="329">
        <v>215.2379</v>
      </c>
      <c r="BK14" s="329">
        <v>211.3081</v>
      </c>
      <c r="BL14" s="329">
        <v>216.9778</v>
      </c>
      <c r="BM14" s="329">
        <v>229.25299999999999</v>
      </c>
      <c r="BN14" s="329">
        <v>244.07599999999999</v>
      </c>
      <c r="BO14" s="329">
        <v>253.48179999999999</v>
      </c>
      <c r="BP14" s="329">
        <v>255.5934</v>
      </c>
      <c r="BQ14" s="329">
        <v>253.99170000000001</v>
      </c>
      <c r="BR14" s="329">
        <v>255.36500000000001</v>
      </c>
      <c r="BS14" s="329">
        <v>246.57579999999999</v>
      </c>
      <c r="BT14" s="329">
        <v>243.00299999999999</v>
      </c>
      <c r="BU14" s="329">
        <v>241.10059999999999</v>
      </c>
      <c r="BV14" s="329">
        <v>235.37289999999999</v>
      </c>
    </row>
    <row r="15" spans="1:74" ht="11.1" customHeight="1" x14ac:dyDescent="0.2">
      <c r="A15" s="1"/>
      <c r="B15" s="10"/>
      <c r="C15" s="223"/>
      <c r="D15" s="223"/>
      <c r="E15" s="223"/>
      <c r="F15" s="223"/>
      <c r="G15" s="223"/>
      <c r="H15" s="223"/>
      <c r="I15" s="223"/>
      <c r="J15" s="223"/>
      <c r="K15" s="223"/>
      <c r="L15" s="223"/>
      <c r="M15" s="223"/>
      <c r="N15" s="223"/>
      <c r="O15" s="223"/>
      <c r="P15" s="223"/>
      <c r="Q15" s="223"/>
      <c r="R15" s="223"/>
      <c r="S15" s="223"/>
      <c r="T15" s="223"/>
      <c r="U15" s="223"/>
      <c r="V15" s="223"/>
      <c r="W15" s="223"/>
      <c r="X15" s="223"/>
      <c r="Y15" s="223"/>
      <c r="Z15" s="223"/>
      <c r="AA15" s="223"/>
      <c r="AB15" s="223"/>
      <c r="AC15" s="223"/>
      <c r="AD15" s="223"/>
      <c r="AE15" s="223"/>
      <c r="AF15" s="223"/>
      <c r="AG15" s="223"/>
      <c r="AH15" s="223"/>
      <c r="AI15" s="223"/>
      <c r="AJ15" s="223"/>
      <c r="AK15" s="223"/>
      <c r="AL15" s="223"/>
      <c r="AM15" s="223"/>
      <c r="AN15" s="223"/>
      <c r="AO15" s="223"/>
      <c r="AP15" s="223"/>
      <c r="AQ15" s="223"/>
      <c r="AR15" s="223"/>
      <c r="AS15" s="223"/>
      <c r="AT15" s="223"/>
      <c r="AU15" s="223"/>
      <c r="AV15" s="223"/>
      <c r="AW15" s="223"/>
      <c r="AX15" s="223"/>
      <c r="AY15" s="223"/>
      <c r="AZ15" s="223"/>
      <c r="BA15" s="223"/>
      <c r="BB15" s="223"/>
      <c r="BC15" s="223"/>
      <c r="BD15" s="223"/>
      <c r="BE15" s="223"/>
      <c r="BF15" s="223"/>
      <c r="BG15" s="392"/>
      <c r="BH15" s="392"/>
      <c r="BI15" s="392"/>
      <c r="BJ15" s="392"/>
      <c r="BK15" s="392"/>
      <c r="BL15" s="392"/>
      <c r="BM15" s="392"/>
      <c r="BN15" s="392"/>
      <c r="BO15" s="392"/>
      <c r="BP15" s="392"/>
      <c r="BQ15" s="392"/>
      <c r="BR15" s="392"/>
      <c r="BS15" s="392"/>
      <c r="BT15" s="392"/>
      <c r="BU15" s="392"/>
      <c r="BV15" s="392"/>
    </row>
    <row r="16" spans="1:74" ht="11.1" customHeight="1" x14ac:dyDescent="0.2">
      <c r="A16" s="1"/>
      <c r="B16" s="7" t="s">
        <v>759</v>
      </c>
      <c r="C16" s="225"/>
      <c r="D16" s="225"/>
      <c r="E16" s="225"/>
      <c r="F16" s="225"/>
      <c r="G16" s="225"/>
      <c r="H16" s="225"/>
      <c r="I16" s="225"/>
      <c r="J16" s="225"/>
      <c r="K16" s="225"/>
      <c r="L16" s="225"/>
      <c r="M16" s="225"/>
      <c r="N16" s="225"/>
      <c r="O16" s="225"/>
      <c r="P16" s="225"/>
      <c r="Q16" s="225"/>
      <c r="R16" s="225"/>
      <c r="S16" s="225"/>
      <c r="T16" s="225"/>
      <c r="U16" s="225"/>
      <c r="V16" s="225"/>
      <c r="W16" s="225"/>
      <c r="X16" s="225"/>
      <c r="Y16" s="225"/>
      <c r="Z16" s="225"/>
      <c r="AA16" s="225"/>
      <c r="AB16" s="225"/>
      <c r="AC16" s="225"/>
      <c r="AD16" s="225"/>
      <c r="AE16" s="225"/>
      <c r="AF16" s="225"/>
      <c r="AG16" s="225"/>
      <c r="AH16" s="225"/>
      <c r="AI16" s="225"/>
      <c r="AJ16" s="225"/>
      <c r="AK16" s="225"/>
      <c r="AL16" s="225"/>
      <c r="AM16" s="225"/>
      <c r="AN16" s="225"/>
      <c r="AO16" s="225"/>
      <c r="AP16" s="225"/>
      <c r="AQ16" s="225"/>
      <c r="AR16" s="225"/>
      <c r="AS16" s="225"/>
      <c r="AT16" s="225"/>
      <c r="AU16" s="225"/>
      <c r="AV16" s="225"/>
      <c r="AW16" s="225"/>
      <c r="AX16" s="225"/>
      <c r="AY16" s="225"/>
      <c r="AZ16" s="225"/>
      <c r="BA16" s="225"/>
      <c r="BB16" s="225"/>
      <c r="BC16" s="225"/>
      <c r="BD16" s="225"/>
      <c r="BE16" s="225"/>
      <c r="BF16" s="225"/>
      <c r="BG16" s="393"/>
      <c r="BH16" s="393"/>
      <c r="BI16" s="393"/>
      <c r="BJ16" s="393"/>
      <c r="BK16" s="393"/>
      <c r="BL16" s="393"/>
      <c r="BM16" s="393"/>
      <c r="BN16" s="393"/>
      <c r="BO16" s="393"/>
      <c r="BP16" s="393"/>
      <c r="BQ16" s="393"/>
      <c r="BR16" s="393"/>
      <c r="BS16" s="393"/>
      <c r="BT16" s="393"/>
      <c r="BU16" s="393"/>
      <c r="BV16" s="393"/>
    </row>
    <row r="17" spans="1:74" ht="11.1" customHeight="1" x14ac:dyDescent="0.2">
      <c r="A17" s="1"/>
      <c r="B17" s="7" t="s">
        <v>116</v>
      </c>
      <c r="C17" s="226"/>
      <c r="D17" s="226"/>
      <c r="E17" s="226"/>
      <c r="F17" s="226"/>
      <c r="G17" s="226"/>
      <c r="H17" s="226"/>
      <c r="I17" s="226"/>
      <c r="J17" s="226"/>
      <c r="K17" s="226"/>
      <c r="L17" s="226"/>
      <c r="M17" s="226"/>
      <c r="N17" s="226"/>
      <c r="O17" s="226"/>
      <c r="P17" s="226"/>
      <c r="Q17" s="226"/>
      <c r="R17" s="226"/>
      <c r="S17" s="226"/>
      <c r="T17" s="226"/>
      <c r="U17" s="226"/>
      <c r="V17" s="226"/>
      <c r="W17" s="226"/>
      <c r="X17" s="226"/>
      <c r="Y17" s="226"/>
      <c r="Z17" s="226"/>
      <c r="AA17" s="226"/>
      <c r="AB17" s="226"/>
      <c r="AC17" s="226"/>
      <c r="AD17" s="226"/>
      <c r="AE17" s="226"/>
      <c r="AF17" s="226"/>
      <c r="AG17" s="226"/>
      <c r="AH17" s="226"/>
      <c r="AI17" s="226"/>
      <c r="AJ17" s="226"/>
      <c r="AK17" s="226"/>
      <c r="AL17" s="226"/>
      <c r="AM17" s="226"/>
      <c r="AN17" s="226"/>
      <c r="AO17" s="226"/>
      <c r="AP17" s="226"/>
      <c r="AQ17" s="226"/>
      <c r="AR17" s="226"/>
      <c r="AS17" s="226"/>
      <c r="AT17" s="226"/>
      <c r="AU17" s="226"/>
      <c r="AV17" s="226"/>
      <c r="AW17" s="226"/>
      <c r="AX17" s="226"/>
      <c r="AY17" s="226"/>
      <c r="AZ17" s="226"/>
      <c r="BA17" s="226"/>
      <c r="BB17" s="226"/>
      <c r="BC17" s="226"/>
      <c r="BD17" s="226"/>
      <c r="BE17" s="226"/>
      <c r="BF17" s="226"/>
      <c r="BG17" s="394"/>
      <c r="BH17" s="394"/>
      <c r="BI17" s="394"/>
      <c r="BJ17" s="394"/>
      <c r="BK17" s="394"/>
      <c r="BL17" s="394"/>
      <c r="BM17" s="394"/>
      <c r="BN17" s="394"/>
      <c r="BO17" s="394"/>
      <c r="BP17" s="394"/>
      <c r="BQ17" s="394"/>
      <c r="BR17" s="394"/>
      <c r="BS17" s="394"/>
      <c r="BT17" s="394"/>
      <c r="BU17" s="394"/>
      <c r="BV17" s="394"/>
    </row>
    <row r="18" spans="1:74" ht="11.1" customHeight="1" x14ac:dyDescent="0.2">
      <c r="A18" s="1" t="s">
        <v>495</v>
      </c>
      <c r="B18" s="183" t="s">
        <v>426</v>
      </c>
      <c r="C18" s="68">
        <v>70.308999999999997</v>
      </c>
      <c r="D18" s="68">
        <v>71.066000000000003</v>
      </c>
      <c r="E18" s="68">
        <v>65.92</v>
      </c>
      <c r="F18" s="68">
        <v>69.090999999999994</v>
      </c>
      <c r="G18" s="68">
        <v>69.707999999999998</v>
      </c>
      <c r="H18" s="68">
        <v>73.138000000000005</v>
      </c>
      <c r="I18" s="68">
        <v>72.616</v>
      </c>
      <c r="J18" s="68">
        <v>65.183999999999997</v>
      </c>
      <c r="K18" s="68">
        <v>58.841999999999999</v>
      </c>
      <c r="L18" s="68">
        <v>60.975000000000001</v>
      </c>
      <c r="M18" s="68">
        <v>63.052</v>
      </c>
      <c r="N18" s="68">
        <v>65.379000000000005</v>
      </c>
      <c r="O18" s="68">
        <v>74.582999999999998</v>
      </c>
      <c r="P18" s="68">
        <v>72.956999999999994</v>
      </c>
      <c r="Q18" s="68">
        <v>65.468999999999994</v>
      </c>
      <c r="R18" s="68">
        <v>68.481999999999999</v>
      </c>
      <c r="S18" s="68">
        <v>70.683999999999997</v>
      </c>
      <c r="T18" s="68">
        <v>67.745000000000005</v>
      </c>
      <c r="U18" s="68">
        <v>64.144000000000005</v>
      </c>
      <c r="V18" s="68">
        <v>60.66</v>
      </c>
      <c r="W18" s="68">
        <v>59.006999999999998</v>
      </c>
      <c r="X18" s="68">
        <v>54.456000000000003</v>
      </c>
      <c r="Y18" s="68">
        <v>58.906999999999996</v>
      </c>
      <c r="Z18" s="68">
        <v>60.642000000000003</v>
      </c>
      <c r="AA18" s="68">
        <v>65.037000000000006</v>
      </c>
      <c r="AB18" s="68">
        <v>63.106000000000002</v>
      </c>
      <c r="AC18" s="68">
        <v>58.372</v>
      </c>
      <c r="AD18" s="68">
        <v>64.718000000000004</v>
      </c>
      <c r="AE18" s="68">
        <v>68.311000000000007</v>
      </c>
      <c r="AF18" s="68">
        <v>66.777000000000001</v>
      </c>
      <c r="AG18" s="68">
        <v>64.870999999999995</v>
      </c>
      <c r="AH18" s="68">
        <v>66.650999999999996</v>
      </c>
      <c r="AI18" s="68">
        <v>70.203999999999994</v>
      </c>
      <c r="AJ18" s="68">
        <v>66.430000000000007</v>
      </c>
      <c r="AK18" s="68">
        <v>60.886000000000003</v>
      </c>
      <c r="AL18" s="68">
        <v>62.893999999999998</v>
      </c>
      <c r="AM18" s="68">
        <v>72.680000000000007</v>
      </c>
      <c r="AN18" s="68">
        <v>65.840999999999994</v>
      </c>
      <c r="AO18" s="68">
        <v>62.460999999999999</v>
      </c>
      <c r="AP18" s="68">
        <v>60.741999999999997</v>
      </c>
      <c r="AQ18" s="68">
        <v>65.733999999999995</v>
      </c>
      <c r="AR18" s="68">
        <v>59.764000000000003</v>
      </c>
      <c r="AS18" s="68">
        <v>61.113999999999997</v>
      </c>
      <c r="AT18" s="68">
        <v>65.254000000000005</v>
      </c>
      <c r="AU18" s="68">
        <v>64.953999999999994</v>
      </c>
      <c r="AV18" s="68">
        <v>60.265000000000001</v>
      </c>
      <c r="AW18" s="68">
        <v>61.238999999999997</v>
      </c>
      <c r="AX18" s="68">
        <v>65.614000000000004</v>
      </c>
      <c r="AY18" s="68">
        <v>68.144000000000005</v>
      </c>
      <c r="AZ18" s="68">
        <v>63.783999999999999</v>
      </c>
      <c r="BA18" s="68">
        <v>71.003</v>
      </c>
      <c r="BB18" s="68">
        <v>70.222999999999999</v>
      </c>
      <c r="BC18" s="68">
        <v>74.36</v>
      </c>
      <c r="BD18" s="68">
        <v>73.025999999999996</v>
      </c>
      <c r="BE18" s="68">
        <v>68.463285713999994</v>
      </c>
      <c r="BF18" s="68">
        <v>62.240838709999998</v>
      </c>
      <c r="BG18" s="325">
        <v>60.389180000000003</v>
      </c>
      <c r="BH18" s="325">
        <v>57.115989999999996</v>
      </c>
      <c r="BI18" s="325">
        <v>56.881570000000004</v>
      </c>
      <c r="BJ18" s="325">
        <v>59.163620000000002</v>
      </c>
      <c r="BK18" s="325">
        <v>64.581490000000002</v>
      </c>
      <c r="BL18" s="325">
        <v>63.022950000000002</v>
      </c>
      <c r="BM18" s="325">
        <v>58.662880000000001</v>
      </c>
      <c r="BN18" s="325">
        <v>60.40869</v>
      </c>
      <c r="BO18" s="325">
        <v>62.12039</v>
      </c>
      <c r="BP18" s="325">
        <v>60.720129999999997</v>
      </c>
      <c r="BQ18" s="325">
        <v>59.134320000000002</v>
      </c>
      <c r="BR18" s="325">
        <v>58.086039999999997</v>
      </c>
      <c r="BS18" s="325">
        <v>58.010910000000003</v>
      </c>
      <c r="BT18" s="325">
        <v>55.559530000000002</v>
      </c>
      <c r="BU18" s="325">
        <v>56.26426</v>
      </c>
      <c r="BV18" s="325">
        <v>58.24344</v>
      </c>
    </row>
    <row r="19" spans="1:74" ht="11.1" customHeight="1" x14ac:dyDescent="0.2">
      <c r="A19" s="1" t="s">
        <v>496</v>
      </c>
      <c r="B19" s="183" t="s">
        <v>427</v>
      </c>
      <c r="C19" s="68">
        <v>62.335999999999999</v>
      </c>
      <c r="D19" s="68">
        <v>60.365000000000002</v>
      </c>
      <c r="E19" s="68">
        <v>57.094000000000001</v>
      </c>
      <c r="F19" s="68">
        <v>54.581000000000003</v>
      </c>
      <c r="G19" s="68">
        <v>54.210999999999999</v>
      </c>
      <c r="H19" s="68">
        <v>53.898000000000003</v>
      </c>
      <c r="I19" s="68">
        <v>51.933</v>
      </c>
      <c r="J19" s="68">
        <v>51.959000000000003</v>
      </c>
      <c r="K19" s="68">
        <v>51.100999999999999</v>
      </c>
      <c r="L19" s="68">
        <v>49.811</v>
      </c>
      <c r="M19" s="68">
        <v>50.31</v>
      </c>
      <c r="N19" s="68">
        <v>53.228999999999999</v>
      </c>
      <c r="O19" s="68">
        <v>60.494</v>
      </c>
      <c r="P19" s="68">
        <v>60.249000000000002</v>
      </c>
      <c r="Q19" s="68">
        <v>57.338999999999999</v>
      </c>
      <c r="R19" s="68">
        <v>56.828000000000003</v>
      </c>
      <c r="S19" s="68">
        <v>55.45</v>
      </c>
      <c r="T19" s="68">
        <v>53.587000000000003</v>
      </c>
      <c r="U19" s="68">
        <v>53.143999999999998</v>
      </c>
      <c r="V19" s="68">
        <v>51.524999999999999</v>
      </c>
      <c r="W19" s="68">
        <v>50.366</v>
      </c>
      <c r="X19" s="68">
        <v>45.863</v>
      </c>
      <c r="Y19" s="68">
        <v>47.896999999999998</v>
      </c>
      <c r="Z19" s="68">
        <v>52.209000000000003</v>
      </c>
      <c r="AA19" s="68">
        <v>57.692</v>
      </c>
      <c r="AB19" s="68">
        <v>60.232999999999997</v>
      </c>
      <c r="AC19" s="68">
        <v>57.183</v>
      </c>
      <c r="AD19" s="68">
        <v>57.2</v>
      </c>
      <c r="AE19" s="68">
        <v>53.886000000000003</v>
      </c>
      <c r="AF19" s="68">
        <v>53.488</v>
      </c>
      <c r="AG19" s="68">
        <v>53.406999999999996</v>
      </c>
      <c r="AH19" s="68">
        <v>53.040999999999997</v>
      </c>
      <c r="AI19" s="68">
        <v>53.164000000000001</v>
      </c>
      <c r="AJ19" s="68">
        <v>47.779000000000003</v>
      </c>
      <c r="AK19" s="68">
        <v>49.088000000000001</v>
      </c>
      <c r="AL19" s="68">
        <v>56.136000000000003</v>
      </c>
      <c r="AM19" s="68">
        <v>60.779000000000003</v>
      </c>
      <c r="AN19" s="68">
        <v>59.04</v>
      </c>
      <c r="AO19" s="68">
        <v>54.545000000000002</v>
      </c>
      <c r="AP19" s="68">
        <v>51.552</v>
      </c>
      <c r="AQ19" s="68">
        <v>47.444000000000003</v>
      </c>
      <c r="AR19" s="68">
        <v>49.584000000000003</v>
      </c>
      <c r="AS19" s="68">
        <v>50.218000000000004</v>
      </c>
      <c r="AT19" s="68">
        <v>51.265000000000001</v>
      </c>
      <c r="AU19" s="68">
        <v>51.040999999999997</v>
      </c>
      <c r="AV19" s="68">
        <v>47.15</v>
      </c>
      <c r="AW19" s="68">
        <v>49.234999999999999</v>
      </c>
      <c r="AX19" s="68">
        <v>55.015999999999998</v>
      </c>
      <c r="AY19" s="68">
        <v>57.926000000000002</v>
      </c>
      <c r="AZ19" s="68">
        <v>58.877000000000002</v>
      </c>
      <c r="BA19" s="68">
        <v>60.194000000000003</v>
      </c>
      <c r="BB19" s="68">
        <v>56.463999999999999</v>
      </c>
      <c r="BC19" s="68">
        <v>56.115000000000002</v>
      </c>
      <c r="BD19" s="68">
        <v>52.628999999999998</v>
      </c>
      <c r="BE19" s="68">
        <v>50.638571429000002</v>
      </c>
      <c r="BF19" s="68">
        <v>48.845289676999997</v>
      </c>
      <c r="BG19" s="325">
        <v>49.15164</v>
      </c>
      <c r="BH19" s="325">
        <v>47.28369</v>
      </c>
      <c r="BI19" s="325">
        <v>48.324979999999996</v>
      </c>
      <c r="BJ19" s="325">
        <v>51.357399999999998</v>
      </c>
      <c r="BK19" s="325">
        <v>55.262099999999997</v>
      </c>
      <c r="BL19" s="325">
        <v>56.744840000000003</v>
      </c>
      <c r="BM19" s="325">
        <v>54.299259999999997</v>
      </c>
      <c r="BN19" s="325">
        <v>53.384880000000003</v>
      </c>
      <c r="BO19" s="325">
        <v>52.889690000000002</v>
      </c>
      <c r="BP19" s="325">
        <v>53.852170000000001</v>
      </c>
      <c r="BQ19" s="325">
        <v>53.07499</v>
      </c>
      <c r="BR19" s="325">
        <v>51.646329999999999</v>
      </c>
      <c r="BS19" s="325">
        <v>52.828870000000002</v>
      </c>
      <c r="BT19" s="325">
        <v>49.804920000000003</v>
      </c>
      <c r="BU19" s="325">
        <v>49.391629999999999</v>
      </c>
      <c r="BV19" s="325">
        <v>50.40052</v>
      </c>
    </row>
    <row r="20" spans="1:74" ht="11.1" customHeight="1" x14ac:dyDescent="0.2">
      <c r="A20" s="1" t="s">
        <v>497</v>
      </c>
      <c r="B20" s="183" t="s">
        <v>428</v>
      </c>
      <c r="C20" s="68">
        <v>86.569000000000003</v>
      </c>
      <c r="D20" s="68">
        <v>83.823999999999998</v>
      </c>
      <c r="E20" s="68">
        <v>82.876999999999995</v>
      </c>
      <c r="F20" s="68">
        <v>82.477000000000004</v>
      </c>
      <c r="G20" s="68">
        <v>82.111000000000004</v>
      </c>
      <c r="H20" s="68">
        <v>80.28</v>
      </c>
      <c r="I20" s="68">
        <v>79.007000000000005</v>
      </c>
      <c r="J20" s="68">
        <v>78.138000000000005</v>
      </c>
      <c r="K20" s="68">
        <v>83.221000000000004</v>
      </c>
      <c r="L20" s="68">
        <v>79.302000000000007</v>
      </c>
      <c r="M20" s="68">
        <v>82.506</v>
      </c>
      <c r="N20" s="68">
        <v>82.783000000000001</v>
      </c>
      <c r="O20" s="68">
        <v>86.447000000000003</v>
      </c>
      <c r="P20" s="68">
        <v>81.206999999999994</v>
      </c>
      <c r="Q20" s="68">
        <v>79.147999999999996</v>
      </c>
      <c r="R20" s="68">
        <v>80.278999999999996</v>
      </c>
      <c r="S20" s="68">
        <v>81.254000000000005</v>
      </c>
      <c r="T20" s="68">
        <v>82.403999999999996</v>
      </c>
      <c r="U20" s="68">
        <v>81.641999999999996</v>
      </c>
      <c r="V20" s="68">
        <v>80.844999999999999</v>
      </c>
      <c r="W20" s="68">
        <v>77.695999999999998</v>
      </c>
      <c r="X20" s="68">
        <v>80.370999999999995</v>
      </c>
      <c r="Y20" s="68">
        <v>80.144000000000005</v>
      </c>
      <c r="Z20" s="68">
        <v>83.304000000000002</v>
      </c>
      <c r="AA20" s="68">
        <v>84.108000000000004</v>
      </c>
      <c r="AB20" s="68">
        <v>87.947999999999993</v>
      </c>
      <c r="AC20" s="68">
        <v>84.445999999999998</v>
      </c>
      <c r="AD20" s="68">
        <v>80.048000000000002</v>
      </c>
      <c r="AE20" s="68">
        <v>82.352999999999994</v>
      </c>
      <c r="AF20" s="68">
        <v>82.534000000000006</v>
      </c>
      <c r="AG20" s="68">
        <v>78.759</v>
      </c>
      <c r="AH20" s="68">
        <v>80.692999999999998</v>
      </c>
      <c r="AI20" s="68">
        <v>80.802999999999997</v>
      </c>
      <c r="AJ20" s="68">
        <v>84.022999999999996</v>
      </c>
      <c r="AK20" s="68">
        <v>84.421999999999997</v>
      </c>
      <c r="AL20" s="68">
        <v>90.756</v>
      </c>
      <c r="AM20" s="68">
        <v>88.73</v>
      </c>
      <c r="AN20" s="68">
        <v>88.257000000000005</v>
      </c>
      <c r="AO20" s="68">
        <v>82.307000000000002</v>
      </c>
      <c r="AP20" s="68">
        <v>84.004000000000005</v>
      </c>
      <c r="AQ20" s="68">
        <v>84.486000000000004</v>
      </c>
      <c r="AR20" s="68">
        <v>82.552000000000007</v>
      </c>
      <c r="AS20" s="68">
        <v>84.76</v>
      </c>
      <c r="AT20" s="68">
        <v>77.432000000000002</v>
      </c>
      <c r="AU20" s="68">
        <v>81.572000000000003</v>
      </c>
      <c r="AV20" s="68">
        <v>82.971000000000004</v>
      </c>
      <c r="AW20" s="68">
        <v>84.799000000000007</v>
      </c>
      <c r="AX20" s="68">
        <v>91.989000000000004</v>
      </c>
      <c r="AY20" s="68">
        <v>96.882000000000005</v>
      </c>
      <c r="AZ20" s="68">
        <v>88.129000000000005</v>
      </c>
      <c r="BA20" s="68">
        <v>84.813999999999993</v>
      </c>
      <c r="BB20" s="68">
        <v>90.629000000000005</v>
      </c>
      <c r="BC20" s="68">
        <v>90.52</v>
      </c>
      <c r="BD20" s="68">
        <v>90.509</v>
      </c>
      <c r="BE20" s="68">
        <v>92.037142857000006</v>
      </c>
      <c r="BF20" s="68">
        <v>86.423016129000004</v>
      </c>
      <c r="BG20" s="325">
        <v>86.626300000000001</v>
      </c>
      <c r="BH20" s="325">
        <v>86.022049999999993</v>
      </c>
      <c r="BI20" s="325">
        <v>86.857079999999996</v>
      </c>
      <c r="BJ20" s="325">
        <v>88.425600000000003</v>
      </c>
      <c r="BK20" s="325">
        <v>86.244150000000005</v>
      </c>
      <c r="BL20" s="325">
        <v>85.265270000000001</v>
      </c>
      <c r="BM20" s="325">
        <v>82.431319999999999</v>
      </c>
      <c r="BN20" s="325">
        <v>80.82638</v>
      </c>
      <c r="BO20" s="325">
        <v>81.545119999999997</v>
      </c>
      <c r="BP20" s="325">
        <v>80.507750000000001</v>
      </c>
      <c r="BQ20" s="325">
        <v>80.381</v>
      </c>
      <c r="BR20" s="325">
        <v>78.678790000000006</v>
      </c>
      <c r="BS20" s="325">
        <v>80.262140000000002</v>
      </c>
      <c r="BT20" s="325">
        <v>80.464870000000005</v>
      </c>
      <c r="BU20" s="325">
        <v>81.735960000000006</v>
      </c>
      <c r="BV20" s="325">
        <v>86.252390000000005</v>
      </c>
    </row>
    <row r="21" spans="1:74" ht="11.1" customHeight="1" x14ac:dyDescent="0.2">
      <c r="A21" s="1" t="s">
        <v>498</v>
      </c>
      <c r="B21" s="183" t="s">
        <v>429</v>
      </c>
      <c r="C21" s="68">
        <v>8.0009999999999994</v>
      </c>
      <c r="D21" s="68">
        <v>8.3789999999999996</v>
      </c>
      <c r="E21" s="68">
        <v>8.3859999999999992</v>
      </c>
      <c r="F21" s="68">
        <v>7.6059999999999999</v>
      </c>
      <c r="G21" s="68">
        <v>7.5670000000000002</v>
      </c>
      <c r="H21" s="68">
        <v>7.444</v>
      </c>
      <c r="I21" s="68">
        <v>7.4180000000000001</v>
      </c>
      <c r="J21" s="68">
        <v>6.8330000000000002</v>
      </c>
      <c r="K21" s="68">
        <v>6.9370000000000003</v>
      </c>
      <c r="L21" s="68">
        <v>7.2949999999999999</v>
      </c>
      <c r="M21" s="68">
        <v>8.0960000000000001</v>
      </c>
      <c r="N21" s="68">
        <v>7.91</v>
      </c>
      <c r="O21" s="68">
        <v>8.6150000000000002</v>
      </c>
      <c r="P21" s="68">
        <v>8.4559999999999995</v>
      </c>
      <c r="Q21" s="68">
        <v>7.94</v>
      </c>
      <c r="R21" s="68">
        <v>7.8090000000000002</v>
      </c>
      <c r="S21" s="68">
        <v>7.665</v>
      </c>
      <c r="T21" s="68">
        <v>7.0209999999999999</v>
      </c>
      <c r="U21" s="68">
        <v>6.6959999999999997</v>
      </c>
      <c r="V21" s="68">
        <v>6.5069999999999997</v>
      </c>
      <c r="W21" s="68">
        <v>6.8940000000000001</v>
      </c>
      <c r="X21" s="68">
        <v>7.08</v>
      </c>
      <c r="Y21" s="68">
        <v>7.1120000000000001</v>
      </c>
      <c r="Z21" s="68">
        <v>7.5579999999999998</v>
      </c>
      <c r="AA21" s="68">
        <v>7.65</v>
      </c>
      <c r="AB21" s="68">
        <v>8.4</v>
      </c>
      <c r="AC21" s="68">
        <v>7.7110000000000003</v>
      </c>
      <c r="AD21" s="68">
        <v>7.17</v>
      </c>
      <c r="AE21" s="68">
        <v>6.7930000000000001</v>
      </c>
      <c r="AF21" s="68">
        <v>7.2750000000000004</v>
      </c>
      <c r="AG21" s="68">
        <v>6.9660000000000002</v>
      </c>
      <c r="AH21" s="68">
        <v>6.4059999999999997</v>
      </c>
      <c r="AI21" s="68">
        <v>6.9980000000000002</v>
      </c>
      <c r="AJ21" s="68">
        <v>6.8159999999999998</v>
      </c>
      <c r="AK21" s="68">
        <v>6.9390000000000001</v>
      </c>
      <c r="AL21" s="68">
        <v>7.3239999999999998</v>
      </c>
      <c r="AM21" s="68">
        <v>7.4989999999999997</v>
      </c>
      <c r="AN21" s="68">
        <v>7.3940000000000001</v>
      </c>
      <c r="AO21" s="68">
        <v>6.8609999999999998</v>
      </c>
      <c r="AP21" s="68">
        <v>6.5670000000000002</v>
      </c>
      <c r="AQ21" s="68">
        <v>7.2229999999999999</v>
      </c>
      <c r="AR21" s="68">
        <v>7.4569999999999999</v>
      </c>
      <c r="AS21" s="68">
        <v>7.4349999999999996</v>
      </c>
      <c r="AT21" s="68">
        <v>7.4370000000000003</v>
      </c>
      <c r="AU21" s="68">
        <v>7.6509999999999998</v>
      </c>
      <c r="AV21" s="68">
        <v>6.6660000000000004</v>
      </c>
      <c r="AW21" s="68">
        <v>7.3140000000000001</v>
      </c>
      <c r="AX21" s="68">
        <v>8.2789999999999999</v>
      </c>
      <c r="AY21" s="68">
        <v>8.8759999999999994</v>
      </c>
      <c r="AZ21" s="68">
        <v>8.9629999999999992</v>
      </c>
      <c r="BA21" s="68">
        <v>9.2200000000000006</v>
      </c>
      <c r="BB21" s="68">
        <v>8.3729999999999993</v>
      </c>
      <c r="BC21" s="68">
        <v>7.4850000000000003</v>
      </c>
      <c r="BD21" s="68">
        <v>7.6550000000000002</v>
      </c>
      <c r="BE21" s="68">
        <v>7.2112857142999998</v>
      </c>
      <c r="BF21" s="68">
        <v>6.9136823225999997</v>
      </c>
      <c r="BG21" s="325">
        <v>6.8805529999999999</v>
      </c>
      <c r="BH21" s="325">
        <v>6.8442100000000003</v>
      </c>
      <c r="BI21" s="325">
        <v>7.406714</v>
      </c>
      <c r="BJ21" s="325">
        <v>7.2212829999999997</v>
      </c>
      <c r="BK21" s="325">
        <v>7.5379300000000002</v>
      </c>
      <c r="BL21" s="325">
        <v>7.6255480000000002</v>
      </c>
      <c r="BM21" s="325">
        <v>7.6240399999999999</v>
      </c>
      <c r="BN21" s="325">
        <v>7.4484880000000002</v>
      </c>
      <c r="BO21" s="325">
        <v>7.5729420000000003</v>
      </c>
      <c r="BP21" s="325">
        <v>7.8089769999999996</v>
      </c>
      <c r="BQ21" s="325">
        <v>7.4168909999999997</v>
      </c>
      <c r="BR21" s="325">
        <v>7.3261710000000004</v>
      </c>
      <c r="BS21" s="325">
        <v>7.447165</v>
      </c>
      <c r="BT21" s="325">
        <v>7.5398519999999998</v>
      </c>
      <c r="BU21" s="325">
        <v>8.0406630000000003</v>
      </c>
      <c r="BV21" s="325">
        <v>7.8443639999999997</v>
      </c>
    </row>
    <row r="22" spans="1:74" ht="11.1" customHeight="1" x14ac:dyDescent="0.2">
      <c r="A22" s="1" t="s">
        <v>499</v>
      </c>
      <c r="B22" s="183" t="s">
        <v>430</v>
      </c>
      <c r="C22" s="68">
        <v>34.433</v>
      </c>
      <c r="D22" s="68">
        <v>32.585000000000001</v>
      </c>
      <c r="E22" s="68">
        <v>29.439</v>
      </c>
      <c r="F22" s="68">
        <v>29.724</v>
      </c>
      <c r="G22" s="68">
        <v>29.812000000000001</v>
      </c>
      <c r="H22" s="68">
        <v>27.902000000000001</v>
      </c>
      <c r="I22" s="68">
        <v>29.957999999999998</v>
      </c>
      <c r="J22" s="68">
        <v>28.297000000000001</v>
      </c>
      <c r="K22" s="68">
        <v>27.596</v>
      </c>
      <c r="L22" s="68">
        <v>28.210999999999999</v>
      </c>
      <c r="M22" s="68">
        <v>29.878</v>
      </c>
      <c r="N22" s="68">
        <v>29.286000000000001</v>
      </c>
      <c r="O22" s="68">
        <v>30.97</v>
      </c>
      <c r="P22" s="68">
        <v>30.765999999999998</v>
      </c>
      <c r="Q22" s="68">
        <v>29.661999999999999</v>
      </c>
      <c r="R22" s="68">
        <v>30.113</v>
      </c>
      <c r="S22" s="68">
        <v>27.431000000000001</v>
      </c>
      <c r="T22" s="68">
        <v>27.66</v>
      </c>
      <c r="U22" s="68">
        <v>27.233000000000001</v>
      </c>
      <c r="V22" s="68">
        <v>27.251000000000001</v>
      </c>
      <c r="W22" s="68">
        <v>29.241</v>
      </c>
      <c r="X22" s="68">
        <v>28.126000000000001</v>
      </c>
      <c r="Y22" s="68">
        <v>30.858000000000001</v>
      </c>
      <c r="Z22" s="68">
        <v>33.103000000000002</v>
      </c>
      <c r="AA22" s="68">
        <v>34.4</v>
      </c>
      <c r="AB22" s="68">
        <v>33.561999999999998</v>
      </c>
      <c r="AC22" s="68">
        <v>31.957999999999998</v>
      </c>
      <c r="AD22" s="68">
        <v>31.009</v>
      </c>
      <c r="AE22" s="68">
        <v>31.544</v>
      </c>
      <c r="AF22" s="68">
        <v>30.641999999999999</v>
      </c>
      <c r="AG22" s="68">
        <v>30.29</v>
      </c>
      <c r="AH22" s="68">
        <v>29.510999999999999</v>
      </c>
      <c r="AI22" s="68">
        <v>28.800999999999998</v>
      </c>
      <c r="AJ22" s="68">
        <v>27.623999999999999</v>
      </c>
      <c r="AK22" s="68">
        <v>28.901</v>
      </c>
      <c r="AL22" s="68">
        <v>29.39</v>
      </c>
      <c r="AM22" s="68">
        <v>32.677999999999997</v>
      </c>
      <c r="AN22" s="68">
        <v>31.526</v>
      </c>
      <c r="AO22" s="68">
        <v>30.381</v>
      </c>
      <c r="AP22" s="68">
        <v>28.004000000000001</v>
      </c>
      <c r="AQ22" s="68">
        <v>30.943000000000001</v>
      </c>
      <c r="AR22" s="68">
        <v>30.556999999999999</v>
      </c>
      <c r="AS22" s="68">
        <v>31.907</v>
      </c>
      <c r="AT22" s="68">
        <v>28.974</v>
      </c>
      <c r="AU22" s="68">
        <v>26.824999999999999</v>
      </c>
      <c r="AV22" s="68">
        <v>27.420999999999999</v>
      </c>
      <c r="AW22" s="68">
        <v>31.103999999999999</v>
      </c>
      <c r="AX22" s="68">
        <v>33.201999999999998</v>
      </c>
      <c r="AY22" s="68">
        <v>32.402000000000001</v>
      </c>
      <c r="AZ22" s="68">
        <v>31.965</v>
      </c>
      <c r="BA22" s="68">
        <v>35.607999999999997</v>
      </c>
      <c r="BB22" s="68">
        <v>31.613</v>
      </c>
      <c r="BC22" s="68">
        <v>29.754999999999999</v>
      </c>
      <c r="BD22" s="68">
        <v>29.443999999999999</v>
      </c>
      <c r="BE22" s="68">
        <v>29.352714286000001</v>
      </c>
      <c r="BF22" s="68">
        <v>28.324681290000001</v>
      </c>
      <c r="BG22" s="325">
        <v>28.789770000000001</v>
      </c>
      <c r="BH22" s="325">
        <v>28.611719999999998</v>
      </c>
      <c r="BI22" s="325">
        <v>30.14734</v>
      </c>
      <c r="BJ22" s="325">
        <v>31.72832</v>
      </c>
      <c r="BK22" s="325">
        <v>33.332099999999997</v>
      </c>
      <c r="BL22" s="325">
        <v>31.85679</v>
      </c>
      <c r="BM22" s="325">
        <v>30.30181</v>
      </c>
      <c r="BN22" s="325">
        <v>29.36375</v>
      </c>
      <c r="BO22" s="325">
        <v>28.866869999999999</v>
      </c>
      <c r="BP22" s="325">
        <v>29.185639999999999</v>
      </c>
      <c r="BQ22" s="325">
        <v>29.262440000000002</v>
      </c>
      <c r="BR22" s="325">
        <v>29.007429999999999</v>
      </c>
      <c r="BS22" s="325">
        <v>29.29251</v>
      </c>
      <c r="BT22" s="325">
        <v>29.06005</v>
      </c>
      <c r="BU22" s="325">
        <v>30.502939999999999</v>
      </c>
      <c r="BV22" s="325">
        <v>32.00714</v>
      </c>
    </row>
    <row r="23" spans="1:74" ht="11.1" customHeight="1" x14ac:dyDescent="0.2">
      <c r="A23" s="1" t="s">
        <v>500</v>
      </c>
      <c r="B23" s="183" t="s">
        <v>115</v>
      </c>
      <c r="C23" s="68">
        <v>261.64800000000002</v>
      </c>
      <c r="D23" s="68">
        <v>256.21899999999999</v>
      </c>
      <c r="E23" s="68">
        <v>243.71600000000001</v>
      </c>
      <c r="F23" s="68">
        <v>243.47900000000001</v>
      </c>
      <c r="G23" s="68">
        <v>243.40899999999999</v>
      </c>
      <c r="H23" s="68">
        <v>242.66200000000001</v>
      </c>
      <c r="I23" s="68">
        <v>240.93199999999999</v>
      </c>
      <c r="J23" s="68">
        <v>230.411</v>
      </c>
      <c r="K23" s="68">
        <v>227.697</v>
      </c>
      <c r="L23" s="68">
        <v>225.59399999999999</v>
      </c>
      <c r="M23" s="68">
        <v>233.84200000000001</v>
      </c>
      <c r="N23" s="68">
        <v>238.58699999999999</v>
      </c>
      <c r="O23" s="68">
        <v>261.10899999999998</v>
      </c>
      <c r="P23" s="68">
        <v>253.63499999999999</v>
      </c>
      <c r="Q23" s="68">
        <v>239.55799999999999</v>
      </c>
      <c r="R23" s="68">
        <v>243.511</v>
      </c>
      <c r="S23" s="68">
        <v>242.48400000000001</v>
      </c>
      <c r="T23" s="68">
        <v>238.417</v>
      </c>
      <c r="U23" s="68">
        <v>232.85900000000001</v>
      </c>
      <c r="V23" s="68">
        <v>226.78800000000001</v>
      </c>
      <c r="W23" s="68">
        <v>223.20400000000001</v>
      </c>
      <c r="X23" s="68">
        <v>215.89599999999999</v>
      </c>
      <c r="Y23" s="68">
        <v>224.91800000000001</v>
      </c>
      <c r="Z23" s="68">
        <v>236.816</v>
      </c>
      <c r="AA23" s="68">
        <v>248.887</v>
      </c>
      <c r="AB23" s="68">
        <v>253.249</v>
      </c>
      <c r="AC23" s="68">
        <v>239.67</v>
      </c>
      <c r="AD23" s="68">
        <v>240.14500000000001</v>
      </c>
      <c r="AE23" s="68">
        <v>242.887</v>
      </c>
      <c r="AF23" s="68">
        <v>240.71600000000001</v>
      </c>
      <c r="AG23" s="68">
        <v>234.29300000000001</v>
      </c>
      <c r="AH23" s="68">
        <v>236.30199999999999</v>
      </c>
      <c r="AI23" s="68">
        <v>239.97</v>
      </c>
      <c r="AJ23" s="68">
        <v>232.672</v>
      </c>
      <c r="AK23" s="68">
        <v>230.23599999999999</v>
      </c>
      <c r="AL23" s="68">
        <v>246.5</v>
      </c>
      <c r="AM23" s="68">
        <v>262.36599999999999</v>
      </c>
      <c r="AN23" s="68">
        <v>252.05799999999999</v>
      </c>
      <c r="AO23" s="68">
        <v>236.55500000000001</v>
      </c>
      <c r="AP23" s="68">
        <v>230.869</v>
      </c>
      <c r="AQ23" s="68">
        <v>235.83</v>
      </c>
      <c r="AR23" s="68">
        <v>229.91399999999999</v>
      </c>
      <c r="AS23" s="68">
        <v>235.434</v>
      </c>
      <c r="AT23" s="68">
        <v>230.36199999999999</v>
      </c>
      <c r="AU23" s="68">
        <v>232.04300000000001</v>
      </c>
      <c r="AV23" s="68">
        <v>224.47300000000001</v>
      </c>
      <c r="AW23" s="68">
        <v>233.691</v>
      </c>
      <c r="AX23" s="68">
        <v>254.1</v>
      </c>
      <c r="AY23" s="68">
        <v>264.23</v>
      </c>
      <c r="AZ23" s="68">
        <v>251.71799999999999</v>
      </c>
      <c r="BA23" s="68">
        <v>260.839</v>
      </c>
      <c r="BB23" s="68">
        <v>257.30200000000002</v>
      </c>
      <c r="BC23" s="68">
        <v>258.23500000000001</v>
      </c>
      <c r="BD23" s="68">
        <v>253.26300000000001</v>
      </c>
      <c r="BE23" s="68">
        <v>247.703</v>
      </c>
      <c r="BF23" s="68">
        <v>232.74750813</v>
      </c>
      <c r="BG23" s="325">
        <v>231.8374</v>
      </c>
      <c r="BH23" s="325">
        <v>225.8777</v>
      </c>
      <c r="BI23" s="325">
        <v>229.61770000000001</v>
      </c>
      <c r="BJ23" s="325">
        <v>237.89619999999999</v>
      </c>
      <c r="BK23" s="325">
        <v>246.95779999999999</v>
      </c>
      <c r="BL23" s="325">
        <v>244.5154</v>
      </c>
      <c r="BM23" s="325">
        <v>233.3193</v>
      </c>
      <c r="BN23" s="325">
        <v>231.43219999999999</v>
      </c>
      <c r="BO23" s="325">
        <v>232.995</v>
      </c>
      <c r="BP23" s="325">
        <v>232.07470000000001</v>
      </c>
      <c r="BQ23" s="325">
        <v>229.2696</v>
      </c>
      <c r="BR23" s="325">
        <v>224.7448</v>
      </c>
      <c r="BS23" s="325">
        <v>227.8416</v>
      </c>
      <c r="BT23" s="325">
        <v>222.42920000000001</v>
      </c>
      <c r="BU23" s="325">
        <v>225.93549999999999</v>
      </c>
      <c r="BV23" s="325">
        <v>234.74789999999999</v>
      </c>
    </row>
    <row r="24" spans="1:74" ht="11.1" customHeight="1" x14ac:dyDescent="0.2">
      <c r="A24" s="1"/>
      <c r="B24" s="7" t="s">
        <v>117</v>
      </c>
      <c r="C24" s="226"/>
      <c r="D24" s="226"/>
      <c r="E24" s="226"/>
      <c r="F24" s="226"/>
      <c r="G24" s="226"/>
      <c r="H24" s="226"/>
      <c r="I24" s="226"/>
      <c r="J24" s="226"/>
      <c r="K24" s="226"/>
      <c r="L24" s="226"/>
      <c r="M24" s="226"/>
      <c r="N24" s="226"/>
      <c r="O24" s="226"/>
      <c r="P24" s="226"/>
      <c r="Q24" s="226"/>
      <c r="R24" s="226"/>
      <c r="S24" s="226"/>
      <c r="T24" s="226"/>
      <c r="U24" s="226"/>
      <c r="V24" s="226"/>
      <c r="W24" s="226"/>
      <c r="X24" s="226"/>
      <c r="Y24" s="226"/>
      <c r="Z24" s="226"/>
      <c r="AA24" s="226"/>
      <c r="AB24" s="226"/>
      <c r="AC24" s="226"/>
      <c r="AD24" s="226"/>
      <c r="AE24" s="226"/>
      <c r="AF24" s="226"/>
      <c r="AG24" s="226"/>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c r="BG24" s="394"/>
      <c r="BH24" s="394"/>
      <c r="BI24" s="394"/>
      <c r="BJ24" s="394"/>
      <c r="BK24" s="394"/>
      <c r="BL24" s="394"/>
      <c r="BM24" s="394"/>
      <c r="BN24" s="394"/>
      <c r="BO24" s="394"/>
      <c r="BP24" s="394"/>
      <c r="BQ24" s="394"/>
      <c r="BR24" s="394"/>
      <c r="BS24" s="394"/>
      <c r="BT24" s="394"/>
      <c r="BU24" s="394"/>
      <c r="BV24" s="394"/>
    </row>
    <row r="25" spans="1:74" ht="11.1" customHeight="1" x14ac:dyDescent="0.2">
      <c r="A25" s="1" t="s">
        <v>501</v>
      </c>
      <c r="B25" s="183" t="s">
        <v>115</v>
      </c>
      <c r="C25" s="68">
        <v>26.513000000000002</v>
      </c>
      <c r="D25" s="68">
        <v>26.896999999999998</v>
      </c>
      <c r="E25" s="68">
        <v>26.262</v>
      </c>
      <c r="F25" s="68">
        <v>24.664999999999999</v>
      </c>
      <c r="G25" s="68">
        <v>23.375</v>
      </c>
      <c r="H25" s="68">
        <v>24.655999999999999</v>
      </c>
      <c r="I25" s="68">
        <v>24.445</v>
      </c>
      <c r="J25" s="68">
        <v>25.552</v>
      </c>
      <c r="K25" s="68">
        <v>24.803000000000001</v>
      </c>
      <c r="L25" s="68">
        <v>25.751999999999999</v>
      </c>
      <c r="M25" s="68">
        <v>26.134</v>
      </c>
      <c r="N25" s="68">
        <v>28.382999999999999</v>
      </c>
      <c r="O25" s="68">
        <v>28.434999999999999</v>
      </c>
      <c r="P25" s="68">
        <v>25.41</v>
      </c>
      <c r="Q25" s="68">
        <v>21.53</v>
      </c>
      <c r="R25" s="68">
        <v>21.65</v>
      </c>
      <c r="S25" s="68">
        <v>22.007999999999999</v>
      </c>
      <c r="T25" s="68">
        <v>22.48</v>
      </c>
      <c r="U25" s="68">
        <v>23.152999999999999</v>
      </c>
      <c r="V25" s="68">
        <v>24.584</v>
      </c>
      <c r="W25" s="68">
        <v>21.763999999999999</v>
      </c>
      <c r="X25" s="68">
        <v>23.140999999999998</v>
      </c>
      <c r="Y25" s="68">
        <v>23.606999999999999</v>
      </c>
      <c r="Z25" s="68">
        <v>24.523</v>
      </c>
      <c r="AA25" s="68">
        <v>24.969000000000001</v>
      </c>
      <c r="AB25" s="68">
        <v>24.768999999999998</v>
      </c>
      <c r="AC25" s="68">
        <v>22.863</v>
      </c>
      <c r="AD25" s="68">
        <v>22.582999999999998</v>
      </c>
      <c r="AE25" s="68">
        <v>23.776</v>
      </c>
      <c r="AF25" s="68">
        <v>24.55</v>
      </c>
      <c r="AG25" s="68">
        <v>24.228999999999999</v>
      </c>
      <c r="AH25" s="68">
        <v>23.227</v>
      </c>
      <c r="AI25" s="68">
        <v>24.748000000000001</v>
      </c>
      <c r="AJ25" s="68">
        <v>24.888000000000002</v>
      </c>
      <c r="AK25" s="68">
        <v>24.106999999999999</v>
      </c>
      <c r="AL25" s="68">
        <v>25.768999999999998</v>
      </c>
      <c r="AM25" s="68">
        <v>28.704999999999998</v>
      </c>
      <c r="AN25" s="68">
        <v>23.864000000000001</v>
      </c>
      <c r="AO25" s="68">
        <v>20.864999999999998</v>
      </c>
      <c r="AP25" s="68">
        <v>20.866</v>
      </c>
      <c r="AQ25" s="68">
        <v>22.169</v>
      </c>
      <c r="AR25" s="68">
        <v>21.491</v>
      </c>
      <c r="AS25" s="68">
        <v>21.916</v>
      </c>
      <c r="AT25" s="68">
        <v>23.084</v>
      </c>
      <c r="AU25" s="68">
        <v>23.007000000000001</v>
      </c>
      <c r="AV25" s="68">
        <v>23.33</v>
      </c>
      <c r="AW25" s="68">
        <v>24.834</v>
      </c>
      <c r="AX25" s="68">
        <v>26.129000000000001</v>
      </c>
      <c r="AY25" s="68">
        <v>27.672999999999998</v>
      </c>
      <c r="AZ25" s="68">
        <v>25.852</v>
      </c>
      <c r="BA25" s="68">
        <v>22.577000000000002</v>
      </c>
      <c r="BB25" s="68">
        <v>22.87</v>
      </c>
      <c r="BC25" s="68">
        <v>24.044</v>
      </c>
      <c r="BD25" s="68">
        <v>23.498999999999999</v>
      </c>
      <c r="BE25" s="68">
        <v>23.606571428999999</v>
      </c>
      <c r="BF25" s="68">
        <v>25.304822258000002</v>
      </c>
      <c r="BG25" s="325">
        <v>24.26399</v>
      </c>
      <c r="BH25" s="325">
        <v>24.2195</v>
      </c>
      <c r="BI25" s="325">
        <v>24.064820000000001</v>
      </c>
      <c r="BJ25" s="325">
        <v>24.023540000000001</v>
      </c>
      <c r="BK25" s="325">
        <v>26.409210000000002</v>
      </c>
      <c r="BL25" s="325">
        <v>26.014790000000001</v>
      </c>
      <c r="BM25" s="325">
        <v>22.760339999999999</v>
      </c>
      <c r="BN25" s="325">
        <v>20.36787</v>
      </c>
      <c r="BO25" s="325">
        <v>21.635919999999999</v>
      </c>
      <c r="BP25" s="325">
        <v>21.365189999999998</v>
      </c>
      <c r="BQ25" s="325">
        <v>20.937249999999999</v>
      </c>
      <c r="BR25" s="325">
        <v>21.60134</v>
      </c>
      <c r="BS25" s="325">
        <v>22.33107</v>
      </c>
      <c r="BT25" s="325">
        <v>21.706130000000002</v>
      </c>
      <c r="BU25" s="325">
        <v>21.962689999999998</v>
      </c>
      <c r="BV25" s="325">
        <v>22.576250000000002</v>
      </c>
    </row>
    <row r="26" spans="1:74" ht="11.1" customHeight="1" x14ac:dyDescent="0.2">
      <c r="A26" s="1"/>
      <c r="B26" s="7" t="s">
        <v>118</v>
      </c>
      <c r="C26" s="227"/>
      <c r="D26" s="227"/>
      <c r="E26" s="227"/>
      <c r="F26" s="227"/>
      <c r="G26" s="227"/>
      <c r="H26" s="227"/>
      <c r="I26" s="227"/>
      <c r="J26" s="227"/>
      <c r="K26" s="227"/>
      <c r="L26" s="227"/>
      <c r="M26" s="227"/>
      <c r="N26" s="227"/>
      <c r="O26" s="227"/>
      <c r="P26" s="227"/>
      <c r="Q26" s="227"/>
      <c r="R26" s="227"/>
      <c r="S26" s="227"/>
      <c r="T26" s="227"/>
      <c r="U26" s="227"/>
      <c r="V26" s="227"/>
      <c r="W26" s="227"/>
      <c r="X26" s="227"/>
      <c r="Y26" s="227"/>
      <c r="Z26" s="227"/>
      <c r="AA26" s="227"/>
      <c r="AB26" s="227"/>
      <c r="AC26" s="227"/>
      <c r="AD26" s="227"/>
      <c r="AE26" s="227"/>
      <c r="AF26" s="227"/>
      <c r="AG26" s="227"/>
      <c r="AH26" s="227"/>
      <c r="AI26" s="227"/>
      <c r="AJ26" s="227"/>
      <c r="AK26" s="227"/>
      <c r="AL26" s="227"/>
      <c r="AM26" s="227"/>
      <c r="AN26" s="227"/>
      <c r="AO26" s="227"/>
      <c r="AP26" s="227"/>
      <c r="AQ26" s="227"/>
      <c r="AR26" s="227"/>
      <c r="AS26" s="227"/>
      <c r="AT26" s="227"/>
      <c r="AU26" s="227"/>
      <c r="AV26" s="227"/>
      <c r="AW26" s="227"/>
      <c r="AX26" s="227"/>
      <c r="AY26" s="227"/>
      <c r="AZ26" s="227"/>
      <c r="BA26" s="227"/>
      <c r="BB26" s="227"/>
      <c r="BC26" s="227"/>
      <c r="BD26" s="227"/>
      <c r="BE26" s="227"/>
      <c r="BF26" s="227"/>
      <c r="BG26" s="395"/>
      <c r="BH26" s="395"/>
      <c r="BI26" s="395"/>
      <c r="BJ26" s="395"/>
      <c r="BK26" s="395"/>
      <c r="BL26" s="395"/>
      <c r="BM26" s="395"/>
      <c r="BN26" s="395"/>
      <c r="BO26" s="395"/>
      <c r="BP26" s="395"/>
      <c r="BQ26" s="395"/>
      <c r="BR26" s="395"/>
      <c r="BS26" s="395"/>
      <c r="BT26" s="395"/>
      <c r="BU26" s="395"/>
      <c r="BV26" s="395"/>
    </row>
    <row r="27" spans="1:74" ht="11.1" customHeight="1" x14ac:dyDescent="0.2">
      <c r="A27" s="1" t="s">
        <v>502</v>
      </c>
      <c r="B27" s="184" t="s">
        <v>115</v>
      </c>
      <c r="C27" s="69">
        <v>235.13499999999999</v>
      </c>
      <c r="D27" s="69">
        <v>229.322</v>
      </c>
      <c r="E27" s="69">
        <v>217.45400000000001</v>
      </c>
      <c r="F27" s="69">
        <v>218.81399999999999</v>
      </c>
      <c r="G27" s="69">
        <v>220.03399999999999</v>
      </c>
      <c r="H27" s="69">
        <v>218.006</v>
      </c>
      <c r="I27" s="69">
        <v>216.48699999999999</v>
      </c>
      <c r="J27" s="69">
        <v>204.85900000000001</v>
      </c>
      <c r="K27" s="69">
        <v>202.89400000000001</v>
      </c>
      <c r="L27" s="69">
        <v>199.84200000000001</v>
      </c>
      <c r="M27" s="69">
        <v>207.708</v>
      </c>
      <c r="N27" s="69">
        <v>210.20400000000001</v>
      </c>
      <c r="O27" s="69">
        <v>232.67400000000001</v>
      </c>
      <c r="P27" s="69">
        <v>228.22499999999999</v>
      </c>
      <c r="Q27" s="69">
        <v>218.02799999999999</v>
      </c>
      <c r="R27" s="69">
        <v>221.86099999999999</v>
      </c>
      <c r="S27" s="69">
        <v>220.476</v>
      </c>
      <c r="T27" s="69">
        <v>215.93700000000001</v>
      </c>
      <c r="U27" s="69">
        <v>209.70599999999999</v>
      </c>
      <c r="V27" s="69">
        <v>202.20400000000001</v>
      </c>
      <c r="W27" s="69">
        <v>201.44</v>
      </c>
      <c r="X27" s="69">
        <v>192.755</v>
      </c>
      <c r="Y27" s="69">
        <v>201.31100000000001</v>
      </c>
      <c r="Z27" s="69">
        <v>212.29300000000001</v>
      </c>
      <c r="AA27" s="69">
        <v>223.91800000000001</v>
      </c>
      <c r="AB27" s="69">
        <v>228.48</v>
      </c>
      <c r="AC27" s="69">
        <v>216.80699999999999</v>
      </c>
      <c r="AD27" s="69">
        <v>217.56200000000001</v>
      </c>
      <c r="AE27" s="69">
        <v>219.11099999999999</v>
      </c>
      <c r="AF27" s="69">
        <v>216.166</v>
      </c>
      <c r="AG27" s="69">
        <v>210.06399999999999</v>
      </c>
      <c r="AH27" s="69">
        <v>213.07499999999999</v>
      </c>
      <c r="AI27" s="69">
        <v>215.22200000000001</v>
      </c>
      <c r="AJ27" s="69">
        <v>207.78399999999999</v>
      </c>
      <c r="AK27" s="69">
        <v>206.12899999999999</v>
      </c>
      <c r="AL27" s="69">
        <v>220.73099999999999</v>
      </c>
      <c r="AM27" s="69">
        <v>233.661</v>
      </c>
      <c r="AN27" s="69">
        <v>228.19399999999999</v>
      </c>
      <c r="AO27" s="69">
        <v>215.69</v>
      </c>
      <c r="AP27" s="69">
        <v>210.00299999999999</v>
      </c>
      <c r="AQ27" s="69">
        <v>213.661</v>
      </c>
      <c r="AR27" s="69">
        <v>208.423</v>
      </c>
      <c r="AS27" s="69">
        <v>213.518</v>
      </c>
      <c r="AT27" s="69">
        <v>207.27799999999999</v>
      </c>
      <c r="AU27" s="69">
        <v>209.036</v>
      </c>
      <c r="AV27" s="69">
        <v>201.143</v>
      </c>
      <c r="AW27" s="69">
        <v>208.857</v>
      </c>
      <c r="AX27" s="69">
        <v>227.971</v>
      </c>
      <c r="AY27" s="69">
        <v>236.55699999999999</v>
      </c>
      <c r="AZ27" s="69">
        <v>225.86600000000001</v>
      </c>
      <c r="BA27" s="69">
        <v>238.262</v>
      </c>
      <c r="BB27" s="69">
        <v>234.43199999999999</v>
      </c>
      <c r="BC27" s="69">
        <v>234.191</v>
      </c>
      <c r="BD27" s="69">
        <v>229.76400000000001</v>
      </c>
      <c r="BE27" s="69">
        <v>224.09714285999999</v>
      </c>
      <c r="BF27" s="69">
        <v>207.44346773999999</v>
      </c>
      <c r="BG27" s="346">
        <v>207.5735</v>
      </c>
      <c r="BH27" s="346">
        <v>201.65819999999999</v>
      </c>
      <c r="BI27" s="346">
        <v>205.55289999999999</v>
      </c>
      <c r="BJ27" s="346">
        <v>213.87270000000001</v>
      </c>
      <c r="BK27" s="346">
        <v>220.54859999999999</v>
      </c>
      <c r="BL27" s="346">
        <v>218.50059999999999</v>
      </c>
      <c r="BM27" s="346">
        <v>210.559</v>
      </c>
      <c r="BN27" s="346">
        <v>211.0643</v>
      </c>
      <c r="BO27" s="346">
        <v>211.35910000000001</v>
      </c>
      <c r="BP27" s="346">
        <v>210.70949999999999</v>
      </c>
      <c r="BQ27" s="346">
        <v>208.33240000000001</v>
      </c>
      <c r="BR27" s="346">
        <v>203.14340000000001</v>
      </c>
      <c r="BS27" s="346">
        <v>205.51050000000001</v>
      </c>
      <c r="BT27" s="346">
        <v>200.72309999999999</v>
      </c>
      <c r="BU27" s="346">
        <v>203.97280000000001</v>
      </c>
      <c r="BV27" s="346">
        <v>212.17160000000001</v>
      </c>
    </row>
    <row r="28" spans="1:74" s="278" customFormat="1" ht="11.1" customHeight="1" x14ac:dyDescent="0.2">
      <c r="A28" s="1"/>
      <c r="B28" s="276"/>
      <c r="C28" s="277"/>
      <c r="D28" s="277"/>
      <c r="E28" s="277"/>
      <c r="F28" s="277"/>
      <c r="G28" s="277"/>
      <c r="H28" s="277"/>
      <c r="I28" s="277"/>
      <c r="J28" s="277"/>
      <c r="K28" s="277"/>
      <c r="L28" s="277"/>
      <c r="M28" s="277"/>
      <c r="N28" s="277"/>
      <c r="O28" s="277"/>
      <c r="P28" s="277"/>
      <c r="Q28" s="277"/>
      <c r="R28" s="277"/>
      <c r="S28" s="277"/>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c r="AR28" s="277"/>
      <c r="AS28" s="277"/>
      <c r="AT28" s="277"/>
      <c r="AU28" s="277"/>
      <c r="AV28" s="277"/>
      <c r="AW28" s="277"/>
      <c r="AX28" s="277"/>
      <c r="AY28" s="396"/>
      <c r="AZ28" s="396"/>
      <c r="BA28" s="396"/>
      <c r="BB28" s="396"/>
      <c r="BC28" s="396"/>
      <c r="BD28" s="277"/>
      <c r="BE28" s="277"/>
      <c r="BF28" s="277"/>
      <c r="BG28" s="396"/>
      <c r="BH28" s="396"/>
      <c r="BI28" s="396"/>
      <c r="BJ28" s="396"/>
      <c r="BK28" s="396"/>
      <c r="BL28" s="396"/>
      <c r="BM28" s="396"/>
      <c r="BN28" s="396"/>
      <c r="BO28" s="396"/>
      <c r="BP28" s="396"/>
      <c r="BQ28" s="396"/>
      <c r="BR28" s="396"/>
      <c r="BS28" s="396"/>
      <c r="BT28" s="396"/>
      <c r="BU28" s="396"/>
      <c r="BV28" s="396"/>
    </row>
    <row r="29" spans="1:74" s="278" customFormat="1" ht="12" customHeight="1" x14ac:dyDescent="0.25">
      <c r="A29" s="1"/>
      <c r="B29" s="808" t="s">
        <v>826</v>
      </c>
      <c r="C29" s="805"/>
      <c r="D29" s="805"/>
      <c r="E29" s="805"/>
      <c r="F29" s="805"/>
      <c r="G29" s="805"/>
      <c r="H29" s="805"/>
      <c r="I29" s="805"/>
      <c r="J29" s="805"/>
      <c r="K29" s="805"/>
      <c r="L29" s="805"/>
      <c r="M29" s="805"/>
      <c r="N29" s="805"/>
      <c r="O29" s="805"/>
      <c r="P29" s="805"/>
      <c r="Q29" s="805"/>
      <c r="AY29" s="524"/>
      <c r="AZ29" s="524"/>
      <c r="BA29" s="524"/>
      <c r="BB29" s="524"/>
      <c r="BC29" s="524"/>
      <c r="BD29" s="643"/>
      <c r="BE29" s="643"/>
      <c r="BF29" s="643"/>
      <c r="BG29" s="524"/>
      <c r="BH29" s="524"/>
      <c r="BI29" s="524"/>
      <c r="BJ29" s="524"/>
    </row>
    <row r="30" spans="1:74" s="278" customFormat="1" ht="12" customHeight="1" x14ac:dyDescent="0.25">
      <c r="A30" s="1"/>
      <c r="B30" s="810" t="s">
        <v>131</v>
      </c>
      <c r="C30" s="805"/>
      <c r="D30" s="805"/>
      <c r="E30" s="805"/>
      <c r="F30" s="805"/>
      <c r="G30" s="805"/>
      <c r="H30" s="805"/>
      <c r="I30" s="805"/>
      <c r="J30" s="805"/>
      <c r="K30" s="805"/>
      <c r="L30" s="805"/>
      <c r="M30" s="805"/>
      <c r="N30" s="805"/>
      <c r="O30" s="805"/>
      <c r="P30" s="805"/>
      <c r="Q30" s="805"/>
      <c r="AY30" s="524"/>
      <c r="AZ30" s="524"/>
      <c r="BA30" s="524"/>
      <c r="BB30" s="524"/>
      <c r="BC30" s="524"/>
      <c r="BD30" s="643"/>
      <c r="BE30" s="643"/>
      <c r="BF30" s="643"/>
      <c r="BG30" s="524"/>
      <c r="BH30" s="524"/>
      <c r="BI30" s="524"/>
      <c r="BJ30" s="524"/>
    </row>
    <row r="31" spans="1:74" s="439" customFormat="1" ht="12" customHeight="1" x14ac:dyDescent="0.25">
      <c r="A31" s="438"/>
      <c r="B31" s="794" t="s">
        <v>851</v>
      </c>
      <c r="C31" s="795"/>
      <c r="D31" s="795"/>
      <c r="E31" s="795"/>
      <c r="F31" s="795"/>
      <c r="G31" s="795"/>
      <c r="H31" s="795"/>
      <c r="I31" s="795"/>
      <c r="J31" s="795"/>
      <c r="K31" s="795"/>
      <c r="L31" s="795"/>
      <c r="M31" s="795"/>
      <c r="N31" s="795"/>
      <c r="O31" s="795"/>
      <c r="P31" s="795"/>
      <c r="Q31" s="791"/>
      <c r="AY31" s="525"/>
      <c r="AZ31" s="525"/>
      <c r="BA31" s="525"/>
      <c r="BB31" s="525"/>
      <c r="BC31" s="525"/>
      <c r="BD31" s="644"/>
      <c r="BE31" s="644"/>
      <c r="BF31" s="644"/>
      <c r="BG31" s="525"/>
      <c r="BH31" s="525"/>
      <c r="BI31" s="525"/>
      <c r="BJ31" s="525"/>
    </row>
    <row r="32" spans="1:74" s="439" customFormat="1" ht="12" customHeight="1" x14ac:dyDescent="0.25">
      <c r="A32" s="438"/>
      <c r="B32" s="789" t="s">
        <v>871</v>
      </c>
      <c r="C32" s="791"/>
      <c r="D32" s="791"/>
      <c r="E32" s="791"/>
      <c r="F32" s="791"/>
      <c r="G32" s="791"/>
      <c r="H32" s="791"/>
      <c r="I32" s="791"/>
      <c r="J32" s="791"/>
      <c r="K32" s="791"/>
      <c r="L32" s="791"/>
      <c r="M32" s="791"/>
      <c r="N32" s="791"/>
      <c r="O32" s="791"/>
      <c r="P32" s="791"/>
      <c r="Q32" s="791"/>
      <c r="AY32" s="525"/>
      <c r="AZ32" s="525"/>
      <c r="BA32" s="525"/>
      <c r="BB32" s="525"/>
      <c r="BC32" s="525"/>
      <c r="BD32" s="644"/>
      <c r="BE32" s="644"/>
      <c r="BF32" s="644"/>
      <c r="BG32" s="525"/>
      <c r="BH32" s="525"/>
      <c r="BI32" s="525"/>
      <c r="BJ32" s="525"/>
    </row>
    <row r="33" spans="1:74" s="439" customFormat="1" ht="12" customHeight="1" x14ac:dyDescent="0.25">
      <c r="A33" s="438"/>
      <c r="B33" s="838" t="s">
        <v>872</v>
      </c>
      <c r="C33" s="791"/>
      <c r="D33" s="791"/>
      <c r="E33" s="791"/>
      <c r="F33" s="791"/>
      <c r="G33" s="791"/>
      <c r="H33" s="791"/>
      <c r="I33" s="791"/>
      <c r="J33" s="791"/>
      <c r="K33" s="791"/>
      <c r="L33" s="791"/>
      <c r="M33" s="791"/>
      <c r="N33" s="791"/>
      <c r="O33" s="791"/>
      <c r="P33" s="791"/>
      <c r="Q33" s="791"/>
      <c r="AY33" s="525"/>
      <c r="AZ33" s="525"/>
      <c r="BA33" s="525"/>
      <c r="BB33" s="525"/>
      <c r="BC33" s="525"/>
      <c r="BD33" s="644"/>
      <c r="BE33" s="644"/>
      <c r="BF33" s="644"/>
      <c r="BG33" s="525"/>
      <c r="BH33" s="525"/>
      <c r="BI33" s="525"/>
      <c r="BJ33" s="525"/>
    </row>
    <row r="34" spans="1:74" s="439" customFormat="1" ht="12" customHeight="1" x14ac:dyDescent="0.25">
      <c r="A34" s="438"/>
      <c r="B34" s="794" t="s">
        <v>874</v>
      </c>
      <c r="C34" s="795"/>
      <c r="D34" s="795"/>
      <c r="E34" s="795"/>
      <c r="F34" s="795"/>
      <c r="G34" s="795"/>
      <c r="H34" s="795"/>
      <c r="I34" s="795"/>
      <c r="J34" s="795"/>
      <c r="K34" s="795"/>
      <c r="L34" s="795"/>
      <c r="M34" s="795"/>
      <c r="N34" s="795"/>
      <c r="O34" s="795"/>
      <c r="P34" s="795"/>
      <c r="Q34" s="791"/>
      <c r="AY34" s="525"/>
      <c r="AZ34" s="525"/>
      <c r="BA34" s="525"/>
      <c r="BB34" s="525"/>
      <c r="BC34" s="525"/>
      <c r="BD34" s="644"/>
      <c r="BE34" s="644"/>
      <c r="BF34" s="644"/>
      <c r="BG34" s="525"/>
      <c r="BH34" s="525"/>
      <c r="BI34" s="525"/>
      <c r="BJ34" s="525"/>
    </row>
    <row r="35" spans="1:74" s="439" customFormat="1" ht="12" customHeight="1" x14ac:dyDescent="0.25">
      <c r="A35" s="438"/>
      <c r="B35" s="796" t="s">
        <v>875</v>
      </c>
      <c r="C35" s="790"/>
      <c r="D35" s="790"/>
      <c r="E35" s="790"/>
      <c r="F35" s="790"/>
      <c r="G35" s="790"/>
      <c r="H35" s="790"/>
      <c r="I35" s="790"/>
      <c r="J35" s="790"/>
      <c r="K35" s="790"/>
      <c r="L35" s="790"/>
      <c r="M35" s="790"/>
      <c r="N35" s="790"/>
      <c r="O35" s="790"/>
      <c r="P35" s="790"/>
      <c r="Q35" s="791"/>
      <c r="AY35" s="525"/>
      <c r="AZ35" s="525"/>
      <c r="BA35" s="525"/>
      <c r="BB35" s="525"/>
      <c r="BC35" s="525"/>
      <c r="BD35" s="644"/>
      <c r="BE35" s="644"/>
      <c r="BF35" s="644"/>
      <c r="BG35" s="525"/>
      <c r="BH35" s="525"/>
      <c r="BI35" s="525"/>
      <c r="BJ35" s="525"/>
    </row>
    <row r="36" spans="1:74" s="439" customFormat="1" ht="12" customHeight="1" x14ac:dyDescent="0.25">
      <c r="A36" s="438"/>
      <c r="B36" s="789" t="s">
        <v>855</v>
      </c>
      <c r="C36" s="790"/>
      <c r="D36" s="790"/>
      <c r="E36" s="790"/>
      <c r="F36" s="790"/>
      <c r="G36" s="790"/>
      <c r="H36" s="790"/>
      <c r="I36" s="790"/>
      <c r="J36" s="790"/>
      <c r="K36" s="790"/>
      <c r="L36" s="790"/>
      <c r="M36" s="790"/>
      <c r="N36" s="790"/>
      <c r="O36" s="790"/>
      <c r="P36" s="790"/>
      <c r="Q36" s="791"/>
      <c r="AY36" s="525"/>
      <c r="AZ36" s="525"/>
      <c r="BA36" s="525"/>
      <c r="BB36" s="525"/>
      <c r="BC36" s="525"/>
      <c r="BD36" s="644"/>
      <c r="BE36" s="644"/>
      <c r="BF36" s="644"/>
      <c r="BG36" s="525"/>
      <c r="BH36" s="525"/>
      <c r="BI36" s="525"/>
      <c r="BJ36" s="525"/>
    </row>
    <row r="37" spans="1:74" s="440" customFormat="1" ht="12" customHeight="1" x14ac:dyDescent="0.25">
      <c r="A37" s="429"/>
      <c r="B37" s="811" t="s">
        <v>949</v>
      </c>
      <c r="C37" s="791"/>
      <c r="D37" s="791"/>
      <c r="E37" s="791"/>
      <c r="F37" s="791"/>
      <c r="G37" s="791"/>
      <c r="H37" s="791"/>
      <c r="I37" s="791"/>
      <c r="J37" s="791"/>
      <c r="K37" s="791"/>
      <c r="L37" s="791"/>
      <c r="M37" s="791"/>
      <c r="N37" s="791"/>
      <c r="O37" s="791"/>
      <c r="P37" s="791"/>
      <c r="Q37" s="791"/>
      <c r="AY37" s="526"/>
      <c r="AZ37" s="526"/>
      <c r="BA37" s="526"/>
      <c r="BB37" s="526"/>
      <c r="BC37" s="526"/>
      <c r="BD37" s="645"/>
      <c r="BE37" s="645"/>
      <c r="BF37" s="645"/>
      <c r="BG37" s="526"/>
      <c r="BH37" s="526"/>
      <c r="BI37" s="526"/>
      <c r="BJ37" s="526"/>
    </row>
    <row r="38" spans="1:74" x14ac:dyDescent="0.15">
      <c r="BK38" s="397"/>
      <c r="BL38" s="397"/>
      <c r="BM38" s="397"/>
      <c r="BN38" s="397"/>
      <c r="BO38" s="397"/>
      <c r="BP38" s="397"/>
      <c r="BQ38" s="397"/>
      <c r="BR38" s="397"/>
      <c r="BS38" s="397"/>
      <c r="BT38" s="397"/>
      <c r="BU38" s="397"/>
      <c r="BV38" s="397"/>
    </row>
    <row r="39" spans="1:74" x14ac:dyDescent="0.15">
      <c r="BK39" s="397"/>
      <c r="BL39" s="397"/>
      <c r="BM39" s="397"/>
      <c r="BN39" s="397"/>
      <c r="BO39" s="397"/>
      <c r="BP39" s="397"/>
      <c r="BQ39" s="397"/>
      <c r="BR39" s="397"/>
      <c r="BS39" s="397"/>
      <c r="BT39" s="397"/>
      <c r="BU39" s="397"/>
      <c r="BV39" s="397"/>
    </row>
    <row r="40" spans="1:74" x14ac:dyDescent="0.15">
      <c r="BK40" s="397"/>
      <c r="BL40" s="397"/>
      <c r="BM40" s="397"/>
      <c r="BN40" s="397"/>
      <c r="BO40" s="397"/>
      <c r="BP40" s="397"/>
      <c r="BQ40" s="397"/>
      <c r="BR40" s="397"/>
      <c r="BS40" s="397"/>
      <c r="BT40" s="397"/>
      <c r="BU40" s="397"/>
      <c r="BV40" s="397"/>
    </row>
    <row r="41" spans="1:74" x14ac:dyDescent="0.15">
      <c r="BK41" s="397"/>
      <c r="BL41" s="397"/>
      <c r="BM41" s="397"/>
      <c r="BN41" s="397"/>
      <c r="BO41" s="397"/>
      <c r="BP41" s="397"/>
      <c r="BQ41" s="397"/>
      <c r="BR41" s="397"/>
      <c r="BS41" s="397"/>
      <c r="BT41" s="397"/>
      <c r="BU41" s="397"/>
      <c r="BV41" s="397"/>
    </row>
    <row r="42" spans="1:74" x14ac:dyDescent="0.15">
      <c r="BK42" s="397"/>
      <c r="BL42" s="397"/>
      <c r="BM42" s="397"/>
      <c r="BN42" s="397"/>
      <c r="BO42" s="397"/>
      <c r="BP42" s="397"/>
      <c r="BQ42" s="397"/>
      <c r="BR42" s="397"/>
      <c r="BS42" s="397"/>
      <c r="BT42" s="397"/>
      <c r="BU42" s="397"/>
      <c r="BV42" s="397"/>
    </row>
    <row r="43" spans="1:74" x14ac:dyDescent="0.15">
      <c r="BK43" s="397"/>
      <c r="BL43" s="397"/>
      <c r="BM43" s="397"/>
      <c r="BN43" s="397"/>
      <c r="BO43" s="397"/>
      <c r="BP43" s="397"/>
      <c r="BQ43" s="397"/>
      <c r="BR43" s="397"/>
      <c r="BS43" s="397"/>
      <c r="BT43" s="397"/>
      <c r="BU43" s="397"/>
      <c r="BV43" s="397"/>
    </row>
    <row r="44" spans="1:74" x14ac:dyDescent="0.15">
      <c r="BK44" s="397"/>
      <c r="BL44" s="397"/>
      <c r="BM44" s="397"/>
      <c r="BN44" s="397"/>
      <c r="BO44" s="397"/>
      <c r="BP44" s="397"/>
      <c r="BQ44" s="397"/>
      <c r="BR44" s="397"/>
      <c r="BS44" s="397"/>
      <c r="BT44" s="397"/>
      <c r="BU44" s="397"/>
      <c r="BV44" s="397"/>
    </row>
    <row r="45" spans="1:74" x14ac:dyDescent="0.15">
      <c r="BK45" s="397"/>
      <c r="BL45" s="397"/>
      <c r="BM45" s="397"/>
      <c r="BN45" s="397"/>
      <c r="BO45" s="397"/>
      <c r="BP45" s="397"/>
      <c r="BQ45" s="397"/>
      <c r="BR45" s="397"/>
      <c r="BS45" s="397"/>
      <c r="BT45" s="397"/>
      <c r="BU45" s="397"/>
      <c r="BV45" s="397"/>
    </row>
    <row r="46" spans="1:74" x14ac:dyDescent="0.15">
      <c r="BK46" s="397"/>
      <c r="BL46" s="397"/>
      <c r="BM46" s="397"/>
      <c r="BN46" s="397"/>
      <c r="BO46" s="397"/>
      <c r="BP46" s="397"/>
      <c r="BQ46" s="397"/>
      <c r="BR46" s="397"/>
      <c r="BS46" s="397"/>
      <c r="BT46" s="397"/>
      <c r="BU46" s="397"/>
      <c r="BV46" s="397"/>
    </row>
    <row r="47" spans="1:74" x14ac:dyDescent="0.15">
      <c r="BK47" s="397"/>
      <c r="BL47" s="397"/>
      <c r="BM47" s="397"/>
      <c r="BN47" s="397"/>
      <c r="BO47" s="397"/>
      <c r="BP47" s="397"/>
      <c r="BQ47" s="397"/>
      <c r="BR47" s="397"/>
      <c r="BS47" s="397"/>
      <c r="BT47" s="397"/>
      <c r="BU47" s="397"/>
      <c r="BV47" s="397"/>
    </row>
    <row r="48" spans="1:74" x14ac:dyDescent="0.15">
      <c r="BK48" s="397"/>
      <c r="BL48" s="397"/>
      <c r="BM48" s="397"/>
      <c r="BN48" s="397"/>
      <c r="BO48" s="397"/>
      <c r="BP48" s="397"/>
      <c r="BQ48" s="397"/>
      <c r="BR48" s="397"/>
      <c r="BS48" s="397"/>
      <c r="BT48" s="397"/>
      <c r="BU48" s="397"/>
      <c r="BV48" s="397"/>
    </row>
    <row r="49" spans="63:74" x14ac:dyDescent="0.15">
      <c r="BK49" s="397"/>
      <c r="BL49" s="397"/>
      <c r="BM49" s="397"/>
      <c r="BN49" s="397"/>
      <c r="BO49" s="397"/>
      <c r="BP49" s="397"/>
      <c r="BQ49" s="397"/>
      <c r="BR49" s="397"/>
      <c r="BS49" s="397"/>
      <c r="BT49" s="397"/>
      <c r="BU49" s="397"/>
      <c r="BV49" s="397"/>
    </row>
    <row r="50" spans="63:74" x14ac:dyDescent="0.15">
      <c r="BK50" s="397"/>
      <c r="BL50" s="397"/>
      <c r="BM50" s="397"/>
      <c r="BN50" s="397"/>
      <c r="BO50" s="397"/>
      <c r="BP50" s="397"/>
      <c r="BQ50" s="397"/>
      <c r="BR50" s="397"/>
      <c r="BS50" s="397"/>
      <c r="BT50" s="397"/>
      <c r="BU50" s="397"/>
      <c r="BV50" s="397"/>
    </row>
    <row r="51" spans="63:74" x14ac:dyDescent="0.15">
      <c r="BK51" s="397"/>
      <c r="BL51" s="397"/>
      <c r="BM51" s="397"/>
      <c r="BN51" s="397"/>
      <c r="BO51" s="397"/>
      <c r="BP51" s="397"/>
      <c r="BQ51" s="397"/>
      <c r="BR51" s="397"/>
      <c r="BS51" s="397"/>
      <c r="BT51" s="397"/>
      <c r="BU51" s="397"/>
      <c r="BV51" s="397"/>
    </row>
    <row r="52" spans="63:74" x14ac:dyDescent="0.15">
      <c r="BK52" s="397"/>
      <c r="BL52" s="397"/>
      <c r="BM52" s="397"/>
      <c r="BN52" s="397"/>
      <c r="BO52" s="397"/>
      <c r="BP52" s="397"/>
      <c r="BQ52" s="397"/>
      <c r="BR52" s="397"/>
      <c r="BS52" s="397"/>
      <c r="BT52" s="397"/>
      <c r="BU52" s="397"/>
      <c r="BV52" s="397"/>
    </row>
    <row r="53" spans="63:74" x14ac:dyDescent="0.15">
      <c r="BK53" s="397"/>
      <c r="BL53" s="397"/>
      <c r="BM53" s="397"/>
      <c r="BN53" s="397"/>
      <c r="BO53" s="397"/>
      <c r="BP53" s="397"/>
      <c r="BQ53" s="397"/>
      <c r="BR53" s="397"/>
      <c r="BS53" s="397"/>
      <c r="BT53" s="397"/>
      <c r="BU53" s="397"/>
      <c r="BV53" s="397"/>
    </row>
    <row r="54" spans="63:74" x14ac:dyDescent="0.15">
      <c r="BK54" s="397"/>
      <c r="BL54" s="397"/>
      <c r="BM54" s="397"/>
      <c r="BN54" s="397"/>
      <c r="BO54" s="397"/>
      <c r="BP54" s="397"/>
      <c r="BQ54" s="397"/>
      <c r="BR54" s="397"/>
      <c r="BS54" s="397"/>
      <c r="BT54" s="397"/>
      <c r="BU54" s="397"/>
      <c r="BV54" s="397"/>
    </row>
    <row r="55" spans="63:74" x14ac:dyDescent="0.15">
      <c r="BK55" s="397"/>
      <c r="BL55" s="397"/>
      <c r="BM55" s="397"/>
      <c r="BN55" s="397"/>
      <c r="BO55" s="397"/>
      <c r="BP55" s="397"/>
      <c r="BQ55" s="397"/>
      <c r="BR55" s="397"/>
      <c r="BS55" s="397"/>
      <c r="BT55" s="397"/>
      <c r="BU55" s="397"/>
      <c r="BV55" s="397"/>
    </row>
    <row r="56" spans="63:74" x14ac:dyDescent="0.15">
      <c r="BK56" s="397"/>
      <c r="BL56" s="397"/>
      <c r="BM56" s="397"/>
      <c r="BN56" s="397"/>
      <c r="BO56" s="397"/>
      <c r="BP56" s="397"/>
      <c r="BQ56" s="397"/>
      <c r="BR56" s="397"/>
      <c r="BS56" s="397"/>
      <c r="BT56" s="397"/>
      <c r="BU56" s="397"/>
      <c r="BV56" s="397"/>
    </row>
    <row r="57" spans="63:74" x14ac:dyDescent="0.15">
      <c r="BK57" s="397"/>
      <c r="BL57" s="397"/>
      <c r="BM57" s="397"/>
      <c r="BN57" s="397"/>
      <c r="BO57" s="397"/>
      <c r="BP57" s="397"/>
      <c r="BQ57" s="397"/>
      <c r="BR57" s="397"/>
      <c r="BS57" s="397"/>
      <c r="BT57" s="397"/>
      <c r="BU57" s="397"/>
      <c r="BV57" s="397"/>
    </row>
    <row r="58" spans="63:74" x14ac:dyDescent="0.15">
      <c r="BK58" s="397"/>
      <c r="BL58" s="397"/>
      <c r="BM58" s="397"/>
      <c r="BN58" s="397"/>
      <c r="BO58" s="397"/>
      <c r="BP58" s="397"/>
      <c r="BQ58" s="397"/>
      <c r="BR58" s="397"/>
      <c r="BS58" s="397"/>
      <c r="BT58" s="397"/>
      <c r="BU58" s="397"/>
      <c r="BV58" s="397"/>
    </row>
    <row r="59" spans="63:74" x14ac:dyDescent="0.15">
      <c r="BK59" s="397"/>
      <c r="BL59" s="397"/>
      <c r="BM59" s="397"/>
      <c r="BN59" s="397"/>
      <c r="BO59" s="397"/>
      <c r="BP59" s="397"/>
      <c r="BQ59" s="397"/>
      <c r="BR59" s="397"/>
      <c r="BS59" s="397"/>
      <c r="BT59" s="397"/>
      <c r="BU59" s="397"/>
      <c r="BV59" s="397"/>
    </row>
    <row r="60" spans="63:74" x14ac:dyDescent="0.15">
      <c r="BK60" s="397"/>
      <c r="BL60" s="397"/>
      <c r="BM60" s="397"/>
      <c r="BN60" s="397"/>
      <c r="BO60" s="397"/>
      <c r="BP60" s="397"/>
      <c r="BQ60" s="397"/>
      <c r="BR60" s="397"/>
      <c r="BS60" s="397"/>
      <c r="BT60" s="397"/>
      <c r="BU60" s="397"/>
      <c r="BV60" s="397"/>
    </row>
    <row r="61" spans="63:74" x14ac:dyDescent="0.15">
      <c r="BK61" s="397"/>
      <c r="BL61" s="397"/>
      <c r="BM61" s="397"/>
      <c r="BN61" s="397"/>
      <c r="BO61" s="397"/>
      <c r="BP61" s="397"/>
      <c r="BQ61" s="397"/>
      <c r="BR61" s="397"/>
      <c r="BS61" s="397"/>
      <c r="BT61" s="397"/>
      <c r="BU61" s="397"/>
      <c r="BV61" s="397"/>
    </row>
    <row r="62" spans="63:74" x14ac:dyDescent="0.15">
      <c r="BK62" s="397"/>
      <c r="BL62" s="397"/>
      <c r="BM62" s="397"/>
      <c r="BN62" s="397"/>
      <c r="BO62" s="397"/>
      <c r="BP62" s="397"/>
      <c r="BQ62" s="397"/>
      <c r="BR62" s="397"/>
      <c r="BS62" s="397"/>
      <c r="BT62" s="397"/>
      <c r="BU62" s="397"/>
      <c r="BV62" s="397"/>
    </row>
    <row r="63" spans="63:74" x14ac:dyDescent="0.15">
      <c r="BK63" s="397"/>
      <c r="BL63" s="397"/>
      <c r="BM63" s="397"/>
      <c r="BN63" s="397"/>
      <c r="BO63" s="397"/>
      <c r="BP63" s="397"/>
      <c r="BQ63" s="397"/>
      <c r="BR63" s="397"/>
      <c r="BS63" s="397"/>
      <c r="BT63" s="397"/>
      <c r="BU63" s="397"/>
      <c r="BV63" s="397"/>
    </row>
    <row r="64" spans="63:74" x14ac:dyDescent="0.15">
      <c r="BK64" s="397"/>
      <c r="BL64" s="397"/>
      <c r="BM64" s="397"/>
      <c r="BN64" s="397"/>
      <c r="BO64" s="397"/>
      <c r="BP64" s="397"/>
      <c r="BQ64" s="397"/>
      <c r="BR64" s="397"/>
      <c r="BS64" s="397"/>
      <c r="BT64" s="397"/>
      <c r="BU64" s="397"/>
      <c r="BV64" s="397"/>
    </row>
    <row r="65" spans="63:74" x14ac:dyDescent="0.15">
      <c r="BK65" s="397"/>
      <c r="BL65" s="397"/>
      <c r="BM65" s="397"/>
      <c r="BN65" s="397"/>
      <c r="BO65" s="397"/>
      <c r="BP65" s="397"/>
      <c r="BQ65" s="397"/>
      <c r="BR65" s="397"/>
      <c r="BS65" s="397"/>
      <c r="BT65" s="397"/>
      <c r="BU65" s="397"/>
      <c r="BV65" s="397"/>
    </row>
    <row r="66" spans="63:74" x14ac:dyDescent="0.15">
      <c r="BK66" s="397"/>
      <c r="BL66" s="397"/>
      <c r="BM66" s="397"/>
      <c r="BN66" s="397"/>
      <c r="BO66" s="397"/>
      <c r="BP66" s="397"/>
      <c r="BQ66" s="397"/>
      <c r="BR66" s="397"/>
      <c r="BS66" s="397"/>
      <c r="BT66" s="397"/>
      <c r="BU66" s="397"/>
      <c r="BV66" s="397"/>
    </row>
    <row r="67" spans="63:74" x14ac:dyDescent="0.15">
      <c r="BK67" s="397"/>
      <c r="BL67" s="397"/>
      <c r="BM67" s="397"/>
      <c r="BN67" s="397"/>
      <c r="BO67" s="397"/>
      <c r="BP67" s="397"/>
      <c r="BQ67" s="397"/>
      <c r="BR67" s="397"/>
      <c r="BS67" s="397"/>
      <c r="BT67" s="397"/>
      <c r="BU67" s="397"/>
      <c r="BV67" s="397"/>
    </row>
    <row r="68" spans="63:74" x14ac:dyDescent="0.15">
      <c r="BK68" s="397"/>
      <c r="BL68" s="397"/>
      <c r="BM68" s="397"/>
      <c r="BN68" s="397"/>
      <c r="BO68" s="397"/>
      <c r="BP68" s="397"/>
      <c r="BQ68" s="397"/>
      <c r="BR68" s="397"/>
      <c r="BS68" s="397"/>
      <c r="BT68" s="397"/>
      <c r="BU68" s="397"/>
      <c r="BV68" s="397"/>
    </row>
    <row r="69" spans="63:74" x14ac:dyDescent="0.15">
      <c r="BK69" s="397"/>
      <c r="BL69" s="397"/>
      <c r="BM69" s="397"/>
      <c r="BN69" s="397"/>
      <c r="BO69" s="397"/>
      <c r="BP69" s="397"/>
      <c r="BQ69" s="397"/>
      <c r="BR69" s="397"/>
      <c r="BS69" s="397"/>
      <c r="BT69" s="397"/>
      <c r="BU69" s="397"/>
      <c r="BV69" s="397"/>
    </row>
    <row r="70" spans="63:74" x14ac:dyDescent="0.15">
      <c r="BK70" s="397"/>
      <c r="BL70" s="397"/>
      <c r="BM70" s="397"/>
      <c r="BN70" s="397"/>
      <c r="BO70" s="397"/>
      <c r="BP70" s="397"/>
      <c r="BQ70" s="397"/>
      <c r="BR70" s="397"/>
      <c r="BS70" s="397"/>
      <c r="BT70" s="397"/>
      <c r="BU70" s="397"/>
      <c r="BV70" s="397"/>
    </row>
    <row r="71" spans="63:74" x14ac:dyDescent="0.15">
      <c r="BK71" s="397"/>
      <c r="BL71" s="397"/>
      <c r="BM71" s="397"/>
      <c r="BN71" s="397"/>
      <c r="BO71" s="397"/>
      <c r="BP71" s="397"/>
      <c r="BQ71" s="397"/>
      <c r="BR71" s="397"/>
      <c r="BS71" s="397"/>
      <c r="BT71" s="397"/>
      <c r="BU71" s="397"/>
      <c r="BV71" s="397"/>
    </row>
    <row r="72" spans="63:74" x14ac:dyDescent="0.15">
      <c r="BK72" s="397"/>
      <c r="BL72" s="397"/>
      <c r="BM72" s="397"/>
      <c r="BN72" s="397"/>
      <c r="BO72" s="397"/>
      <c r="BP72" s="397"/>
      <c r="BQ72" s="397"/>
      <c r="BR72" s="397"/>
      <c r="BS72" s="397"/>
      <c r="BT72" s="397"/>
      <c r="BU72" s="397"/>
      <c r="BV72" s="397"/>
    </row>
    <row r="73" spans="63:74" x14ac:dyDescent="0.15">
      <c r="BK73" s="397"/>
      <c r="BL73" s="397"/>
      <c r="BM73" s="397"/>
      <c r="BN73" s="397"/>
      <c r="BO73" s="397"/>
      <c r="BP73" s="397"/>
      <c r="BQ73" s="397"/>
      <c r="BR73" s="397"/>
      <c r="BS73" s="397"/>
      <c r="BT73" s="397"/>
      <c r="BU73" s="397"/>
      <c r="BV73" s="397"/>
    </row>
    <row r="74" spans="63:74" x14ac:dyDescent="0.15">
      <c r="BK74" s="397"/>
      <c r="BL74" s="397"/>
      <c r="BM74" s="397"/>
      <c r="BN74" s="397"/>
      <c r="BO74" s="397"/>
      <c r="BP74" s="397"/>
      <c r="BQ74" s="397"/>
      <c r="BR74" s="397"/>
      <c r="BS74" s="397"/>
      <c r="BT74" s="397"/>
      <c r="BU74" s="397"/>
      <c r="BV74" s="397"/>
    </row>
    <row r="75" spans="63:74" x14ac:dyDescent="0.15">
      <c r="BK75" s="397"/>
      <c r="BL75" s="397"/>
      <c r="BM75" s="397"/>
      <c r="BN75" s="397"/>
      <c r="BO75" s="397"/>
      <c r="BP75" s="397"/>
      <c r="BQ75" s="397"/>
      <c r="BR75" s="397"/>
      <c r="BS75" s="397"/>
      <c r="BT75" s="397"/>
      <c r="BU75" s="397"/>
      <c r="BV75" s="397"/>
    </row>
    <row r="76" spans="63:74" x14ac:dyDescent="0.15">
      <c r="BK76" s="397"/>
      <c r="BL76" s="397"/>
      <c r="BM76" s="397"/>
      <c r="BN76" s="397"/>
      <c r="BO76" s="397"/>
      <c r="BP76" s="397"/>
      <c r="BQ76" s="397"/>
      <c r="BR76" s="397"/>
      <c r="BS76" s="397"/>
      <c r="BT76" s="397"/>
      <c r="BU76" s="397"/>
      <c r="BV76" s="397"/>
    </row>
    <row r="77" spans="63:74" x14ac:dyDescent="0.15">
      <c r="BK77" s="397"/>
      <c r="BL77" s="397"/>
      <c r="BM77" s="397"/>
      <c r="BN77" s="397"/>
      <c r="BO77" s="397"/>
      <c r="BP77" s="397"/>
      <c r="BQ77" s="397"/>
      <c r="BR77" s="397"/>
      <c r="BS77" s="397"/>
      <c r="BT77" s="397"/>
      <c r="BU77" s="397"/>
      <c r="BV77" s="397"/>
    </row>
    <row r="78" spans="63:74" x14ac:dyDescent="0.15">
      <c r="BK78" s="397"/>
      <c r="BL78" s="397"/>
      <c r="BM78" s="397"/>
      <c r="BN78" s="397"/>
      <c r="BO78" s="397"/>
      <c r="BP78" s="397"/>
      <c r="BQ78" s="397"/>
      <c r="BR78" s="397"/>
      <c r="BS78" s="397"/>
      <c r="BT78" s="397"/>
      <c r="BU78" s="397"/>
      <c r="BV78" s="397"/>
    </row>
    <row r="79" spans="63:74" x14ac:dyDescent="0.15">
      <c r="BK79" s="397"/>
      <c r="BL79" s="397"/>
      <c r="BM79" s="397"/>
      <c r="BN79" s="397"/>
      <c r="BO79" s="397"/>
      <c r="BP79" s="397"/>
      <c r="BQ79" s="397"/>
      <c r="BR79" s="397"/>
      <c r="BS79" s="397"/>
      <c r="BT79" s="397"/>
      <c r="BU79" s="397"/>
      <c r="BV79" s="397"/>
    </row>
    <row r="80" spans="63:74" x14ac:dyDescent="0.15">
      <c r="BK80" s="397"/>
      <c r="BL80" s="397"/>
      <c r="BM80" s="397"/>
      <c r="BN80" s="397"/>
      <c r="BO80" s="397"/>
      <c r="BP80" s="397"/>
      <c r="BQ80" s="397"/>
      <c r="BR80" s="397"/>
      <c r="BS80" s="397"/>
      <c r="BT80" s="397"/>
      <c r="BU80" s="397"/>
      <c r="BV80" s="397"/>
    </row>
    <row r="81" spans="63:74" x14ac:dyDescent="0.15">
      <c r="BK81" s="397"/>
      <c r="BL81" s="397"/>
      <c r="BM81" s="397"/>
      <c r="BN81" s="397"/>
      <c r="BO81" s="397"/>
      <c r="BP81" s="397"/>
      <c r="BQ81" s="397"/>
      <c r="BR81" s="397"/>
      <c r="BS81" s="397"/>
      <c r="BT81" s="397"/>
      <c r="BU81" s="397"/>
      <c r="BV81" s="397"/>
    </row>
    <row r="82" spans="63:74" x14ac:dyDescent="0.15">
      <c r="BK82" s="397"/>
      <c r="BL82" s="397"/>
      <c r="BM82" s="397"/>
      <c r="BN82" s="397"/>
      <c r="BO82" s="397"/>
      <c r="BP82" s="397"/>
      <c r="BQ82" s="397"/>
      <c r="BR82" s="397"/>
      <c r="BS82" s="397"/>
      <c r="BT82" s="397"/>
      <c r="BU82" s="397"/>
      <c r="BV82" s="397"/>
    </row>
    <row r="83" spans="63:74" x14ac:dyDescent="0.15">
      <c r="BK83" s="397"/>
      <c r="BL83" s="397"/>
      <c r="BM83" s="397"/>
      <c r="BN83" s="397"/>
      <c r="BO83" s="397"/>
      <c r="BP83" s="397"/>
      <c r="BQ83" s="397"/>
      <c r="BR83" s="397"/>
      <c r="BS83" s="397"/>
      <c r="BT83" s="397"/>
      <c r="BU83" s="397"/>
      <c r="BV83" s="397"/>
    </row>
    <row r="84" spans="63:74" x14ac:dyDescent="0.15">
      <c r="BK84" s="397"/>
      <c r="BL84" s="397"/>
      <c r="BM84" s="397"/>
      <c r="BN84" s="397"/>
      <c r="BO84" s="397"/>
      <c r="BP84" s="397"/>
      <c r="BQ84" s="397"/>
      <c r="BR84" s="397"/>
      <c r="BS84" s="397"/>
      <c r="BT84" s="397"/>
      <c r="BU84" s="397"/>
      <c r="BV84" s="397"/>
    </row>
    <row r="85" spans="63:74" x14ac:dyDescent="0.15">
      <c r="BK85" s="397"/>
      <c r="BL85" s="397"/>
      <c r="BM85" s="397"/>
      <c r="BN85" s="397"/>
      <c r="BO85" s="397"/>
      <c r="BP85" s="397"/>
      <c r="BQ85" s="397"/>
      <c r="BR85" s="397"/>
      <c r="BS85" s="397"/>
      <c r="BT85" s="397"/>
      <c r="BU85" s="397"/>
      <c r="BV85" s="397"/>
    </row>
    <row r="86" spans="63:74" x14ac:dyDescent="0.15">
      <c r="BK86" s="397"/>
      <c r="BL86" s="397"/>
      <c r="BM86" s="397"/>
      <c r="BN86" s="397"/>
      <c r="BO86" s="397"/>
      <c r="BP86" s="397"/>
      <c r="BQ86" s="397"/>
      <c r="BR86" s="397"/>
      <c r="BS86" s="397"/>
      <c r="BT86" s="397"/>
      <c r="BU86" s="397"/>
      <c r="BV86" s="397"/>
    </row>
    <row r="87" spans="63:74" x14ac:dyDescent="0.15">
      <c r="BK87" s="397"/>
      <c r="BL87" s="397"/>
      <c r="BM87" s="397"/>
      <c r="BN87" s="397"/>
      <c r="BO87" s="397"/>
      <c r="BP87" s="397"/>
      <c r="BQ87" s="397"/>
      <c r="BR87" s="397"/>
      <c r="BS87" s="397"/>
      <c r="BT87" s="397"/>
      <c r="BU87" s="397"/>
      <c r="BV87" s="397"/>
    </row>
    <row r="88" spans="63:74" x14ac:dyDescent="0.15">
      <c r="BK88" s="397"/>
      <c r="BL88" s="397"/>
      <c r="BM88" s="397"/>
      <c r="BN88" s="397"/>
      <c r="BO88" s="397"/>
      <c r="BP88" s="397"/>
      <c r="BQ88" s="397"/>
      <c r="BR88" s="397"/>
      <c r="BS88" s="397"/>
      <c r="BT88" s="397"/>
      <c r="BU88" s="397"/>
      <c r="BV88" s="397"/>
    </row>
    <row r="89" spans="63:74" x14ac:dyDescent="0.15">
      <c r="BK89" s="397"/>
      <c r="BL89" s="397"/>
      <c r="BM89" s="397"/>
      <c r="BN89" s="397"/>
      <c r="BO89" s="397"/>
      <c r="BP89" s="397"/>
      <c r="BQ89" s="397"/>
      <c r="BR89" s="397"/>
      <c r="BS89" s="397"/>
      <c r="BT89" s="397"/>
      <c r="BU89" s="397"/>
      <c r="BV89" s="397"/>
    </row>
    <row r="90" spans="63:74" x14ac:dyDescent="0.15">
      <c r="BK90" s="397"/>
      <c r="BL90" s="397"/>
      <c r="BM90" s="397"/>
      <c r="BN90" s="397"/>
      <c r="BO90" s="397"/>
      <c r="BP90" s="397"/>
      <c r="BQ90" s="397"/>
      <c r="BR90" s="397"/>
      <c r="BS90" s="397"/>
      <c r="BT90" s="397"/>
      <c r="BU90" s="397"/>
      <c r="BV90" s="397"/>
    </row>
    <row r="91" spans="63:74" x14ac:dyDescent="0.15">
      <c r="BK91" s="397"/>
      <c r="BL91" s="397"/>
      <c r="BM91" s="397"/>
      <c r="BN91" s="397"/>
      <c r="BO91" s="397"/>
      <c r="BP91" s="397"/>
      <c r="BQ91" s="397"/>
      <c r="BR91" s="397"/>
      <c r="BS91" s="397"/>
      <c r="BT91" s="397"/>
      <c r="BU91" s="397"/>
      <c r="BV91" s="397"/>
    </row>
    <row r="92" spans="63:74" x14ac:dyDescent="0.15">
      <c r="BK92" s="397"/>
      <c r="BL92" s="397"/>
      <c r="BM92" s="397"/>
      <c r="BN92" s="397"/>
      <c r="BO92" s="397"/>
      <c r="BP92" s="397"/>
      <c r="BQ92" s="397"/>
      <c r="BR92" s="397"/>
      <c r="BS92" s="397"/>
      <c r="BT92" s="397"/>
      <c r="BU92" s="397"/>
      <c r="BV92" s="397"/>
    </row>
    <row r="93" spans="63:74" x14ac:dyDescent="0.15">
      <c r="BK93" s="397"/>
      <c r="BL93" s="397"/>
      <c r="BM93" s="397"/>
      <c r="BN93" s="397"/>
      <c r="BO93" s="397"/>
      <c r="BP93" s="397"/>
      <c r="BQ93" s="397"/>
      <c r="BR93" s="397"/>
      <c r="BS93" s="397"/>
      <c r="BT93" s="397"/>
      <c r="BU93" s="397"/>
      <c r="BV93" s="397"/>
    </row>
    <row r="94" spans="63:74" x14ac:dyDescent="0.15">
      <c r="BK94" s="397"/>
      <c r="BL94" s="397"/>
      <c r="BM94" s="397"/>
      <c r="BN94" s="397"/>
      <c r="BO94" s="397"/>
      <c r="BP94" s="397"/>
      <c r="BQ94" s="397"/>
      <c r="BR94" s="397"/>
      <c r="BS94" s="397"/>
      <c r="BT94" s="397"/>
      <c r="BU94" s="397"/>
      <c r="BV94" s="397"/>
    </row>
    <row r="95" spans="63:74" x14ac:dyDescent="0.15">
      <c r="BK95" s="397"/>
      <c r="BL95" s="397"/>
      <c r="BM95" s="397"/>
      <c r="BN95" s="397"/>
      <c r="BO95" s="397"/>
      <c r="BP95" s="397"/>
      <c r="BQ95" s="397"/>
      <c r="BR95" s="397"/>
      <c r="BS95" s="397"/>
      <c r="BT95" s="397"/>
      <c r="BU95" s="397"/>
      <c r="BV95" s="397"/>
    </row>
    <row r="96" spans="63:74" x14ac:dyDescent="0.15">
      <c r="BK96" s="397"/>
      <c r="BL96" s="397"/>
      <c r="BM96" s="397"/>
      <c r="BN96" s="397"/>
      <c r="BO96" s="397"/>
      <c r="BP96" s="397"/>
      <c r="BQ96" s="397"/>
      <c r="BR96" s="397"/>
      <c r="BS96" s="397"/>
      <c r="BT96" s="397"/>
      <c r="BU96" s="397"/>
      <c r="BV96" s="397"/>
    </row>
    <row r="97" spans="63:74" x14ac:dyDescent="0.15">
      <c r="BK97" s="397"/>
      <c r="BL97" s="397"/>
      <c r="BM97" s="397"/>
      <c r="BN97" s="397"/>
      <c r="BO97" s="397"/>
      <c r="BP97" s="397"/>
      <c r="BQ97" s="397"/>
      <c r="BR97" s="397"/>
      <c r="BS97" s="397"/>
      <c r="BT97" s="397"/>
      <c r="BU97" s="397"/>
      <c r="BV97" s="397"/>
    </row>
    <row r="98" spans="63:74" x14ac:dyDescent="0.15">
      <c r="BK98" s="397"/>
      <c r="BL98" s="397"/>
      <c r="BM98" s="397"/>
      <c r="BN98" s="397"/>
      <c r="BO98" s="397"/>
      <c r="BP98" s="397"/>
      <c r="BQ98" s="397"/>
      <c r="BR98" s="397"/>
      <c r="BS98" s="397"/>
      <c r="BT98" s="397"/>
      <c r="BU98" s="397"/>
      <c r="BV98" s="397"/>
    </row>
    <row r="99" spans="63:74" x14ac:dyDescent="0.15">
      <c r="BK99" s="397"/>
      <c r="BL99" s="397"/>
      <c r="BM99" s="397"/>
      <c r="BN99" s="397"/>
      <c r="BO99" s="397"/>
      <c r="BP99" s="397"/>
      <c r="BQ99" s="397"/>
      <c r="BR99" s="397"/>
      <c r="BS99" s="397"/>
      <c r="BT99" s="397"/>
      <c r="BU99" s="397"/>
      <c r="BV99" s="397"/>
    </row>
    <row r="100" spans="63:74" x14ac:dyDescent="0.15">
      <c r="BK100" s="397"/>
      <c r="BL100" s="397"/>
      <c r="BM100" s="397"/>
      <c r="BN100" s="397"/>
      <c r="BO100" s="397"/>
      <c r="BP100" s="397"/>
      <c r="BQ100" s="397"/>
      <c r="BR100" s="397"/>
      <c r="BS100" s="397"/>
      <c r="BT100" s="397"/>
      <c r="BU100" s="397"/>
      <c r="BV100" s="397"/>
    </row>
    <row r="101" spans="63:74" x14ac:dyDescent="0.15">
      <c r="BK101" s="397"/>
      <c r="BL101" s="397"/>
      <c r="BM101" s="397"/>
      <c r="BN101" s="397"/>
      <c r="BO101" s="397"/>
      <c r="BP101" s="397"/>
      <c r="BQ101" s="397"/>
      <c r="BR101" s="397"/>
      <c r="BS101" s="397"/>
      <c r="BT101" s="397"/>
      <c r="BU101" s="397"/>
      <c r="BV101" s="397"/>
    </row>
    <row r="102" spans="63:74" x14ac:dyDescent="0.15">
      <c r="BK102" s="397"/>
      <c r="BL102" s="397"/>
      <c r="BM102" s="397"/>
      <c r="BN102" s="397"/>
      <c r="BO102" s="397"/>
      <c r="BP102" s="397"/>
      <c r="BQ102" s="397"/>
      <c r="BR102" s="397"/>
      <c r="BS102" s="397"/>
      <c r="BT102" s="397"/>
      <c r="BU102" s="397"/>
      <c r="BV102" s="397"/>
    </row>
    <row r="103" spans="63:74" x14ac:dyDescent="0.15">
      <c r="BK103" s="397"/>
      <c r="BL103" s="397"/>
      <c r="BM103" s="397"/>
      <c r="BN103" s="397"/>
      <c r="BO103" s="397"/>
      <c r="BP103" s="397"/>
      <c r="BQ103" s="397"/>
      <c r="BR103" s="397"/>
      <c r="BS103" s="397"/>
      <c r="BT103" s="397"/>
      <c r="BU103" s="397"/>
      <c r="BV103" s="397"/>
    </row>
    <row r="104" spans="63:74" x14ac:dyDescent="0.15">
      <c r="BK104" s="397"/>
      <c r="BL104" s="397"/>
      <c r="BM104" s="397"/>
      <c r="BN104" s="397"/>
      <c r="BO104" s="397"/>
      <c r="BP104" s="397"/>
      <c r="BQ104" s="397"/>
      <c r="BR104" s="397"/>
      <c r="BS104" s="397"/>
      <c r="BT104" s="397"/>
      <c r="BU104" s="397"/>
      <c r="BV104" s="397"/>
    </row>
    <row r="105" spans="63:74" x14ac:dyDescent="0.15">
      <c r="BK105" s="397"/>
      <c r="BL105" s="397"/>
      <c r="BM105" s="397"/>
      <c r="BN105" s="397"/>
      <c r="BO105" s="397"/>
      <c r="BP105" s="397"/>
      <c r="BQ105" s="397"/>
      <c r="BR105" s="397"/>
      <c r="BS105" s="397"/>
      <c r="BT105" s="397"/>
      <c r="BU105" s="397"/>
      <c r="BV105" s="397"/>
    </row>
    <row r="106" spans="63:74" x14ac:dyDescent="0.15">
      <c r="BK106" s="397"/>
      <c r="BL106" s="397"/>
      <c r="BM106" s="397"/>
      <c r="BN106" s="397"/>
      <c r="BO106" s="397"/>
      <c r="BP106" s="397"/>
      <c r="BQ106" s="397"/>
      <c r="BR106" s="397"/>
      <c r="BS106" s="397"/>
      <c r="BT106" s="397"/>
      <c r="BU106" s="397"/>
      <c r="BV106" s="397"/>
    </row>
    <row r="107" spans="63:74" x14ac:dyDescent="0.15">
      <c r="BK107" s="397"/>
      <c r="BL107" s="397"/>
      <c r="BM107" s="397"/>
      <c r="BN107" s="397"/>
      <c r="BO107" s="397"/>
      <c r="BP107" s="397"/>
      <c r="BQ107" s="397"/>
      <c r="BR107" s="397"/>
      <c r="BS107" s="397"/>
      <c r="BT107" s="397"/>
      <c r="BU107" s="397"/>
      <c r="BV107" s="397"/>
    </row>
    <row r="108" spans="63:74" x14ac:dyDescent="0.15">
      <c r="BK108" s="397"/>
      <c r="BL108" s="397"/>
      <c r="BM108" s="397"/>
      <c r="BN108" s="397"/>
      <c r="BO108" s="397"/>
      <c r="BP108" s="397"/>
      <c r="BQ108" s="397"/>
      <c r="BR108" s="397"/>
      <c r="BS108" s="397"/>
      <c r="BT108" s="397"/>
      <c r="BU108" s="397"/>
      <c r="BV108" s="397"/>
    </row>
    <row r="109" spans="63:74" x14ac:dyDescent="0.15">
      <c r="BK109" s="397"/>
      <c r="BL109" s="397"/>
      <c r="BM109" s="397"/>
      <c r="BN109" s="397"/>
      <c r="BO109" s="397"/>
      <c r="BP109" s="397"/>
      <c r="BQ109" s="397"/>
      <c r="BR109" s="397"/>
      <c r="BS109" s="397"/>
      <c r="BT109" s="397"/>
      <c r="BU109" s="397"/>
      <c r="BV109" s="397"/>
    </row>
    <row r="110" spans="63:74" x14ac:dyDescent="0.15">
      <c r="BK110" s="397"/>
      <c r="BL110" s="397"/>
      <c r="BM110" s="397"/>
      <c r="BN110" s="397"/>
      <c r="BO110" s="397"/>
      <c r="BP110" s="397"/>
      <c r="BQ110" s="397"/>
      <c r="BR110" s="397"/>
      <c r="BS110" s="397"/>
      <c r="BT110" s="397"/>
      <c r="BU110" s="397"/>
      <c r="BV110" s="397"/>
    </row>
    <row r="111" spans="63:74" x14ac:dyDescent="0.15">
      <c r="BK111" s="397"/>
      <c r="BL111" s="397"/>
      <c r="BM111" s="397"/>
      <c r="BN111" s="397"/>
      <c r="BO111" s="397"/>
      <c r="BP111" s="397"/>
      <c r="BQ111" s="397"/>
      <c r="BR111" s="397"/>
      <c r="BS111" s="397"/>
      <c r="BT111" s="397"/>
      <c r="BU111" s="397"/>
      <c r="BV111" s="397"/>
    </row>
    <row r="112" spans="63:74" x14ac:dyDescent="0.15">
      <c r="BK112" s="397"/>
      <c r="BL112" s="397"/>
      <c r="BM112" s="397"/>
      <c r="BN112" s="397"/>
      <c r="BO112" s="397"/>
      <c r="BP112" s="397"/>
      <c r="BQ112" s="397"/>
      <c r="BR112" s="397"/>
      <c r="BS112" s="397"/>
      <c r="BT112" s="397"/>
      <c r="BU112" s="397"/>
      <c r="BV112" s="397"/>
    </row>
    <row r="113" spans="63:74" x14ac:dyDescent="0.15">
      <c r="BK113" s="397"/>
      <c r="BL113" s="397"/>
      <c r="BM113" s="397"/>
      <c r="BN113" s="397"/>
      <c r="BO113" s="397"/>
      <c r="BP113" s="397"/>
      <c r="BQ113" s="397"/>
      <c r="BR113" s="397"/>
      <c r="BS113" s="397"/>
      <c r="BT113" s="397"/>
      <c r="BU113" s="397"/>
      <c r="BV113" s="397"/>
    </row>
    <row r="114" spans="63:74" x14ac:dyDescent="0.15">
      <c r="BK114" s="397"/>
      <c r="BL114" s="397"/>
      <c r="BM114" s="397"/>
      <c r="BN114" s="397"/>
      <c r="BO114" s="397"/>
      <c r="BP114" s="397"/>
      <c r="BQ114" s="397"/>
      <c r="BR114" s="397"/>
      <c r="BS114" s="397"/>
      <c r="BT114" s="397"/>
      <c r="BU114" s="397"/>
      <c r="BV114" s="397"/>
    </row>
    <row r="115" spans="63:74" x14ac:dyDescent="0.15">
      <c r="BK115" s="397"/>
      <c r="BL115" s="397"/>
      <c r="BM115" s="397"/>
      <c r="BN115" s="397"/>
      <c r="BO115" s="397"/>
      <c r="BP115" s="397"/>
      <c r="BQ115" s="397"/>
      <c r="BR115" s="397"/>
      <c r="BS115" s="397"/>
      <c r="BT115" s="397"/>
      <c r="BU115" s="397"/>
      <c r="BV115" s="397"/>
    </row>
    <row r="116" spans="63:74" x14ac:dyDescent="0.15">
      <c r="BK116" s="397"/>
      <c r="BL116" s="397"/>
      <c r="BM116" s="397"/>
      <c r="BN116" s="397"/>
      <c r="BO116" s="397"/>
      <c r="BP116" s="397"/>
      <c r="BQ116" s="397"/>
      <c r="BR116" s="397"/>
      <c r="BS116" s="397"/>
      <c r="BT116" s="397"/>
      <c r="BU116" s="397"/>
      <c r="BV116" s="397"/>
    </row>
    <row r="117" spans="63:74" x14ac:dyDescent="0.15">
      <c r="BK117" s="397"/>
      <c r="BL117" s="397"/>
      <c r="BM117" s="397"/>
      <c r="BN117" s="397"/>
      <c r="BO117" s="397"/>
      <c r="BP117" s="397"/>
      <c r="BQ117" s="397"/>
      <c r="BR117" s="397"/>
      <c r="BS117" s="397"/>
      <c r="BT117" s="397"/>
      <c r="BU117" s="397"/>
      <c r="BV117" s="397"/>
    </row>
    <row r="118" spans="63:74" x14ac:dyDescent="0.15">
      <c r="BK118" s="397"/>
      <c r="BL118" s="397"/>
      <c r="BM118" s="397"/>
      <c r="BN118" s="397"/>
      <c r="BO118" s="397"/>
      <c r="BP118" s="397"/>
      <c r="BQ118" s="397"/>
      <c r="BR118" s="397"/>
      <c r="BS118" s="397"/>
      <c r="BT118" s="397"/>
      <c r="BU118" s="397"/>
      <c r="BV118" s="397"/>
    </row>
    <row r="119" spans="63:74" x14ac:dyDescent="0.15">
      <c r="BK119" s="397"/>
      <c r="BL119" s="397"/>
      <c r="BM119" s="397"/>
      <c r="BN119" s="397"/>
      <c r="BO119" s="397"/>
      <c r="BP119" s="397"/>
      <c r="BQ119" s="397"/>
      <c r="BR119" s="397"/>
      <c r="BS119" s="397"/>
      <c r="BT119" s="397"/>
      <c r="BU119" s="397"/>
      <c r="BV119" s="397"/>
    </row>
    <row r="120" spans="63:74" x14ac:dyDescent="0.15">
      <c r="BK120" s="397"/>
      <c r="BL120" s="397"/>
      <c r="BM120" s="397"/>
      <c r="BN120" s="397"/>
      <c r="BO120" s="397"/>
      <c r="BP120" s="397"/>
      <c r="BQ120" s="397"/>
      <c r="BR120" s="397"/>
      <c r="BS120" s="397"/>
      <c r="BT120" s="397"/>
      <c r="BU120" s="397"/>
      <c r="BV120" s="397"/>
    </row>
    <row r="121" spans="63:74" x14ac:dyDescent="0.15">
      <c r="BK121" s="397"/>
      <c r="BL121" s="397"/>
      <c r="BM121" s="397"/>
      <c r="BN121" s="397"/>
      <c r="BO121" s="397"/>
      <c r="BP121" s="397"/>
      <c r="BQ121" s="397"/>
      <c r="BR121" s="397"/>
      <c r="BS121" s="397"/>
      <c r="BT121" s="397"/>
      <c r="BU121" s="397"/>
      <c r="BV121" s="397"/>
    </row>
    <row r="122" spans="63:74" x14ac:dyDescent="0.15">
      <c r="BK122" s="397"/>
      <c r="BL122" s="397"/>
      <c r="BM122" s="397"/>
      <c r="BN122" s="397"/>
      <c r="BO122" s="397"/>
      <c r="BP122" s="397"/>
      <c r="BQ122" s="397"/>
      <c r="BR122" s="397"/>
      <c r="BS122" s="397"/>
      <c r="BT122" s="397"/>
      <c r="BU122" s="397"/>
      <c r="BV122" s="397"/>
    </row>
    <row r="123" spans="63:74" x14ac:dyDescent="0.15">
      <c r="BK123" s="397"/>
      <c r="BL123" s="397"/>
      <c r="BM123" s="397"/>
      <c r="BN123" s="397"/>
      <c r="BO123" s="397"/>
      <c r="BP123" s="397"/>
      <c r="BQ123" s="397"/>
      <c r="BR123" s="397"/>
      <c r="BS123" s="397"/>
      <c r="BT123" s="397"/>
      <c r="BU123" s="397"/>
      <c r="BV123" s="397"/>
    </row>
    <row r="124" spans="63:74" x14ac:dyDescent="0.15">
      <c r="BK124" s="397"/>
      <c r="BL124" s="397"/>
      <c r="BM124" s="397"/>
      <c r="BN124" s="397"/>
      <c r="BO124" s="397"/>
      <c r="BP124" s="397"/>
      <c r="BQ124" s="397"/>
      <c r="BR124" s="397"/>
      <c r="BS124" s="397"/>
      <c r="BT124" s="397"/>
      <c r="BU124" s="397"/>
      <c r="BV124" s="397"/>
    </row>
    <row r="125" spans="63:74" x14ac:dyDescent="0.15">
      <c r="BK125" s="397"/>
      <c r="BL125" s="397"/>
      <c r="BM125" s="397"/>
      <c r="BN125" s="397"/>
      <c r="BO125" s="397"/>
      <c r="BP125" s="397"/>
      <c r="BQ125" s="397"/>
      <c r="BR125" s="397"/>
      <c r="BS125" s="397"/>
      <c r="BT125" s="397"/>
      <c r="BU125" s="397"/>
      <c r="BV125" s="397"/>
    </row>
    <row r="126" spans="63:74" x14ac:dyDescent="0.15">
      <c r="BK126" s="397"/>
      <c r="BL126" s="397"/>
      <c r="BM126" s="397"/>
      <c r="BN126" s="397"/>
      <c r="BO126" s="397"/>
      <c r="BP126" s="397"/>
      <c r="BQ126" s="397"/>
      <c r="BR126" s="397"/>
      <c r="BS126" s="397"/>
      <c r="BT126" s="397"/>
      <c r="BU126" s="397"/>
      <c r="BV126" s="397"/>
    </row>
    <row r="127" spans="63:74" x14ac:dyDescent="0.15">
      <c r="BK127" s="397"/>
      <c r="BL127" s="397"/>
      <c r="BM127" s="397"/>
      <c r="BN127" s="397"/>
      <c r="BO127" s="397"/>
      <c r="BP127" s="397"/>
      <c r="BQ127" s="397"/>
      <c r="BR127" s="397"/>
      <c r="BS127" s="397"/>
      <c r="BT127" s="397"/>
      <c r="BU127" s="397"/>
      <c r="BV127" s="397"/>
    </row>
  </sheetData>
  <mergeCells count="17">
    <mergeCell ref="BK3:BV3"/>
    <mergeCell ref="B1:AL1"/>
    <mergeCell ref="C3:N3"/>
    <mergeCell ref="O3:Z3"/>
    <mergeCell ref="AA3:AL3"/>
    <mergeCell ref="AM3:AX3"/>
    <mergeCell ref="AY3:BJ3"/>
    <mergeCell ref="B35:Q35"/>
    <mergeCell ref="B36:Q36"/>
    <mergeCell ref="B37:Q37"/>
    <mergeCell ref="A1:A2"/>
    <mergeCell ref="B29:Q29"/>
    <mergeCell ref="B31:Q31"/>
    <mergeCell ref="B32:Q32"/>
    <mergeCell ref="B33:Q33"/>
    <mergeCell ref="B30:Q30"/>
    <mergeCell ref="B34:Q34"/>
  </mergeCells>
  <phoneticPr fontId="6" type="noConversion"/>
  <hyperlinks>
    <hyperlink ref="A1:A2" location="Contents!A1" display="Table of Contents"/>
  </hyperlinks>
  <pageMargins left="0.25" right="0.25" top="0.25" bottom="0.25" header="0.5" footer="0.5"/>
  <pageSetup scale="80" orientation="portrait" horizontalDpi="300" verticalDpi="3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Vertical="1" syncRef="AZ5" transitionEvaluation="1" transitionEntry="1" codeName="Sheet11">
    <pageSetUpPr fitToPage="1"/>
  </sheetPr>
  <dimension ref="A1:BV343"/>
  <sheetViews>
    <sheetView showGridLines="0" workbookViewId="0">
      <pane xSplit="2" ySplit="4" topLeftCell="AZ5" activePane="bottomRight" state="frozen"/>
      <selection activeCell="BF63" sqref="BF63"/>
      <selection pane="topRight" activeCell="BF63" sqref="BF63"/>
      <selection pane="bottomLeft" activeCell="BF63" sqref="BF63"/>
      <selection pane="bottomRight" activeCell="B1" sqref="B1:AL1"/>
    </sheetView>
  </sheetViews>
  <sheetFormatPr defaultColWidth="9.5546875" defaultRowHeight="10.199999999999999" x14ac:dyDescent="0.2"/>
  <cols>
    <col min="1" max="1" width="14.44140625" style="72" customWidth="1"/>
    <col min="2" max="2" width="38.77734375" style="72" customWidth="1"/>
    <col min="3" max="50" width="6.5546875" style="72" customWidth="1"/>
    <col min="51" max="55" width="6.5546875" style="390" customWidth="1"/>
    <col min="56" max="58" width="6.5546875" style="646" customWidth="1"/>
    <col min="59" max="62" width="6.5546875" style="390" customWidth="1"/>
    <col min="63" max="74" width="6.5546875" style="72" customWidth="1"/>
    <col min="75" max="16384" width="9.5546875" style="72"/>
  </cols>
  <sheetData>
    <row r="1" spans="1:74" ht="13.35" customHeight="1" x14ac:dyDescent="0.25">
      <c r="A1" s="797" t="s">
        <v>809</v>
      </c>
      <c r="B1" s="843" t="s">
        <v>242</v>
      </c>
      <c r="C1" s="844"/>
      <c r="D1" s="844"/>
      <c r="E1" s="844"/>
      <c r="F1" s="844"/>
      <c r="G1" s="844"/>
      <c r="H1" s="844"/>
      <c r="I1" s="844"/>
      <c r="J1" s="844"/>
      <c r="K1" s="844"/>
      <c r="L1" s="844"/>
      <c r="M1" s="844"/>
      <c r="N1" s="844"/>
      <c r="O1" s="844"/>
      <c r="P1" s="844"/>
      <c r="Q1" s="844"/>
      <c r="R1" s="844"/>
      <c r="S1" s="844"/>
      <c r="T1" s="844"/>
      <c r="U1" s="844"/>
      <c r="V1" s="844"/>
      <c r="W1" s="844"/>
      <c r="X1" s="844"/>
      <c r="Y1" s="844"/>
      <c r="Z1" s="844"/>
      <c r="AA1" s="844"/>
      <c r="AB1" s="844"/>
      <c r="AC1" s="844"/>
      <c r="AD1" s="844"/>
      <c r="AE1" s="844"/>
      <c r="AF1" s="844"/>
      <c r="AG1" s="844"/>
      <c r="AH1" s="844"/>
      <c r="AI1" s="844"/>
      <c r="AJ1" s="844"/>
      <c r="AK1" s="844"/>
      <c r="AL1" s="844"/>
      <c r="AM1" s="301"/>
    </row>
    <row r="2" spans="1:74" ht="13.2" x14ac:dyDescent="0.25">
      <c r="A2" s="798"/>
      <c r="B2" s="532" t="str">
        <f>"U.S. Energy Information Administration  |  Short-Term Energy Outlook  - "&amp;Dates!D1</f>
        <v>U.S. Energy Information Administration  |  Short-Term Energy Outlook  - September 2020</v>
      </c>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c r="AK2" s="533"/>
      <c r="AL2" s="533"/>
      <c r="AM2" s="301"/>
    </row>
    <row r="3" spans="1:74" s="12" customFormat="1" ht="13.2" x14ac:dyDescent="0.25">
      <c r="A3" s="14"/>
      <c r="B3" s="15"/>
      <c r="C3" s="806">
        <f>Dates!D3</f>
        <v>2016</v>
      </c>
      <c r="D3" s="802"/>
      <c r="E3" s="802"/>
      <c r="F3" s="802"/>
      <c r="G3" s="802"/>
      <c r="H3" s="802"/>
      <c r="I3" s="802"/>
      <c r="J3" s="802"/>
      <c r="K3" s="802"/>
      <c r="L3" s="802"/>
      <c r="M3" s="802"/>
      <c r="N3" s="803"/>
      <c r="O3" s="806">
        <f>C3+1</f>
        <v>2017</v>
      </c>
      <c r="P3" s="807"/>
      <c r="Q3" s="807"/>
      <c r="R3" s="807"/>
      <c r="S3" s="807"/>
      <c r="T3" s="807"/>
      <c r="U3" s="807"/>
      <c r="V3" s="807"/>
      <c r="W3" s="807"/>
      <c r="X3" s="802"/>
      <c r="Y3" s="802"/>
      <c r="Z3" s="803"/>
      <c r="AA3" s="799">
        <f>O3+1</f>
        <v>2018</v>
      </c>
      <c r="AB3" s="802"/>
      <c r="AC3" s="802"/>
      <c r="AD3" s="802"/>
      <c r="AE3" s="802"/>
      <c r="AF3" s="802"/>
      <c r="AG3" s="802"/>
      <c r="AH3" s="802"/>
      <c r="AI3" s="802"/>
      <c r="AJ3" s="802"/>
      <c r="AK3" s="802"/>
      <c r="AL3" s="803"/>
      <c r="AM3" s="799">
        <f>AA3+1</f>
        <v>2019</v>
      </c>
      <c r="AN3" s="802"/>
      <c r="AO3" s="802"/>
      <c r="AP3" s="802"/>
      <c r="AQ3" s="802"/>
      <c r="AR3" s="802"/>
      <c r="AS3" s="802"/>
      <c r="AT3" s="802"/>
      <c r="AU3" s="802"/>
      <c r="AV3" s="802"/>
      <c r="AW3" s="802"/>
      <c r="AX3" s="803"/>
      <c r="AY3" s="799">
        <f>AM3+1</f>
        <v>2020</v>
      </c>
      <c r="AZ3" s="800"/>
      <c r="BA3" s="800"/>
      <c r="BB3" s="800"/>
      <c r="BC3" s="800"/>
      <c r="BD3" s="800"/>
      <c r="BE3" s="800"/>
      <c r="BF3" s="800"/>
      <c r="BG3" s="800"/>
      <c r="BH3" s="800"/>
      <c r="BI3" s="800"/>
      <c r="BJ3" s="801"/>
      <c r="BK3" s="799">
        <f>AY3+1</f>
        <v>2021</v>
      </c>
      <c r="BL3" s="802"/>
      <c r="BM3" s="802"/>
      <c r="BN3" s="802"/>
      <c r="BO3" s="802"/>
      <c r="BP3" s="802"/>
      <c r="BQ3" s="802"/>
      <c r="BR3" s="802"/>
      <c r="BS3" s="802"/>
      <c r="BT3" s="802"/>
      <c r="BU3" s="802"/>
      <c r="BV3" s="803"/>
    </row>
    <row r="4" spans="1:74" s="12" customFormat="1" x14ac:dyDescent="0.2">
      <c r="A4" s="16"/>
      <c r="B4" s="17"/>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A5" s="73"/>
      <c r="B5" s="74" t="s">
        <v>792</v>
      </c>
      <c r="C5" s="75"/>
      <c r="D5" s="75"/>
      <c r="E5" s="75"/>
      <c r="F5" s="75"/>
      <c r="G5" s="75"/>
      <c r="H5" s="75"/>
      <c r="I5" s="75"/>
      <c r="J5" s="75"/>
      <c r="K5" s="75"/>
      <c r="L5" s="75"/>
      <c r="M5" s="75"/>
      <c r="N5" s="75"/>
      <c r="O5" s="75"/>
      <c r="P5" s="75"/>
      <c r="Q5" s="75"/>
      <c r="R5" s="75"/>
      <c r="S5" s="75"/>
      <c r="T5" s="75"/>
      <c r="U5" s="75"/>
      <c r="V5" s="75"/>
      <c r="W5" s="75"/>
      <c r="X5" s="75"/>
      <c r="Y5" s="75"/>
      <c r="Z5" s="75"/>
      <c r="AA5" s="75"/>
      <c r="AB5" s="75"/>
      <c r="AC5" s="75"/>
      <c r="AD5" s="75"/>
      <c r="AE5" s="75"/>
      <c r="AF5" s="75"/>
      <c r="AG5" s="75"/>
      <c r="AH5" s="75"/>
      <c r="AI5" s="75"/>
      <c r="AJ5" s="75"/>
      <c r="AK5" s="75"/>
      <c r="AL5" s="75"/>
      <c r="AM5" s="75"/>
      <c r="AN5" s="75"/>
      <c r="AO5" s="75"/>
      <c r="AP5" s="75"/>
      <c r="AQ5" s="75"/>
      <c r="AR5" s="75"/>
      <c r="AS5" s="75"/>
      <c r="AT5" s="75"/>
      <c r="AU5" s="75"/>
      <c r="AV5" s="75"/>
      <c r="AW5" s="75"/>
      <c r="AX5" s="75"/>
      <c r="AY5" s="420"/>
      <c r="AZ5" s="712"/>
      <c r="BA5" s="712"/>
      <c r="BB5" s="712"/>
      <c r="BC5" s="712"/>
      <c r="BD5" s="744"/>
      <c r="BE5" s="75"/>
      <c r="BF5" s="75"/>
      <c r="BG5" s="75"/>
      <c r="BH5" s="75"/>
      <c r="BI5" s="75"/>
      <c r="BJ5" s="420"/>
      <c r="BK5" s="420"/>
      <c r="BL5" s="420"/>
      <c r="BM5" s="420"/>
      <c r="BN5" s="420"/>
      <c r="BO5" s="420"/>
      <c r="BP5" s="420"/>
      <c r="BQ5" s="420"/>
      <c r="BR5" s="420"/>
      <c r="BS5" s="420"/>
      <c r="BT5" s="420"/>
      <c r="BU5" s="420"/>
      <c r="BV5" s="420"/>
    </row>
    <row r="6" spans="1:74" ht="11.1" customHeight="1" x14ac:dyDescent="0.2">
      <c r="A6" s="76" t="s">
        <v>786</v>
      </c>
      <c r="B6" s="185" t="s">
        <v>431</v>
      </c>
      <c r="C6" s="213">
        <v>78.560495516000003</v>
      </c>
      <c r="D6" s="213">
        <v>79.673152793</v>
      </c>
      <c r="E6" s="213">
        <v>78.773416452000006</v>
      </c>
      <c r="F6" s="213">
        <v>78.718453533000002</v>
      </c>
      <c r="G6" s="213">
        <v>77.821785289999994</v>
      </c>
      <c r="H6" s="213">
        <v>77.076280967000002</v>
      </c>
      <c r="I6" s="213">
        <v>77.706927194000002</v>
      </c>
      <c r="J6" s="213">
        <v>77.090734257999998</v>
      </c>
      <c r="K6" s="213">
        <v>76.580057832999998</v>
      </c>
      <c r="L6" s="213">
        <v>76.279981226000004</v>
      </c>
      <c r="M6" s="213">
        <v>76.916482966999993</v>
      </c>
      <c r="N6" s="213">
        <v>76.050186354999994</v>
      </c>
      <c r="O6" s="213">
        <v>75.465512451999999</v>
      </c>
      <c r="P6" s="213">
        <v>76.521014356999999</v>
      </c>
      <c r="Q6" s="213">
        <v>78.251577581000006</v>
      </c>
      <c r="R6" s="213">
        <v>78.347716933000001</v>
      </c>
      <c r="S6" s="213">
        <v>78.346423354999999</v>
      </c>
      <c r="T6" s="213">
        <v>79.105870033000002</v>
      </c>
      <c r="U6" s="213">
        <v>79.921699871000001</v>
      </c>
      <c r="V6" s="213">
        <v>79.876760032000007</v>
      </c>
      <c r="W6" s="213">
        <v>81.273754199999999</v>
      </c>
      <c r="X6" s="213">
        <v>82.717891323000003</v>
      </c>
      <c r="Y6" s="213">
        <v>85.292362132999997</v>
      </c>
      <c r="Z6" s="213">
        <v>84.786924741999997</v>
      </c>
      <c r="AA6" s="213">
        <v>84.273825193999997</v>
      </c>
      <c r="AB6" s="213">
        <v>86.085584964000006</v>
      </c>
      <c r="AC6" s="213">
        <v>87.763992806000005</v>
      </c>
      <c r="AD6" s="213">
        <v>87.234921299999996</v>
      </c>
      <c r="AE6" s="213">
        <v>88.050157193999993</v>
      </c>
      <c r="AF6" s="213">
        <v>88.177088132999998</v>
      </c>
      <c r="AG6" s="213">
        <v>88.994897386999995</v>
      </c>
      <c r="AH6" s="213">
        <v>90.798082871000005</v>
      </c>
      <c r="AI6" s="213">
        <v>93.230538832999997</v>
      </c>
      <c r="AJ6" s="213">
        <v>93.391527515999996</v>
      </c>
      <c r="AK6" s="213">
        <v>95.674455433000006</v>
      </c>
      <c r="AL6" s="213">
        <v>95.223908289999997</v>
      </c>
      <c r="AM6" s="213">
        <v>95.218880548000001</v>
      </c>
      <c r="AN6" s="213">
        <v>96.226242249999999</v>
      </c>
      <c r="AO6" s="213">
        <v>96.801294838999993</v>
      </c>
      <c r="AP6" s="213">
        <v>97.328030666999993</v>
      </c>
      <c r="AQ6" s="213">
        <v>96.900846000000001</v>
      </c>
      <c r="AR6" s="213">
        <v>98.115709499999994</v>
      </c>
      <c r="AS6" s="213">
        <v>98.057237870999998</v>
      </c>
      <c r="AT6" s="213">
        <v>100.17237464999999</v>
      </c>
      <c r="AU6" s="213">
        <v>101.55837289999999</v>
      </c>
      <c r="AV6" s="213">
        <v>103.00534813</v>
      </c>
      <c r="AW6" s="213">
        <v>103.4308166</v>
      </c>
      <c r="AX6" s="213">
        <v>103.06121535</v>
      </c>
      <c r="AY6" s="213">
        <v>102.32267339000001</v>
      </c>
      <c r="AZ6" s="213">
        <v>101.72012934</v>
      </c>
      <c r="BA6" s="213">
        <v>101.82486777</v>
      </c>
      <c r="BB6" s="213">
        <v>99.760816199999994</v>
      </c>
      <c r="BC6" s="213">
        <v>94.409981806000005</v>
      </c>
      <c r="BD6" s="213">
        <v>95.875320767000005</v>
      </c>
      <c r="BE6" s="213">
        <v>96.008510000000001</v>
      </c>
      <c r="BF6" s="213">
        <v>95.606390000000005</v>
      </c>
      <c r="BG6" s="351">
        <v>95.354709999999997</v>
      </c>
      <c r="BH6" s="351">
        <v>94.747669999999999</v>
      </c>
      <c r="BI6" s="351">
        <v>94.518460000000005</v>
      </c>
      <c r="BJ6" s="351">
        <v>93.739069999999998</v>
      </c>
      <c r="BK6" s="351">
        <v>92.97842</v>
      </c>
      <c r="BL6" s="351">
        <v>92.612840000000006</v>
      </c>
      <c r="BM6" s="351">
        <v>92.780469999999994</v>
      </c>
      <c r="BN6" s="351">
        <v>92.762309999999999</v>
      </c>
      <c r="BO6" s="351">
        <v>92.974010000000007</v>
      </c>
      <c r="BP6" s="351">
        <v>93.456689999999995</v>
      </c>
      <c r="BQ6" s="351">
        <v>93.845420000000004</v>
      </c>
      <c r="BR6" s="351">
        <v>94.443389999999994</v>
      </c>
      <c r="BS6" s="351">
        <v>94.980519999999999</v>
      </c>
      <c r="BT6" s="351">
        <v>95.094539999999995</v>
      </c>
      <c r="BU6" s="351">
        <v>95.362849999999995</v>
      </c>
      <c r="BV6" s="351">
        <v>95.123720000000006</v>
      </c>
    </row>
    <row r="7" spans="1:74" ht="11.1" customHeight="1" x14ac:dyDescent="0.2">
      <c r="A7" s="76" t="s">
        <v>787</v>
      </c>
      <c r="B7" s="185" t="s">
        <v>432</v>
      </c>
      <c r="C7" s="213">
        <v>0.98985696773999998</v>
      </c>
      <c r="D7" s="213">
        <v>0.98047362068999999</v>
      </c>
      <c r="E7" s="213">
        <v>0.96446416129000001</v>
      </c>
      <c r="F7" s="213">
        <v>0.87527080000000002</v>
      </c>
      <c r="G7" s="213">
        <v>0.87380251613000004</v>
      </c>
      <c r="H7" s="213">
        <v>0.82939439999999998</v>
      </c>
      <c r="I7" s="213">
        <v>0.80725641935000003</v>
      </c>
      <c r="J7" s="213">
        <v>0.80545829032000005</v>
      </c>
      <c r="K7" s="213">
        <v>0.83234090000000005</v>
      </c>
      <c r="L7" s="213">
        <v>0.92084509677000004</v>
      </c>
      <c r="M7" s="213">
        <v>1.0126803666999999</v>
      </c>
      <c r="N7" s="213">
        <v>1.0197435483999999</v>
      </c>
      <c r="O7" s="213">
        <v>1.0007213548</v>
      </c>
      <c r="P7" s="213">
        <v>1.0051832142999999</v>
      </c>
      <c r="Q7" s="213">
        <v>1.0110911935</v>
      </c>
      <c r="R7" s="213">
        <v>1.0124298332999999</v>
      </c>
      <c r="S7" s="213">
        <v>0.98061022581000001</v>
      </c>
      <c r="T7" s="213">
        <v>0.91696866666999999</v>
      </c>
      <c r="U7" s="213">
        <v>0.77498987097000005</v>
      </c>
      <c r="V7" s="213">
        <v>0.78796548386999998</v>
      </c>
      <c r="W7" s="213">
        <v>0.90684136667000004</v>
      </c>
      <c r="X7" s="213">
        <v>0.95277609676999997</v>
      </c>
      <c r="Y7" s="213">
        <v>0.99199323333</v>
      </c>
      <c r="Z7" s="213">
        <v>0.98839683870999995</v>
      </c>
      <c r="AA7" s="213">
        <v>1.0024972581</v>
      </c>
      <c r="AB7" s="213">
        <v>0.99018407142999998</v>
      </c>
      <c r="AC7" s="213">
        <v>0.99678816129000003</v>
      </c>
      <c r="AD7" s="213">
        <v>0.96358413333000004</v>
      </c>
      <c r="AE7" s="213">
        <v>0.93002709676999995</v>
      </c>
      <c r="AF7" s="213">
        <v>0.86816786667000001</v>
      </c>
      <c r="AG7" s="213">
        <v>0.84246267742000003</v>
      </c>
      <c r="AH7" s="213">
        <v>0.84280248387000001</v>
      </c>
      <c r="AI7" s="213">
        <v>0.90165796666999998</v>
      </c>
      <c r="AJ7" s="213">
        <v>0.90972770968000005</v>
      </c>
      <c r="AK7" s="213">
        <v>0.98024476667000005</v>
      </c>
      <c r="AL7" s="213">
        <v>0.99763341935000005</v>
      </c>
      <c r="AM7" s="213">
        <v>0.98396409676999996</v>
      </c>
      <c r="AN7" s="213">
        <v>0.95457417857000004</v>
      </c>
      <c r="AO7" s="213">
        <v>0.94664041934999998</v>
      </c>
      <c r="AP7" s="213">
        <v>0.96053960000000005</v>
      </c>
      <c r="AQ7" s="213">
        <v>0.93647477419000003</v>
      </c>
      <c r="AR7" s="213">
        <v>0.89631323333000001</v>
      </c>
      <c r="AS7" s="213">
        <v>0.81766722580999995</v>
      </c>
      <c r="AT7" s="213">
        <v>0.73792435483999996</v>
      </c>
      <c r="AU7" s="213">
        <v>0.81645166667000002</v>
      </c>
      <c r="AV7" s="213">
        <v>0.88604483870999995</v>
      </c>
      <c r="AW7" s="213">
        <v>0.94185943333</v>
      </c>
      <c r="AX7" s="213">
        <v>0.95706274193999996</v>
      </c>
      <c r="AY7" s="213">
        <v>0.96833800000000003</v>
      </c>
      <c r="AZ7" s="213">
        <v>0.98403572413999996</v>
      </c>
      <c r="BA7" s="213">
        <v>0.94255599999999995</v>
      </c>
      <c r="BB7" s="213">
        <v>0.91711303333000005</v>
      </c>
      <c r="BC7" s="213">
        <v>0.87342490322999999</v>
      </c>
      <c r="BD7" s="213">
        <v>0.85150939999999997</v>
      </c>
      <c r="BE7" s="213">
        <v>0.67118820000000001</v>
      </c>
      <c r="BF7" s="213">
        <v>0.80644260000000001</v>
      </c>
      <c r="BG7" s="351">
        <v>0.8941557</v>
      </c>
      <c r="BH7" s="351">
        <v>0.90938490000000005</v>
      </c>
      <c r="BI7" s="351">
        <v>0.95009869999999996</v>
      </c>
      <c r="BJ7" s="351">
        <v>0.95382140000000004</v>
      </c>
      <c r="BK7" s="351">
        <v>0.96365849999999997</v>
      </c>
      <c r="BL7" s="351">
        <v>1.012208</v>
      </c>
      <c r="BM7" s="351">
        <v>1.0012989999999999</v>
      </c>
      <c r="BN7" s="351">
        <v>0.91448039999999997</v>
      </c>
      <c r="BO7" s="351">
        <v>0.84532689999999999</v>
      </c>
      <c r="BP7" s="351">
        <v>0.79407839999999996</v>
      </c>
      <c r="BQ7" s="351">
        <v>0.6644371</v>
      </c>
      <c r="BR7" s="351">
        <v>0.81306</v>
      </c>
      <c r="BS7" s="351">
        <v>0.91333010000000003</v>
      </c>
      <c r="BT7" s="351">
        <v>0.92512729999999999</v>
      </c>
      <c r="BU7" s="351">
        <v>0.96059720000000004</v>
      </c>
      <c r="BV7" s="351">
        <v>0.9599318</v>
      </c>
    </row>
    <row r="8" spans="1:74" ht="11.1" customHeight="1" x14ac:dyDescent="0.2">
      <c r="A8" s="76" t="s">
        <v>790</v>
      </c>
      <c r="B8" s="185" t="s">
        <v>127</v>
      </c>
      <c r="C8" s="213">
        <v>3.3684434194000001</v>
      </c>
      <c r="D8" s="213">
        <v>3.3349898621</v>
      </c>
      <c r="E8" s="213">
        <v>3.4466514194000002</v>
      </c>
      <c r="F8" s="213">
        <v>3.2485630333</v>
      </c>
      <c r="G8" s="213">
        <v>3.4318000323</v>
      </c>
      <c r="H8" s="213">
        <v>3.1110263667</v>
      </c>
      <c r="I8" s="213">
        <v>3.1938824515999999</v>
      </c>
      <c r="J8" s="213">
        <v>3.2873087742</v>
      </c>
      <c r="K8" s="213">
        <v>3.1254156332999998</v>
      </c>
      <c r="L8" s="213">
        <v>3.2455705483999999</v>
      </c>
      <c r="M8" s="213">
        <v>3.2636478667</v>
      </c>
      <c r="N8" s="213">
        <v>3.3003703548000001</v>
      </c>
      <c r="O8" s="213">
        <v>3.2658343548</v>
      </c>
      <c r="P8" s="213">
        <v>3.1585053213999998</v>
      </c>
      <c r="Q8" s="213">
        <v>3.2764581934999999</v>
      </c>
      <c r="R8" s="213">
        <v>3.0270983667000002</v>
      </c>
      <c r="S8" s="213">
        <v>3.0718021289999999</v>
      </c>
      <c r="T8" s="213">
        <v>2.8918647332999998</v>
      </c>
      <c r="U8" s="213">
        <v>3.0287510645000002</v>
      </c>
      <c r="V8" s="213">
        <v>2.8654033548000002</v>
      </c>
      <c r="W8" s="213">
        <v>2.8142230332999998</v>
      </c>
      <c r="X8" s="213">
        <v>2.4676664516</v>
      </c>
      <c r="Y8" s="213">
        <v>2.6014927000000001</v>
      </c>
      <c r="Z8" s="213">
        <v>2.4103356452</v>
      </c>
      <c r="AA8" s="213">
        <v>2.4041771612999998</v>
      </c>
      <c r="AB8" s="213">
        <v>2.5499644642999999</v>
      </c>
      <c r="AC8" s="213">
        <v>2.5973800322999998</v>
      </c>
      <c r="AD8" s="213">
        <v>2.4153081667</v>
      </c>
      <c r="AE8" s="213">
        <v>2.4161050323</v>
      </c>
      <c r="AF8" s="213">
        <v>2.5269507</v>
      </c>
      <c r="AG8" s="213">
        <v>2.8465355160999999</v>
      </c>
      <c r="AH8" s="213">
        <v>3.0422223547999998</v>
      </c>
      <c r="AI8" s="213">
        <v>2.8390418333</v>
      </c>
      <c r="AJ8" s="213">
        <v>2.6674534194000001</v>
      </c>
      <c r="AK8" s="213">
        <v>2.8921643666999999</v>
      </c>
      <c r="AL8" s="213">
        <v>2.8558617742000001</v>
      </c>
      <c r="AM8" s="213">
        <v>2.8671761290000002</v>
      </c>
      <c r="AN8" s="213">
        <v>2.6424028928999999</v>
      </c>
      <c r="AO8" s="213">
        <v>2.8706439355</v>
      </c>
      <c r="AP8" s="213">
        <v>2.8307922667000001</v>
      </c>
      <c r="AQ8" s="213">
        <v>2.7551833548000002</v>
      </c>
      <c r="AR8" s="213">
        <v>2.6589041333000001</v>
      </c>
      <c r="AS8" s="213">
        <v>2.1094987419</v>
      </c>
      <c r="AT8" s="213">
        <v>2.7727521290000001</v>
      </c>
      <c r="AU8" s="213">
        <v>2.6544915667</v>
      </c>
      <c r="AV8" s="213">
        <v>2.6725288064999999</v>
      </c>
      <c r="AW8" s="213">
        <v>2.7245801332999999</v>
      </c>
      <c r="AX8" s="213">
        <v>2.7649463871000002</v>
      </c>
      <c r="AY8" s="213">
        <v>2.7337853548000002</v>
      </c>
      <c r="AZ8" s="213">
        <v>2.7017423793000002</v>
      </c>
      <c r="BA8" s="213">
        <v>2.731547129</v>
      </c>
      <c r="BB8" s="213">
        <v>2.5865263333000001</v>
      </c>
      <c r="BC8" s="213">
        <v>2.0384329999999999</v>
      </c>
      <c r="BD8" s="213">
        <v>2.0018841667</v>
      </c>
      <c r="BE8" s="213">
        <v>2.276106</v>
      </c>
      <c r="BF8" s="213">
        <v>2.0494780000000001</v>
      </c>
      <c r="BG8" s="351">
        <v>2.4836109999999998</v>
      </c>
      <c r="BH8" s="351">
        <v>2.337043</v>
      </c>
      <c r="BI8" s="351">
        <v>2.544692</v>
      </c>
      <c r="BJ8" s="351">
        <v>2.5446840000000002</v>
      </c>
      <c r="BK8" s="351">
        <v>2.5192730000000001</v>
      </c>
      <c r="BL8" s="351">
        <v>2.49709</v>
      </c>
      <c r="BM8" s="351">
        <v>2.4736090000000002</v>
      </c>
      <c r="BN8" s="351">
        <v>2.4509259999999999</v>
      </c>
      <c r="BO8" s="351">
        <v>2.4286690000000002</v>
      </c>
      <c r="BP8" s="351">
        <v>2.371032</v>
      </c>
      <c r="BQ8" s="351">
        <v>2.338565</v>
      </c>
      <c r="BR8" s="351">
        <v>2.2596129999999999</v>
      </c>
      <c r="BS8" s="351">
        <v>2.2517390000000002</v>
      </c>
      <c r="BT8" s="351">
        <v>2.1222210000000001</v>
      </c>
      <c r="BU8" s="351">
        <v>2.317647</v>
      </c>
      <c r="BV8" s="351">
        <v>2.3410039999999999</v>
      </c>
    </row>
    <row r="9" spans="1:74" ht="11.1" customHeight="1" x14ac:dyDescent="0.2">
      <c r="A9" s="76" t="s">
        <v>791</v>
      </c>
      <c r="B9" s="185" t="s">
        <v>119</v>
      </c>
      <c r="C9" s="213">
        <v>74.202195129000003</v>
      </c>
      <c r="D9" s="213">
        <v>75.357689309999998</v>
      </c>
      <c r="E9" s="213">
        <v>74.362300871000002</v>
      </c>
      <c r="F9" s="213">
        <v>74.594619699999996</v>
      </c>
      <c r="G9" s="213">
        <v>73.516182741999998</v>
      </c>
      <c r="H9" s="213">
        <v>73.135860199999996</v>
      </c>
      <c r="I9" s="213">
        <v>73.705788322999993</v>
      </c>
      <c r="J9" s="213">
        <v>72.997967193999997</v>
      </c>
      <c r="K9" s="213">
        <v>72.622301300000004</v>
      </c>
      <c r="L9" s="213">
        <v>72.113565581000003</v>
      </c>
      <c r="M9" s="213">
        <v>72.640154733000003</v>
      </c>
      <c r="N9" s="213">
        <v>71.730072452000002</v>
      </c>
      <c r="O9" s="213">
        <v>71.198956741999993</v>
      </c>
      <c r="P9" s="213">
        <v>72.357325821000003</v>
      </c>
      <c r="Q9" s="213">
        <v>73.964028193999994</v>
      </c>
      <c r="R9" s="213">
        <v>74.308188732999994</v>
      </c>
      <c r="S9" s="213">
        <v>74.294010999999998</v>
      </c>
      <c r="T9" s="213">
        <v>75.297036633000005</v>
      </c>
      <c r="U9" s="213">
        <v>76.117958935000004</v>
      </c>
      <c r="V9" s="213">
        <v>76.223391194000001</v>
      </c>
      <c r="W9" s="213">
        <v>77.552689799999996</v>
      </c>
      <c r="X9" s="213">
        <v>79.297448774000003</v>
      </c>
      <c r="Y9" s="213">
        <v>81.698876200000001</v>
      </c>
      <c r="Z9" s="213">
        <v>81.388192258000004</v>
      </c>
      <c r="AA9" s="213">
        <v>80.867150773999995</v>
      </c>
      <c r="AB9" s="213">
        <v>82.545436429000006</v>
      </c>
      <c r="AC9" s="213">
        <v>84.169824613000003</v>
      </c>
      <c r="AD9" s="213">
        <v>83.856029000000007</v>
      </c>
      <c r="AE9" s="213">
        <v>84.704025064999996</v>
      </c>
      <c r="AF9" s="213">
        <v>84.781969567000004</v>
      </c>
      <c r="AG9" s="213">
        <v>85.305899194000006</v>
      </c>
      <c r="AH9" s="213">
        <v>86.913058031999995</v>
      </c>
      <c r="AI9" s="213">
        <v>89.489839032999996</v>
      </c>
      <c r="AJ9" s="213">
        <v>89.814346387000001</v>
      </c>
      <c r="AK9" s="213">
        <v>91.802046300000001</v>
      </c>
      <c r="AL9" s="213">
        <v>91.370413096999997</v>
      </c>
      <c r="AM9" s="213">
        <v>91.367740323000007</v>
      </c>
      <c r="AN9" s="213">
        <v>92.629265179000001</v>
      </c>
      <c r="AO9" s="213">
        <v>92.984010483999995</v>
      </c>
      <c r="AP9" s="213">
        <v>93.536698799999996</v>
      </c>
      <c r="AQ9" s="213">
        <v>93.209187870999997</v>
      </c>
      <c r="AR9" s="213">
        <v>94.560492132999997</v>
      </c>
      <c r="AS9" s="213">
        <v>95.130071903000001</v>
      </c>
      <c r="AT9" s="213">
        <v>96.661698161000004</v>
      </c>
      <c r="AU9" s="213">
        <v>98.087429666999995</v>
      </c>
      <c r="AV9" s="213">
        <v>99.446774484000002</v>
      </c>
      <c r="AW9" s="213">
        <v>99.764377033000002</v>
      </c>
      <c r="AX9" s="213">
        <v>99.339206226000002</v>
      </c>
      <c r="AY9" s="213">
        <v>98.620550031999997</v>
      </c>
      <c r="AZ9" s="213">
        <v>98.034351240999996</v>
      </c>
      <c r="BA9" s="213">
        <v>98.150764644999995</v>
      </c>
      <c r="BB9" s="213">
        <v>96.257176833000003</v>
      </c>
      <c r="BC9" s="213">
        <v>91.498123903000007</v>
      </c>
      <c r="BD9" s="213">
        <v>93.021927199999993</v>
      </c>
      <c r="BE9" s="213">
        <v>93.061210000000003</v>
      </c>
      <c r="BF9" s="213">
        <v>92.750470000000007</v>
      </c>
      <c r="BG9" s="351">
        <v>91.976939999999999</v>
      </c>
      <c r="BH9" s="351">
        <v>91.501239999999996</v>
      </c>
      <c r="BI9" s="351">
        <v>91.023669999999996</v>
      </c>
      <c r="BJ9" s="351">
        <v>90.240570000000005</v>
      </c>
      <c r="BK9" s="351">
        <v>89.495480000000001</v>
      </c>
      <c r="BL9" s="351">
        <v>89.103539999999995</v>
      </c>
      <c r="BM9" s="351">
        <v>89.30556</v>
      </c>
      <c r="BN9" s="351">
        <v>89.396910000000005</v>
      </c>
      <c r="BO9" s="351">
        <v>89.700010000000006</v>
      </c>
      <c r="BP9" s="351">
        <v>90.291569999999993</v>
      </c>
      <c r="BQ9" s="351">
        <v>90.842420000000004</v>
      </c>
      <c r="BR9" s="351">
        <v>91.370720000000006</v>
      </c>
      <c r="BS9" s="351">
        <v>91.815449999999998</v>
      </c>
      <c r="BT9" s="351">
        <v>92.047190000000001</v>
      </c>
      <c r="BU9" s="351">
        <v>92.084599999999995</v>
      </c>
      <c r="BV9" s="351">
        <v>91.822789999999998</v>
      </c>
    </row>
    <row r="10" spans="1:74" ht="11.1" customHeight="1" x14ac:dyDescent="0.2">
      <c r="A10" s="76" t="s">
        <v>542</v>
      </c>
      <c r="B10" s="185" t="s">
        <v>433</v>
      </c>
      <c r="C10" s="213">
        <v>73.559354838999994</v>
      </c>
      <c r="D10" s="213">
        <v>74.601172414000004</v>
      </c>
      <c r="E10" s="213">
        <v>73.758709676999999</v>
      </c>
      <c r="F10" s="213">
        <v>73.707266666999999</v>
      </c>
      <c r="G10" s="213">
        <v>72.867677419000003</v>
      </c>
      <c r="H10" s="213">
        <v>72.169633332999993</v>
      </c>
      <c r="I10" s="213">
        <v>72.760129031999995</v>
      </c>
      <c r="J10" s="213">
        <v>72.183161290000001</v>
      </c>
      <c r="K10" s="213">
        <v>71.704999999999998</v>
      </c>
      <c r="L10" s="213">
        <v>71.424032257999997</v>
      </c>
      <c r="M10" s="213">
        <v>72.02</v>
      </c>
      <c r="N10" s="213">
        <v>71.208838709999995</v>
      </c>
      <c r="O10" s="213">
        <v>70.562806452000004</v>
      </c>
      <c r="P10" s="213">
        <v>71.549714285999997</v>
      </c>
      <c r="Q10" s="213">
        <v>73.167870968000003</v>
      </c>
      <c r="R10" s="213">
        <v>73.257766666999999</v>
      </c>
      <c r="S10" s="213">
        <v>73.256548386999995</v>
      </c>
      <c r="T10" s="213">
        <v>73.966666666999998</v>
      </c>
      <c r="U10" s="213">
        <v>74.729483870999999</v>
      </c>
      <c r="V10" s="213">
        <v>74.687451612999993</v>
      </c>
      <c r="W10" s="213">
        <v>75.993700000000004</v>
      </c>
      <c r="X10" s="213">
        <v>77.343999999999994</v>
      </c>
      <c r="Y10" s="213">
        <v>79.751233333000002</v>
      </c>
      <c r="Z10" s="213">
        <v>79.278645161</v>
      </c>
      <c r="AA10" s="213">
        <v>78.536483871000001</v>
      </c>
      <c r="AB10" s="213">
        <v>80.224892857</v>
      </c>
      <c r="AC10" s="213">
        <v>81.789064515999996</v>
      </c>
      <c r="AD10" s="213">
        <v>81.296000000000006</v>
      </c>
      <c r="AE10" s="213">
        <v>82.055741935</v>
      </c>
      <c r="AF10" s="213">
        <v>82.174033332999997</v>
      </c>
      <c r="AG10" s="213">
        <v>82.936161290000001</v>
      </c>
      <c r="AH10" s="213">
        <v>84.616580644999999</v>
      </c>
      <c r="AI10" s="213">
        <v>86.883433332999999</v>
      </c>
      <c r="AJ10" s="213">
        <v>87.033451612999997</v>
      </c>
      <c r="AK10" s="213">
        <v>89.160966666999997</v>
      </c>
      <c r="AL10" s="213">
        <v>88.741096773999999</v>
      </c>
      <c r="AM10" s="213">
        <v>88.617387097000005</v>
      </c>
      <c r="AN10" s="213">
        <v>89.412107143</v>
      </c>
      <c r="AO10" s="213">
        <v>89.927806451999999</v>
      </c>
      <c r="AP10" s="213">
        <v>90.404866666999993</v>
      </c>
      <c r="AQ10" s="213">
        <v>89.921290322999994</v>
      </c>
      <c r="AR10" s="213">
        <v>91.198466667000005</v>
      </c>
      <c r="AS10" s="213">
        <v>91.277354838999997</v>
      </c>
      <c r="AT10" s="213">
        <v>93.316032258000007</v>
      </c>
      <c r="AU10" s="213">
        <v>94.388999999999996</v>
      </c>
      <c r="AV10" s="213">
        <v>95.781870968000007</v>
      </c>
      <c r="AW10" s="213">
        <v>96.248533332999997</v>
      </c>
      <c r="AX10" s="213">
        <v>95.876838710000001</v>
      </c>
      <c r="AY10" s="213">
        <v>94.785612903000001</v>
      </c>
      <c r="AZ10" s="213">
        <v>94.411379310000001</v>
      </c>
      <c r="BA10" s="213">
        <v>94.248032257999995</v>
      </c>
      <c r="BB10" s="213">
        <v>92.643199999999993</v>
      </c>
      <c r="BC10" s="213">
        <v>87.571451612999994</v>
      </c>
      <c r="BD10" s="213">
        <v>88.349333333000004</v>
      </c>
      <c r="BE10" s="213">
        <v>88.862170000000006</v>
      </c>
      <c r="BF10" s="213">
        <v>88.391260000000003</v>
      </c>
      <c r="BG10" s="351">
        <v>88.061970000000002</v>
      </c>
      <c r="BH10" s="351">
        <v>87.564689999999999</v>
      </c>
      <c r="BI10" s="351">
        <v>87.309179999999998</v>
      </c>
      <c r="BJ10" s="351">
        <v>86.563519999999997</v>
      </c>
      <c r="BK10" s="351">
        <v>85.859949999999998</v>
      </c>
      <c r="BL10" s="351">
        <v>85.498959999999997</v>
      </c>
      <c r="BM10" s="351">
        <v>85.637020000000007</v>
      </c>
      <c r="BN10" s="351">
        <v>85.606480000000005</v>
      </c>
      <c r="BO10" s="351">
        <v>85.783919999999995</v>
      </c>
      <c r="BP10" s="351">
        <v>86.213210000000004</v>
      </c>
      <c r="BQ10" s="351">
        <v>86.555819999999997</v>
      </c>
      <c r="BR10" s="351">
        <v>87.090509999999995</v>
      </c>
      <c r="BS10" s="351">
        <v>87.569410000000005</v>
      </c>
      <c r="BT10" s="351">
        <v>87.657859999999999</v>
      </c>
      <c r="BU10" s="351">
        <v>87.888350000000003</v>
      </c>
      <c r="BV10" s="351">
        <v>87.651009999999999</v>
      </c>
    </row>
    <row r="11" spans="1:74" ht="11.1" customHeight="1" x14ac:dyDescent="0.2">
      <c r="A11" s="613" t="s">
        <v>548</v>
      </c>
      <c r="B11" s="614" t="s">
        <v>987</v>
      </c>
      <c r="C11" s="213">
        <v>0.38865748386999999</v>
      </c>
      <c r="D11" s="213">
        <v>0.33545096551999998</v>
      </c>
      <c r="E11" s="213">
        <v>0.27637138709999998</v>
      </c>
      <c r="F11" s="213">
        <v>0.15891150000000001</v>
      </c>
      <c r="G11" s="213">
        <v>0.16774222581000001</v>
      </c>
      <c r="H11" s="213">
        <v>0.25460490000000002</v>
      </c>
      <c r="I11" s="213">
        <v>0.18622654839</v>
      </c>
      <c r="J11" s="213">
        <v>0.26071296774000002</v>
      </c>
      <c r="K11" s="213">
        <v>9.6082733333000006E-2</v>
      </c>
      <c r="L11" s="213">
        <v>0.18558383871</v>
      </c>
      <c r="M11" s="213">
        <v>0.30244036667000002</v>
      </c>
      <c r="N11" s="213">
        <v>0.28560287096999998</v>
      </c>
      <c r="O11" s="213">
        <v>0.41789790322999998</v>
      </c>
      <c r="P11" s="213">
        <v>0.30274167857000001</v>
      </c>
      <c r="Q11" s="213">
        <v>0.15735993547999999</v>
      </c>
      <c r="R11" s="213">
        <v>0.17235723333</v>
      </c>
      <c r="S11" s="213">
        <v>0.17722793547999999</v>
      </c>
      <c r="T11" s="213">
        <v>0.1879007</v>
      </c>
      <c r="U11" s="213">
        <v>0.16738283871000001</v>
      </c>
      <c r="V11" s="213">
        <v>0.25362032258</v>
      </c>
      <c r="W11" s="213">
        <v>8.8338566667000004E-2</v>
      </c>
      <c r="X11" s="213">
        <v>7.9250741934999994E-2</v>
      </c>
      <c r="Y11" s="213">
        <v>0.21259883332999999</v>
      </c>
      <c r="Z11" s="213">
        <v>0.35043651612999999</v>
      </c>
      <c r="AA11" s="213">
        <v>0.53676612902999998</v>
      </c>
      <c r="AB11" s="213">
        <v>0.241808</v>
      </c>
      <c r="AC11" s="213">
        <v>0.20879648386999999</v>
      </c>
      <c r="AD11" s="213">
        <v>0.10435483332999999</v>
      </c>
      <c r="AE11" s="213">
        <v>8.5581870968000004E-2</v>
      </c>
      <c r="AF11" s="213">
        <v>9.6805066667000006E-2</v>
      </c>
      <c r="AG11" s="213">
        <v>0.18069354838999999</v>
      </c>
      <c r="AH11" s="213">
        <v>0.17655964516</v>
      </c>
      <c r="AI11" s="213">
        <v>0.10514343332999999</v>
      </c>
      <c r="AJ11" s="213">
        <v>0.19597200000000001</v>
      </c>
      <c r="AK11" s="213">
        <v>9.3486299999999994E-2</v>
      </c>
      <c r="AL11" s="213">
        <v>0.47648483871000002</v>
      </c>
      <c r="AM11" s="213">
        <v>0.46714570968000002</v>
      </c>
      <c r="AN11" s="213">
        <v>0.26982503570999999</v>
      </c>
      <c r="AO11" s="213">
        <v>0.11287922581</v>
      </c>
      <c r="AP11" s="213">
        <v>9.4732999999999998E-2</v>
      </c>
      <c r="AQ11" s="213">
        <v>2.7464516128999998E-4</v>
      </c>
      <c r="AR11" s="213">
        <v>1.5856666667000001E-4</v>
      </c>
      <c r="AS11" s="213">
        <v>9.1343193547999996E-2</v>
      </c>
      <c r="AT11" s="213">
        <v>9.3083645160999998E-2</v>
      </c>
      <c r="AU11" s="213">
        <v>0</v>
      </c>
      <c r="AV11" s="213">
        <v>0.17846632258</v>
      </c>
      <c r="AW11" s="213">
        <v>9.2699533333000003E-2</v>
      </c>
      <c r="AX11" s="213">
        <v>0.33810451612999998</v>
      </c>
      <c r="AY11" s="213">
        <v>0.42639487097000001</v>
      </c>
      <c r="AZ11" s="213">
        <v>0.19618727586000001</v>
      </c>
      <c r="BA11" s="213">
        <v>9.2252419355000004E-2</v>
      </c>
      <c r="BB11" s="213">
        <v>0.10714873333</v>
      </c>
      <c r="BC11" s="213">
        <v>9.0681387096999994E-2</v>
      </c>
      <c r="BD11" s="213">
        <v>0.1623695</v>
      </c>
      <c r="BE11" s="213">
        <v>0.2</v>
      </c>
      <c r="BF11" s="213">
        <v>0.25362032258</v>
      </c>
      <c r="BG11" s="351">
        <v>8.8338566667000004E-2</v>
      </c>
      <c r="BH11" s="351">
        <v>7.9250741934999994E-2</v>
      </c>
      <c r="BI11" s="351">
        <v>0.21259883332999999</v>
      </c>
      <c r="BJ11" s="351">
        <v>0.3</v>
      </c>
      <c r="BK11" s="351">
        <v>0.45</v>
      </c>
      <c r="BL11" s="351">
        <v>0.35</v>
      </c>
      <c r="BM11" s="351">
        <v>0.15</v>
      </c>
      <c r="BN11" s="351">
        <v>0.17235723333</v>
      </c>
      <c r="BO11" s="351">
        <v>0.17722793547999999</v>
      </c>
      <c r="BP11" s="351">
        <v>0.1879007</v>
      </c>
      <c r="BQ11" s="351">
        <v>0.2</v>
      </c>
      <c r="BR11" s="351">
        <v>0.25362032258</v>
      </c>
      <c r="BS11" s="351">
        <v>8.8338566667000004E-2</v>
      </c>
      <c r="BT11" s="351">
        <v>7.9250741934999994E-2</v>
      </c>
      <c r="BU11" s="351">
        <v>0.21259883332999999</v>
      </c>
      <c r="BV11" s="351">
        <v>0.3</v>
      </c>
    </row>
    <row r="12" spans="1:74" ht="11.1" customHeight="1" x14ac:dyDescent="0.2">
      <c r="A12" s="613" t="s">
        <v>988</v>
      </c>
      <c r="B12" s="614" t="s">
        <v>989</v>
      </c>
      <c r="C12" s="213">
        <v>8.5219354838999997E-4</v>
      </c>
      <c r="D12" s="213">
        <v>0.11411737931</v>
      </c>
      <c r="E12" s="213">
        <v>0.32509825805999998</v>
      </c>
      <c r="F12" s="213">
        <v>0.33453966667000001</v>
      </c>
      <c r="G12" s="213">
        <v>0.31852203225999998</v>
      </c>
      <c r="H12" s="213">
        <v>0.54815313333000004</v>
      </c>
      <c r="I12" s="213">
        <v>0.50770445161</v>
      </c>
      <c r="J12" s="213">
        <v>0.86347745161</v>
      </c>
      <c r="K12" s="213">
        <v>0.55881003333000001</v>
      </c>
      <c r="L12" s="213">
        <v>9.6773967742000006E-2</v>
      </c>
      <c r="M12" s="213">
        <v>1.0991992333</v>
      </c>
      <c r="N12" s="213">
        <v>1.3492001935</v>
      </c>
      <c r="O12" s="213">
        <v>1.6561823548000001</v>
      </c>
      <c r="P12" s="213">
        <v>1.8586267857000001</v>
      </c>
      <c r="Q12" s="213">
        <v>1.4049404838999999</v>
      </c>
      <c r="R12" s="213">
        <v>1.6889637666999999</v>
      </c>
      <c r="S12" s="213">
        <v>1.9607187419000001</v>
      </c>
      <c r="T12" s="213">
        <v>1.7487261000000001</v>
      </c>
      <c r="U12" s="213">
        <v>1.7287880968</v>
      </c>
      <c r="V12" s="213">
        <v>1.4667146451999999</v>
      </c>
      <c r="W12" s="213">
        <v>1.8244232332999999</v>
      </c>
      <c r="X12" s="213">
        <v>2.5869341934999999</v>
      </c>
      <c r="Y12" s="213">
        <v>2.6700092667000002</v>
      </c>
      <c r="Z12" s="213">
        <v>2.6646472258</v>
      </c>
      <c r="AA12" s="213">
        <v>2.3375275161000002</v>
      </c>
      <c r="AB12" s="213">
        <v>2.6315650000000002</v>
      </c>
      <c r="AC12" s="213">
        <v>2.9529820323</v>
      </c>
      <c r="AD12" s="213">
        <v>2.8561486999999999</v>
      </c>
      <c r="AE12" s="213">
        <v>3.0579658386999999</v>
      </c>
      <c r="AF12" s="213">
        <v>2.4511675333</v>
      </c>
      <c r="AG12" s="213">
        <v>3.1690282581</v>
      </c>
      <c r="AH12" s="213">
        <v>2.9524399355000002</v>
      </c>
      <c r="AI12" s="213">
        <v>2.7126836333000002</v>
      </c>
      <c r="AJ12" s="213">
        <v>2.8995504839000001</v>
      </c>
      <c r="AK12" s="213">
        <v>3.5861690667000001</v>
      </c>
      <c r="AL12" s="213">
        <v>3.9611176773999999</v>
      </c>
      <c r="AM12" s="213">
        <v>4.0954016128999999</v>
      </c>
      <c r="AN12" s="213">
        <v>3.6737679643000001</v>
      </c>
      <c r="AO12" s="213">
        <v>4.2198127097000002</v>
      </c>
      <c r="AP12" s="213">
        <v>4.2367369666999997</v>
      </c>
      <c r="AQ12" s="213">
        <v>4.6745969677000003</v>
      </c>
      <c r="AR12" s="213">
        <v>4.7318772999999998</v>
      </c>
      <c r="AS12" s="213">
        <v>5.0601590644999996</v>
      </c>
      <c r="AT12" s="213">
        <v>4.4702473225999997</v>
      </c>
      <c r="AU12" s="213">
        <v>5.3424678999999999</v>
      </c>
      <c r="AV12" s="213">
        <v>5.7408443548000001</v>
      </c>
      <c r="AW12" s="213">
        <v>6.3536655667000002</v>
      </c>
      <c r="AX12" s="213">
        <v>7.1128532258000003</v>
      </c>
      <c r="AY12" s="213">
        <v>8.0743546774000006</v>
      </c>
      <c r="AZ12" s="213">
        <v>7.7857302413999996</v>
      </c>
      <c r="BA12" s="213">
        <v>7.8796419676999996</v>
      </c>
      <c r="BB12" s="213">
        <v>7.0155182332999999</v>
      </c>
      <c r="BC12" s="213">
        <v>5.8810681935</v>
      </c>
      <c r="BD12" s="213">
        <v>3.6333886667000002</v>
      </c>
      <c r="BE12" s="213">
        <v>3.1</v>
      </c>
      <c r="BF12" s="213">
        <v>3.7</v>
      </c>
      <c r="BG12" s="351">
        <v>3.8</v>
      </c>
      <c r="BH12" s="351">
        <v>6.7</v>
      </c>
      <c r="BI12" s="351">
        <v>8.5</v>
      </c>
      <c r="BJ12" s="351">
        <v>9.1999999999999993</v>
      </c>
      <c r="BK12" s="351">
        <v>9.5</v>
      </c>
      <c r="BL12" s="351">
        <v>9.3546423042000004</v>
      </c>
      <c r="BM12" s="351">
        <v>8.6208362329000003</v>
      </c>
      <c r="BN12" s="351">
        <v>7.0995121917999997</v>
      </c>
      <c r="BO12" s="351">
        <v>7.5605436986000001</v>
      </c>
      <c r="BP12" s="351">
        <v>9.1806602055000006</v>
      </c>
      <c r="BQ12" s="351">
        <v>9.7206990410999996</v>
      </c>
      <c r="BR12" s="351">
        <v>9.1806602055000006</v>
      </c>
      <c r="BS12" s="351">
        <v>7.0205048630000002</v>
      </c>
      <c r="BT12" s="351">
        <v>7.5605436986000001</v>
      </c>
      <c r="BU12" s="351">
        <v>9.7206990410999996</v>
      </c>
      <c r="BV12" s="351">
        <v>10.260737877</v>
      </c>
    </row>
    <row r="13" spans="1:74" ht="11.1" customHeight="1" x14ac:dyDescent="0.2">
      <c r="A13" s="613" t="s">
        <v>547</v>
      </c>
      <c r="B13" s="614" t="s">
        <v>951</v>
      </c>
      <c r="C13" s="213">
        <v>8.4361684193999995</v>
      </c>
      <c r="D13" s="213">
        <v>8.3454744482999992</v>
      </c>
      <c r="E13" s="213">
        <v>7.4891598065</v>
      </c>
      <c r="F13" s="213">
        <v>7.8840567332999996</v>
      </c>
      <c r="G13" s="213">
        <v>7.8415600968000003</v>
      </c>
      <c r="H13" s="213">
        <v>7.8076207333000003</v>
      </c>
      <c r="I13" s="213">
        <v>8.3620493871000008</v>
      </c>
      <c r="J13" s="213">
        <v>8.1897790644999997</v>
      </c>
      <c r="K13" s="213">
        <v>7.8531397332999999</v>
      </c>
      <c r="L13" s="213">
        <v>7.2797125484</v>
      </c>
      <c r="M13" s="213">
        <v>7.3983096000000002</v>
      </c>
      <c r="N13" s="213">
        <v>8.7712862903000008</v>
      </c>
      <c r="O13" s="213">
        <v>8.9892410644999998</v>
      </c>
      <c r="P13" s="213">
        <v>8.7890828571000004</v>
      </c>
      <c r="Q13" s="213">
        <v>8.8921149031999995</v>
      </c>
      <c r="R13" s="213">
        <v>7.7692269999999999</v>
      </c>
      <c r="S13" s="213">
        <v>7.7042206452000004</v>
      </c>
      <c r="T13" s="213">
        <v>7.8046513666999999</v>
      </c>
      <c r="U13" s="213">
        <v>7.9126568065000003</v>
      </c>
      <c r="V13" s="213">
        <v>7.7418490323000002</v>
      </c>
      <c r="W13" s="213">
        <v>7.5589575333000001</v>
      </c>
      <c r="X13" s="213">
        <v>7.7051395484</v>
      </c>
      <c r="Y13" s="213">
        <v>7.7968671667000002</v>
      </c>
      <c r="Z13" s="213">
        <v>8.5026797418999998</v>
      </c>
      <c r="AA13" s="213">
        <v>9.1362329355000007</v>
      </c>
      <c r="AB13" s="213">
        <v>8.2363259643000006</v>
      </c>
      <c r="AC13" s="213">
        <v>8.5241272902999992</v>
      </c>
      <c r="AD13" s="213">
        <v>7.9698285000000002</v>
      </c>
      <c r="AE13" s="213">
        <v>7.2415399676999996</v>
      </c>
      <c r="AF13" s="213">
        <v>7.5178950000000002</v>
      </c>
      <c r="AG13" s="213">
        <v>7.7865148064999996</v>
      </c>
      <c r="AH13" s="213">
        <v>7.4686761935000003</v>
      </c>
      <c r="AI13" s="213">
        <v>7.0298603333000003</v>
      </c>
      <c r="AJ13" s="213">
        <v>6.7426713225999997</v>
      </c>
      <c r="AK13" s="213">
        <v>6.9883971000000003</v>
      </c>
      <c r="AL13" s="213">
        <v>7.8176521934999998</v>
      </c>
      <c r="AM13" s="213">
        <v>8.9149390000000004</v>
      </c>
      <c r="AN13" s="213">
        <v>8.0624952499999996</v>
      </c>
      <c r="AO13" s="213">
        <v>8.0465353871000005</v>
      </c>
      <c r="AP13" s="213">
        <v>6.7894942333000001</v>
      </c>
      <c r="AQ13" s="213">
        <v>6.6971920323000003</v>
      </c>
      <c r="AR13" s="213">
        <v>6.7044210667000002</v>
      </c>
      <c r="AS13" s="213">
        <v>7.3403264516000002</v>
      </c>
      <c r="AT13" s="213">
        <v>7.0053995483999998</v>
      </c>
      <c r="AU13" s="213">
        <v>6.9421445666999997</v>
      </c>
      <c r="AV13" s="213">
        <v>6.6121645806</v>
      </c>
      <c r="AW13" s="213">
        <v>7.3650832667000001</v>
      </c>
      <c r="AX13" s="213">
        <v>7.9206046774000001</v>
      </c>
      <c r="AY13" s="213">
        <v>8.0279139677</v>
      </c>
      <c r="AZ13" s="213">
        <v>8.0130715862000006</v>
      </c>
      <c r="BA13" s="213">
        <v>6.9094605806000002</v>
      </c>
      <c r="BB13" s="213">
        <v>6.3387857332999999</v>
      </c>
      <c r="BC13" s="213">
        <v>6.0182704839000003</v>
      </c>
      <c r="BD13" s="213">
        <v>6.0078617666999996</v>
      </c>
      <c r="BE13" s="213">
        <v>6.4739870000000002</v>
      </c>
      <c r="BF13" s="213">
        <v>6.341234</v>
      </c>
      <c r="BG13" s="351">
        <v>6.223217</v>
      </c>
      <c r="BH13" s="351">
        <v>6.2978540000000001</v>
      </c>
      <c r="BI13" s="351">
        <v>6.7669379999999997</v>
      </c>
      <c r="BJ13" s="351">
        <v>7.7353589999999999</v>
      </c>
      <c r="BK13" s="351">
        <v>8.1428729999999998</v>
      </c>
      <c r="BL13" s="351">
        <v>7.6748849999999997</v>
      </c>
      <c r="BM13" s="351">
        <v>7.638458</v>
      </c>
      <c r="BN13" s="351">
        <v>7.1765910000000002</v>
      </c>
      <c r="BO13" s="351">
        <v>7.0299750000000003</v>
      </c>
      <c r="BP13" s="351">
        <v>7.0759249999999998</v>
      </c>
      <c r="BQ13" s="351">
        <v>7.6197210000000002</v>
      </c>
      <c r="BR13" s="351">
        <v>7.4466130000000001</v>
      </c>
      <c r="BS13" s="351">
        <v>7.243252</v>
      </c>
      <c r="BT13" s="351">
        <v>7.0537049999999999</v>
      </c>
      <c r="BU13" s="351">
        <v>7.1408969999999998</v>
      </c>
      <c r="BV13" s="351">
        <v>8.0494819999999994</v>
      </c>
    </row>
    <row r="14" spans="1:74" ht="11.1" customHeight="1" x14ac:dyDescent="0.2">
      <c r="A14" s="613" t="s">
        <v>990</v>
      </c>
      <c r="B14" s="614" t="s">
        <v>952</v>
      </c>
      <c r="C14" s="213">
        <v>5.435301129</v>
      </c>
      <c r="D14" s="213">
        <v>5.4981893102999999</v>
      </c>
      <c r="E14" s="213">
        <v>5.9624773547999999</v>
      </c>
      <c r="F14" s="213">
        <v>5.5938986667000004</v>
      </c>
      <c r="G14" s="213">
        <v>5.7548317097000004</v>
      </c>
      <c r="H14" s="213">
        <v>5.5522819999999999</v>
      </c>
      <c r="I14" s="213">
        <v>5.5788244839000001</v>
      </c>
      <c r="J14" s="213">
        <v>6.0470359355000003</v>
      </c>
      <c r="K14" s="213">
        <v>6.1740625667</v>
      </c>
      <c r="L14" s="213">
        <v>5.5956819677</v>
      </c>
      <c r="M14" s="213">
        <v>6.4981045333000003</v>
      </c>
      <c r="N14" s="213">
        <v>6.7422766128999996</v>
      </c>
      <c r="O14" s="213">
        <v>7.0522156129000004</v>
      </c>
      <c r="P14" s="213">
        <v>7.1851791070999997</v>
      </c>
      <c r="Q14" s="213">
        <v>7.4126401289999997</v>
      </c>
      <c r="R14" s="213">
        <v>6.3918514000000002</v>
      </c>
      <c r="S14" s="213">
        <v>6.0672621290000004</v>
      </c>
      <c r="T14" s="213">
        <v>6.6953290000000001</v>
      </c>
      <c r="U14" s="213">
        <v>6.2970382257999997</v>
      </c>
      <c r="V14" s="213">
        <v>6.5107555483999997</v>
      </c>
      <c r="W14" s="213">
        <v>6.4727822667000003</v>
      </c>
      <c r="X14" s="213">
        <v>6.4380768709999998</v>
      </c>
      <c r="Y14" s="213">
        <v>6.9208812000000002</v>
      </c>
      <c r="Z14" s="213">
        <v>7.0172342581000002</v>
      </c>
      <c r="AA14" s="213">
        <v>7.3474378710000003</v>
      </c>
      <c r="AB14" s="213">
        <v>7.2131440714000004</v>
      </c>
      <c r="AC14" s="213">
        <v>6.4492005484000003</v>
      </c>
      <c r="AD14" s="213">
        <v>6.4418919333</v>
      </c>
      <c r="AE14" s="213">
        <v>5.7199535484000004</v>
      </c>
      <c r="AF14" s="213">
        <v>6.2819956000000001</v>
      </c>
      <c r="AG14" s="213">
        <v>6.7018505161000004</v>
      </c>
      <c r="AH14" s="213">
        <v>7.0943058710000004</v>
      </c>
      <c r="AI14" s="213">
        <v>7.3455195667000002</v>
      </c>
      <c r="AJ14" s="213">
        <v>6.9922699032000004</v>
      </c>
      <c r="AK14" s="213">
        <v>7.6710149000000003</v>
      </c>
      <c r="AL14" s="213">
        <v>7.7633359031999998</v>
      </c>
      <c r="AM14" s="213">
        <v>7.6719125805999999</v>
      </c>
      <c r="AN14" s="213">
        <v>8.1103156071000004</v>
      </c>
      <c r="AO14" s="213">
        <v>7.8298361613000003</v>
      </c>
      <c r="AP14" s="213">
        <v>7.0370176000000004</v>
      </c>
      <c r="AQ14" s="213">
        <v>7.2146951612999999</v>
      </c>
      <c r="AR14" s="213">
        <v>7.2756394333000003</v>
      </c>
      <c r="AS14" s="213">
        <v>7.6301779031999999</v>
      </c>
      <c r="AT14" s="213">
        <v>7.9485697742000001</v>
      </c>
      <c r="AU14" s="213">
        <v>7.8079151667</v>
      </c>
      <c r="AV14" s="213">
        <v>7.9938200968000004</v>
      </c>
      <c r="AW14" s="213">
        <v>8.3583876332999996</v>
      </c>
      <c r="AX14" s="213">
        <v>8.4034795161000009</v>
      </c>
      <c r="AY14" s="213">
        <v>8.3721870322999994</v>
      </c>
      <c r="AZ14" s="213">
        <v>7.8624745517000001</v>
      </c>
      <c r="BA14" s="213">
        <v>8.1522639676999997</v>
      </c>
      <c r="BB14" s="213">
        <v>7.0088603999999997</v>
      </c>
      <c r="BC14" s="213">
        <v>6.870780871</v>
      </c>
      <c r="BD14" s="213">
        <v>7.6480711667000003</v>
      </c>
      <c r="BE14" s="213">
        <v>7.9082499999999998</v>
      </c>
      <c r="BF14" s="213">
        <v>8.1263319999999997</v>
      </c>
      <c r="BG14" s="351">
        <v>8.1990560000000006</v>
      </c>
      <c r="BH14" s="351">
        <v>8.2205999999999992</v>
      </c>
      <c r="BI14" s="351">
        <v>8.4612890000000007</v>
      </c>
      <c r="BJ14" s="351">
        <v>8.5440609999999992</v>
      </c>
      <c r="BK14" s="351">
        <v>8.4779610000000005</v>
      </c>
      <c r="BL14" s="351">
        <v>8.2682850000000006</v>
      </c>
      <c r="BM14" s="351">
        <v>7.9374219999999998</v>
      </c>
      <c r="BN14" s="351">
        <v>7.535914</v>
      </c>
      <c r="BO14" s="351">
        <v>7.4125579999999998</v>
      </c>
      <c r="BP14" s="351">
        <v>7.4639949999999997</v>
      </c>
      <c r="BQ14" s="351">
        <v>8.0671040000000005</v>
      </c>
      <c r="BR14" s="351">
        <v>8.0394919999999992</v>
      </c>
      <c r="BS14" s="351">
        <v>8.1054919999999999</v>
      </c>
      <c r="BT14" s="351">
        <v>7.8792119999999999</v>
      </c>
      <c r="BU14" s="351">
        <v>8.3255730000000003</v>
      </c>
      <c r="BV14" s="351">
        <v>8.4139339999999994</v>
      </c>
    </row>
    <row r="15" spans="1:74" ht="11.1" customHeight="1" x14ac:dyDescent="0.2">
      <c r="A15" s="76" t="s">
        <v>549</v>
      </c>
      <c r="B15" s="185" t="s">
        <v>434</v>
      </c>
      <c r="C15" s="213">
        <v>0.15819354838999999</v>
      </c>
      <c r="D15" s="213">
        <v>0.16041379310000001</v>
      </c>
      <c r="E15" s="213">
        <v>0.15861290322999999</v>
      </c>
      <c r="F15" s="213">
        <v>0.1585</v>
      </c>
      <c r="G15" s="213">
        <v>0.15667741935000001</v>
      </c>
      <c r="H15" s="213">
        <v>0.1552</v>
      </c>
      <c r="I15" s="213">
        <v>0.15645161290000001</v>
      </c>
      <c r="J15" s="213">
        <v>0.15522580645</v>
      </c>
      <c r="K15" s="213">
        <v>0.1542</v>
      </c>
      <c r="L15" s="213">
        <v>0.15358064516</v>
      </c>
      <c r="M15" s="213">
        <v>0.15486666667000001</v>
      </c>
      <c r="N15" s="213">
        <v>0.15312903225999999</v>
      </c>
      <c r="O15" s="213">
        <v>0.16974193547999999</v>
      </c>
      <c r="P15" s="213">
        <v>0.17210714286000001</v>
      </c>
      <c r="Q15" s="213">
        <v>0.17603225806</v>
      </c>
      <c r="R15" s="213">
        <v>0.17623333332999999</v>
      </c>
      <c r="S15" s="213">
        <v>0.17622580644999999</v>
      </c>
      <c r="T15" s="213">
        <v>0.17793333333</v>
      </c>
      <c r="U15" s="213">
        <v>0.17977419354999999</v>
      </c>
      <c r="V15" s="213">
        <v>0.17967741935000001</v>
      </c>
      <c r="W15" s="213">
        <v>0.18283333332999999</v>
      </c>
      <c r="X15" s="213">
        <v>0.18606451613</v>
      </c>
      <c r="Y15" s="213">
        <v>0.19186666666999999</v>
      </c>
      <c r="Z15" s="213">
        <v>0.19070967742</v>
      </c>
      <c r="AA15" s="213">
        <v>0.17803225806</v>
      </c>
      <c r="AB15" s="213">
        <v>0.18185714285999999</v>
      </c>
      <c r="AC15" s="213">
        <v>0.18538709677000001</v>
      </c>
      <c r="AD15" s="213">
        <v>0.18426666667</v>
      </c>
      <c r="AE15" s="213">
        <v>0.186</v>
      </c>
      <c r="AF15" s="213">
        <v>0.18626666667</v>
      </c>
      <c r="AG15" s="213">
        <v>0.188</v>
      </c>
      <c r="AH15" s="213">
        <v>0.19180645161000001</v>
      </c>
      <c r="AI15" s="213">
        <v>0.19693333332999999</v>
      </c>
      <c r="AJ15" s="213">
        <v>0.19729032258000001</v>
      </c>
      <c r="AK15" s="213">
        <v>0.2021</v>
      </c>
      <c r="AL15" s="213">
        <v>0.20116129031999999</v>
      </c>
      <c r="AM15" s="213">
        <v>0.16535483871000001</v>
      </c>
      <c r="AN15" s="213">
        <v>0.22296428570999999</v>
      </c>
      <c r="AO15" s="213">
        <v>0.20593548386999999</v>
      </c>
      <c r="AP15" s="213">
        <v>0.17706666667000001</v>
      </c>
      <c r="AQ15" s="213">
        <v>0.11706451613</v>
      </c>
      <c r="AR15" s="213">
        <v>0.18433333332999999</v>
      </c>
      <c r="AS15" s="213">
        <v>0.16138709676999999</v>
      </c>
      <c r="AT15" s="213">
        <v>0.15687096774000001</v>
      </c>
      <c r="AU15" s="213">
        <v>0.13956666667000001</v>
      </c>
      <c r="AV15" s="213">
        <v>0.14641935483999999</v>
      </c>
      <c r="AW15" s="213">
        <v>0.17080000000000001</v>
      </c>
      <c r="AX15" s="213">
        <v>0.17858064516</v>
      </c>
      <c r="AY15" s="213">
        <v>0.18338709677000001</v>
      </c>
      <c r="AZ15" s="213">
        <v>0.214</v>
      </c>
      <c r="BA15" s="213">
        <v>0.18745161290000001</v>
      </c>
      <c r="BB15" s="213">
        <v>0.19109999999999999</v>
      </c>
      <c r="BC15" s="213">
        <v>0.15958064516000001</v>
      </c>
      <c r="BD15" s="213">
        <v>0.17296666666999999</v>
      </c>
      <c r="BE15" s="213">
        <v>0.163853</v>
      </c>
      <c r="BF15" s="213">
        <v>0.16298460000000001</v>
      </c>
      <c r="BG15" s="351">
        <v>0.16237750000000001</v>
      </c>
      <c r="BH15" s="351">
        <v>0.16146050000000001</v>
      </c>
      <c r="BI15" s="351">
        <v>0.1609894</v>
      </c>
      <c r="BJ15" s="351">
        <v>0.15961449999999999</v>
      </c>
      <c r="BK15" s="351">
        <v>0.15831719999999999</v>
      </c>
      <c r="BL15" s="351">
        <v>0.1576515</v>
      </c>
      <c r="BM15" s="351">
        <v>0.15790609999999999</v>
      </c>
      <c r="BN15" s="351">
        <v>0.15784980000000001</v>
      </c>
      <c r="BO15" s="351">
        <v>0.15817700000000001</v>
      </c>
      <c r="BP15" s="351">
        <v>0.15896850000000001</v>
      </c>
      <c r="BQ15" s="351">
        <v>0.1596003</v>
      </c>
      <c r="BR15" s="351">
        <v>0.16058620000000001</v>
      </c>
      <c r="BS15" s="351">
        <v>0.16146920000000001</v>
      </c>
      <c r="BT15" s="351">
        <v>0.16163230000000001</v>
      </c>
      <c r="BU15" s="351">
        <v>0.16205729999999999</v>
      </c>
      <c r="BV15" s="351">
        <v>0.16161970000000001</v>
      </c>
    </row>
    <row r="16" spans="1:74" ht="11.1" customHeight="1" x14ac:dyDescent="0.2">
      <c r="A16" s="76" t="s">
        <v>17</v>
      </c>
      <c r="B16" s="185" t="s">
        <v>435</v>
      </c>
      <c r="C16" s="213">
        <v>23.90783871</v>
      </c>
      <c r="D16" s="213">
        <v>14.178241378999999</v>
      </c>
      <c r="E16" s="213">
        <v>1.7008709677</v>
      </c>
      <c r="F16" s="213">
        <v>-5.6848999999999998</v>
      </c>
      <c r="G16" s="213">
        <v>-10.865967742</v>
      </c>
      <c r="H16" s="213">
        <v>-7.6283333332999996</v>
      </c>
      <c r="I16" s="213">
        <v>-4.4807741935000003</v>
      </c>
      <c r="J16" s="213">
        <v>-4.1822258065</v>
      </c>
      <c r="K16" s="213">
        <v>-8.9872666667000001</v>
      </c>
      <c r="L16" s="213">
        <v>-10.205354839</v>
      </c>
      <c r="M16" s="213">
        <v>1.2879666667</v>
      </c>
      <c r="N16" s="213">
        <v>22.177677418999998</v>
      </c>
      <c r="O16" s="213">
        <v>22.169903225999999</v>
      </c>
      <c r="P16" s="213">
        <v>10.412928571</v>
      </c>
      <c r="Q16" s="213">
        <v>9.0805161289999994</v>
      </c>
      <c r="R16" s="213">
        <v>-7.8630333332999998</v>
      </c>
      <c r="S16" s="213">
        <v>-11.216870968</v>
      </c>
      <c r="T16" s="213">
        <v>-9.5687999999999995</v>
      </c>
      <c r="U16" s="213">
        <v>-4.9928709677000001</v>
      </c>
      <c r="V16" s="213">
        <v>-6.4956774193999998</v>
      </c>
      <c r="W16" s="213">
        <v>-10.778266667</v>
      </c>
      <c r="X16" s="213">
        <v>-8.1805161290000008</v>
      </c>
      <c r="Y16" s="213">
        <v>3.0152000000000001</v>
      </c>
      <c r="Z16" s="213">
        <v>22.809225806000001</v>
      </c>
      <c r="AA16" s="213">
        <v>29.442225806</v>
      </c>
      <c r="AB16" s="213">
        <v>17.019464286000002</v>
      </c>
      <c r="AC16" s="213">
        <v>9.4273225806000003</v>
      </c>
      <c r="AD16" s="213">
        <v>-1.2383666667</v>
      </c>
      <c r="AE16" s="213">
        <v>-13.979129031999999</v>
      </c>
      <c r="AF16" s="213">
        <v>-11.9245</v>
      </c>
      <c r="AG16" s="213">
        <v>-6.2577096774000003</v>
      </c>
      <c r="AH16" s="213">
        <v>-7.8689032257999996</v>
      </c>
      <c r="AI16" s="213">
        <v>-11.460933333</v>
      </c>
      <c r="AJ16" s="213">
        <v>-9.6579677419000003</v>
      </c>
      <c r="AK16" s="213">
        <v>7.0531666667000001</v>
      </c>
      <c r="AL16" s="213">
        <v>10.598225806</v>
      </c>
      <c r="AM16" s="213">
        <v>22.862580645000001</v>
      </c>
      <c r="AN16" s="213">
        <v>20.286107142999999</v>
      </c>
      <c r="AO16" s="213">
        <v>7.9559677419000003</v>
      </c>
      <c r="AP16" s="213">
        <v>-12.712899999999999</v>
      </c>
      <c r="AQ16" s="213">
        <v>-15.359677419</v>
      </c>
      <c r="AR16" s="213">
        <v>-14.415900000000001</v>
      </c>
      <c r="AS16" s="213">
        <v>-8.1642903225999994</v>
      </c>
      <c r="AT16" s="213">
        <v>-9.2218064515999991</v>
      </c>
      <c r="AU16" s="213">
        <v>-13.952266667</v>
      </c>
      <c r="AV16" s="213">
        <v>-11.218290323</v>
      </c>
      <c r="AW16" s="213">
        <v>5.0248999999999997</v>
      </c>
      <c r="AX16" s="213">
        <v>13.603612903</v>
      </c>
      <c r="AY16" s="213">
        <v>18.436645161000001</v>
      </c>
      <c r="AZ16" s="213">
        <v>18.498551723999999</v>
      </c>
      <c r="BA16" s="213">
        <v>1.657516129</v>
      </c>
      <c r="BB16" s="213">
        <v>-10.260333333</v>
      </c>
      <c r="BC16" s="213">
        <v>-14.445032257999999</v>
      </c>
      <c r="BD16" s="213">
        <v>-11.9435</v>
      </c>
      <c r="BE16" s="213">
        <v>-5.4343225806</v>
      </c>
      <c r="BF16" s="213">
        <v>-6.8398156682</v>
      </c>
      <c r="BG16" s="351">
        <v>-9.3345819999999993</v>
      </c>
      <c r="BH16" s="351">
        <v>-5.6715489999999997</v>
      </c>
      <c r="BI16" s="351">
        <v>5.989287</v>
      </c>
      <c r="BJ16" s="351">
        <v>19.998329999999999</v>
      </c>
      <c r="BK16" s="351">
        <v>26.12275</v>
      </c>
      <c r="BL16" s="351">
        <v>19.89038</v>
      </c>
      <c r="BM16" s="351">
        <v>6.7107250000000001</v>
      </c>
      <c r="BN16" s="351">
        <v>-6.9786169999999998</v>
      </c>
      <c r="BO16" s="351">
        <v>-13.42924</v>
      </c>
      <c r="BP16" s="351">
        <v>-9.8622840000000007</v>
      </c>
      <c r="BQ16" s="351">
        <v>-5.107202</v>
      </c>
      <c r="BR16" s="351">
        <v>-6.7030969999999996</v>
      </c>
      <c r="BS16" s="351">
        <v>-10.802289999999999</v>
      </c>
      <c r="BT16" s="351">
        <v>-9.9150709999999993</v>
      </c>
      <c r="BU16" s="351">
        <v>6.1285639999999999</v>
      </c>
      <c r="BV16" s="351">
        <v>17.54889</v>
      </c>
    </row>
    <row r="17" spans="1:74" ht="11.1" customHeight="1" x14ac:dyDescent="0.2">
      <c r="A17" s="71" t="s">
        <v>784</v>
      </c>
      <c r="B17" s="185" t="s">
        <v>437</v>
      </c>
      <c r="C17" s="213">
        <v>101.01503697</v>
      </c>
      <c r="D17" s="213">
        <v>92.009432068999999</v>
      </c>
      <c r="E17" s="213">
        <v>77.097207644999997</v>
      </c>
      <c r="F17" s="213">
        <v>70.296340466999993</v>
      </c>
      <c r="G17" s="213">
        <v>64.095266581000004</v>
      </c>
      <c r="H17" s="213">
        <v>66.658907567</v>
      </c>
      <c r="I17" s="213">
        <v>70.898367097000005</v>
      </c>
      <c r="J17" s="213">
        <v>69.696696548000006</v>
      </c>
      <c r="K17" s="213">
        <v>64.088772832999993</v>
      </c>
      <c r="L17" s="213">
        <v>63.145898064999997</v>
      </c>
      <c r="M17" s="213">
        <v>73.567008599999994</v>
      </c>
      <c r="N17" s="213">
        <v>94.505940418999998</v>
      </c>
      <c r="O17" s="213">
        <v>93.602319452000003</v>
      </c>
      <c r="P17" s="213">
        <v>82.183680749999994</v>
      </c>
      <c r="Q17" s="213">
        <v>82.657397516000003</v>
      </c>
      <c r="R17" s="213">
        <v>65.432780933000004</v>
      </c>
      <c r="S17" s="213">
        <v>62.070276161000002</v>
      </c>
      <c r="T17" s="213">
        <v>64.125247367</v>
      </c>
      <c r="U17" s="213">
        <v>69.971466289999995</v>
      </c>
      <c r="V17" s="213">
        <v>68.390355096999997</v>
      </c>
      <c r="W17" s="213">
        <v>64.749201200000002</v>
      </c>
      <c r="X17" s="213">
        <v>68.109631902999993</v>
      </c>
      <c r="Y17" s="213">
        <v>81.377860299999995</v>
      </c>
      <c r="Z17" s="213">
        <v>101.45082239</v>
      </c>
      <c r="AA17" s="213">
        <v>108.1456949</v>
      </c>
      <c r="AB17" s="213">
        <v>96.060682713999995</v>
      </c>
      <c r="AC17" s="213">
        <v>90.733857548000003</v>
      </c>
      <c r="AD17" s="213">
        <v>79.019333567000004</v>
      </c>
      <c r="AE17" s="213">
        <v>66.812698741999995</v>
      </c>
      <c r="AF17" s="213">
        <v>69.318280200000004</v>
      </c>
      <c r="AG17" s="213">
        <v>74.963690193999994</v>
      </c>
      <c r="AH17" s="213">
        <v>74.538716773999994</v>
      </c>
      <c r="AI17" s="213">
        <v>72.697034732999995</v>
      </c>
      <c r="AJ17" s="213">
        <v>74.620574226000002</v>
      </c>
      <c r="AK17" s="213">
        <v>92.241931132999994</v>
      </c>
      <c r="AL17" s="213">
        <v>96.111139194000003</v>
      </c>
      <c r="AM17" s="213">
        <v>109.26144023000001</v>
      </c>
      <c r="AN17" s="213">
        <v>106.470816</v>
      </c>
      <c r="AO17" s="213">
        <v>94.200987839000007</v>
      </c>
      <c r="AP17" s="213">
        <v>73.4805712</v>
      </c>
      <c r="AQ17" s="213">
        <v>69.487790355000001</v>
      </c>
      <c r="AR17" s="213">
        <v>71.664814233000001</v>
      </c>
      <c r="AS17" s="213">
        <v>78.016609097</v>
      </c>
      <c r="AT17" s="213">
        <v>78.931519547999997</v>
      </c>
      <c r="AU17" s="213">
        <v>74.368799766999999</v>
      </c>
      <c r="AV17" s="213">
        <v>77.766854934999998</v>
      </c>
      <c r="AW17" s="213">
        <v>94.190996932999994</v>
      </c>
      <c r="AX17" s="213">
        <v>102.402477</v>
      </c>
      <c r="AY17" s="213">
        <v>105.41464103</v>
      </c>
      <c r="AZ17" s="213">
        <v>105.68550693</v>
      </c>
      <c r="BA17" s="213">
        <v>87.063910129000007</v>
      </c>
      <c r="BB17" s="213">
        <v>74.996293600000001</v>
      </c>
      <c r="BC17" s="213">
        <v>66.643928742</v>
      </c>
      <c r="BD17" s="213">
        <v>71.468769867000006</v>
      </c>
      <c r="BE17" s="213">
        <v>79.257437418999999</v>
      </c>
      <c r="BF17" s="213">
        <v>76.482950931999994</v>
      </c>
      <c r="BG17" s="351">
        <v>73.202259999999995</v>
      </c>
      <c r="BH17" s="351">
        <v>73.511099999999999</v>
      </c>
      <c r="BI17" s="351">
        <v>83.477699999999999</v>
      </c>
      <c r="BJ17" s="351">
        <v>97.01276</v>
      </c>
      <c r="BK17" s="351">
        <v>102.7559</v>
      </c>
      <c r="BL17" s="351">
        <v>95.948949999999996</v>
      </c>
      <c r="BM17" s="351">
        <v>83.735849999999999</v>
      </c>
      <c r="BN17" s="351">
        <v>71.49924</v>
      </c>
      <c r="BO17" s="351">
        <v>64.746960000000001</v>
      </c>
      <c r="BP17" s="351">
        <v>67.129069999999999</v>
      </c>
      <c r="BQ17" s="351">
        <v>71.640140000000002</v>
      </c>
      <c r="BR17" s="351">
        <v>71.028080000000003</v>
      </c>
      <c r="BS17" s="351">
        <v>69.134180000000001</v>
      </c>
      <c r="BT17" s="351">
        <v>69.597620000000006</v>
      </c>
      <c r="BU17" s="351">
        <v>83.486189999999993</v>
      </c>
      <c r="BV17" s="351">
        <v>95.036330000000007</v>
      </c>
    </row>
    <row r="18" spans="1:74" ht="11.1" customHeight="1" x14ac:dyDescent="0.2">
      <c r="A18" s="76" t="s">
        <v>551</v>
      </c>
      <c r="B18" s="185" t="s">
        <v>136</v>
      </c>
      <c r="C18" s="213">
        <v>-1.2829401935</v>
      </c>
      <c r="D18" s="213">
        <v>-0.55219068965999996</v>
      </c>
      <c r="E18" s="213">
        <v>-1.0875947419000001</v>
      </c>
      <c r="F18" s="213">
        <v>-0.83474046667000001</v>
      </c>
      <c r="G18" s="213">
        <v>-0.68242787097000002</v>
      </c>
      <c r="H18" s="213">
        <v>2.9592433333E-2</v>
      </c>
      <c r="I18" s="213">
        <v>-0.36236709677000001</v>
      </c>
      <c r="J18" s="213">
        <v>1.5411744194000001</v>
      </c>
      <c r="K18" s="213">
        <v>0.83629383332999996</v>
      </c>
      <c r="L18" s="213">
        <v>-1.0425754839000001</v>
      </c>
      <c r="M18" s="213">
        <v>-1.5855419333</v>
      </c>
      <c r="N18" s="213">
        <v>-2.0455210644999999</v>
      </c>
      <c r="O18" s="213">
        <v>0.40300312903000002</v>
      </c>
      <c r="P18" s="213">
        <v>1.4083549643</v>
      </c>
      <c r="Q18" s="213">
        <v>-1.2473975160999999</v>
      </c>
      <c r="R18" s="213">
        <v>-1.0163476</v>
      </c>
      <c r="S18" s="213">
        <v>-1.0223084194000001</v>
      </c>
      <c r="T18" s="213">
        <v>-0.42734736667000001</v>
      </c>
      <c r="U18" s="213">
        <v>-0.87136951613000002</v>
      </c>
      <c r="V18" s="213">
        <v>-0.83274219355000001</v>
      </c>
      <c r="W18" s="213">
        <v>-0.71756786667000005</v>
      </c>
      <c r="X18" s="213">
        <v>-2.5610512581</v>
      </c>
      <c r="Y18" s="213">
        <v>-2.7886603000000001</v>
      </c>
      <c r="Z18" s="213">
        <v>-1.9511772258</v>
      </c>
      <c r="AA18" s="213">
        <v>-0.56569490323000005</v>
      </c>
      <c r="AB18" s="213">
        <v>0.57956728571000005</v>
      </c>
      <c r="AC18" s="213">
        <v>-0.64934141935</v>
      </c>
      <c r="AD18" s="213">
        <v>-0.80880023332999995</v>
      </c>
      <c r="AE18" s="213">
        <v>-0.65492454839000003</v>
      </c>
      <c r="AF18" s="213">
        <v>-0.69604686667000004</v>
      </c>
      <c r="AG18" s="213">
        <v>0.66792270968</v>
      </c>
      <c r="AH18" s="213">
        <v>-9.6619999999999998E-2</v>
      </c>
      <c r="AI18" s="213">
        <v>-0.97963473332999995</v>
      </c>
      <c r="AJ18" s="213">
        <v>-1.1011226129</v>
      </c>
      <c r="AK18" s="213">
        <v>-1.9111978000000001</v>
      </c>
      <c r="AL18" s="213">
        <v>0.44031241934999998</v>
      </c>
      <c r="AM18" s="213">
        <v>0.40889700065000001</v>
      </c>
      <c r="AN18" s="213">
        <v>0.63568075286000003</v>
      </c>
      <c r="AO18" s="213">
        <v>-0.66026183387000004</v>
      </c>
      <c r="AP18" s="213">
        <v>-0.11555020333</v>
      </c>
      <c r="AQ18" s="213">
        <v>-1.0715614484</v>
      </c>
      <c r="AR18" s="213">
        <v>-1.1586271367000001</v>
      </c>
      <c r="AS18" s="213">
        <v>-0.36468583645000002</v>
      </c>
      <c r="AT18" s="213">
        <v>-0.32150700451999997</v>
      </c>
      <c r="AU18" s="213">
        <v>-0.497033</v>
      </c>
      <c r="AV18" s="213">
        <v>-2.6931051013</v>
      </c>
      <c r="AW18" s="213">
        <v>-2.43017043</v>
      </c>
      <c r="AX18" s="213">
        <v>-1.1650239067999999</v>
      </c>
      <c r="AY18" s="213">
        <v>0.66927680225999997</v>
      </c>
      <c r="AZ18" s="213">
        <v>-1.0291192734000001</v>
      </c>
      <c r="BA18" s="213">
        <v>0.30593454418999999</v>
      </c>
      <c r="BB18" s="213">
        <v>-7.6188599999999995E-2</v>
      </c>
      <c r="BC18" s="213">
        <v>0.14537661290000001</v>
      </c>
      <c r="BD18" s="213">
        <v>-0.34745996667000001</v>
      </c>
      <c r="BE18" s="213">
        <v>1.1539748806000001</v>
      </c>
      <c r="BF18" s="213">
        <v>-0.64820163180000001</v>
      </c>
      <c r="BG18" s="351">
        <v>-1.382387</v>
      </c>
      <c r="BH18" s="351">
        <v>-1.73315</v>
      </c>
      <c r="BI18" s="351">
        <v>0.32237569999999999</v>
      </c>
      <c r="BJ18" s="351">
        <v>1.017809</v>
      </c>
      <c r="BK18" s="351">
        <v>-0.31449510000000003</v>
      </c>
      <c r="BL18" s="351">
        <v>-0.3092029</v>
      </c>
      <c r="BM18" s="351">
        <v>0.85034100000000001</v>
      </c>
      <c r="BN18" s="351">
        <v>-1.5427329999999999</v>
      </c>
      <c r="BO18" s="351">
        <v>-1.454313</v>
      </c>
      <c r="BP18" s="351">
        <v>0.24585280000000001</v>
      </c>
      <c r="BQ18" s="351">
        <v>1.923335</v>
      </c>
      <c r="BR18" s="351">
        <v>1.878768</v>
      </c>
      <c r="BS18" s="351">
        <v>-0.57102010000000003</v>
      </c>
      <c r="BT18" s="351">
        <v>1.161843</v>
      </c>
      <c r="BU18" s="351">
        <v>1.525685</v>
      </c>
      <c r="BV18" s="351">
        <v>1.3663590000000001</v>
      </c>
    </row>
    <row r="19" spans="1:74" ht="11.1" customHeight="1" x14ac:dyDescent="0.2">
      <c r="A19" s="77" t="s">
        <v>785</v>
      </c>
      <c r="B19" s="185" t="s">
        <v>436</v>
      </c>
      <c r="C19" s="213">
        <v>99.732096773999999</v>
      </c>
      <c r="D19" s="213">
        <v>91.457241378999996</v>
      </c>
      <c r="E19" s="213">
        <v>76.009612903000004</v>
      </c>
      <c r="F19" s="213">
        <v>69.461600000000004</v>
      </c>
      <c r="G19" s="213">
        <v>63.412838710000003</v>
      </c>
      <c r="H19" s="213">
        <v>66.688500000000005</v>
      </c>
      <c r="I19" s="213">
        <v>70.536000000000001</v>
      </c>
      <c r="J19" s="213">
        <v>71.237870967999996</v>
      </c>
      <c r="K19" s="213">
        <v>64.925066666999996</v>
      </c>
      <c r="L19" s="213">
        <v>62.103322581</v>
      </c>
      <c r="M19" s="213">
        <v>71.981466667000007</v>
      </c>
      <c r="N19" s="213">
        <v>92.460419354999999</v>
      </c>
      <c r="O19" s="213">
        <v>94.005322581000001</v>
      </c>
      <c r="P19" s="213">
        <v>83.592035714000005</v>
      </c>
      <c r="Q19" s="213">
        <v>81.41</v>
      </c>
      <c r="R19" s="213">
        <v>64.416433333000001</v>
      </c>
      <c r="S19" s="213">
        <v>61.047967741999997</v>
      </c>
      <c r="T19" s="213">
        <v>63.697899999999997</v>
      </c>
      <c r="U19" s="213">
        <v>69.100096773999994</v>
      </c>
      <c r="V19" s="213">
        <v>67.557612903000006</v>
      </c>
      <c r="W19" s="213">
        <v>64.031633333000002</v>
      </c>
      <c r="X19" s="213">
        <v>65.548580645000001</v>
      </c>
      <c r="Y19" s="213">
        <v>78.589200000000005</v>
      </c>
      <c r="Z19" s="213">
        <v>99.499645161000004</v>
      </c>
      <c r="AA19" s="213">
        <v>107.58</v>
      </c>
      <c r="AB19" s="213">
        <v>96.640249999999995</v>
      </c>
      <c r="AC19" s="213">
        <v>90.084516128999994</v>
      </c>
      <c r="AD19" s="213">
        <v>78.210533333000001</v>
      </c>
      <c r="AE19" s="213">
        <v>66.157774193999998</v>
      </c>
      <c r="AF19" s="213">
        <v>68.622233332999997</v>
      </c>
      <c r="AG19" s="213">
        <v>75.631612903000004</v>
      </c>
      <c r="AH19" s="213">
        <v>74.442096774000007</v>
      </c>
      <c r="AI19" s="213">
        <v>71.717399999999998</v>
      </c>
      <c r="AJ19" s="213">
        <v>73.519451613000001</v>
      </c>
      <c r="AK19" s="213">
        <v>90.330733332999998</v>
      </c>
      <c r="AL19" s="213">
        <v>96.551451612999998</v>
      </c>
      <c r="AM19" s="213">
        <v>109.67033723</v>
      </c>
      <c r="AN19" s="213">
        <v>107.10649675000001</v>
      </c>
      <c r="AO19" s="213">
        <v>93.540726004999996</v>
      </c>
      <c r="AP19" s="213">
        <v>73.365020997000002</v>
      </c>
      <c r="AQ19" s="213">
        <v>68.416228906000001</v>
      </c>
      <c r="AR19" s="213">
        <v>70.506187096999994</v>
      </c>
      <c r="AS19" s="213">
        <v>77.651923260000004</v>
      </c>
      <c r="AT19" s="213">
        <v>78.610012544</v>
      </c>
      <c r="AU19" s="213">
        <v>73.871766766999997</v>
      </c>
      <c r="AV19" s="213">
        <v>75.073749833999997</v>
      </c>
      <c r="AW19" s="213">
        <v>91.760826503000004</v>
      </c>
      <c r="AX19" s="213">
        <v>101.23745309</v>
      </c>
      <c r="AY19" s="213">
        <v>106.08391783</v>
      </c>
      <c r="AZ19" s="213">
        <v>104.65638765999999</v>
      </c>
      <c r="BA19" s="213">
        <v>87.369844673000003</v>
      </c>
      <c r="BB19" s="213">
        <v>74.920105000000007</v>
      </c>
      <c r="BC19" s="213">
        <v>66.789305354999996</v>
      </c>
      <c r="BD19" s="213">
        <v>71.1213099</v>
      </c>
      <c r="BE19" s="213">
        <v>80.411412299999995</v>
      </c>
      <c r="BF19" s="213">
        <v>75.834749299999999</v>
      </c>
      <c r="BG19" s="351">
        <v>71.819879999999998</v>
      </c>
      <c r="BH19" s="351">
        <v>71.777950000000004</v>
      </c>
      <c r="BI19" s="351">
        <v>83.800079999999994</v>
      </c>
      <c r="BJ19" s="351">
        <v>98.030569999999997</v>
      </c>
      <c r="BK19" s="351">
        <v>102.4414</v>
      </c>
      <c r="BL19" s="351">
        <v>95.639750000000006</v>
      </c>
      <c r="BM19" s="351">
        <v>84.586190000000002</v>
      </c>
      <c r="BN19" s="351">
        <v>69.956500000000005</v>
      </c>
      <c r="BO19" s="351">
        <v>63.292650000000002</v>
      </c>
      <c r="BP19" s="351">
        <v>67.374920000000003</v>
      </c>
      <c r="BQ19" s="351">
        <v>73.563469999999995</v>
      </c>
      <c r="BR19" s="351">
        <v>72.906850000000006</v>
      </c>
      <c r="BS19" s="351">
        <v>68.563149999999993</v>
      </c>
      <c r="BT19" s="351">
        <v>70.759460000000004</v>
      </c>
      <c r="BU19" s="351">
        <v>85.011880000000005</v>
      </c>
      <c r="BV19" s="351">
        <v>96.402690000000007</v>
      </c>
    </row>
    <row r="20" spans="1:74" ht="11.1" customHeight="1" x14ac:dyDescent="0.2">
      <c r="A20" s="77"/>
      <c r="B20" s="185"/>
      <c r="C20" s="213"/>
      <c r="D20" s="213"/>
      <c r="E20" s="213"/>
      <c r="F20" s="213"/>
      <c r="G20" s="213"/>
      <c r="H20" s="213"/>
      <c r="I20" s="213"/>
      <c r="J20" s="213"/>
      <c r="K20" s="213"/>
      <c r="L20" s="213"/>
      <c r="M20" s="213"/>
      <c r="N20" s="213"/>
      <c r="O20" s="213"/>
      <c r="P20" s="213"/>
      <c r="Q20" s="213"/>
      <c r="R20" s="213"/>
      <c r="S20" s="213"/>
      <c r="T20" s="213"/>
      <c r="U20" s="213"/>
      <c r="V20" s="213"/>
      <c r="W20" s="213"/>
      <c r="X20" s="213"/>
      <c r="Y20" s="213"/>
      <c r="Z20" s="213"/>
      <c r="AA20" s="213"/>
      <c r="AB20" s="213"/>
      <c r="AC20" s="213"/>
      <c r="AD20" s="213"/>
      <c r="AE20" s="213"/>
      <c r="AF20" s="213"/>
      <c r="AG20" s="213"/>
      <c r="AH20" s="213"/>
      <c r="AI20" s="213"/>
      <c r="AJ20" s="213"/>
      <c r="AK20" s="213"/>
      <c r="AL20" s="213"/>
      <c r="AM20" s="213"/>
      <c r="AN20" s="213"/>
      <c r="AO20" s="213"/>
      <c r="AP20" s="213"/>
      <c r="AQ20" s="213"/>
      <c r="AR20" s="213"/>
      <c r="AS20" s="213"/>
      <c r="AT20" s="213"/>
      <c r="AU20" s="213"/>
      <c r="AV20" s="213"/>
      <c r="AW20" s="213"/>
      <c r="AX20" s="213"/>
      <c r="AY20" s="213"/>
      <c r="AZ20" s="213"/>
      <c r="BA20" s="213"/>
      <c r="BB20" s="213"/>
      <c r="BC20" s="213"/>
      <c r="BD20" s="213"/>
      <c r="BE20" s="213"/>
      <c r="BF20" s="213"/>
      <c r="BG20" s="351"/>
      <c r="BH20" s="351"/>
      <c r="BI20" s="351"/>
      <c r="BJ20" s="351"/>
      <c r="BK20" s="351"/>
      <c r="BL20" s="351"/>
      <c r="BM20" s="351"/>
      <c r="BN20" s="351"/>
      <c r="BO20" s="351"/>
      <c r="BP20" s="351"/>
      <c r="BQ20" s="351"/>
      <c r="BR20" s="351"/>
      <c r="BS20" s="351"/>
      <c r="BT20" s="351"/>
      <c r="BU20" s="351"/>
      <c r="BV20" s="351"/>
    </row>
    <row r="21" spans="1:74" ht="11.1" customHeight="1" x14ac:dyDescent="0.2">
      <c r="A21" s="71"/>
      <c r="B21" s="78" t="s">
        <v>793</v>
      </c>
      <c r="C21" s="228"/>
      <c r="D21" s="228"/>
      <c r="E21" s="228"/>
      <c r="F21" s="228"/>
      <c r="G21" s="228"/>
      <c r="H21" s="228"/>
      <c r="I21" s="228"/>
      <c r="J21" s="228"/>
      <c r="K21" s="228"/>
      <c r="L21" s="228"/>
      <c r="M21" s="228"/>
      <c r="N21" s="228"/>
      <c r="O21" s="228"/>
      <c r="P21" s="228"/>
      <c r="Q21" s="228"/>
      <c r="R21" s="228"/>
      <c r="S21" s="228"/>
      <c r="T21" s="228"/>
      <c r="U21" s="228"/>
      <c r="V21" s="228"/>
      <c r="W21" s="228"/>
      <c r="X21" s="228"/>
      <c r="Y21" s="228"/>
      <c r="Z21" s="228"/>
      <c r="AA21" s="228"/>
      <c r="AB21" s="228"/>
      <c r="AC21" s="228"/>
      <c r="AD21" s="228"/>
      <c r="AE21" s="228"/>
      <c r="AF21" s="228"/>
      <c r="AG21" s="228"/>
      <c r="AH21" s="228"/>
      <c r="AI21" s="228"/>
      <c r="AJ21" s="228"/>
      <c r="AK21" s="228"/>
      <c r="AL21" s="228"/>
      <c r="AM21" s="228"/>
      <c r="AN21" s="228"/>
      <c r="AO21" s="228"/>
      <c r="AP21" s="228"/>
      <c r="AQ21" s="228"/>
      <c r="AR21" s="228"/>
      <c r="AS21" s="228"/>
      <c r="AT21" s="228"/>
      <c r="AU21" s="228"/>
      <c r="AV21" s="228"/>
      <c r="AW21" s="228"/>
      <c r="AX21" s="228"/>
      <c r="AY21" s="228"/>
      <c r="AZ21" s="228"/>
      <c r="BA21" s="228"/>
      <c r="BB21" s="228"/>
      <c r="BC21" s="228"/>
      <c r="BD21" s="228"/>
      <c r="BE21" s="228"/>
      <c r="BF21" s="228"/>
      <c r="BG21" s="387"/>
      <c r="BH21" s="387"/>
      <c r="BI21" s="387"/>
      <c r="BJ21" s="387"/>
      <c r="BK21" s="387"/>
      <c r="BL21" s="387"/>
      <c r="BM21" s="387"/>
      <c r="BN21" s="387"/>
      <c r="BO21" s="387"/>
      <c r="BP21" s="387"/>
      <c r="BQ21" s="387"/>
      <c r="BR21" s="387"/>
      <c r="BS21" s="387"/>
      <c r="BT21" s="387"/>
      <c r="BU21" s="387"/>
      <c r="BV21" s="387"/>
    </row>
    <row r="22" spans="1:74" ht="11.1" customHeight="1" x14ac:dyDescent="0.2">
      <c r="A22" s="76" t="s">
        <v>552</v>
      </c>
      <c r="B22" s="185" t="s">
        <v>438</v>
      </c>
      <c r="C22" s="213">
        <v>28.352774193999998</v>
      </c>
      <c r="D22" s="213">
        <v>23.795758621000001</v>
      </c>
      <c r="E22" s="213">
        <v>14.677451613000001</v>
      </c>
      <c r="F22" s="213">
        <v>10.9353</v>
      </c>
      <c r="G22" s="213">
        <v>6.2555483871000002</v>
      </c>
      <c r="H22" s="213">
        <v>4.0879666666999999</v>
      </c>
      <c r="I22" s="213">
        <v>3.4328709677</v>
      </c>
      <c r="J22" s="213">
        <v>3.2404838709999999</v>
      </c>
      <c r="K22" s="213">
        <v>3.6594000000000002</v>
      </c>
      <c r="L22" s="213">
        <v>6.0446451613000001</v>
      </c>
      <c r="M22" s="213">
        <v>12.658200000000001</v>
      </c>
      <c r="N22" s="213">
        <v>25.61816129</v>
      </c>
      <c r="O22" s="213">
        <v>26.797612903000001</v>
      </c>
      <c r="P22" s="213">
        <v>20.690750000000001</v>
      </c>
      <c r="Q22" s="213">
        <v>18.703548387000001</v>
      </c>
      <c r="R22" s="213">
        <v>9.2974999999999994</v>
      </c>
      <c r="S22" s="213">
        <v>6.4341612902999996</v>
      </c>
      <c r="T22" s="213">
        <v>4.1345000000000001</v>
      </c>
      <c r="U22" s="213">
        <v>3.4651612903000002</v>
      </c>
      <c r="V22" s="213">
        <v>3.3488709676999999</v>
      </c>
      <c r="W22" s="213">
        <v>3.8161999999999998</v>
      </c>
      <c r="X22" s="213">
        <v>6.6146129032000003</v>
      </c>
      <c r="Y22" s="213">
        <v>15.587</v>
      </c>
      <c r="Z22" s="213">
        <v>26.505032258</v>
      </c>
      <c r="AA22" s="213">
        <v>31.643645160999998</v>
      </c>
      <c r="AB22" s="213">
        <v>24.636214286000001</v>
      </c>
      <c r="AC22" s="213">
        <v>21.265516129000002</v>
      </c>
      <c r="AD22" s="213">
        <v>14.694033333</v>
      </c>
      <c r="AE22" s="213">
        <v>5.4523225805999997</v>
      </c>
      <c r="AF22" s="213">
        <v>3.9743666666999999</v>
      </c>
      <c r="AG22" s="213">
        <v>3.4161935483999999</v>
      </c>
      <c r="AH22" s="213">
        <v>3.2182903226000001</v>
      </c>
      <c r="AI22" s="213">
        <v>3.7434666666999998</v>
      </c>
      <c r="AJ22" s="213">
        <v>8.2266451613000005</v>
      </c>
      <c r="AK22" s="213">
        <v>19.959233333</v>
      </c>
      <c r="AL22" s="213">
        <v>24.68983871</v>
      </c>
      <c r="AM22" s="213">
        <v>30.702870967999999</v>
      </c>
      <c r="AN22" s="213">
        <v>28.747142857</v>
      </c>
      <c r="AO22" s="213">
        <v>22.143612903000001</v>
      </c>
      <c r="AP22" s="213">
        <v>10.921366666999999</v>
      </c>
      <c r="AQ22" s="213">
        <v>6.8263225806000003</v>
      </c>
      <c r="AR22" s="213">
        <v>4.2919999999999998</v>
      </c>
      <c r="AS22" s="213">
        <v>3.6607096773999999</v>
      </c>
      <c r="AT22" s="213">
        <v>3.2789677418999998</v>
      </c>
      <c r="AU22" s="213">
        <v>3.6639666666999999</v>
      </c>
      <c r="AV22" s="213">
        <v>7.5049032257999997</v>
      </c>
      <c r="AW22" s="213">
        <v>19.342333332999999</v>
      </c>
      <c r="AX22" s="213">
        <v>24.221032258000001</v>
      </c>
      <c r="AY22" s="213">
        <v>26.375677418999999</v>
      </c>
      <c r="AZ22" s="213">
        <v>25.253931034000001</v>
      </c>
      <c r="BA22" s="213">
        <v>16.904741935000001</v>
      </c>
      <c r="BB22" s="213">
        <v>12.585800000000001</v>
      </c>
      <c r="BC22" s="213">
        <v>7.6734193548</v>
      </c>
      <c r="BD22" s="213">
        <v>4.5366999999999997</v>
      </c>
      <c r="BE22" s="213">
        <v>3.83534</v>
      </c>
      <c r="BF22" s="213">
        <v>3.5472109999999999</v>
      </c>
      <c r="BG22" s="351">
        <v>3.967946</v>
      </c>
      <c r="BH22" s="351">
        <v>8.1601280000000003</v>
      </c>
      <c r="BI22" s="351">
        <v>16.732690000000002</v>
      </c>
      <c r="BJ22" s="351">
        <v>25.802440000000001</v>
      </c>
      <c r="BK22" s="351">
        <v>29.5227</v>
      </c>
      <c r="BL22" s="351">
        <v>25.450389999999999</v>
      </c>
      <c r="BM22" s="351">
        <v>19.796250000000001</v>
      </c>
      <c r="BN22" s="351">
        <v>10.32145</v>
      </c>
      <c r="BO22" s="351">
        <v>6.5718399999999999</v>
      </c>
      <c r="BP22" s="351">
        <v>4.0464989999999998</v>
      </c>
      <c r="BQ22" s="351">
        <v>3.3469380000000002</v>
      </c>
      <c r="BR22" s="351">
        <v>2.9048069999999999</v>
      </c>
      <c r="BS22" s="351">
        <v>3.7653439999999998</v>
      </c>
      <c r="BT22" s="351">
        <v>8.0176289999999995</v>
      </c>
      <c r="BU22" s="351">
        <v>16.345510000000001</v>
      </c>
      <c r="BV22" s="351">
        <v>24.114640000000001</v>
      </c>
    </row>
    <row r="23" spans="1:74" ht="11.1" customHeight="1" x14ac:dyDescent="0.2">
      <c r="A23" s="76" t="s">
        <v>553</v>
      </c>
      <c r="B23" s="185" t="s">
        <v>439</v>
      </c>
      <c r="C23" s="213">
        <v>16.228806452000001</v>
      </c>
      <c r="D23" s="213">
        <v>14.260241379</v>
      </c>
      <c r="E23" s="213">
        <v>9.6273225805999996</v>
      </c>
      <c r="F23" s="213">
        <v>7.7686333333000004</v>
      </c>
      <c r="G23" s="213">
        <v>5.5256774194</v>
      </c>
      <c r="H23" s="213">
        <v>4.6113333333000002</v>
      </c>
      <c r="I23" s="213">
        <v>4.3421935484</v>
      </c>
      <c r="J23" s="213">
        <v>4.5301935483999998</v>
      </c>
      <c r="K23" s="213">
        <v>4.7343333333000004</v>
      </c>
      <c r="L23" s="213">
        <v>6.1753870967999998</v>
      </c>
      <c r="M23" s="213">
        <v>9.3533333333000002</v>
      </c>
      <c r="N23" s="213">
        <v>14.925387097</v>
      </c>
      <c r="O23" s="213">
        <v>15.462999999999999</v>
      </c>
      <c r="P23" s="213">
        <v>12.836499999999999</v>
      </c>
      <c r="Q23" s="213">
        <v>11.988741935</v>
      </c>
      <c r="R23" s="213">
        <v>7.0653666667000001</v>
      </c>
      <c r="S23" s="213">
        <v>5.7578064515999996</v>
      </c>
      <c r="T23" s="213">
        <v>4.601</v>
      </c>
      <c r="U23" s="213">
        <v>4.3109999999999999</v>
      </c>
      <c r="V23" s="213">
        <v>4.4264193548000001</v>
      </c>
      <c r="W23" s="213">
        <v>4.8273000000000001</v>
      </c>
      <c r="X23" s="213">
        <v>6.4732580645000004</v>
      </c>
      <c r="Y23" s="213">
        <v>10.747166667</v>
      </c>
      <c r="Z23" s="213">
        <v>15.702741935000001</v>
      </c>
      <c r="AA23" s="213">
        <v>17.877290323</v>
      </c>
      <c r="AB23" s="213">
        <v>15.158214286</v>
      </c>
      <c r="AC23" s="213">
        <v>13.487451612999999</v>
      </c>
      <c r="AD23" s="213">
        <v>10.065966667</v>
      </c>
      <c r="AE23" s="213">
        <v>5.2835483870999997</v>
      </c>
      <c r="AF23" s="213">
        <v>4.7474333333000001</v>
      </c>
      <c r="AG23" s="213">
        <v>4.4385161289999999</v>
      </c>
      <c r="AH23" s="213">
        <v>4.6127419354999999</v>
      </c>
      <c r="AI23" s="213">
        <v>4.8875666666999997</v>
      </c>
      <c r="AJ23" s="213">
        <v>7.6563870967999996</v>
      </c>
      <c r="AK23" s="213">
        <v>12.8797</v>
      </c>
      <c r="AL23" s="213">
        <v>14.814612903</v>
      </c>
      <c r="AM23" s="213">
        <v>17.962709676999999</v>
      </c>
      <c r="AN23" s="213">
        <v>16.914464286000001</v>
      </c>
      <c r="AO23" s="213">
        <v>13.767548387</v>
      </c>
      <c r="AP23" s="213">
        <v>8.2837333333000007</v>
      </c>
      <c r="AQ23" s="213">
        <v>5.9918064515999996</v>
      </c>
      <c r="AR23" s="213">
        <v>4.8260666667000001</v>
      </c>
      <c r="AS23" s="213">
        <v>4.6447096773999998</v>
      </c>
      <c r="AT23" s="213">
        <v>4.5868064516000002</v>
      </c>
      <c r="AU23" s="213">
        <v>4.8236999999999997</v>
      </c>
      <c r="AV23" s="213">
        <v>7.0279999999999996</v>
      </c>
      <c r="AW23" s="213">
        <v>12.6563</v>
      </c>
      <c r="AX23" s="213">
        <v>14.716419354999999</v>
      </c>
      <c r="AY23" s="213">
        <v>15.884516129</v>
      </c>
      <c r="AZ23" s="213">
        <v>15.446931034</v>
      </c>
      <c r="BA23" s="213">
        <v>10.976322581</v>
      </c>
      <c r="BB23" s="213">
        <v>7.9996</v>
      </c>
      <c r="BC23" s="213">
        <v>5.3028387096999996</v>
      </c>
      <c r="BD23" s="213">
        <v>4.4302666666999997</v>
      </c>
      <c r="BE23" s="213">
        <v>4.4447979999999996</v>
      </c>
      <c r="BF23" s="213">
        <v>4.5365830000000003</v>
      </c>
      <c r="BG23" s="351">
        <v>4.8853439999999999</v>
      </c>
      <c r="BH23" s="351">
        <v>6.7307420000000002</v>
      </c>
      <c r="BI23" s="351">
        <v>10.733919999999999</v>
      </c>
      <c r="BJ23" s="351">
        <v>14.42079</v>
      </c>
      <c r="BK23" s="351">
        <v>16.627500000000001</v>
      </c>
      <c r="BL23" s="351">
        <v>15.2196</v>
      </c>
      <c r="BM23" s="351">
        <v>12.32124</v>
      </c>
      <c r="BN23" s="351">
        <v>8.560397</v>
      </c>
      <c r="BO23" s="351">
        <v>6.0900340000000002</v>
      </c>
      <c r="BP23" s="351">
        <v>4.8320150000000002</v>
      </c>
      <c r="BQ23" s="351">
        <v>4.4972019999999997</v>
      </c>
      <c r="BR23" s="351">
        <v>4.6642159999999997</v>
      </c>
      <c r="BS23" s="351">
        <v>5.0412210000000002</v>
      </c>
      <c r="BT23" s="351">
        <v>6.768872</v>
      </c>
      <c r="BU23" s="351">
        <v>10.34948</v>
      </c>
      <c r="BV23" s="351">
        <v>14.16384</v>
      </c>
    </row>
    <row r="24" spans="1:74" ht="11.1" customHeight="1" x14ac:dyDescent="0.2">
      <c r="A24" s="76" t="s">
        <v>555</v>
      </c>
      <c r="B24" s="185" t="s">
        <v>440</v>
      </c>
      <c r="C24" s="213">
        <v>23.263580645000001</v>
      </c>
      <c r="D24" s="213">
        <v>22.854793102999999</v>
      </c>
      <c r="E24" s="213">
        <v>21.377193548000001</v>
      </c>
      <c r="F24" s="213">
        <v>20.668166667000001</v>
      </c>
      <c r="G24" s="213">
        <v>19.763677419</v>
      </c>
      <c r="H24" s="213">
        <v>19.6797</v>
      </c>
      <c r="I24" s="213">
        <v>19.886419355000001</v>
      </c>
      <c r="J24" s="213">
        <v>20.243258064999999</v>
      </c>
      <c r="K24" s="213">
        <v>20.128900000000002</v>
      </c>
      <c r="L24" s="213">
        <v>20.087741935</v>
      </c>
      <c r="M24" s="213">
        <v>21.803966667000001</v>
      </c>
      <c r="N24" s="213">
        <v>23.683645161000001</v>
      </c>
      <c r="O24" s="213">
        <v>23.701967742000001</v>
      </c>
      <c r="P24" s="213">
        <v>23.225035714000001</v>
      </c>
      <c r="Q24" s="213">
        <v>22.478903226</v>
      </c>
      <c r="R24" s="213">
        <v>21.071066667</v>
      </c>
      <c r="S24" s="213">
        <v>20.287774194000001</v>
      </c>
      <c r="T24" s="213">
        <v>20.494</v>
      </c>
      <c r="U24" s="213">
        <v>20.130225805999999</v>
      </c>
      <c r="V24" s="213">
        <v>20.563741934999999</v>
      </c>
      <c r="W24" s="213">
        <v>20.521899999999999</v>
      </c>
      <c r="X24" s="213">
        <v>21.196741934999999</v>
      </c>
      <c r="Y24" s="213">
        <v>23.202633333000001</v>
      </c>
      <c r="Z24" s="213">
        <v>24.557290323</v>
      </c>
      <c r="AA24" s="213">
        <v>25.103580645000001</v>
      </c>
      <c r="AB24" s="213">
        <v>24.843892857</v>
      </c>
      <c r="AC24" s="213">
        <v>23.684870967999998</v>
      </c>
      <c r="AD24" s="213">
        <v>23.1312</v>
      </c>
      <c r="AE24" s="213">
        <v>21.534774194000001</v>
      </c>
      <c r="AF24" s="213">
        <v>21.537866666999999</v>
      </c>
      <c r="AG24" s="213">
        <v>21.444225805999999</v>
      </c>
      <c r="AH24" s="213">
        <v>21.450064516000001</v>
      </c>
      <c r="AI24" s="213">
        <v>21.803433333000001</v>
      </c>
      <c r="AJ24" s="213">
        <v>21.978161289999999</v>
      </c>
      <c r="AK24" s="213">
        <v>24.416499999999999</v>
      </c>
      <c r="AL24" s="213">
        <v>24.649000000000001</v>
      </c>
      <c r="AM24" s="213">
        <v>25.724967742</v>
      </c>
      <c r="AN24" s="213">
        <v>25.574714285999999</v>
      </c>
      <c r="AO24" s="213">
        <v>24.099161290000001</v>
      </c>
      <c r="AP24" s="213">
        <v>22.404399999999999</v>
      </c>
      <c r="AQ24" s="213">
        <v>21.715774194000002</v>
      </c>
      <c r="AR24" s="213">
        <v>21.089066667000001</v>
      </c>
      <c r="AS24" s="213">
        <v>20.882064516</v>
      </c>
      <c r="AT24" s="213">
        <v>21.641161289999999</v>
      </c>
      <c r="AU24" s="213">
        <v>21.411000000000001</v>
      </c>
      <c r="AV24" s="213">
        <v>21.988290323000001</v>
      </c>
      <c r="AW24" s="213">
        <v>24.357066667000002</v>
      </c>
      <c r="AX24" s="213">
        <v>25.035741935000001</v>
      </c>
      <c r="AY24" s="213">
        <v>25.377935484000002</v>
      </c>
      <c r="AZ24" s="213">
        <v>25.129241379</v>
      </c>
      <c r="BA24" s="213">
        <v>23.183903226000002</v>
      </c>
      <c r="BB24" s="213">
        <v>21.441233333</v>
      </c>
      <c r="BC24" s="213">
        <v>20.038903225999999</v>
      </c>
      <c r="BD24" s="213">
        <v>20.141933333000001</v>
      </c>
      <c r="BE24" s="213">
        <v>20.315950000000001</v>
      </c>
      <c r="BF24" s="213">
        <v>19.490739999999999</v>
      </c>
      <c r="BG24" s="351">
        <v>20.189060000000001</v>
      </c>
      <c r="BH24" s="351">
        <v>20.956119999999999</v>
      </c>
      <c r="BI24" s="351">
        <v>22.93159</v>
      </c>
      <c r="BJ24" s="351">
        <v>24.266629999999999</v>
      </c>
      <c r="BK24" s="351">
        <v>24.15136</v>
      </c>
      <c r="BL24" s="351">
        <v>23.47795</v>
      </c>
      <c r="BM24" s="351">
        <v>22.561800000000002</v>
      </c>
      <c r="BN24" s="351">
        <v>21.919809999999998</v>
      </c>
      <c r="BO24" s="351">
        <v>20.849779999999999</v>
      </c>
      <c r="BP24" s="351">
        <v>20.841909999999999</v>
      </c>
      <c r="BQ24" s="351">
        <v>20.342359999999999</v>
      </c>
      <c r="BR24" s="351">
        <v>20.488379999999999</v>
      </c>
      <c r="BS24" s="351">
        <v>21.19886</v>
      </c>
      <c r="BT24" s="351">
        <v>22.02094</v>
      </c>
      <c r="BU24" s="351">
        <v>23.652139999999999</v>
      </c>
      <c r="BV24" s="351">
        <v>24.729669999999999</v>
      </c>
    </row>
    <row r="25" spans="1:74" ht="11.1" customHeight="1" x14ac:dyDescent="0.2">
      <c r="A25" s="76" t="s">
        <v>556</v>
      </c>
      <c r="B25" s="185" t="s">
        <v>137</v>
      </c>
      <c r="C25" s="213">
        <v>24.966245579999999</v>
      </c>
      <c r="D25" s="213">
        <v>23.786204210000001</v>
      </c>
      <c r="E25" s="213">
        <v>24.02469116</v>
      </c>
      <c r="F25" s="213">
        <v>23.9630881</v>
      </c>
      <c r="G25" s="213">
        <v>25.949397000000001</v>
      </c>
      <c r="H25" s="213">
        <v>32.343597199999998</v>
      </c>
      <c r="I25" s="213">
        <v>36.773167450000003</v>
      </c>
      <c r="J25" s="213">
        <v>37.136650289999999</v>
      </c>
      <c r="K25" s="213">
        <v>30.509548729999999</v>
      </c>
      <c r="L25" s="213">
        <v>23.99341652</v>
      </c>
      <c r="M25" s="213">
        <v>22.068195200000002</v>
      </c>
      <c r="N25" s="213">
        <v>21.63827826</v>
      </c>
      <c r="O25" s="213">
        <v>21.299815290000002</v>
      </c>
      <c r="P25" s="213">
        <v>20.331503999999999</v>
      </c>
      <c r="Q25" s="213">
        <v>21.700907870000002</v>
      </c>
      <c r="R25" s="213">
        <v>20.909992200000001</v>
      </c>
      <c r="S25" s="213">
        <v>22.57605032</v>
      </c>
      <c r="T25" s="213">
        <v>28.350165430000001</v>
      </c>
      <c r="U25" s="213">
        <v>34.890361390000002</v>
      </c>
      <c r="V25" s="213">
        <v>32.966670389999997</v>
      </c>
      <c r="W25" s="213">
        <v>28.618124030000001</v>
      </c>
      <c r="X25" s="213">
        <v>24.910651680000001</v>
      </c>
      <c r="Y25" s="213">
        <v>22.21006173</v>
      </c>
      <c r="Z25" s="213">
        <v>25.321117059999999</v>
      </c>
      <c r="AA25" s="213">
        <v>25.358223129999999</v>
      </c>
      <c r="AB25" s="213">
        <v>24.646943570000001</v>
      </c>
      <c r="AC25" s="213">
        <v>24.407165899999999</v>
      </c>
      <c r="AD25" s="213">
        <v>23.466336600000002</v>
      </c>
      <c r="AE25" s="213">
        <v>27.359657349999999</v>
      </c>
      <c r="AF25" s="213">
        <v>31.75476553</v>
      </c>
      <c r="AG25" s="213">
        <v>39.473176940000002</v>
      </c>
      <c r="AH25" s="213">
        <v>38.247505320000002</v>
      </c>
      <c r="AI25" s="213">
        <v>34.330478200000002</v>
      </c>
      <c r="AJ25" s="213">
        <v>28.643328350000001</v>
      </c>
      <c r="AK25" s="213">
        <v>25.435547700000001</v>
      </c>
      <c r="AL25" s="213">
        <v>24.591489289999998</v>
      </c>
      <c r="AM25" s="213">
        <v>27.11411142</v>
      </c>
      <c r="AN25" s="213">
        <v>27.726389609999998</v>
      </c>
      <c r="AO25" s="213">
        <v>25.746306650000001</v>
      </c>
      <c r="AP25" s="213">
        <v>24.52325433</v>
      </c>
      <c r="AQ25" s="213">
        <v>26.814003100000001</v>
      </c>
      <c r="AR25" s="213">
        <v>33.108420430000002</v>
      </c>
      <c r="AS25" s="213">
        <v>41.071761969999997</v>
      </c>
      <c r="AT25" s="213">
        <v>41.558077060000002</v>
      </c>
      <c r="AU25" s="213">
        <v>36.4929001</v>
      </c>
      <c r="AV25" s="213">
        <v>30.963653059999999</v>
      </c>
      <c r="AW25" s="213">
        <v>27.31559317</v>
      </c>
      <c r="AX25" s="213">
        <v>28.921840190000001</v>
      </c>
      <c r="AY25" s="213">
        <v>29.990659770000001</v>
      </c>
      <c r="AZ25" s="213">
        <v>30.44304283</v>
      </c>
      <c r="BA25" s="213">
        <v>28.412231770000002</v>
      </c>
      <c r="BB25" s="213">
        <v>25.463905</v>
      </c>
      <c r="BC25" s="213">
        <v>26.852466645</v>
      </c>
      <c r="BD25" s="213">
        <v>34.891243232999997</v>
      </c>
      <c r="BE25" s="213">
        <v>44.543759999999999</v>
      </c>
      <c r="BF25" s="213">
        <v>41.015599999999999</v>
      </c>
      <c r="BG25" s="351">
        <v>35.612769999999998</v>
      </c>
      <c r="BH25" s="351">
        <v>28.362770000000001</v>
      </c>
      <c r="BI25" s="351">
        <v>25.316600000000001</v>
      </c>
      <c r="BJ25" s="351">
        <v>25.062080000000002</v>
      </c>
      <c r="BK25" s="351">
        <v>23.5547</v>
      </c>
      <c r="BL25" s="351">
        <v>23.09376</v>
      </c>
      <c r="BM25" s="351">
        <v>21.860389999999999</v>
      </c>
      <c r="BN25" s="351">
        <v>21.66629</v>
      </c>
      <c r="BO25" s="351">
        <v>22.364470000000001</v>
      </c>
      <c r="BP25" s="351">
        <v>29.88308</v>
      </c>
      <c r="BQ25" s="351">
        <v>37.365609999999997</v>
      </c>
      <c r="BR25" s="351">
        <v>36.902239999999999</v>
      </c>
      <c r="BS25" s="351">
        <v>30.999400000000001</v>
      </c>
      <c r="BT25" s="351">
        <v>26.258669999999999</v>
      </c>
      <c r="BU25" s="351">
        <v>26.31587</v>
      </c>
      <c r="BV25" s="351">
        <v>24.718409999999999</v>
      </c>
    </row>
    <row r="26" spans="1:74" ht="11.1" customHeight="1" x14ac:dyDescent="0.2">
      <c r="A26" s="76" t="s">
        <v>554</v>
      </c>
      <c r="B26" s="185" t="s">
        <v>441</v>
      </c>
      <c r="C26" s="213">
        <v>4.2746774193999997</v>
      </c>
      <c r="D26" s="213">
        <v>4.3352413793000002</v>
      </c>
      <c r="E26" s="213">
        <v>4.2862903226000002</v>
      </c>
      <c r="F26" s="213">
        <v>4.2832999999999997</v>
      </c>
      <c r="G26" s="213">
        <v>4.2344838710000001</v>
      </c>
      <c r="H26" s="213">
        <v>4.1939333333000004</v>
      </c>
      <c r="I26" s="213">
        <v>4.2282580645000003</v>
      </c>
      <c r="J26" s="213">
        <v>4.1947096773999997</v>
      </c>
      <c r="K26" s="213">
        <v>4.1669333333000003</v>
      </c>
      <c r="L26" s="213">
        <v>4.1506129031999999</v>
      </c>
      <c r="M26" s="213">
        <v>4.1852333333000002</v>
      </c>
      <c r="N26" s="213">
        <v>4.1380967742000001</v>
      </c>
      <c r="O26" s="213">
        <v>4.0933548386999998</v>
      </c>
      <c r="P26" s="213">
        <v>4.1506071429000002</v>
      </c>
      <c r="Q26" s="213">
        <v>4.2444516128999998</v>
      </c>
      <c r="R26" s="213">
        <v>4.2496666666999996</v>
      </c>
      <c r="S26" s="213">
        <v>4.2496129032000001</v>
      </c>
      <c r="T26" s="213">
        <v>4.2907999999999999</v>
      </c>
      <c r="U26" s="213">
        <v>4.3350645161000001</v>
      </c>
      <c r="V26" s="213">
        <v>4.3326129032000003</v>
      </c>
      <c r="W26" s="213">
        <v>4.4084000000000003</v>
      </c>
      <c r="X26" s="213">
        <v>4.4867419354999996</v>
      </c>
      <c r="Y26" s="213">
        <v>4.6263666667000001</v>
      </c>
      <c r="Z26" s="213">
        <v>4.5989677419000001</v>
      </c>
      <c r="AA26" s="213">
        <v>4.3242258065000003</v>
      </c>
      <c r="AB26" s="213">
        <v>4.4171785714</v>
      </c>
      <c r="AC26" s="213">
        <v>4.5033225805999999</v>
      </c>
      <c r="AD26" s="213">
        <v>4.4761666667000002</v>
      </c>
      <c r="AE26" s="213">
        <v>4.5179999999999998</v>
      </c>
      <c r="AF26" s="213">
        <v>4.5244999999999997</v>
      </c>
      <c r="AG26" s="213">
        <v>4.566483871</v>
      </c>
      <c r="AH26" s="213">
        <v>4.6589999999999998</v>
      </c>
      <c r="AI26" s="213">
        <v>4.7838000000000003</v>
      </c>
      <c r="AJ26" s="213">
        <v>4.7920645160999999</v>
      </c>
      <c r="AK26" s="213">
        <v>4.9092000000000002</v>
      </c>
      <c r="AL26" s="213">
        <v>4.8860967742000003</v>
      </c>
      <c r="AM26" s="213">
        <v>4.8858387096999998</v>
      </c>
      <c r="AN26" s="213">
        <v>4.9375357143</v>
      </c>
      <c r="AO26" s="213">
        <v>4.9670322580999997</v>
      </c>
      <c r="AP26" s="213">
        <v>4.9940666667000002</v>
      </c>
      <c r="AQ26" s="213">
        <v>4.9721290322999998</v>
      </c>
      <c r="AR26" s="213">
        <v>5.0344666667000002</v>
      </c>
      <c r="AS26" s="213">
        <v>5.0314838709999998</v>
      </c>
      <c r="AT26" s="213">
        <v>5.14</v>
      </c>
      <c r="AU26" s="213">
        <v>5.2111333333000003</v>
      </c>
      <c r="AV26" s="213">
        <v>5.2853548387</v>
      </c>
      <c r="AW26" s="213">
        <v>5.3071999999999999</v>
      </c>
      <c r="AX26" s="213">
        <v>5.2882258064999998</v>
      </c>
      <c r="AY26" s="213">
        <v>5.2503548386999999</v>
      </c>
      <c r="AZ26" s="213">
        <v>5.2194137931000002</v>
      </c>
      <c r="BA26" s="213">
        <v>5.2248064516000001</v>
      </c>
      <c r="BB26" s="213">
        <v>5.1189</v>
      </c>
      <c r="BC26" s="213">
        <v>4.8443225806000001</v>
      </c>
      <c r="BD26" s="213">
        <v>4.9195000000000002</v>
      </c>
      <c r="BE26" s="213">
        <v>4.9263339999999998</v>
      </c>
      <c r="BF26" s="213">
        <v>4.9057009999999996</v>
      </c>
      <c r="BG26" s="351">
        <v>4.8927870000000002</v>
      </c>
      <c r="BH26" s="351">
        <v>4.8616390000000003</v>
      </c>
      <c r="BI26" s="351">
        <v>4.8498780000000004</v>
      </c>
      <c r="BJ26" s="351">
        <v>4.8098859999999997</v>
      </c>
      <c r="BK26" s="351">
        <v>4.7708560000000002</v>
      </c>
      <c r="BL26" s="351">
        <v>4.7520980000000002</v>
      </c>
      <c r="BM26" s="351">
        <v>4.7606989999999998</v>
      </c>
      <c r="BN26" s="351">
        <v>4.7597670000000001</v>
      </c>
      <c r="BO26" s="351">
        <v>4.7706299999999997</v>
      </c>
      <c r="BP26" s="351">
        <v>4.7953970000000004</v>
      </c>
      <c r="BQ26" s="351">
        <v>4.8153430000000004</v>
      </c>
      <c r="BR26" s="351">
        <v>4.8460260000000002</v>
      </c>
      <c r="BS26" s="351">
        <v>4.8735869999999997</v>
      </c>
      <c r="BT26" s="351">
        <v>4.8794370000000002</v>
      </c>
      <c r="BU26" s="351">
        <v>4.893205</v>
      </c>
      <c r="BV26" s="351">
        <v>4.880935</v>
      </c>
    </row>
    <row r="27" spans="1:74" ht="11.1" customHeight="1" x14ac:dyDescent="0.2">
      <c r="A27" s="76" t="s">
        <v>558</v>
      </c>
      <c r="B27" s="185" t="s">
        <v>825</v>
      </c>
      <c r="C27" s="213">
        <v>2.5311290323</v>
      </c>
      <c r="D27" s="213">
        <v>2.3101034483</v>
      </c>
      <c r="E27" s="213">
        <v>1.9018064515999999</v>
      </c>
      <c r="F27" s="213">
        <v>1.7282333333</v>
      </c>
      <c r="G27" s="213">
        <v>1.5691612903000001</v>
      </c>
      <c r="H27" s="213">
        <v>1.6571</v>
      </c>
      <c r="I27" s="213">
        <v>1.7581935484</v>
      </c>
      <c r="J27" s="213">
        <v>1.7777096774000001</v>
      </c>
      <c r="K27" s="213">
        <v>1.6110333333</v>
      </c>
      <c r="L27" s="213">
        <v>1.5366451613000001</v>
      </c>
      <c r="M27" s="213">
        <v>1.7976666667000001</v>
      </c>
      <c r="N27" s="213">
        <v>2.3419354838999999</v>
      </c>
      <c r="O27" s="213">
        <v>2.5390967741999999</v>
      </c>
      <c r="P27" s="213">
        <v>2.2433928570999999</v>
      </c>
      <c r="Q27" s="213">
        <v>2.1791290323000001</v>
      </c>
      <c r="R27" s="213">
        <v>1.6991000000000001</v>
      </c>
      <c r="S27" s="213">
        <v>1.6039677419</v>
      </c>
      <c r="T27" s="213">
        <v>1.6776333333</v>
      </c>
      <c r="U27" s="213">
        <v>1.8289354839</v>
      </c>
      <c r="V27" s="213">
        <v>1.7854516129</v>
      </c>
      <c r="W27" s="213">
        <v>1.6837333333</v>
      </c>
      <c r="X27" s="213">
        <v>1.7243548387000001</v>
      </c>
      <c r="Y27" s="213">
        <v>2.0886999999999998</v>
      </c>
      <c r="Z27" s="213">
        <v>2.6799677419000001</v>
      </c>
      <c r="AA27" s="213">
        <v>3.1382258064999999</v>
      </c>
      <c r="AB27" s="213">
        <v>2.8029285713999998</v>
      </c>
      <c r="AC27" s="213">
        <v>2.6010645161000001</v>
      </c>
      <c r="AD27" s="213">
        <v>2.2410000000000001</v>
      </c>
      <c r="AE27" s="213">
        <v>1.8734193548</v>
      </c>
      <c r="AF27" s="213">
        <v>1.9480999999999999</v>
      </c>
      <c r="AG27" s="213">
        <v>2.1598709676999999</v>
      </c>
      <c r="AH27" s="213">
        <v>2.1209032257999998</v>
      </c>
      <c r="AI27" s="213">
        <v>2.0343</v>
      </c>
      <c r="AJ27" s="213">
        <v>2.0888064516</v>
      </c>
      <c r="AK27" s="213">
        <v>2.5962000000000001</v>
      </c>
      <c r="AL27" s="213">
        <v>2.7859677419</v>
      </c>
      <c r="AM27" s="213">
        <v>3.1465483871000002</v>
      </c>
      <c r="AN27" s="213">
        <v>3.0729642856999999</v>
      </c>
      <c r="AO27" s="213">
        <v>2.6837741935000001</v>
      </c>
      <c r="AP27" s="213">
        <v>2.1049000000000002</v>
      </c>
      <c r="AQ27" s="213">
        <v>1.9629032258000001</v>
      </c>
      <c r="AR27" s="213">
        <v>2.0228666667000001</v>
      </c>
      <c r="AS27" s="213">
        <v>2.2279032258</v>
      </c>
      <c r="AT27" s="213">
        <v>2.2553870967999998</v>
      </c>
      <c r="AU27" s="213">
        <v>2.1194333332999999</v>
      </c>
      <c r="AV27" s="213">
        <v>2.1539354838999998</v>
      </c>
      <c r="AW27" s="213">
        <v>2.6326999999999998</v>
      </c>
      <c r="AX27" s="213">
        <v>2.9045806451999998</v>
      </c>
      <c r="AY27" s="213">
        <v>3.0436451613000002</v>
      </c>
      <c r="AZ27" s="213">
        <v>3.0026896552000002</v>
      </c>
      <c r="BA27" s="213">
        <v>2.5067096773999999</v>
      </c>
      <c r="BB27" s="213">
        <v>2.1495333333</v>
      </c>
      <c r="BC27" s="213">
        <v>1.9162258065</v>
      </c>
      <c r="BD27" s="213">
        <v>2.0405333333</v>
      </c>
      <c r="BE27" s="213">
        <v>2.1740970000000002</v>
      </c>
      <c r="BF27" s="213">
        <v>2.1577809999999999</v>
      </c>
      <c r="BG27" s="351">
        <v>2.0808300000000002</v>
      </c>
      <c r="BH27" s="351">
        <v>2.505423</v>
      </c>
      <c r="BI27" s="351">
        <v>3.0442670000000001</v>
      </c>
      <c r="BJ27" s="351">
        <v>3.4726059999999999</v>
      </c>
      <c r="BK27" s="351">
        <v>3.618188</v>
      </c>
      <c r="BL27" s="351">
        <v>3.441818</v>
      </c>
      <c r="BM27" s="351">
        <v>3.0816680000000001</v>
      </c>
      <c r="BN27" s="351">
        <v>2.524648</v>
      </c>
      <c r="BO27" s="351">
        <v>2.4397679999999999</v>
      </c>
      <c r="BP27" s="351">
        <v>2.7698849999999999</v>
      </c>
      <c r="BQ27" s="351">
        <v>2.9898950000000002</v>
      </c>
      <c r="BR27" s="351">
        <v>2.8950450000000001</v>
      </c>
      <c r="BS27" s="351">
        <v>2.4786069999999998</v>
      </c>
      <c r="BT27" s="351">
        <v>2.60778</v>
      </c>
      <c r="BU27" s="351">
        <v>3.2495289999999999</v>
      </c>
      <c r="BV27" s="351">
        <v>3.5890620000000002</v>
      </c>
    </row>
    <row r="28" spans="1:74" ht="11.1" customHeight="1" x14ac:dyDescent="0.2">
      <c r="A28" s="76" t="s">
        <v>566</v>
      </c>
      <c r="B28" s="185" t="s">
        <v>442</v>
      </c>
      <c r="C28" s="213">
        <v>0.11480645161</v>
      </c>
      <c r="D28" s="213">
        <v>0.11482758621</v>
      </c>
      <c r="E28" s="213">
        <v>0.11480645161</v>
      </c>
      <c r="F28" s="213">
        <v>0.11483333333</v>
      </c>
      <c r="G28" s="213">
        <v>0.11480645161</v>
      </c>
      <c r="H28" s="213">
        <v>0.11483333333</v>
      </c>
      <c r="I28" s="213">
        <v>0.11480645161</v>
      </c>
      <c r="J28" s="213">
        <v>0.11480645161</v>
      </c>
      <c r="K28" s="213">
        <v>0.11483333333</v>
      </c>
      <c r="L28" s="213">
        <v>0.11480645161</v>
      </c>
      <c r="M28" s="213">
        <v>0.11483333333</v>
      </c>
      <c r="N28" s="213">
        <v>0.11480645161</v>
      </c>
      <c r="O28" s="213">
        <v>0.13206451613</v>
      </c>
      <c r="P28" s="213">
        <v>0.13207142857000001</v>
      </c>
      <c r="Q28" s="213">
        <v>0.13206451613</v>
      </c>
      <c r="R28" s="213">
        <v>0.13206666667</v>
      </c>
      <c r="S28" s="213">
        <v>0.13206451613</v>
      </c>
      <c r="T28" s="213">
        <v>0.13206666667</v>
      </c>
      <c r="U28" s="213">
        <v>0.13206451613</v>
      </c>
      <c r="V28" s="213">
        <v>0.13206451613</v>
      </c>
      <c r="W28" s="213">
        <v>0.13206666667</v>
      </c>
      <c r="X28" s="213">
        <v>0.13206451613</v>
      </c>
      <c r="Y28" s="213">
        <v>0.13206666667</v>
      </c>
      <c r="Z28" s="213">
        <v>0.13206451613</v>
      </c>
      <c r="AA28" s="213">
        <v>0.13812903226000001</v>
      </c>
      <c r="AB28" s="213">
        <v>0.13810714286</v>
      </c>
      <c r="AC28" s="213">
        <v>0.13812903226000001</v>
      </c>
      <c r="AD28" s="213">
        <v>0.1381</v>
      </c>
      <c r="AE28" s="213">
        <v>0.13812903226000001</v>
      </c>
      <c r="AF28" s="213">
        <v>0.1381</v>
      </c>
      <c r="AG28" s="213">
        <v>0.13812903226000001</v>
      </c>
      <c r="AH28" s="213">
        <v>0.13812903226000001</v>
      </c>
      <c r="AI28" s="213">
        <v>0.1381</v>
      </c>
      <c r="AJ28" s="213">
        <v>0.13812903226000001</v>
      </c>
      <c r="AK28" s="213">
        <v>0.1381</v>
      </c>
      <c r="AL28" s="213">
        <v>0.13812903226000001</v>
      </c>
      <c r="AM28" s="213">
        <v>0.13329032258000001</v>
      </c>
      <c r="AN28" s="213">
        <v>0.13328571429</v>
      </c>
      <c r="AO28" s="213">
        <v>0.13329032258000001</v>
      </c>
      <c r="AP28" s="213">
        <v>0.1333</v>
      </c>
      <c r="AQ28" s="213">
        <v>0.13329032258000001</v>
      </c>
      <c r="AR28" s="213">
        <v>0.1333</v>
      </c>
      <c r="AS28" s="213">
        <v>0.13329032258000001</v>
      </c>
      <c r="AT28" s="213">
        <v>0.14961290323000001</v>
      </c>
      <c r="AU28" s="213">
        <v>0.14963333333000001</v>
      </c>
      <c r="AV28" s="213">
        <v>0.14961290323000001</v>
      </c>
      <c r="AW28" s="213">
        <v>0.14963333333000001</v>
      </c>
      <c r="AX28" s="213">
        <v>0.14961290323000001</v>
      </c>
      <c r="AY28" s="213">
        <v>0.16112903226</v>
      </c>
      <c r="AZ28" s="213">
        <v>0.16113793102999999</v>
      </c>
      <c r="BA28" s="213">
        <v>0.16112903226</v>
      </c>
      <c r="BB28" s="213">
        <v>0.16113333332999999</v>
      </c>
      <c r="BC28" s="213">
        <v>0.16112903226</v>
      </c>
      <c r="BD28" s="213">
        <v>0.16113333332999999</v>
      </c>
      <c r="BE28" s="213">
        <v>0.17113329999999999</v>
      </c>
      <c r="BF28" s="213">
        <v>0.1811333</v>
      </c>
      <c r="BG28" s="351">
        <v>0.19113330000000001</v>
      </c>
      <c r="BH28" s="351">
        <v>0.20113329999999999</v>
      </c>
      <c r="BI28" s="351">
        <v>0.19113330000000001</v>
      </c>
      <c r="BJ28" s="351">
        <v>0.19613330000000001</v>
      </c>
      <c r="BK28" s="351">
        <v>0.19613330000000001</v>
      </c>
      <c r="BL28" s="351">
        <v>0.20413329999999999</v>
      </c>
      <c r="BM28" s="351">
        <v>0.20413329999999999</v>
      </c>
      <c r="BN28" s="351">
        <v>0.20413329999999999</v>
      </c>
      <c r="BO28" s="351">
        <v>0.20613329999999999</v>
      </c>
      <c r="BP28" s="351">
        <v>0.20613329999999999</v>
      </c>
      <c r="BQ28" s="351">
        <v>0.20613329999999999</v>
      </c>
      <c r="BR28" s="351">
        <v>0.20613329999999999</v>
      </c>
      <c r="BS28" s="351">
        <v>0.20613329999999999</v>
      </c>
      <c r="BT28" s="351">
        <v>0.20613329999999999</v>
      </c>
      <c r="BU28" s="351">
        <v>0.20613329999999999</v>
      </c>
      <c r="BV28" s="351">
        <v>0.20613329999999999</v>
      </c>
    </row>
    <row r="29" spans="1:74" ht="11.1" customHeight="1" x14ac:dyDescent="0.2">
      <c r="A29" s="77" t="s">
        <v>557</v>
      </c>
      <c r="B29" s="186" t="s">
        <v>795</v>
      </c>
      <c r="C29" s="213">
        <v>99.732096773999999</v>
      </c>
      <c r="D29" s="213">
        <v>91.457241378999996</v>
      </c>
      <c r="E29" s="213">
        <v>76.009612903000004</v>
      </c>
      <c r="F29" s="213">
        <v>69.461600000000004</v>
      </c>
      <c r="G29" s="213">
        <v>63.412838710000003</v>
      </c>
      <c r="H29" s="213">
        <v>66.688500000000005</v>
      </c>
      <c r="I29" s="213">
        <v>70.536000000000001</v>
      </c>
      <c r="J29" s="213">
        <v>71.237870967999996</v>
      </c>
      <c r="K29" s="213">
        <v>64.925066666999996</v>
      </c>
      <c r="L29" s="213">
        <v>62.103322581</v>
      </c>
      <c r="M29" s="213">
        <v>71.981466667000007</v>
      </c>
      <c r="N29" s="213">
        <v>92.460419354999999</v>
      </c>
      <c r="O29" s="213">
        <v>94.005322581000001</v>
      </c>
      <c r="P29" s="213">
        <v>83.592035714000005</v>
      </c>
      <c r="Q29" s="213">
        <v>81.41</v>
      </c>
      <c r="R29" s="213">
        <v>64.416433333000001</v>
      </c>
      <c r="S29" s="213">
        <v>61.047967741999997</v>
      </c>
      <c r="T29" s="213">
        <v>63.697899999999997</v>
      </c>
      <c r="U29" s="213">
        <v>69.100096773999994</v>
      </c>
      <c r="V29" s="213">
        <v>67.557612903000006</v>
      </c>
      <c r="W29" s="213">
        <v>64.031633333000002</v>
      </c>
      <c r="X29" s="213">
        <v>65.548580645000001</v>
      </c>
      <c r="Y29" s="213">
        <v>78.589200000000005</v>
      </c>
      <c r="Z29" s="213">
        <v>99.499645161000004</v>
      </c>
      <c r="AA29" s="213">
        <v>107.58</v>
      </c>
      <c r="AB29" s="213">
        <v>96.640249999999995</v>
      </c>
      <c r="AC29" s="213">
        <v>90.084516128999994</v>
      </c>
      <c r="AD29" s="213">
        <v>78.210533333000001</v>
      </c>
      <c r="AE29" s="213">
        <v>66.157774193999998</v>
      </c>
      <c r="AF29" s="213">
        <v>68.622233332999997</v>
      </c>
      <c r="AG29" s="213">
        <v>75.631612903000004</v>
      </c>
      <c r="AH29" s="213">
        <v>74.442096774000007</v>
      </c>
      <c r="AI29" s="213">
        <v>71.717399999999998</v>
      </c>
      <c r="AJ29" s="213">
        <v>73.519451613000001</v>
      </c>
      <c r="AK29" s="213">
        <v>90.330733332999998</v>
      </c>
      <c r="AL29" s="213">
        <v>96.551451612999998</v>
      </c>
      <c r="AM29" s="213">
        <v>109.67033723</v>
      </c>
      <c r="AN29" s="213">
        <v>107.10649675000001</v>
      </c>
      <c r="AO29" s="213">
        <v>93.540726004999996</v>
      </c>
      <c r="AP29" s="213">
        <v>73.365020997000002</v>
      </c>
      <c r="AQ29" s="213">
        <v>68.416228906000001</v>
      </c>
      <c r="AR29" s="213">
        <v>70.506187096999994</v>
      </c>
      <c r="AS29" s="213">
        <v>77.651923260000004</v>
      </c>
      <c r="AT29" s="213">
        <v>78.610012544</v>
      </c>
      <c r="AU29" s="213">
        <v>73.871766766999997</v>
      </c>
      <c r="AV29" s="213">
        <v>75.073749833999997</v>
      </c>
      <c r="AW29" s="213">
        <v>91.760826503000004</v>
      </c>
      <c r="AX29" s="213">
        <v>101.23745309</v>
      </c>
      <c r="AY29" s="213">
        <v>106.08391783</v>
      </c>
      <c r="AZ29" s="213">
        <v>104.65638765999999</v>
      </c>
      <c r="BA29" s="213">
        <v>87.369844673000003</v>
      </c>
      <c r="BB29" s="213">
        <v>74.920105000000007</v>
      </c>
      <c r="BC29" s="213">
        <v>66.789305354999996</v>
      </c>
      <c r="BD29" s="213">
        <v>71.1213099</v>
      </c>
      <c r="BE29" s="213">
        <v>80.411412299999995</v>
      </c>
      <c r="BF29" s="213">
        <v>75.834749299999999</v>
      </c>
      <c r="BG29" s="351">
        <v>71.819879999999998</v>
      </c>
      <c r="BH29" s="351">
        <v>71.777950000000004</v>
      </c>
      <c r="BI29" s="351">
        <v>83.800079999999994</v>
      </c>
      <c r="BJ29" s="351">
        <v>98.030569999999997</v>
      </c>
      <c r="BK29" s="351">
        <v>102.4414</v>
      </c>
      <c r="BL29" s="351">
        <v>95.639750000000006</v>
      </c>
      <c r="BM29" s="351">
        <v>84.586190000000002</v>
      </c>
      <c r="BN29" s="351">
        <v>69.956500000000005</v>
      </c>
      <c r="BO29" s="351">
        <v>63.292650000000002</v>
      </c>
      <c r="BP29" s="351">
        <v>67.374920000000003</v>
      </c>
      <c r="BQ29" s="351">
        <v>73.563469999999995</v>
      </c>
      <c r="BR29" s="351">
        <v>72.906850000000006</v>
      </c>
      <c r="BS29" s="351">
        <v>68.563149999999993</v>
      </c>
      <c r="BT29" s="351">
        <v>70.759460000000004</v>
      </c>
      <c r="BU29" s="351">
        <v>85.011880000000005</v>
      </c>
      <c r="BV29" s="351">
        <v>96.402690000000007</v>
      </c>
    </row>
    <row r="30" spans="1:74" ht="11.1" customHeight="1" x14ac:dyDescent="0.2">
      <c r="A30" s="77"/>
      <c r="B30" s="186"/>
      <c r="C30" s="213"/>
      <c r="D30" s="213"/>
      <c r="E30" s="213"/>
      <c r="F30" s="213"/>
      <c r="G30" s="213"/>
      <c r="H30" s="213"/>
      <c r="I30" s="213"/>
      <c r="J30" s="213"/>
      <c r="K30" s="213"/>
      <c r="L30" s="213"/>
      <c r="M30" s="213"/>
      <c r="N30" s="213"/>
      <c r="O30" s="213"/>
      <c r="P30" s="213"/>
      <c r="Q30" s="213"/>
      <c r="R30" s="213"/>
      <c r="S30" s="213"/>
      <c r="T30" s="213"/>
      <c r="U30" s="213"/>
      <c r="V30" s="213"/>
      <c r="W30" s="213"/>
      <c r="X30" s="213"/>
      <c r="Y30" s="213"/>
      <c r="Z30" s="213"/>
      <c r="AA30" s="213"/>
      <c r="AB30" s="213"/>
      <c r="AC30" s="213"/>
      <c r="AD30" s="213"/>
      <c r="AE30" s="213"/>
      <c r="AF30" s="213"/>
      <c r="AG30" s="213"/>
      <c r="AH30" s="213"/>
      <c r="AI30" s="213"/>
      <c r="AJ30" s="213"/>
      <c r="AK30" s="213"/>
      <c r="AL30" s="213"/>
      <c r="AM30" s="213"/>
      <c r="AN30" s="213"/>
      <c r="AO30" s="213"/>
      <c r="AP30" s="213"/>
      <c r="AQ30" s="213"/>
      <c r="AR30" s="213"/>
      <c r="AS30" s="213"/>
      <c r="AT30" s="213"/>
      <c r="AU30" s="213"/>
      <c r="AV30" s="213"/>
      <c r="AW30" s="213"/>
      <c r="AX30" s="213"/>
      <c r="AY30" s="213"/>
      <c r="AZ30" s="213"/>
      <c r="BA30" s="213"/>
      <c r="BB30" s="213"/>
      <c r="BC30" s="213"/>
      <c r="BD30" s="213"/>
      <c r="BE30" s="213"/>
      <c r="BF30" s="213"/>
      <c r="BG30" s="213"/>
      <c r="BH30" s="213"/>
      <c r="BI30" s="213"/>
      <c r="BJ30" s="213"/>
      <c r="BK30" s="351"/>
      <c r="BL30" s="351"/>
      <c r="BM30" s="351"/>
      <c r="BN30" s="351"/>
      <c r="BO30" s="351"/>
      <c r="BP30" s="351"/>
      <c r="BQ30" s="351"/>
      <c r="BR30" s="351"/>
      <c r="BS30" s="351"/>
      <c r="BT30" s="351"/>
      <c r="BU30" s="351"/>
      <c r="BV30" s="351"/>
    </row>
    <row r="31" spans="1:74" ht="11.1" customHeight="1" x14ac:dyDescent="0.2">
      <c r="A31" s="71"/>
      <c r="B31" s="79" t="s">
        <v>794</v>
      </c>
      <c r="C31" s="82"/>
      <c r="D31" s="82"/>
      <c r="E31" s="82"/>
      <c r="F31" s="82"/>
      <c r="G31" s="82"/>
      <c r="H31" s="82"/>
      <c r="I31" s="82"/>
      <c r="J31" s="82"/>
      <c r="K31" s="82"/>
      <c r="L31" s="82"/>
      <c r="M31" s="82"/>
      <c r="N31" s="82"/>
      <c r="O31" s="82"/>
      <c r="P31" s="82"/>
      <c r="Q31" s="82"/>
      <c r="R31" s="82"/>
      <c r="S31" s="82"/>
      <c r="T31" s="82"/>
      <c r="U31" s="82"/>
      <c r="V31" s="82"/>
      <c r="W31" s="82"/>
      <c r="X31" s="82"/>
      <c r="Y31" s="82"/>
      <c r="Z31" s="82"/>
      <c r="AA31" s="82"/>
      <c r="AB31" s="82"/>
      <c r="AC31" s="82"/>
      <c r="AD31" s="82"/>
      <c r="AE31" s="82"/>
      <c r="AF31" s="82"/>
      <c r="AG31" s="82"/>
      <c r="AH31" s="82"/>
      <c r="AI31" s="82"/>
      <c r="AJ31" s="82"/>
      <c r="AK31" s="82"/>
      <c r="AL31" s="82"/>
      <c r="AM31" s="82"/>
      <c r="AN31" s="82"/>
      <c r="AO31" s="82"/>
      <c r="AP31" s="82"/>
      <c r="AQ31" s="82"/>
      <c r="AR31" s="82"/>
      <c r="AS31" s="82"/>
      <c r="AT31" s="82"/>
      <c r="AU31" s="82"/>
      <c r="AV31" s="82"/>
      <c r="AW31" s="82"/>
      <c r="AX31" s="82"/>
      <c r="AY31" s="82"/>
      <c r="AZ31" s="82"/>
      <c r="BA31" s="82"/>
      <c r="BB31" s="82"/>
      <c r="BC31" s="82"/>
      <c r="BD31" s="82"/>
      <c r="BE31" s="82"/>
      <c r="BF31" s="82"/>
      <c r="BG31" s="388"/>
      <c r="BH31" s="388"/>
      <c r="BI31" s="388"/>
      <c r="BJ31" s="388"/>
      <c r="BK31" s="388"/>
      <c r="BL31" s="388"/>
      <c r="BM31" s="388"/>
      <c r="BN31" s="388"/>
      <c r="BO31" s="388"/>
      <c r="BP31" s="388"/>
      <c r="BQ31" s="388"/>
      <c r="BR31" s="388"/>
      <c r="BS31" s="388"/>
      <c r="BT31" s="388"/>
      <c r="BU31" s="388"/>
      <c r="BV31" s="388"/>
    </row>
    <row r="32" spans="1:74" ht="11.1" customHeight="1" x14ac:dyDescent="0.2">
      <c r="A32" s="76" t="s">
        <v>550</v>
      </c>
      <c r="B32" s="185" t="s">
        <v>443</v>
      </c>
      <c r="C32" s="257">
        <v>2938.0889999999999</v>
      </c>
      <c r="D32" s="257">
        <v>2534.2919999999999</v>
      </c>
      <c r="E32" s="257">
        <v>2486.3220000000001</v>
      </c>
      <c r="F32" s="257">
        <v>2645.56</v>
      </c>
      <c r="G32" s="257">
        <v>2966.2649999999999</v>
      </c>
      <c r="H32" s="257">
        <v>3186.0320000000002</v>
      </c>
      <c r="I32" s="257">
        <v>3318.1390000000001</v>
      </c>
      <c r="J32" s="257">
        <v>3441.3249999999998</v>
      </c>
      <c r="K32" s="257">
        <v>3705.1610000000001</v>
      </c>
      <c r="L32" s="257">
        <v>4012.723</v>
      </c>
      <c r="M32" s="257">
        <v>3976.5810000000001</v>
      </c>
      <c r="N32" s="257">
        <v>3296.944</v>
      </c>
      <c r="O32" s="257">
        <v>2622.1579999999999</v>
      </c>
      <c r="P32" s="257">
        <v>2337.3310000000001</v>
      </c>
      <c r="Q32" s="257">
        <v>2062.5039999999999</v>
      </c>
      <c r="R32" s="257">
        <v>2291.25</v>
      </c>
      <c r="S32" s="257">
        <v>2626.5070000000001</v>
      </c>
      <c r="T32" s="257">
        <v>2906.808</v>
      </c>
      <c r="U32" s="257">
        <v>3054.1509999999998</v>
      </c>
      <c r="V32" s="257">
        <v>3249.8960000000002</v>
      </c>
      <c r="W32" s="257">
        <v>3567.2280000000001</v>
      </c>
      <c r="X32" s="257">
        <v>3816.4960000000001</v>
      </c>
      <c r="Y32" s="257">
        <v>3709.2629999999999</v>
      </c>
      <c r="Z32" s="257">
        <v>3032.6010000000001</v>
      </c>
      <c r="AA32" s="257">
        <v>2140.556</v>
      </c>
      <c r="AB32" s="257">
        <v>1672.662</v>
      </c>
      <c r="AC32" s="257">
        <v>1390.279</v>
      </c>
      <c r="AD32" s="257">
        <v>1426.799</v>
      </c>
      <c r="AE32" s="257">
        <v>1847.454</v>
      </c>
      <c r="AF32" s="257">
        <v>2195.2260000000001</v>
      </c>
      <c r="AG32" s="257">
        <v>2381.2689999999998</v>
      </c>
      <c r="AH32" s="257">
        <v>2616.8409999999999</v>
      </c>
      <c r="AI32" s="257">
        <v>2950.3679999999999</v>
      </c>
      <c r="AJ32" s="257">
        <v>3236.2539999999999</v>
      </c>
      <c r="AK32" s="257">
        <v>3030.0790000000002</v>
      </c>
      <c r="AL32" s="257">
        <v>2708.3180000000002</v>
      </c>
      <c r="AM32" s="257">
        <v>1993.9960000000001</v>
      </c>
      <c r="AN32" s="257">
        <v>1426.21</v>
      </c>
      <c r="AO32" s="257">
        <v>1184.8900000000001</v>
      </c>
      <c r="AP32" s="257">
        <v>1559.4010000000001</v>
      </c>
      <c r="AQ32" s="257">
        <v>2031.0309999999999</v>
      </c>
      <c r="AR32" s="257">
        <v>2460.748</v>
      </c>
      <c r="AS32" s="257">
        <v>2714.1959999999999</v>
      </c>
      <c r="AT32" s="257">
        <v>2997.81</v>
      </c>
      <c r="AU32" s="257">
        <v>3414.9389999999999</v>
      </c>
      <c r="AV32" s="257">
        <v>3762.0430000000001</v>
      </c>
      <c r="AW32" s="257">
        <v>3610.0509999999999</v>
      </c>
      <c r="AX32" s="257">
        <v>3188.692</v>
      </c>
      <c r="AY32" s="257">
        <v>2616.3850000000002</v>
      </c>
      <c r="AZ32" s="257">
        <v>2081.136</v>
      </c>
      <c r="BA32" s="257">
        <v>2029.6320000000001</v>
      </c>
      <c r="BB32" s="257">
        <v>2332.797</v>
      </c>
      <c r="BC32" s="257">
        <v>2777.8890000000001</v>
      </c>
      <c r="BD32" s="257">
        <v>3133.4</v>
      </c>
      <c r="BE32" s="257">
        <v>3301.864</v>
      </c>
      <c r="BF32" s="257">
        <v>3513.8982857000001</v>
      </c>
      <c r="BG32" s="368">
        <v>3793.9360000000001</v>
      </c>
      <c r="BH32" s="368">
        <v>3969.7539999999999</v>
      </c>
      <c r="BI32" s="368">
        <v>3790.0749999999998</v>
      </c>
      <c r="BJ32" s="368">
        <v>3170.127</v>
      </c>
      <c r="BK32" s="368">
        <v>2360.3220000000001</v>
      </c>
      <c r="BL32" s="368">
        <v>1803.3910000000001</v>
      </c>
      <c r="BM32" s="368">
        <v>1595.3589999999999</v>
      </c>
      <c r="BN32" s="368">
        <v>1804.7170000000001</v>
      </c>
      <c r="BO32" s="368">
        <v>2221.0230000000001</v>
      </c>
      <c r="BP32" s="368">
        <v>2516.8919999999998</v>
      </c>
      <c r="BQ32" s="368">
        <v>2675.2150000000001</v>
      </c>
      <c r="BR32" s="368">
        <v>2883.011</v>
      </c>
      <c r="BS32" s="368">
        <v>3207.08</v>
      </c>
      <c r="BT32" s="368">
        <v>3514.4470000000001</v>
      </c>
      <c r="BU32" s="368">
        <v>3330.59</v>
      </c>
      <c r="BV32" s="368">
        <v>2786.5749999999998</v>
      </c>
    </row>
    <row r="33" spans="1:74" ht="11.1" customHeight="1" x14ac:dyDescent="0.2">
      <c r="A33" s="613" t="s">
        <v>1025</v>
      </c>
      <c r="B33" s="614" t="s">
        <v>1030</v>
      </c>
      <c r="C33" s="257">
        <v>627.86800000000005</v>
      </c>
      <c r="D33" s="257">
        <v>481.19099999999997</v>
      </c>
      <c r="E33" s="257">
        <v>436.46100000000001</v>
      </c>
      <c r="F33" s="257">
        <v>463.35300000000001</v>
      </c>
      <c r="G33" s="257">
        <v>556.928</v>
      </c>
      <c r="H33" s="257">
        <v>654.32500000000005</v>
      </c>
      <c r="I33" s="257">
        <v>734.84400000000005</v>
      </c>
      <c r="J33" s="257">
        <v>804.40300000000002</v>
      </c>
      <c r="K33" s="257">
        <v>898.34900000000005</v>
      </c>
      <c r="L33" s="257">
        <v>939.61400000000003</v>
      </c>
      <c r="M33" s="257">
        <v>898.59400000000005</v>
      </c>
      <c r="N33" s="257">
        <v>720.84900000000005</v>
      </c>
      <c r="O33" s="257">
        <v>527.73299999999995</v>
      </c>
      <c r="P33" s="257">
        <v>406.20499999999998</v>
      </c>
      <c r="Q33" s="257">
        <v>259.73700000000002</v>
      </c>
      <c r="R33" s="257">
        <v>335.06599999999997</v>
      </c>
      <c r="S33" s="257">
        <v>448.48</v>
      </c>
      <c r="T33" s="257">
        <v>562.86199999999997</v>
      </c>
      <c r="U33" s="257">
        <v>661.58900000000006</v>
      </c>
      <c r="V33" s="257">
        <v>777.40800000000002</v>
      </c>
      <c r="W33" s="257">
        <v>866.15</v>
      </c>
      <c r="X33" s="257">
        <v>924.05</v>
      </c>
      <c r="Y33" s="257">
        <v>867.03899999999999</v>
      </c>
      <c r="Z33" s="257">
        <v>710.23800000000006</v>
      </c>
      <c r="AA33" s="257">
        <v>492.67099999999999</v>
      </c>
      <c r="AB33" s="257">
        <v>363.14400000000001</v>
      </c>
      <c r="AC33" s="257">
        <v>229.11099999999999</v>
      </c>
      <c r="AD33" s="257">
        <v>231.15299999999999</v>
      </c>
      <c r="AE33" s="257">
        <v>348.459</v>
      </c>
      <c r="AF33" s="257">
        <v>464.94799999999998</v>
      </c>
      <c r="AG33" s="257">
        <v>569.19299999999998</v>
      </c>
      <c r="AH33" s="257">
        <v>663.58699999999999</v>
      </c>
      <c r="AI33" s="257">
        <v>778.03200000000004</v>
      </c>
      <c r="AJ33" s="257">
        <v>830.21699999999998</v>
      </c>
      <c r="AK33" s="257">
        <v>750.03499999999997</v>
      </c>
      <c r="AL33" s="257">
        <v>659.14800000000002</v>
      </c>
      <c r="AM33" s="257">
        <v>467.721</v>
      </c>
      <c r="AN33" s="257">
        <v>311.51100000000002</v>
      </c>
      <c r="AO33" s="257">
        <v>216.22300000000001</v>
      </c>
      <c r="AP33" s="257">
        <v>294.22199999999998</v>
      </c>
      <c r="AQ33" s="257">
        <v>418.642</v>
      </c>
      <c r="AR33" s="257">
        <v>537.44399999999996</v>
      </c>
      <c r="AS33" s="257">
        <v>611.43700000000001</v>
      </c>
      <c r="AT33" s="257">
        <v>724.87400000000002</v>
      </c>
      <c r="AU33" s="257">
        <v>844.64700000000005</v>
      </c>
      <c r="AV33" s="257">
        <v>932.38099999999997</v>
      </c>
      <c r="AW33" s="257">
        <v>885.82100000000003</v>
      </c>
      <c r="AX33" s="257">
        <v>763.80600000000004</v>
      </c>
      <c r="AY33" s="257">
        <v>591.51300000000003</v>
      </c>
      <c r="AZ33" s="257">
        <v>437.649</v>
      </c>
      <c r="BA33" s="257">
        <v>385.30200000000002</v>
      </c>
      <c r="BB33" s="257">
        <v>427.642</v>
      </c>
      <c r="BC33" s="257">
        <v>553.024</v>
      </c>
      <c r="BD33" s="257">
        <v>654.83199999999999</v>
      </c>
      <c r="BE33" s="257">
        <v>718</v>
      </c>
      <c r="BF33" s="257">
        <v>798.51428570999997</v>
      </c>
      <c r="BG33" s="368">
        <v>897.94830000000002</v>
      </c>
      <c r="BH33" s="368">
        <v>922.84860000000003</v>
      </c>
      <c r="BI33" s="368">
        <v>852.57410000000004</v>
      </c>
      <c r="BJ33" s="368">
        <v>667.34910000000002</v>
      </c>
      <c r="BK33" s="368">
        <v>444.68020000000001</v>
      </c>
      <c r="BL33" s="368">
        <v>282.65600000000001</v>
      </c>
      <c r="BM33" s="368">
        <v>184.4785</v>
      </c>
      <c r="BN33" s="368">
        <v>234.2107</v>
      </c>
      <c r="BO33" s="368">
        <v>354.80610000000001</v>
      </c>
      <c r="BP33" s="368">
        <v>446.71839999999997</v>
      </c>
      <c r="BQ33" s="368">
        <v>517.90099999999995</v>
      </c>
      <c r="BR33" s="368">
        <v>615.51149999999996</v>
      </c>
      <c r="BS33" s="368">
        <v>701.87649999999996</v>
      </c>
      <c r="BT33" s="368">
        <v>760.52179999999998</v>
      </c>
      <c r="BU33" s="368">
        <v>693.87599999999998</v>
      </c>
      <c r="BV33" s="368">
        <v>536.14319999999998</v>
      </c>
    </row>
    <row r="34" spans="1:74" ht="11.1" customHeight="1" x14ac:dyDescent="0.2">
      <c r="A34" s="613" t="s">
        <v>1026</v>
      </c>
      <c r="B34" s="614" t="s">
        <v>1031</v>
      </c>
      <c r="C34" s="257">
        <v>764.67499999999995</v>
      </c>
      <c r="D34" s="257">
        <v>608.13900000000001</v>
      </c>
      <c r="E34" s="257">
        <v>543.495</v>
      </c>
      <c r="F34" s="257">
        <v>566.51300000000003</v>
      </c>
      <c r="G34" s="257">
        <v>671.28399999999999</v>
      </c>
      <c r="H34" s="257">
        <v>763.16099999999994</v>
      </c>
      <c r="I34" s="257">
        <v>834.06399999999996</v>
      </c>
      <c r="J34" s="257">
        <v>920.52800000000002</v>
      </c>
      <c r="K34" s="257">
        <v>1041.7809999999999</v>
      </c>
      <c r="L34" s="257">
        <v>1133.663</v>
      </c>
      <c r="M34" s="257">
        <v>1112.086</v>
      </c>
      <c r="N34" s="257">
        <v>905.71100000000001</v>
      </c>
      <c r="O34" s="257">
        <v>698.42499999999995</v>
      </c>
      <c r="P34" s="257">
        <v>588.73400000000004</v>
      </c>
      <c r="Q34" s="257">
        <v>476.93900000000002</v>
      </c>
      <c r="R34" s="257">
        <v>524.35</v>
      </c>
      <c r="S34" s="257">
        <v>608.79399999999998</v>
      </c>
      <c r="T34" s="257">
        <v>700.95500000000004</v>
      </c>
      <c r="U34" s="257">
        <v>763.673</v>
      </c>
      <c r="V34" s="257">
        <v>868.20500000000004</v>
      </c>
      <c r="W34" s="257">
        <v>992.73800000000006</v>
      </c>
      <c r="X34" s="257">
        <v>1100.5899999999999</v>
      </c>
      <c r="Y34" s="257">
        <v>1053.8789999999999</v>
      </c>
      <c r="Z34" s="257">
        <v>828.77099999999996</v>
      </c>
      <c r="AA34" s="257">
        <v>553.64</v>
      </c>
      <c r="AB34" s="257">
        <v>380.86700000000002</v>
      </c>
      <c r="AC34" s="257">
        <v>261.48</v>
      </c>
      <c r="AD34" s="257">
        <v>234.88900000000001</v>
      </c>
      <c r="AE34" s="257">
        <v>343.39100000000002</v>
      </c>
      <c r="AF34" s="257">
        <v>458.62099999999998</v>
      </c>
      <c r="AG34" s="257">
        <v>571.33199999999999</v>
      </c>
      <c r="AH34" s="257">
        <v>704.78899999999999</v>
      </c>
      <c r="AI34" s="257">
        <v>846.18700000000001</v>
      </c>
      <c r="AJ34" s="257">
        <v>971.39099999999996</v>
      </c>
      <c r="AK34" s="257">
        <v>907.56700000000001</v>
      </c>
      <c r="AL34" s="257">
        <v>777.11300000000006</v>
      </c>
      <c r="AM34" s="257">
        <v>521.36400000000003</v>
      </c>
      <c r="AN34" s="257">
        <v>337.01499999999999</v>
      </c>
      <c r="AO34" s="257">
        <v>241.81299999999999</v>
      </c>
      <c r="AP34" s="257">
        <v>305.166</v>
      </c>
      <c r="AQ34" s="257">
        <v>439.20800000000003</v>
      </c>
      <c r="AR34" s="257">
        <v>579.34699999999998</v>
      </c>
      <c r="AS34" s="257">
        <v>696.24599999999998</v>
      </c>
      <c r="AT34" s="257">
        <v>834.22900000000004</v>
      </c>
      <c r="AU34" s="257">
        <v>990.12099999999998</v>
      </c>
      <c r="AV34" s="257">
        <v>1102.942</v>
      </c>
      <c r="AW34" s="257">
        <v>1029.8109999999999</v>
      </c>
      <c r="AX34" s="257">
        <v>884.81100000000004</v>
      </c>
      <c r="AY34" s="257">
        <v>717.29200000000003</v>
      </c>
      <c r="AZ34" s="257">
        <v>541.32799999999997</v>
      </c>
      <c r="BA34" s="257">
        <v>471.60899999999998</v>
      </c>
      <c r="BB34" s="257">
        <v>523.59299999999996</v>
      </c>
      <c r="BC34" s="257">
        <v>640.82799999999997</v>
      </c>
      <c r="BD34" s="257">
        <v>747.29</v>
      </c>
      <c r="BE34" s="257">
        <v>830</v>
      </c>
      <c r="BF34" s="257">
        <v>937.88571429000001</v>
      </c>
      <c r="BG34" s="368">
        <v>1059.703</v>
      </c>
      <c r="BH34" s="368">
        <v>1128.0840000000001</v>
      </c>
      <c r="BI34" s="368">
        <v>1065.8119999999999</v>
      </c>
      <c r="BJ34" s="368">
        <v>861.79390000000001</v>
      </c>
      <c r="BK34" s="368">
        <v>601.63049999999998</v>
      </c>
      <c r="BL34" s="368">
        <v>412.25569999999999</v>
      </c>
      <c r="BM34" s="368">
        <v>311.60250000000002</v>
      </c>
      <c r="BN34" s="368">
        <v>360.41199999999998</v>
      </c>
      <c r="BO34" s="368">
        <v>464.4932</v>
      </c>
      <c r="BP34" s="368">
        <v>559.00540000000001</v>
      </c>
      <c r="BQ34" s="368">
        <v>644.72329999999999</v>
      </c>
      <c r="BR34" s="368">
        <v>763.63120000000004</v>
      </c>
      <c r="BS34" s="368">
        <v>878.93449999999996</v>
      </c>
      <c r="BT34" s="368">
        <v>986.86289999999997</v>
      </c>
      <c r="BU34" s="368">
        <v>908.74090000000001</v>
      </c>
      <c r="BV34" s="368">
        <v>732.53629999999998</v>
      </c>
    </row>
    <row r="35" spans="1:74" ht="11.1" customHeight="1" x14ac:dyDescent="0.2">
      <c r="A35" s="613" t="s">
        <v>1027</v>
      </c>
      <c r="B35" s="614" t="s">
        <v>1032</v>
      </c>
      <c r="C35" s="257">
        <v>1089.4359999999999</v>
      </c>
      <c r="D35" s="257">
        <v>1014.478</v>
      </c>
      <c r="E35" s="257">
        <v>1071.277</v>
      </c>
      <c r="F35" s="257">
        <v>1150.2809999999999</v>
      </c>
      <c r="G35" s="257">
        <v>1227.482</v>
      </c>
      <c r="H35" s="257">
        <v>1226.6369999999999</v>
      </c>
      <c r="I35" s="257">
        <v>1192.9960000000001</v>
      </c>
      <c r="J35" s="257">
        <v>1148.991</v>
      </c>
      <c r="K35" s="257">
        <v>1175.818</v>
      </c>
      <c r="L35" s="257">
        <v>1324.854</v>
      </c>
      <c r="M35" s="257">
        <v>1351.828</v>
      </c>
      <c r="N35" s="257">
        <v>1161.9100000000001</v>
      </c>
      <c r="O35" s="257">
        <v>996.60500000000002</v>
      </c>
      <c r="P35" s="257">
        <v>972.01</v>
      </c>
      <c r="Q35" s="257">
        <v>937.82</v>
      </c>
      <c r="R35" s="257">
        <v>1014.331</v>
      </c>
      <c r="S35" s="257">
        <v>1102.2829999999999</v>
      </c>
      <c r="T35" s="257">
        <v>1138.6559999999999</v>
      </c>
      <c r="U35" s="257">
        <v>1101.54</v>
      </c>
      <c r="V35" s="257">
        <v>1068.3869999999999</v>
      </c>
      <c r="W35" s="257">
        <v>1137.421</v>
      </c>
      <c r="X35" s="257">
        <v>1214.3679999999999</v>
      </c>
      <c r="Y35" s="257">
        <v>1218.71</v>
      </c>
      <c r="Z35" s="257">
        <v>1016.042</v>
      </c>
      <c r="AA35" s="257">
        <v>709.21100000000001</v>
      </c>
      <c r="AB35" s="257">
        <v>614.99699999999996</v>
      </c>
      <c r="AC35" s="257">
        <v>613.20299999999997</v>
      </c>
      <c r="AD35" s="257">
        <v>648.99599999999998</v>
      </c>
      <c r="AE35" s="257">
        <v>777.95399999999995</v>
      </c>
      <c r="AF35" s="257">
        <v>845.21900000000005</v>
      </c>
      <c r="AG35" s="257">
        <v>813.43899999999996</v>
      </c>
      <c r="AH35" s="257">
        <v>802.06399999999996</v>
      </c>
      <c r="AI35" s="257">
        <v>845.36599999999999</v>
      </c>
      <c r="AJ35" s="257">
        <v>948.33299999999997</v>
      </c>
      <c r="AK35" s="257">
        <v>913.93200000000002</v>
      </c>
      <c r="AL35" s="257">
        <v>879.34500000000003</v>
      </c>
      <c r="AM35" s="257">
        <v>696.52300000000002</v>
      </c>
      <c r="AN35" s="257">
        <v>562.56100000000004</v>
      </c>
      <c r="AO35" s="257">
        <v>519.04499999999996</v>
      </c>
      <c r="AP35" s="257">
        <v>695.03499999999997</v>
      </c>
      <c r="AQ35" s="257">
        <v>825.66899999999998</v>
      </c>
      <c r="AR35" s="257">
        <v>917.25599999999997</v>
      </c>
      <c r="AS35" s="257">
        <v>941.72699999999998</v>
      </c>
      <c r="AT35" s="257">
        <v>948.79399999999998</v>
      </c>
      <c r="AU35" s="257">
        <v>1049.0540000000001</v>
      </c>
      <c r="AV35" s="257">
        <v>1191.8009999999999</v>
      </c>
      <c r="AW35" s="257">
        <v>1180.4680000000001</v>
      </c>
      <c r="AX35" s="257">
        <v>1095.133</v>
      </c>
      <c r="AY35" s="257">
        <v>934.55100000000004</v>
      </c>
      <c r="AZ35" s="257">
        <v>777.98900000000003</v>
      </c>
      <c r="BA35" s="257">
        <v>856.99599999999998</v>
      </c>
      <c r="BB35" s="257">
        <v>1021.981</v>
      </c>
      <c r="BC35" s="257">
        <v>1140.3</v>
      </c>
      <c r="BD35" s="257">
        <v>1221.2280000000001</v>
      </c>
      <c r="BE35" s="257">
        <v>1214</v>
      </c>
      <c r="BF35" s="257">
        <v>1230.7428571</v>
      </c>
      <c r="BG35" s="368">
        <v>1267.856</v>
      </c>
      <c r="BH35" s="368">
        <v>1335.9870000000001</v>
      </c>
      <c r="BI35" s="368">
        <v>1305.452</v>
      </c>
      <c r="BJ35" s="368">
        <v>1154.473</v>
      </c>
      <c r="BK35" s="368">
        <v>918.14949999999999</v>
      </c>
      <c r="BL35" s="368">
        <v>759.75930000000005</v>
      </c>
      <c r="BM35" s="368">
        <v>755.92229999999995</v>
      </c>
      <c r="BN35" s="368">
        <v>837.62210000000005</v>
      </c>
      <c r="BO35" s="368">
        <v>971.30039999999997</v>
      </c>
      <c r="BP35" s="368">
        <v>1031.2159999999999</v>
      </c>
      <c r="BQ35" s="368">
        <v>1007.5069999999999</v>
      </c>
      <c r="BR35" s="368">
        <v>987.21119999999996</v>
      </c>
      <c r="BS35" s="368">
        <v>1079.635</v>
      </c>
      <c r="BT35" s="368">
        <v>1200.194</v>
      </c>
      <c r="BU35" s="368">
        <v>1173.6859999999999</v>
      </c>
      <c r="BV35" s="368">
        <v>1050.875</v>
      </c>
    </row>
    <row r="36" spans="1:74" ht="11.1" customHeight="1" x14ac:dyDescent="0.2">
      <c r="A36" s="613" t="s">
        <v>1028</v>
      </c>
      <c r="B36" s="709" t="s">
        <v>1033</v>
      </c>
      <c r="C36" s="257">
        <v>155.61799999999999</v>
      </c>
      <c r="D36" s="257">
        <v>143.12899999999999</v>
      </c>
      <c r="E36" s="257">
        <v>144.05600000000001</v>
      </c>
      <c r="F36" s="257">
        <v>151.738</v>
      </c>
      <c r="G36" s="257">
        <v>176.251</v>
      </c>
      <c r="H36" s="257">
        <v>196.01300000000001</v>
      </c>
      <c r="I36" s="257">
        <v>207.988</v>
      </c>
      <c r="J36" s="257">
        <v>218.798</v>
      </c>
      <c r="K36" s="257">
        <v>232.21700000000001</v>
      </c>
      <c r="L36" s="257">
        <v>248.10900000000001</v>
      </c>
      <c r="M36" s="257">
        <v>251.25299999999999</v>
      </c>
      <c r="N36" s="257">
        <v>204.43600000000001</v>
      </c>
      <c r="O36" s="257">
        <v>159.19999999999999</v>
      </c>
      <c r="P36" s="257">
        <v>140.52500000000001</v>
      </c>
      <c r="Q36" s="257">
        <v>141.654</v>
      </c>
      <c r="R36" s="257">
        <v>151.00299999999999</v>
      </c>
      <c r="S36" s="257">
        <v>166.70099999999999</v>
      </c>
      <c r="T36" s="257">
        <v>183.84100000000001</v>
      </c>
      <c r="U36" s="257">
        <v>197.392</v>
      </c>
      <c r="V36" s="257">
        <v>201.68199999999999</v>
      </c>
      <c r="W36" s="257">
        <v>218.381</v>
      </c>
      <c r="X36" s="257">
        <v>220.62</v>
      </c>
      <c r="Y36" s="257">
        <v>220.64</v>
      </c>
      <c r="Z36" s="257">
        <v>176.93100000000001</v>
      </c>
      <c r="AA36" s="257">
        <v>135.05099999999999</v>
      </c>
      <c r="AB36" s="257">
        <v>100.727</v>
      </c>
      <c r="AC36" s="257">
        <v>86.992000000000004</v>
      </c>
      <c r="AD36" s="257">
        <v>91.147999999999996</v>
      </c>
      <c r="AE36" s="257">
        <v>119.907</v>
      </c>
      <c r="AF36" s="257">
        <v>139.99</v>
      </c>
      <c r="AG36" s="257">
        <v>148.05199999999999</v>
      </c>
      <c r="AH36" s="257">
        <v>163.47499999999999</v>
      </c>
      <c r="AI36" s="257">
        <v>179.38399999999999</v>
      </c>
      <c r="AJ36" s="257">
        <v>183.09100000000001</v>
      </c>
      <c r="AK36" s="257">
        <v>167.887</v>
      </c>
      <c r="AL36" s="257">
        <v>141.46</v>
      </c>
      <c r="AM36" s="257">
        <v>103.471</v>
      </c>
      <c r="AN36" s="257">
        <v>73.132000000000005</v>
      </c>
      <c r="AO36" s="257">
        <v>63.338999999999999</v>
      </c>
      <c r="AP36" s="257">
        <v>76.438000000000002</v>
      </c>
      <c r="AQ36" s="257">
        <v>101.82</v>
      </c>
      <c r="AR36" s="257">
        <v>135.13999999999999</v>
      </c>
      <c r="AS36" s="257">
        <v>158.78299999999999</v>
      </c>
      <c r="AT36" s="257">
        <v>177.92099999999999</v>
      </c>
      <c r="AU36" s="257">
        <v>200.48599999999999</v>
      </c>
      <c r="AV36" s="257">
        <v>206.239</v>
      </c>
      <c r="AW36" s="257">
        <v>196.303</v>
      </c>
      <c r="AX36" s="257">
        <v>167.4</v>
      </c>
      <c r="AY36" s="257">
        <v>134.99700000000001</v>
      </c>
      <c r="AZ36" s="257">
        <v>99.387</v>
      </c>
      <c r="BA36" s="257">
        <v>91.873000000000005</v>
      </c>
      <c r="BB36" s="257">
        <v>109.496</v>
      </c>
      <c r="BC36" s="257">
        <v>143.38399999999999</v>
      </c>
      <c r="BD36" s="257">
        <v>177.05500000000001</v>
      </c>
      <c r="BE36" s="257">
        <v>202</v>
      </c>
      <c r="BF36" s="257">
        <v>213.62857142999999</v>
      </c>
      <c r="BG36" s="368">
        <v>220.59800000000001</v>
      </c>
      <c r="BH36" s="368">
        <v>223.6737</v>
      </c>
      <c r="BI36" s="368">
        <v>212.27799999999999</v>
      </c>
      <c r="BJ36" s="368">
        <v>171.57390000000001</v>
      </c>
      <c r="BK36" s="368">
        <v>138.79140000000001</v>
      </c>
      <c r="BL36" s="368">
        <v>123.0729</v>
      </c>
      <c r="BM36" s="368">
        <v>115.9592</v>
      </c>
      <c r="BN36" s="368">
        <v>121.99250000000001</v>
      </c>
      <c r="BO36" s="368">
        <v>138.1568</v>
      </c>
      <c r="BP36" s="368">
        <v>155.8203</v>
      </c>
      <c r="BQ36" s="368">
        <v>170.59610000000001</v>
      </c>
      <c r="BR36" s="368">
        <v>183.39420000000001</v>
      </c>
      <c r="BS36" s="368">
        <v>198.37649999999999</v>
      </c>
      <c r="BT36" s="368">
        <v>207.26320000000001</v>
      </c>
      <c r="BU36" s="368">
        <v>200.1199</v>
      </c>
      <c r="BV36" s="368">
        <v>162.52930000000001</v>
      </c>
    </row>
    <row r="37" spans="1:74" ht="11.1" customHeight="1" x14ac:dyDescent="0.2">
      <c r="A37" s="613" t="s">
        <v>1029</v>
      </c>
      <c r="B37" s="709" t="s">
        <v>1034</v>
      </c>
      <c r="C37" s="257">
        <v>276.19600000000003</v>
      </c>
      <c r="D37" s="257">
        <v>262.56599999999997</v>
      </c>
      <c r="E37" s="257">
        <v>265.79199999999997</v>
      </c>
      <c r="F37" s="257">
        <v>286.99299999999999</v>
      </c>
      <c r="G37" s="257">
        <v>305.68099999999998</v>
      </c>
      <c r="H37" s="257">
        <v>315.78899999999999</v>
      </c>
      <c r="I37" s="257">
        <v>316.16399999999999</v>
      </c>
      <c r="J37" s="257">
        <v>314.524</v>
      </c>
      <c r="K37" s="257">
        <v>321.43799999999999</v>
      </c>
      <c r="L37" s="257">
        <v>331.21899999999999</v>
      </c>
      <c r="M37" s="257">
        <v>328.428</v>
      </c>
      <c r="N37" s="257">
        <v>271.43599999999998</v>
      </c>
      <c r="O37" s="257">
        <v>209.80699999999999</v>
      </c>
      <c r="P37" s="257">
        <v>200.87700000000001</v>
      </c>
      <c r="Q37" s="257">
        <v>218.946</v>
      </c>
      <c r="R37" s="257">
        <v>238.01499999999999</v>
      </c>
      <c r="S37" s="257">
        <v>270.23899999999998</v>
      </c>
      <c r="T37" s="257">
        <v>288.37700000000001</v>
      </c>
      <c r="U37" s="257">
        <v>295.416</v>
      </c>
      <c r="V37" s="257">
        <v>297.19600000000003</v>
      </c>
      <c r="W37" s="257">
        <v>313.89800000000002</v>
      </c>
      <c r="X37" s="257">
        <v>317.75</v>
      </c>
      <c r="Y37" s="257">
        <v>311.49900000000002</v>
      </c>
      <c r="Z37" s="257">
        <v>264.43200000000002</v>
      </c>
      <c r="AA37" s="257">
        <v>216.35599999999999</v>
      </c>
      <c r="AB37" s="257">
        <v>181.286</v>
      </c>
      <c r="AC37" s="257">
        <v>168.87299999999999</v>
      </c>
      <c r="AD37" s="257">
        <v>190.017</v>
      </c>
      <c r="AE37" s="257">
        <v>226.291</v>
      </c>
      <c r="AF37" s="257">
        <v>253.24600000000001</v>
      </c>
      <c r="AG37" s="257">
        <v>244.18799999999999</v>
      </c>
      <c r="AH37" s="257">
        <v>246.06700000000001</v>
      </c>
      <c r="AI37" s="257">
        <v>263.00299999999999</v>
      </c>
      <c r="AJ37" s="257">
        <v>264.084</v>
      </c>
      <c r="AK37" s="257">
        <v>252.029</v>
      </c>
      <c r="AL37" s="257">
        <v>214.17400000000001</v>
      </c>
      <c r="AM37" s="257">
        <v>170.928</v>
      </c>
      <c r="AN37" s="257">
        <v>110.759</v>
      </c>
      <c r="AO37" s="257">
        <v>114.514</v>
      </c>
      <c r="AP37" s="257">
        <v>158.43899999999999</v>
      </c>
      <c r="AQ37" s="257">
        <v>214.374</v>
      </c>
      <c r="AR37" s="257">
        <v>258.71600000000001</v>
      </c>
      <c r="AS37" s="257">
        <v>271.65100000000001</v>
      </c>
      <c r="AT37" s="257">
        <v>276.31900000000002</v>
      </c>
      <c r="AU37" s="257">
        <v>294.11599999999999</v>
      </c>
      <c r="AV37" s="257">
        <v>292.34100000000001</v>
      </c>
      <c r="AW37" s="257">
        <v>282.58199999999999</v>
      </c>
      <c r="AX37" s="257">
        <v>244.91399999999999</v>
      </c>
      <c r="AY37" s="257">
        <v>209.90100000000001</v>
      </c>
      <c r="AZ37" s="257">
        <v>199.06700000000001</v>
      </c>
      <c r="BA37" s="257">
        <v>200.44800000000001</v>
      </c>
      <c r="BB37" s="257">
        <v>227.10300000000001</v>
      </c>
      <c r="BC37" s="257">
        <v>276.32100000000003</v>
      </c>
      <c r="BD37" s="257">
        <v>307.63900000000001</v>
      </c>
      <c r="BE37" s="257">
        <v>311</v>
      </c>
      <c r="BF37" s="257">
        <v>304.94285714</v>
      </c>
      <c r="BG37" s="368">
        <v>319.64620000000002</v>
      </c>
      <c r="BH37" s="368">
        <v>330.976</v>
      </c>
      <c r="BI37" s="368">
        <v>325.7749</v>
      </c>
      <c r="BJ37" s="368">
        <v>286.75259999999997</v>
      </c>
      <c r="BK37" s="368">
        <v>228.8862</v>
      </c>
      <c r="BL37" s="368">
        <v>197.46299999999999</v>
      </c>
      <c r="BM37" s="368">
        <v>199.21199999999999</v>
      </c>
      <c r="BN37" s="368">
        <v>222.29570000000001</v>
      </c>
      <c r="BO37" s="368">
        <v>264.0829</v>
      </c>
      <c r="BP37" s="368">
        <v>295.94760000000002</v>
      </c>
      <c r="BQ37" s="368">
        <v>306.30369999999999</v>
      </c>
      <c r="BR37" s="368">
        <v>305.07909999999998</v>
      </c>
      <c r="BS37" s="368">
        <v>320.07330000000002</v>
      </c>
      <c r="BT37" s="368">
        <v>331.42079999999999</v>
      </c>
      <c r="BU37" s="368">
        <v>325.98379999999997</v>
      </c>
      <c r="BV37" s="368">
        <v>276.30689999999998</v>
      </c>
    </row>
    <row r="38" spans="1:74" ht="11.1" customHeight="1" x14ac:dyDescent="0.2">
      <c r="A38" s="613" t="s">
        <v>1035</v>
      </c>
      <c r="B38" s="708" t="s">
        <v>432</v>
      </c>
      <c r="C38" s="253">
        <v>24.295000000000002</v>
      </c>
      <c r="D38" s="253">
        <v>24.79</v>
      </c>
      <c r="E38" s="253">
        <v>25.241</v>
      </c>
      <c r="F38" s="253">
        <v>26.681999999999999</v>
      </c>
      <c r="G38" s="253">
        <v>28.638999999999999</v>
      </c>
      <c r="H38" s="253">
        <v>30.108000000000001</v>
      </c>
      <c r="I38" s="253">
        <v>32.084000000000003</v>
      </c>
      <c r="J38" s="253">
        <v>34.081000000000003</v>
      </c>
      <c r="K38" s="253">
        <v>35.558999999999997</v>
      </c>
      <c r="L38" s="253">
        <v>35.262999999999998</v>
      </c>
      <c r="M38" s="253">
        <v>34.392000000000003</v>
      </c>
      <c r="N38" s="253">
        <v>32.601999999999997</v>
      </c>
      <c r="O38" s="253">
        <v>30.388999999999999</v>
      </c>
      <c r="P38" s="253">
        <v>28.981000000000002</v>
      </c>
      <c r="Q38" s="253">
        <v>27.408999999999999</v>
      </c>
      <c r="R38" s="253">
        <v>28.484999999999999</v>
      </c>
      <c r="S38" s="253">
        <v>30.01</v>
      </c>
      <c r="T38" s="253">
        <v>32.118000000000002</v>
      </c>
      <c r="U38" s="253">
        <v>34.540999999999997</v>
      </c>
      <c r="V38" s="253">
        <v>37.018000000000001</v>
      </c>
      <c r="W38" s="253">
        <v>38.642000000000003</v>
      </c>
      <c r="X38" s="253">
        <v>39.118000000000002</v>
      </c>
      <c r="Y38" s="253">
        <v>37.497</v>
      </c>
      <c r="Z38" s="253">
        <v>36.188000000000002</v>
      </c>
      <c r="AA38" s="253">
        <v>33.628999999999998</v>
      </c>
      <c r="AB38" s="253">
        <v>31.640999999999998</v>
      </c>
      <c r="AC38" s="253">
        <v>30.620999999999999</v>
      </c>
      <c r="AD38" s="253">
        <v>30.597000000000001</v>
      </c>
      <c r="AE38" s="253">
        <v>31.452999999999999</v>
      </c>
      <c r="AF38" s="253">
        <v>33.203000000000003</v>
      </c>
      <c r="AG38" s="253">
        <v>35.064999999999998</v>
      </c>
      <c r="AH38" s="253">
        <v>36.859000000000002</v>
      </c>
      <c r="AI38" s="253">
        <v>38.396000000000001</v>
      </c>
      <c r="AJ38" s="253">
        <v>39.137999999999998</v>
      </c>
      <c r="AK38" s="253">
        <v>38.628999999999998</v>
      </c>
      <c r="AL38" s="253">
        <v>37.076999999999998</v>
      </c>
      <c r="AM38" s="253">
        <v>33.99</v>
      </c>
      <c r="AN38" s="253">
        <v>31.233000000000001</v>
      </c>
      <c r="AO38" s="253">
        <v>29.957000000000001</v>
      </c>
      <c r="AP38" s="253">
        <v>30.100999999999999</v>
      </c>
      <c r="AQ38" s="253">
        <v>31.32</v>
      </c>
      <c r="AR38" s="253">
        <v>32.844999999999999</v>
      </c>
      <c r="AS38" s="253">
        <v>34.353000000000002</v>
      </c>
      <c r="AT38" s="253">
        <v>35.673000000000002</v>
      </c>
      <c r="AU38" s="253">
        <v>36.515999999999998</v>
      </c>
      <c r="AV38" s="253">
        <v>36.338999999999999</v>
      </c>
      <c r="AW38" s="253">
        <v>35.067</v>
      </c>
      <c r="AX38" s="253">
        <v>32.628</v>
      </c>
      <c r="AY38" s="253">
        <v>28.131</v>
      </c>
      <c r="AZ38" s="253">
        <v>25.716000000000001</v>
      </c>
      <c r="BA38" s="253">
        <v>23.402999999999999</v>
      </c>
      <c r="BB38" s="253">
        <v>22.981999999999999</v>
      </c>
      <c r="BC38" s="253">
        <v>24.030999999999999</v>
      </c>
      <c r="BD38" s="253">
        <v>25.356000000000002</v>
      </c>
      <c r="BE38" s="253">
        <v>26.864000000000001</v>
      </c>
      <c r="BF38" s="253">
        <v>28.184000000000001</v>
      </c>
      <c r="BG38" s="338">
        <v>28.184000000000001</v>
      </c>
      <c r="BH38" s="338">
        <v>28.184000000000001</v>
      </c>
      <c r="BI38" s="338">
        <v>28.184000000000001</v>
      </c>
      <c r="BJ38" s="338">
        <v>28.184000000000001</v>
      </c>
      <c r="BK38" s="338">
        <v>28.184000000000001</v>
      </c>
      <c r="BL38" s="338">
        <v>28.184000000000001</v>
      </c>
      <c r="BM38" s="338">
        <v>28.184000000000001</v>
      </c>
      <c r="BN38" s="338">
        <v>28.184000000000001</v>
      </c>
      <c r="BO38" s="338">
        <v>28.184000000000001</v>
      </c>
      <c r="BP38" s="338">
        <v>28.184000000000001</v>
      </c>
      <c r="BQ38" s="338">
        <v>28.184000000000001</v>
      </c>
      <c r="BR38" s="338">
        <v>28.184000000000001</v>
      </c>
      <c r="BS38" s="338">
        <v>28.184000000000001</v>
      </c>
      <c r="BT38" s="338">
        <v>28.184000000000001</v>
      </c>
      <c r="BU38" s="338">
        <v>28.184000000000001</v>
      </c>
      <c r="BV38" s="338">
        <v>28.184000000000001</v>
      </c>
    </row>
    <row r="39" spans="1:74" s="281" customFormat="1" ht="11.1" customHeight="1" x14ac:dyDescent="0.2">
      <c r="A39" s="76"/>
      <c r="B39" s="279"/>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c r="BA39" s="280"/>
      <c r="BB39" s="280"/>
      <c r="BC39" s="280"/>
      <c r="BD39" s="280"/>
      <c r="BE39" s="280"/>
      <c r="BF39" s="280"/>
      <c r="BG39" s="280"/>
      <c r="BH39" s="389"/>
      <c r="BI39" s="389"/>
      <c r="BJ39" s="389"/>
      <c r="BK39" s="389"/>
      <c r="BL39" s="389"/>
      <c r="BM39" s="389"/>
      <c r="BN39" s="389"/>
      <c r="BO39" s="389"/>
      <c r="BP39" s="389"/>
      <c r="BQ39" s="389"/>
      <c r="BR39" s="389"/>
      <c r="BS39" s="389"/>
      <c r="BT39" s="389"/>
      <c r="BU39" s="389"/>
      <c r="BV39" s="389"/>
    </row>
    <row r="40" spans="1:74" s="281" customFormat="1" ht="12" customHeight="1" x14ac:dyDescent="0.25">
      <c r="A40" s="76"/>
      <c r="B40" s="808" t="s">
        <v>826</v>
      </c>
      <c r="C40" s="805"/>
      <c r="D40" s="805"/>
      <c r="E40" s="805"/>
      <c r="F40" s="805"/>
      <c r="G40" s="805"/>
      <c r="H40" s="805"/>
      <c r="I40" s="805"/>
      <c r="J40" s="805"/>
      <c r="K40" s="805"/>
      <c r="L40" s="805"/>
      <c r="M40" s="805"/>
      <c r="N40" s="805"/>
      <c r="O40" s="805"/>
      <c r="P40" s="805"/>
      <c r="Q40" s="805"/>
      <c r="AY40" s="519"/>
      <c r="AZ40" s="519"/>
      <c r="BA40" s="519"/>
      <c r="BB40" s="519"/>
      <c r="BC40" s="519"/>
      <c r="BD40" s="647"/>
      <c r="BE40" s="647"/>
      <c r="BF40" s="647"/>
      <c r="BG40" s="519"/>
      <c r="BH40" s="519"/>
      <c r="BI40" s="519"/>
      <c r="BJ40" s="519"/>
    </row>
    <row r="41" spans="1:74" s="442" customFormat="1" ht="12" customHeight="1" x14ac:dyDescent="0.25">
      <c r="A41" s="441"/>
      <c r="B41" s="833" t="s">
        <v>876</v>
      </c>
      <c r="C41" s="795"/>
      <c r="D41" s="795"/>
      <c r="E41" s="795"/>
      <c r="F41" s="795"/>
      <c r="G41" s="795"/>
      <c r="H41" s="795"/>
      <c r="I41" s="795"/>
      <c r="J41" s="795"/>
      <c r="K41" s="795"/>
      <c r="L41" s="795"/>
      <c r="M41" s="795"/>
      <c r="N41" s="795"/>
      <c r="O41" s="795"/>
      <c r="P41" s="795"/>
      <c r="Q41" s="791"/>
      <c r="AY41" s="520"/>
      <c r="AZ41" s="520"/>
      <c r="BA41" s="520"/>
      <c r="BB41" s="625"/>
      <c r="BC41" s="520"/>
      <c r="BD41" s="648"/>
      <c r="BE41" s="648"/>
      <c r="BF41" s="648"/>
      <c r="BG41" s="520"/>
      <c r="BH41" s="520"/>
      <c r="BI41" s="520"/>
      <c r="BJ41" s="520"/>
    </row>
    <row r="42" spans="1:74" s="442" customFormat="1" ht="12" customHeight="1" x14ac:dyDescent="0.25">
      <c r="A42" s="441"/>
      <c r="B42" s="842" t="s">
        <v>880</v>
      </c>
      <c r="C42" s="795"/>
      <c r="D42" s="795"/>
      <c r="E42" s="795"/>
      <c r="F42" s="795"/>
      <c r="G42" s="795"/>
      <c r="H42" s="795"/>
      <c r="I42" s="795"/>
      <c r="J42" s="795"/>
      <c r="K42" s="795"/>
      <c r="L42" s="795"/>
      <c r="M42" s="795"/>
      <c r="N42" s="795"/>
      <c r="O42" s="795"/>
      <c r="P42" s="795"/>
      <c r="Q42" s="791"/>
      <c r="Y42" s="710"/>
      <c r="Z42" s="710"/>
      <c r="AA42" s="710"/>
      <c r="AB42" s="710"/>
      <c r="AY42" s="520"/>
      <c r="AZ42" s="520"/>
      <c r="BA42" s="520"/>
      <c r="BB42" s="520"/>
      <c r="BC42" s="520"/>
      <c r="BD42" s="648"/>
      <c r="BE42" s="648"/>
      <c r="BF42" s="648"/>
      <c r="BG42" s="520"/>
      <c r="BH42" s="520"/>
      <c r="BI42" s="520"/>
      <c r="BJ42" s="520"/>
    </row>
    <row r="43" spans="1:74" s="442" customFormat="1" ht="12" customHeight="1" x14ac:dyDescent="0.25">
      <c r="A43" s="441"/>
      <c r="B43" s="842" t="s">
        <v>881</v>
      </c>
      <c r="C43" s="795"/>
      <c r="D43" s="795"/>
      <c r="E43" s="795"/>
      <c r="F43" s="795"/>
      <c r="G43" s="795"/>
      <c r="H43" s="795"/>
      <c r="I43" s="795"/>
      <c r="J43" s="795"/>
      <c r="K43" s="795"/>
      <c r="L43" s="795"/>
      <c r="M43" s="795"/>
      <c r="N43" s="795"/>
      <c r="O43" s="795"/>
      <c r="P43" s="795"/>
      <c r="Q43" s="791"/>
      <c r="AY43" s="520"/>
      <c r="AZ43" s="520"/>
      <c r="BA43" s="520"/>
      <c r="BB43" s="520"/>
      <c r="BC43" s="520"/>
      <c r="BD43" s="648"/>
      <c r="BE43" s="648"/>
      <c r="BF43" s="648"/>
      <c r="BG43" s="520"/>
      <c r="BH43" s="520"/>
      <c r="BI43" s="520"/>
      <c r="BJ43" s="520"/>
    </row>
    <row r="44" spans="1:74" s="442" customFormat="1" ht="12" customHeight="1" x14ac:dyDescent="0.25">
      <c r="A44" s="441"/>
      <c r="B44" s="840" t="s">
        <v>1036</v>
      </c>
      <c r="C44" s="791"/>
      <c r="D44" s="791"/>
      <c r="E44" s="791"/>
      <c r="F44" s="791"/>
      <c r="G44" s="791"/>
      <c r="H44" s="791"/>
      <c r="I44" s="791"/>
      <c r="J44" s="791"/>
      <c r="K44" s="791"/>
      <c r="L44" s="791"/>
      <c r="M44" s="791"/>
      <c r="N44" s="791"/>
      <c r="O44" s="791"/>
      <c r="P44" s="791"/>
      <c r="Q44" s="791"/>
      <c r="AY44" s="520"/>
      <c r="AZ44" s="520"/>
      <c r="BA44" s="520"/>
      <c r="BB44" s="520"/>
      <c r="BC44" s="520"/>
      <c r="BD44" s="648"/>
      <c r="BE44" s="648"/>
      <c r="BF44" s="648"/>
      <c r="BG44" s="520"/>
      <c r="BH44" s="520"/>
      <c r="BI44" s="520"/>
      <c r="BJ44" s="520"/>
    </row>
    <row r="45" spans="1:74" s="442" customFormat="1" ht="12" customHeight="1" x14ac:dyDescent="0.25">
      <c r="A45" s="441"/>
      <c r="B45" s="794" t="s">
        <v>851</v>
      </c>
      <c r="C45" s="795"/>
      <c r="D45" s="795"/>
      <c r="E45" s="795"/>
      <c r="F45" s="795"/>
      <c r="G45" s="795"/>
      <c r="H45" s="795"/>
      <c r="I45" s="795"/>
      <c r="J45" s="795"/>
      <c r="K45" s="795"/>
      <c r="L45" s="795"/>
      <c r="M45" s="795"/>
      <c r="N45" s="795"/>
      <c r="O45" s="795"/>
      <c r="P45" s="795"/>
      <c r="Q45" s="791"/>
      <c r="AY45" s="520"/>
      <c r="AZ45" s="520"/>
      <c r="BA45" s="520"/>
      <c r="BB45" s="520"/>
      <c r="BC45" s="520"/>
      <c r="BD45" s="648"/>
      <c r="BE45" s="648"/>
      <c r="BF45" s="648"/>
      <c r="BG45" s="520"/>
      <c r="BH45" s="520"/>
      <c r="BI45" s="520"/>
      <c r="BJ45" s="520"/>
    </row>
    <row r="46" spans="1:74" s="442" customFormat="1" ht="12" customHeight="1" x14ac:dyDescent="0.25">
      <c r="A46" s="441"/>
      <c r="B46" s="841" t="s">
        <v>885</v>
      </c>
      <c r="C46" s="841"/>
      <c r="D46" s="841"/>
      <c r="E46" s="841"/>
      <c r="F46" s="841"/>
      <c r="G46" s="841"/>
      <c r="H46" s="841"/>
      <c r="I46" s="841"/>
      <c r="J46" s="841"/>
      <c r="K46" s="841"/>
      <c r="L46" s="841"/>
      <c r="M46" s="841"/>
      <c r="N46" s="841"/>
      <c r="O46" s="841"/>
      <c r="P46" s="841"/>
      <c r="Q46" s="791"/>
      <c r="AY46" s="520"/>
      <c r="AZ46" s="520"/>
      <c r="BA46" s="520"/>
      <c r="BB46" s="520"/>
      <c r="BC46" s="520"/>
      <c r="BD46" s="648"/>
      <c r="BE46" s="648"/>
      <c r="BF46" s="648"/>
      <c r="BG46" s="520"/>
      <c r="BH46" s="520"/>
      <c r="BI46" s="520"/>
      <c r="BJ46" s="520"/>
    </row>
    <row r="47" spans="1:74" s="442" customFormat="1" ht="22.35" customHeight="1" x14ac:dyDescent="0.25">
      <c r="A47" s="441"/>
      <c r="B47" s="794" t="s">
        <v>886</v>
      </c>
      <c r="C47" s="795"/>
      <c r="D47" s="795"/>
      <c r="E47" s="795"/>
      <c r="F47" s="795"/>
      <c r="G47" s="795"/>
      <c r="H47" s="795"/>
      <c r="I47" s="795"/>
      <c r="J47" s="795"/>
      <c r="K47" s="795"/>
      <c r="L47" s="795"/>
      <c r="M47" s="795"/>
      <c r="N47" s="795"/>
      <c r="O47" s="795"/>
      <c r="P47" s="795"/>
      <c r="Q47" s="791"/>
      <c r="AY47" s="520"/>
      <c r="AZ47" s="520"/>
      <c r="BA47" s="520"/>
      <c r="BB47" s="520"/>
      <c r="BC47" s="520"/>
      <c r="BD47" s="648"/>
      <c r="BE47" s="648"/>
      <c r="BF47" s="648"/>
      <c r="BG47" s="520"/>
      <c r="BH47" s="520"/>
      <c r="BI47" s="520"/>
      <c r="BJ47" s="520"/>
    </row>
    <row r="48" spans="1:74" s="442" customFormat="1" ht="12" customHeight="1" x14ac:dyDescent="0.25">
      <c r="A48" s="441"/>
      <c r="B48" s="789" t="s">
        <v>855</v>
      </c>
      <c r="C48" s="790"/>
      <c r="D48" s="790"/>
      <c r="E48" s="790"/>
      <c r="F48" s="790"/>
      <c r="G48" s="790"/>
      <c r="H48" s="790"/>
      <c r="I48" s="790"/>
      <c r="J48" s="790"/>
      <c r="K48" s="790"/>
      <c r="L48" s="790"/>
      <c r="M48" s="790"/>
      <c r="N48" s="790"/>
      <c r="O48" s="790"/>
      <c r="P48" s="790"/>
      <c r="Q48" s="791"/>
      <c r="AY48" s="520"/>
      <c r="AZ48" s="520"/>
      <c r="BA48" s="520"/>
      <c r="BB48" s="520"/>
      <c r="BC48" s="520"/>
      <c r="BD48" s="648"/>
      <c r="BE48" s="648"/>
      <c r="BF48" s="648"/>
      <c r="BG48" s="520"/>
      <c r="BH48" s="520"/>
      <c r="BI48" s="520"/>
      <c r="BJ48" s="520"/>
    </row>
    <row r="49" spans="1:74" s="443" customFormat="1" ht="12" customHeight="1" x14ac:dyDescent="0.25">
      <c r="A49" s="429"/>
      <c r="B49" s="811" t="s">
        <v>949</v>
      </c>
      <c r="C49" s="791"/>
      <c r="D49" s="791"/>
      <c r="E49" s="791"/>
      <c r="F49" s="791"/>
      <c r="G49" s="791"/>
      <c r="H49" s="791"/>
      <c r="I49" s="791"/>
      <c r="J49" s="791"/>
      <c r="K49" s="791"/>
      <c r="L49" s="791"/>
      <c r="M49" s="791"/>
      <c r="N49" s="791"/>
      <c r="O49" s="791"/>
      <c r="P49" s="791"/>
      <c r="Q49" s="791"/>
      <c r="AY49" s="521"/>
      <c r="AZ49" s="521"/>
      <c r="BA49" s="521"/>
      <c r="BB49" s="521"/>
      <c r="BC49" s="521"/>
      <c r="BD49" s="649"/>
      <c r="BE49" s="649"/>
      <c r="BF49" s="649"/>
      <c r="BG49" s="521"/>
      <c r="BH49" s="521"/>
      <c r="BI49" s="521"/>
      <c r="BJ49" s="521"/>
    </row>
    <row r="50" spans="1:74" x14ac:dyDescent="0.2">
      <c r="BK50" s="390"/>
      <c r="BL50" s="390"/>
      <c r="BM50" s="390"/>
      <c r="BN50" s="390"/>
      <c r="BO50" s="390"/>
      <c r="BP50" s="390"/>
      <c r="BQ50" s="390"/>
      <c r="BR50" s="390"/>
      <c r="BS50" s="390"/>
      <c r="BT50" s="390"/>
      <c r="BU50" s="390"/>
      <c r="BV50" s="390"/>
    </row>
    <row r="51" spans="1:74" x14ac:dyDescent="0.2">
      <c r="BK51" s="390"/>
      <c r="BL51" s="390"/>
      <c r="BM51" s="390"/>
      <c r="BN51" s="390"/>
      <c r="BO51" s="390"/>
      <c r="BP51" s="390"/>
      <c r="BQ51" s="390"/>
      <c r="BR51" s="390"/>
      <c r="BS51" s="390"/>
      <c r="BT51" s="390"/>
      <c r="BU51" s="390"/>
      <c r="BV51" s="390"/>
    </row>
    <row r="52" spans="1:74" x14ac:dyDescent="0.2">
      <c r="BK52" s="390"/>
      <c r="BL52" s="390"/>
      <c r="BM52" s="390"/>
      <c r="BN52" s="390"/>
      <c r="BO52" s="390"/>
      <c r="BP52" s="390"/>
      <c r="BQ52" s="390"/>
      <c r="BR52" s="390"/>
      <c r="BS52" s="390"/>
      <c r="BT52" s="390"/>
      <c r="BU52" s="390"/>
      <c r="BV52" s="390"/>
    </row>
    <row r="53" spans="1:74" x14ac:dyDescent="0.2">
      <c r="BK53" s="390"/>
      <c r="BL53" s="390"/>
      <c r="BM53" s="390"/>
      <c r="BN53" s="390"/>
      <c r="BO53" s="390"/>
      <c r="BP53" s="390"/>
      <c r="BQ53" s="390"/>
      <c r="BR53" s="390"/>
      <c r="BS53" s="390"/>
      <c r="BT53" s="390"/>
      <c r="BU53" s="390"/>
      <c r="BV53" s="390"/>
    </row>
    <row r="54" spans="1:74" x14ac:dyDescent="0.2">
      <c r="BK54" s="390"/>
      <c r="BL54" s="390"/>
      <c r="BM54" s="390"/>
      <c r="BN54" s="390"/>
      <c r="BO54" s="390"/>
      <c r="BP54" s="390"/>
      <c r="BQ54" s="390"/>
      <c r="BR54" s="390"/>
      <c r="BS54" s="390"/>
      <c r="BT54" s="390"/>
      <c r="BU54" s="390"/>
      <c r="BV54" s="390"/>
    </row>
    <row r="55" spans="1:74" x14ac:dyDescent="0.2">
      <c r="BK55" s="390"/>
      <c r="BL55" s="390"/>
      <c r="BM55" s="390"/>
      <c r="BN55" s="390"/>
      <c r="BO55" s="390"/>
      <c r="BP55" s="390"/>
      <c r="BQ55" s="390"/>
      <c r="BR55" s="390"/>
      <c r="BS55" s="390"/>
      <c r="BT55" s="390"/>
      <c r="BU55" s="390"/>
      <c r="BV55" s="390"/>
    </row>
    <row r="56" spans="1:74" x14ac:dyDescent="0.2">
      <c r="BK56" s="390"/>
      <c r="BL56" s="390"/>
      <c r="BM56" s="390"/>
      <c r="BN56" s="390"/>
      <c r="BO56" s="390"/>
      <c r="BP56" s="390"/>
      <c r="BQ56" s="390"/>
      <c r="BR56" s="390"/>
      <c r="BS56" s="390"/>
      <c r="BT56" s="390"/>
      <c r="BU56" s="390"/>
      <c r="BV56" s="390"/>
    </row>
    <row r="57" spans="1:74" x14ac:dyDescent="0.2">
      <c r="BK57" s="390"/>
      <c r="BL57" s="390"/>
      <c r="BM57" s="390"/>
      <c r="BN57" s="390"/>
      <c r="BO57" s="390"/>
      <c r="BP57" s="390"/>
      <c r="BQ57" s="390"/>
      <c r="BR57" s="390"/>
      <c r="BS57" s="390"/>
      <c r="BT57" s="390"/>
      <c r="BU57" s="390"/>
      <c r="BV57" s="390"/>
    </row>
    <row r="58" spans="1:74" x14ac:dyDescent="0.2">
      <c r="BK58" s="390"/>
      <c r="BL58" s="390"/>
      <c r="BM58" s="390"/>
      <c r="BN58" s="390"/>
      <c r="BO58" s="390"/>
      <c r="BP58" s="390"/>
      <c r="BQ58" s="390"/>
      <c r="BR58" s="390"/>
      <c r="BS58" s="390"/>
      <c r="BT58" s="390"/>
      <c r="BU58" s="390"/>
      <c r="BV58" s="390"/>
    </row>
    <row r="59" spans="1:74" x14ac:dyDescent="0.2">
      <c r="BK59" s="390"/>
      <c r="BL59" s="390"/>
      <c r="BM59" s="390"/>
      <c r="BN59" s="390"/>
      <c r="BO59" s="390"/>
      <c r="BP59" s="390"/>
      <c r="BQ59" s="390"/>
      <c r="BR59" s="390"/>
      <c r="BS59" s="390"/>
      <c r="BT59" s="390"/>
      <c r="BU59" s="390"/>
      <c r="BV59" s="390"/>
    </row>
    <row r="60" spans="1:74" x14ac:dyDescent="0.2">
      <c r="BK60" s="390"/>
      <c r="BL60" s="390"/>
      <c r="BM60" s="390"/>
      <c r="BN60" s="390"/>
      <c r="BO60" s="390"/>
      <c r="BP60" s="390"/>
      <c r="BQ60" s="390"/>
      <c r="BR60" s="390"/>
      <c r="BS60" s="390"/>
      <c r="BT60" s="390"/>
      <c r="BU60" s="390"/>
      <c r="BV60" s="390"/>
    </row>
    <row r="61" spans="1:74" x14ac:dyDescent="0.2">
      <c r="BK61" s="390"/>
      <c r="BL61" s="390"/>
      <c r="BM61" s="390"/>
      <c r="BN61" s="390"/>
      <c r="BO61" s="390"/>
      <c r="BP61" s="390"/>
      <c r="BQ61" s="390"/>
      <c r="BR61" s="390"/>
      <c r="BS61" s="390"/>
      <c r="BT61" s="390"/>
      <c r="BU61" s="390"/>
      <c r="BV61" s="390"/>
    </row>
    <row r="62" spans="1:74" x14ac:dyDescent="0.2">
      <c r="BK62" s="390"/>
      <c r="BL62" s="390"/>
      <c r="BM62" s="390"/>
      <c r="BN62" s="390"/>
      <c r="BO62" s="390"/>
      <c r="BP62" s="390"/>
      <c r="BQ62" s="390"/>
      <c r="BR62" s="390"/>
      <c r="BS62" s="390"/>
      <c r="BT62" s="390"/>
      <c r="BU62" s="390"/>
      <c r="BV62" s="390"/>
    </row>
    <row r="63" spans="1:74" x14ac:dyDescent="0.2">
      <c r="BK63" s="390"/>
      <c r="BL63" s="390"/>
      <c r="BM63" s="390"/>
      <c r="BN63" s="390"/>
      <c r="BO63" s="390"/>
      <c r="BP63" s="390"/>
      <c r="BQ63" s="390"/>
      <c r="BR63" s="390"/>
      <c r="BS63" s="390"/>
      <c r="BT63" s="390"/>
      <c r="BU63" s="390"/>
      <c r="BV63" s="390"/>
    </row>
    <row r="64" spans="1:74" x14ac:dyDescent="0.2">
      <c r="BK64" s="390"/>
      <c r="BL64" s="390"/>
      <c r="BM64" s="390"/>
      <c r="BN64" s="390"/>
      <c r="BO64" s="390"/>
      <c r="BP64" s="390"/>
      <c r="BQ64" s="390"/>
      <c r="BR64" s="390"/>
      <c r="BS64" s="390"/>
      <c r="BT64" s="390"/>
      <c r="BU64" s="390"/>
      <c r="BV64" s="390"/>
    </row>
    <row r="65" spans="63:74" x14ac:dyDescent="0.2">
      <c r="BK65" s="390"/>
      <c r="BL65" s="390"/>
      <c r="BM65" s="390"/>
      <c r="BN65" s="390"/>
      <c r="BO65" s="390"/>
      <c r="BP65" s="390"/>
      <c r="BQ65" s="390"/>
      <c r="BR65" s="390"/>
      <c r="BS65" s="390"/>
      <c r="BT65" s="390"/>
      <c r="BU65" s="390"/>
      <c r="BV65" s="390"/>
    </row>
    <row r="66" spans="63:74" x14ac:dyDescent="0.2">
      <c r="BK66" s="390"/>
      <c r="BL66" s="390"/>
      <c r="BM66" s="390"/>
      <c r="BN66" s="390"/>
      <c r="BO66" s="390"/>
      <c r="BP66" s="390"/>
      <c r="BQ66" s="390"/>
      <c r="BR66" s="390"/>
      <c r="BS66" s="390"/>
      <c r="BT66" s="390"/>
      <c r="BU66" s="390"/>
      <c r="BV66" s="390"/>
    </row>
    <row r="67" spans="63:74" x14ac:dyDescent="0.2">
      <c r="BK67" s="390"/>
      <c r="BL67" s="390"/>
      <c r="BM67" s="390"/>
      <c r="BN67" s="390"/>
      <c r="BO67" s="390"/>
      <c r="BP67" s="390"/>
      <c r="BQ67" s="390"/>
      <c r="BR67" s="390"/>
      <c r="BS67" s="390"/>
      <c r="BT67" s="390"/>
      <c r="BU67" s="390"/>
      <c r="BV67" s="390"/>
    </row>
    <row r="68" spans="63:74" x14ac:dyDescent="0.2">
      <c r="BK68" s="390"/>
      <c r="BL68" s="390"/>
      <c r="BM68" s="390"/>
      <c r="BN68" s="390"/>
      <c r="BO68" s="390"/>
      <c r="BP68" s="390"/>
      <c r="BQ68" s="390"/>
      <c r="BR68" s="390"/>
      <c r="BS68" s="390"/>
      <c r="BT68" s="390"/>
      <c r="BU68" s="390"/>
      <c r="BV68" s="390"/>
    </row>
    <row r="69" spans="63:74" x14ac:dyDescent="0.2">
      <c r="BK69" s="390"/>
      <c r="BL69" s="390"/>
      <c r="BM69" s="390"/>
      <c r="BN69" s="390"/>
      <c r="BO69" s="390"/>
      <c r="BP69" s="390"/>
      <c r="BQ69" s="390"/>
      <c r="BR69" s="390"/>
      <c r="BS69" s="390"/>
      <c r="BT69" s="390"/>
      <c r="BU69" s="390"/>
      <c r="BV69" s="390"/>
    </row>
    <row r="70" spans="63:74" x14ac:dyDescent="0.2">
      <c r="BK70" s="390"/>
      <c r="BL70" s="390"/>
      <c r="BM70" s="390"/>
      <c r="BN70" s="390"/>
      <c r="BO70" s="390"/>
      <c r="BP70" s="390"/>
      <c r="BQ70" s="390"/>
      <c r="BR70" s="390"/>
      <c r="BS70" s="390"/>
      <c r="BT70" s="390"/>
      <c r="BU70" s="390"/>
      <c r="BV70" s="390"/>
    </row>
    <row r="71" spans="63:74" x14ac:dyDescent="0.2">
      <c r="BK71" s="390"/>
      <c r="BL71" s="390"/>
      <c r="BM71" s="390"/>
      <c r="BN71" s="390"/>
      <c r="BO71" s="390"/>
      <c r="BP71" s="390"/>
      <c r="BQ71" s="390"/>
      <c r="BR71" s="390"/>
      <c r="BS71" s="390"/>
      <c r="BT71" s="390"/>
      <c r="BU71" s="390"/>
      <c r="BV71" s="390"/>
    </row>
    <row r="72" spans="63:74" x14ac:dyDescent="0.2">
      <c r="BK72" s="390"/>
      <c r="BL72" s="390"/>
      <c r="BM72" s="390"/>
      <c r="BN72" s="390"/>
      <c r="BO72" s="390"/>
      <c r="BP72" s="390"/>
      <c r="BQ72" s="390"/>
      <c r="BR72" s="390"/>
      <c r="BS72" s="390"/>
      <c r="BT72" s="390"/>
      <c r="BU72" s="390"/>
      <c r="BV72" s="390"/>
    </row>
    <row r="73" spans="63:74" x14ac:dyDescent="0.2">
      <c r="BK73" s="390"/>
      <c r="BL73" s="390"/>
      <c r="BM73" s="390"/>
      <c r="BN73" s="390"/>
      <c r="BO73" s="390"/>
      <c r="BP73" s="390"/>
      <c r="BQ73" s="390"/>
      <c r="BR73" s="390"/>
      <c r="BS73" s="390"/>
      <c r="BT73" s="390"/>
      <c r="BU73" s="390"/>
      <c r="BV73" s="390"/>
    </row>
    <row r="74" spans="63:74" x14ac:dyDescent="0.2">
      <c r="BK74" s="390"/>
      <c r="BL74" s="390"/>
      <c r="BM74" s="390"/>
      <c r="BN74" s="390"/>
      <c r="BO74" s="390"/>
      <c r="BP74" s="390"/>
      <c r="BQ74" s="390"/>
      <c r="BR74" s="390"/>
      <c r="BS74" s="390"/>
      <c r="BT74" s="390"/>
      <c r="BU74" s="390"/>
      <c r="BV74" s="390"/>
    </row>
    <row r="75" spans="63:74" x14ac:dyDescent="0.2">
      <c r="BK75" s="390"/>
      <c r="BL75" s="390"/>
      <c r="BM75" s="390"/>
      <c r="BN75" s="390"/>
      <c r="BO75" s="390"/>
      <c r="BP75" s="390"/>
      <c r="BQ75" s="390"/>
      <c r="BR75" s="390"/>
      <c r="BS75" s="390"/>
      <c r="BT75" s="390"/>
      <c r="BU75" s="390"/>
      <c r="BV75" s="390"/>
    </row>
    <row r="76" spans="63:74" x14ac:dyDescent="0.2">
      <c r="BK76" s="390"/>
      <c r="BL76" s="390"/>
      <c r="BM76" s="390"/>
      <c r="BN76" s="390"/>
      <c r="BO76" s="390"/>
      <c r="BP76" s="390"/>
      <c r="BQ76" s="390"/>
      <c r="BR76" s="390"/>
      <c r="BS76" s="390"/>
      <c r="BT76" s="390"/>
      <c r="BU76" s="390"/>
      <c r="BV76" s="390"/>
    </row>
    <row r="77" spans="63:74" x14ac:dyDescent="0.2">
      <c r="BK77" s="390"/>
      <c r="BL77" s="390"/>
      <c r="BM77" s="390"/>
      <c r="BN77" s="390"/>
      <c r="BO77" s="390"/>
      <c r="BP77" s="390"/>
      <c r="BQ77" s="390"/>
      <c r="BR77" s="390"/>
      <c r="BS77" s="390"/>
      <c r="BT77" s="390"/>
      <c r="BU77" s="390"/>
      <c r="BV77" s="390"/>
    </row>
    <row r="78" spans="63:74" x14ac:dyDescent="0.2">
      <c r="BK78" s="390"/>
      <c r="BL78" s="390"/>
      <c r="BM78" s="390"/>
      <c r="BN78" s="390"/>
      <c r="BO78" s="390"/>
      <c r="BP78" s="390"/>
      <c r="BQ78" s="390"/>
      <c r="BR78" s="390"/>
      <c r="BS78" s="390"/>
      <c r="BT78" s="390"/>
      <c r="BU78" s="390"/>
      <c r="BV78" s="390"/>
    </row>
    <row r="79" spans="63:74" x14ac:dyDescent="0.2">
      <c r="BK79" s="390"/>
      <c r="BL79" s="390"/>
      <c r="BM79" s="390"/>
      <c r="BN79" s="390"/>
      <c r="BO79" s="390"/>
      <c r="BP79" s="390"/>
      <c r="BQ79" s="390"/>
      <c r="BR79" s="390"/>
      <c r="BS79" s="390"/>
      <c r="BT79" s="390"/>
      <c r="BU79" s="390"/>
      <c r="BV79" s="390"/>
    </row>
    <row r="80" spans="63:74" x14ac:dyDescent="0.2">
      <c r="BK80" s="390"/>
      <c r="BL80" s="390"/>
      <c r="BM80" s="390"/>
      <c r="BN80" s="390"/>
      <c r="BO80" s="390"/>
      <c r="BP80" s="390"/>
      <c r="BQ80" s="390"/>
      <c r="BR80" s="390"/>
      <c r="BS80" s="390"/>
      <c r="BT80" s="390"/>
      <c r="BU80" s="390"/>
      <c r="BV80" s="390"/>
    </row>
    <row r="81" spans="63:74" x14ac:dyDescent="0.2">
      <c r="BK81" s="390"/>
      <c r="BL81" s="390"/>
      <c r="BM81" s="390"/>
      <c r="BN81" s="390"/>
      <c r="BO81" s="390"/>
      <c r="BP81" s="390"/>
      <c r="BQ81" s="390"/>
      <c r="BR81" s="390"/>
      <c r="BS81" s="390"/>
      <c r="BT81" s="390"/>
      <c r="BU81" s="390"/>
      <c r="BV81" s="390"/>
    </row>
    <row r="82" spans="63:74" x14ac:dyDescent="0.2">
      <c r="BK82" s="390"/>
      <c r="BL82" s="390"/>
      <c r="BM82" s="390"/>
      <c r="BN82" s="390"/>
      <c r="BO82" s="390"/>
      <c r="BP82" s="390"/>
      <c r="BQ82" s="390"/>
      <c r="BR82" s="390"/>
      <c r="BS82" s="390"/>
      <c r="BT82" s="390"/>
      <c r="BU82" s="390"/>
      <c r="BV82" s="390"/>
    </row>
    <row r="83" spans="63:74" x14ac:dyDescent="0.2">
      <c r="BK83" s="390"/>
      <c r="BL83" s="390"/>
      <c r="BM83" s="390"/>
      <c r="BN83" s="390"/>
      <c r="BO83" s="390"/>
      <c r="BP83" s="390"/>
      <c r="BQ83" s="390"/>
      <c r="BR83" s="390"/>
      <c r="BS83" s="390"/>
      <c r="BT83" s="390"/>
      <c r="BU83" s="390"/>
      <c r="BV83" s="390"/>
    </row>
    <row r="84" spans="63:74" x14ac:dyDescent="0.2">
      <c r="BK84" s="390"/>
      <c r="BL84" s="390"/>
      <c r="BM84" s="390"/>
      <c r="BN84" s="390"/>
      <c r="BO84" s="390"/>
      <c r="BP84" s="390"/>
      <c r="BQ84" s="390"/>
      <c r="BR84" s="390"/>
      <c r="BS84" s="390"/>
      <c r="BT84" s="390"/>
      <c r="BU84" s="390"/>
      <c r="BV84" s="390"/>
    </row>
    <row r="85" spans="63:74" x14ac:dyDescent="0.2">
      <c r="BK85" s="390"/>
      <c r="BL85" s="390"/>
      <c r="BM85" s="390"/>
      <c r="BN85" s="390"/>
      <c r="BO85" s="390"/>
      <c r="BP85" s="390"/>
      <c r="BQ85" s="390"/>
      <c r="BR85" s="390"/>
      <c r="BS85" s="390"/>
      <c r="BT85" s="390"/>
      <c r="BU85" s="390"/>
      <c r="BV85" s="390"/>
    </row>
    <row r="86" spans="63:74" x14ac:dyDescent="0.2">
      <c r="BK86" s="390"/>
      <c r="BL86" s="390"/>
      <c r="BM86" s="390"/>
      <c r="BN86" s="390"/>
      <c r="BO86" s="390"/>
      <c r="BP86" s="390"/>
      <c r="BQ86" s="390"/>
      <c r="BR86" s="390"/>
      <c r="BS86" s="390"/>
      <c r="BT86" s="390"/>
      <c r="BU86" s="390"/>
      <c r="BV86" s="390"/>
    </row>
    <row r="87" spans="63:74" x14ac:dyDescent="0.2">
      <c r="BK87" s="390"/>
      <c r="BL87" s="390"/>
      <c r="BM87" s="390"/>
      <c r="BN87" s="390"/>
      <c r="BO87" s="390"/>
      <c r="BP87" s="390"/>
      <c r="BQ87" s="390"/>
      <c r="BR87" s="390"/>
      <c r="BS87" s="390"/>
      <c r="BT87" s="390"/>
      <c r="BU87" s="390"/>
      <c r="BV87" s="390"/>
    </row>
    <row r="88" spans="63:74" x14ac:dyDescent="0.2">
      <c r="BK88" s="390"/>
      <c r="BL88" s="390"/>
      <c r="BM88" s="390"/>
      <c r="BN88" s="390"/>
      <c r="BO88" s="390"/>
      <c r="BP88" s="390"/>
      <c r="BQ88" s="390"/>
      <c r="BR88" s="390"/>
      <c r="BS88" s="390"/>
      <c r="BT88" s="390"/>
      <c r="BU88" s="390"/>
      <c r="BV88" s="390"/>
    </row>
    <row r="89" spans="63:74" x14ac:dyDescent="0.2">
      <c r="BK89" s="390"/>
      <c r="BL89" s="390"/>
      <c r="BM89" s="390"/>
      <c r="BN89" s="390"/>
      <c r="BO89" s="390"/>
      <c r="BP89" s="390"/>
      <c r="BQ89" s="390"/>
      <c r="BR89" s="390"/>
      <c r="BS89" s="390"/>
      <c r="BT89" s="390"/>
      <c r="BU89" s="390"/>
      <c r="BV89" s="390"/>
    </row>
    <row r="90" spans="63:74" x14ac:dyDescent="0.2">
      <c r="BK90" s="390"/>
      <c r="BL90" s="390"/>
      <c r="BM90" s="390"/>
      <c r="BN90" s="390"/>
      <c r="BO90" s="390"/>
      <c r="BP90" s="390"/>
      <c r="BQ90" s="390"/>
      <c r="BR90" s="390"/>
      <c r="BS90" s="390"/>
      <c r="BT90" s="390"/>
      <c r="BU90" s="390"/>
      <c r="BV90" s="390"/>
    </row>
    <row r="91" spans="63:74" x14ac:dyDescent="0.2">
      <c r="BK91" s="390"/>
      <c r="BL91" s="390"/>
      <c r="BM91" s="390"/>
      <c r="BN91" s="390"/>
      <c r="BO91" s="390"/>
      <c r="BP91" s="390"/>
      <c r="BQ91" s="390"/>
      <c r="BR91" s="390"/>
      <c r="BS91" s="390"/>
      <c r="BT91" s="390"/>
      <c r="BU91" s="390"/>
      <c r="BV91" s="390"/>
    </row>
    <row r="92" spans="63:74" x14ac:dyDescent="0.2">
      <c r="BK92" s="390"/>
      <c r="BL92" s="390"/>
      <c r="BM92" s="390"/>
      <c r="BN92" s="390"/>
      <c r="BO92" s="390"/>
      <c r="BP92" s="390"/>
      <c r="BQ92" s="390"/>
      <c r="BR92" s="390"/>
      <c r="BS92" s="390"/>
      <c r="BT92" s="390"/>
      <c r="BU92" s="390"/>
      <c r="BV92" s="390"/>
    </row>
    <row r="93" spans="63:74" x14ac:dyDescent="0.2">
      <c r="BK93" s="390"/>
      <c r="BL93" s="390"/>
      <c r="BM93" s="390"/>
      <c r="BN93" s="390"/>
      <c r="BO93" s="390"/>
      <c r="BP93" s="390"/>
      <c r="BQ93" s="390"/>
      <c r="BR93" s="390"/>
      <c r="BS93" s="390"/>
      <c r="BT93" s="390"/>
      <c r="BU93" s="390"/>
      <c r="BV93" s="390"/>
    </row>
    <row r="94" spans="63:74" x14ac:dyDescent="0.2">
      <c r="BK94" s="390"/>
      <c r="BL94" s="390"/>
      <c r="BM94" s="390"/>
      <c r="BN94" s="390"/>
      <c r="BO94" s="390"/>
      <c r="BP94" s="390"/>
      <c r="BQ94" s="390"/>
      <c r="BR94" s="390"/>
      <c r="BS94" s="390"/>
      <c r="BT94" s="390"/>
      <c r="BU94" s="390"/>
      <c r="BV94" s="390"/>
    </row>
    <row r="95" spans="63:74" x14ac:dyDescent="0.2">
      <c r="BK95" s="390"/>
      <c r="BL95" s="390"/>
      <c r="BM95" s="390"/>
      <c r="BN95" s="390"/>
      <c r="BO95" s="390"/>
      <c r="BP95" s="390"/>
      <c r="BQ95" s="390"/>
      <c r="BR95" s="390"/>
      <c r="BS95" s="390"/>
      <c r="BT95" s="390"/>
      <c r="BU95" s="390"/>
      <c r="BV95" s="390"/>
    </row>
    <row r="96" spans="63:74" x14ac:dyDescent="0.2">
      <c r="BK96" s="390"/>
      <c r="BL96" s="390"/>
      <c r="BM96" s="390"/>
      <c r="BN96" s="390"/>
      <c r="BO96" s="390"/>
      <c r="BP96" s="390"/>
      <c r="BQ96" s="390"/>
      <c r="BR96" s="390"/>
      <c r="BS96" s="390"/>
      <c r="BT96" s="390"/>
      <c r="BU96" s="390"/>
      <c r="BV96" s="390"/>
    </row>
    <row r="97" spans="63:74" x14ac:dyDescent="0.2">
      <c r="BK97" s="390"/>
      <c r="BL97" s="390"/>
      <c r="BM97" s="390"/>
      <c r="BN97" s="390"/>
      <c r="BO97" s="390"/>
      <c r="BP97" s="390"/>
      <c r="BQ97" s="390"/>
      <c r="BR97" s="390"/>
      <c r="BS97" s="390"/>
      <c r="BT97" s="390"/>
      <c r="BU97" s="390"/>
      <c r="BV97" s="390"/>
    </row>
    <row r="98" spans="63:74" x14ac:dyDescent="0.2">
      <c r="BK98" s="390"/>
      <c r="BL98" s="390"/>
      <c r="BM98" s="390"/>
      <c r="BN98" s="390"/>
      <c r="BO98" s="390"/>
      <c r="BP98" s="390"/>
      <c r="BQ98" s="390"/>
      <c r="BR98" s="390"/>
      <c r="BS98" s="390"/>
      <c r="BT98" s="390"/>
      <c r="BU98" s="390"/>
      <c r="BV98" s="390"/>
    </row>
    <row r="99" spans="63:74" x14ac:dyDescent="0.2">
      <c r="BK99" s="390"/>
      <c r="BL99" s="390"/>
      <c r="BM99" s="390"/>
      <c r="BN99" s="390"/>
      <c r="BO99" s="390"/>
      <c r="BP99" s="390"/>
      <c r="BQ99" s="390"/>
      <c r="BR99" s="390"/>
      <c r="BS99" s="390"/>
      <c r="BT99" s="390"/>
      <c r="BU99" s="390"/>
      <c r="BV99" s="390"/>
    </row>
    <row r="100" spans="63:74" x14ac:dyDescent="0.2">
      <c r="BK100" s="390"/>
      <c r="BL100" s="390"/>
      <c r="BM100" s="390"/>
      <c r="BN100" s="390"/>
      <c r="BO100" s="390"/>
      <c r="BP100" s="390"/>
      <c r="BQ100" s="390"/>
      <c r="BR100" s="390"/>
      <c r="BS100" s="390"/>
      <c r="BT100" s="390"/>
      <c r="BU100" s="390"/>
      <c r="BV100" s="390"/>
    </row>
    <row r="101" spans="63:74" x14ac:dyDescent="0.2">
      <c r="BK101" s="390"/>
      <c r="BL101" s="390"/>
      <c r="BM101" s="390"/>
      <c r="BN101" s="390"/>
      <c r="BO101" s="390"/>
      <c r="BP101" s="390"/>
      <c r="BQ101" s="390"/>
      <c r="BR101" s="390"/>
      <c r="BS101" s="390"/>
      <c r="BT101" s="390"/>
      <c r="BU101" s="390"/>
      <c r="BV101" s="390"/>
    </row>
    <row r="102" spans="63:74" x14ac:dyDescent="0.2">
      <c r="BK102" s="390"/>
      <c r="BL102" s="390"/>
      <c r="BM102" s="390"/>
      <c r="BN102" s="390"/>
      <c r="BO102" s="390"/>
      <c r="BP102" s="390"/>
      <c r="BQ102" s="390"/>
      <c r="BR102" s="390"/>
      <c r="BS102" s="390"/>
      <c r="BT102" s="390"/>
      <c r="BU102" s="390"/>
      <c r="BV102" s="390"/>
    </row>
    <row r="103" spans="63:74" x14ac:dyDescent="0.2">
      <c r="BK103" s="390"/>
      <c r="BL103" s="390"/>
      <c r="BM103" s="390"/>
      <c r="BN103" s="390"/>
      <c r="BO103" s="390"/>
      <c r="BP103" s="390"/>
      <c r="BQ103" s="390"/>
      <c r="BR103" s="390"/>
      <c r="BS103" s="390"/>
      <c r="BT103" s="390"/>
      <c r="BU103" s="390"/>
      <c r="BV103" s="390"/>
    </row>
    <row r="104" spans="63:74" x14ac:dyDescent="0.2">
      <c r="BK104" s="390"/>
      <c r="BL104" s="390"/>
      <c r="BM104" s="390"/>
      <c r="BN104" s="390"/>
      <c r="BO104" s="390"/>
      <c r="BP104" s="390"/>
      <c r="BQ104" s="390"/>
      <c r="BR104" s="390"/>
      <c r="BS104" s="390"/>
      <c r="BT104" s="390"/>
      <c r="BU104" s="390"/>
      <c r="BV104" s="390"/>
    </row>
    <row r="105" spans="63:74" x14ac:dyDescent="0.2">
      <c r="BK105" s="390"/>
      <c r="BL105" s="390"/>
      <c r="BM105" s="390"/>
      <c r="BN105" s="390"/>
      <c r="BO105" s="390"/>
      <c r="BP105" s="390"/>
      <c r="BQ105" s="390"/>
      <c r="BR105" s="390"/>
      <c r="BS105" s="390"/>
      <c r="BT105" s="390"/>
      <c r="BU105" s="390"/>
      <c r="BV105" s="390"/>
    </row>
    <row r="106" spans="63:74" x14ac:dyDescent="0.2">
      <c r="BK106" s="390"/>
      <c r="BL106" s="390"/>
      <c r="BM106" s="390"/>
      <c r="BN106" s="390"/>
      <c r="BO106" s="390"/>
      <c r="BP106" s="390"/>
      <c r="BQ106" s="390"/>
      <c r="BR106" s="390"/>
      <c r="BS106" s="390"/>
      <c r="BT106" s="390"/>
      <c r="BU106" s="390"/>
      <c r="BV106" s="390"/>
    </row>
    <row r="107" spans="63:74" x14ac:dyDescent="0.2">
      <c r="BK107" s="390"/>
      <c r="BL107" s="390"/>
      <c r="BM107" s="390"/>
      <c r="BN107" s="390"/>
      <c r="BO107" s="390"/>
      <c r="BP107" s="390"/>
      <c r="BQ107" s="390"/>
      <c r="BR107" s="390"/>
      <c r="BS107" s="390"/>
      <c r="BT107" s="390"/>
      <c r="BU107" s="390"/>
      <c r="BV107" s="390"/>
    </row>
    <row r="108" spans="63:74" x14ac:dyDescent="0.2">
      <c r="BK108" s="390"/>
      <c r="BL108" s="390"/>
      <c r="BM108" s="390"/>
      <c r="BN108" s="390"/>
      <c r="BO108" s="390"/>
      <c r="BP108" s="390"/>
      <c r="BQ108" s="390"/>
      <c r="BR108" s="390"/>
      <c r="BS108" s="390"/>
      <c r="BT108" s="390"/>
      <c r="BU108" s="390"/>
      <c r="BV108" s="390"/>
    </row>
    <row r="109" spans="63:74" x14ac:dyDescent="0.2">
      <c r="BK109" s="390"/>
      <c r="BL109" s="390"/>
      <c r="BM109" s="390"/>
      <c r="BN109" s="390"/>
      <c r="BO109" s="390"/>
      <c r="BP109" s="390"/>
      <c r="BQ109" s="390"/>
      <c r="BR109" s="390"/>
      <c r="BS109" s="390"/>
      <c r="BT109" s="390"/>
      <c r="BU109" s="390"/>
      <c r="BV109" s="390"/>
    </row>
    <row r="110" spans="63:74" x14ac:dyDescent="0.2">
      <c r="BK110" s="390"/>
      <c r="BL110" s="390"/>
      <c r="BM110" s="390"/>
      <c r="BN110" s="390"/>
      <c r="BO110" s="390"/>
      <c r="BP110" s="390"/>
      <c r="BQ110" s="390"/>
      <c r="BR110" s="390"/>
      <c r="BS110" s="390"/>
      <c r="BT110" s="390"/>
      <c r="BU110" s="390"/>
      <c r="BV110" s="390"/>
    </row>
    <row r="111" spans="63:74" x14ac:dyDescent="0.2">
      <c r="BK111" s="390"/>
      <c r="BL111" s="390"/>
      <c r="BM111" s="390"/>
      <c r="BN111" s="390"/>
      <c r="BO111" s="390"/>
      <c r="BP111" s="390"/>
      <c r="BQ111" s="390"/>
      <c r="BR111" s="390"/>
      <c r="BS111" s="390"/>
      <c r="BT111" s="390"/>
      <c r="BU111" s="390"/>
      <c r="BV111" s="390"/>
    </row>
    <row r="112" spans="63:74" x14ac:dyDescent="0.2">
      <c r="BK112" s="390"/>
      <c r="BL112" s="390"/>
      <c r="BM112" s="390"/>
      <c r="BN112" s="390"/>
      <c r="BO112" s="390"/>
      <c r="BP112" s="390"/>
      <c r="BQ112" s="390"/>
      <c r="BR112" s="390"/>
      <c r="BS112" s="390"/>
      <c r="BT112" s="390"/>
      <c r="BU112" s="390"/>
      <c r="BV112" s="390"/>
    </row>
    <row r="113" spans="63:74" x14ac:dyDescent="0.2">
      <c r="BK113" s="390"/>
      <c r="BL113" s="390"/>
      <c r="BM113" s="390"/>
      <c r="BN113" s="390"/>
      <c r="BO113" s="390"/>
      <c r="BP113" s="390"/>
      <c r="BQ113" s="390"/>
      <c r="BR113" s="390"/>
      <c r="BS113" s="390"/>
      <c r="BT113" s="390"/>
      <c r="BU113" s="390"/>
      <c r="BV113" s="390"/>
    </row>
    <row r="114" spans="63:74" x14ac:dyDescent="0.2">
      <c r="BK114" s="390"/>
      <c r="BL114" s="390"/>
      <c r="BM114" s="390"/>
      <c r="BN114" s="390"/>
      <c r="BO114" s="390"/>
      <c r="BP114" s="390"/>
      <c r="BQ114" s="390"/>
      <c r="BR114" s="390"/>
      <c r="BS114" s="390"/>
      <c r="BT114" s="390"/>
      <c r="BU114" s="390"/>
      <c r="BV114" s="390"/>
    </row>
    <row r="115" spans="63:74" x14ac:dyDescent="0.2">
      <c r="BK115" s="390"/>
      <c r="BL115" s="390"/>
      <c r="BM115" s="390"/>
      <c r="BN115" s="390"/>
      <c r="BO115" s="390"/>
      <c r="BP115" s="390"/>
      <c r="BQ115" s="390"/>
      <c r="BR115" s="390"/>
      <c r="BS115" s="390"/>
      <c r="BT115" s="390"/>
      <c r="BU115" s="390"/>
      <c r="BV115" s="390"/>
    </row>
    <row r="116" spans="63:74" x14ac:dyDescent="0.2">
      <c r="BK116" s="390"/>
      <c r="BL116" s="390"/>
      <c r="BM116" s="390"/>
      <c r="BN116" s="390"/>
      <c r="BO116" s="390"/>
      <c r="BP116" s="390"/>
      <c r="BQ116" s="390"/>
      <c r="BR116" s="390"/>
      <c r="BS116" s="390"/>
      <c r="BT116" s="390"/>
      <c r="BU116" s="390"/>
      <c r="BV116" s="390"/>
    </row>
    <row r="117" spans="63:74" x14ac:dyDescent="0.2">
      <c r="BK117" s="390"/>
      <c r="BL117" s="390"/>
      <c r="BM117" s="390"/>
      <c r="BN117" s="390"/>
      <c r="BO117" s="390"/>
      <c r="BP117" s="390"/>
      <c r="BQ117" s="390"/>
      <c r="BR117" s="390"/>
      <c r="BS117" s="390"/>
      <c r="BT117" s="390"/>
      <c r="BU117" s="390"/>
      <c r="BV117" s="390"/>
    </row>
    <row r="118" spans="63:74" x14ac:dyDescent="0.2">
      <c r="BK118" s="390"/>
      <c r="BL118" s="390"/>
      <c r="BM118" s="390"/>
      <c r="BN118" s="390"/>
      <c r="BO118" s="390"/>
      <c r="BP118" s="390"/>
      <c r="BQ118" s="390"/>
      <c r="BR118" s="390"/>
      <c r="BS118" s="390"/>
      <c r="BT118" s="390"/>
      <c r="BU118" s="390"/>
      <c r="BV118" s="390"/>
    </row>
    <row r="119" spans="63:74" x14ac:dyDescent="0.2">
      <c r="BK119" s="390"/>
      <c r="BL119" s="390"/>
      <c r="BM119" s="390"/>
      <c r="BN119" s="390"/>
      <c r="BO119" s="390"/>
      <c r="BP119" s="390"/>
      <c r="BQ119" s="390"/>
      <c r="BR119" s="390"/>
      <c r="BS119" s="390"/>
      <c r="BT119" s="390"/>
      <c r="BU119" s="390"/>
      <c r="BV119" s="390"/>
    </row>
    <row r="120" spans="63:74" x14ac:dyDescent="0.2">
      <c r="BK120" s="390"/>
      <c r="BL120" s="390"/>
      <c r="BM120" s="390"/>
      <c r="BN120" s="390"/>
      <c r="BO120" s="390"/>
      <c r="BP120" s="390"/>
      <c r="BQ120" s="390"/>
      <c r="BR120" s="390"/>
      <c r="BS120" s="390"/>
      <c r="BT120" s="390"/>
      <c r="BU120" s="390"/>
      <c r="BV120" s="390"/>
    </row>
    <row r="121" spans="63:74" x14ac:dyDescent="0.2">
      <c r="BK121" s="390"/>
      <c r="BL121" s="390"/>
      <c r="BM121" s="390"/>
      <c r="BN121" s="390"/>
      <c r="BO121" s="390"/>
      <c r="BP121" s="390"/>
      <c r="BQ121" s="390"/>
      <c r="BR121" s="390"/>
      <c r="BS121" s="390"/>
      <c r="BT121" s="390"/>
      <c r="BU121" s="390"/>
      <c r="BV121" s="390"/>
    </row>
    <row r="122" spans="63:74" x14ac:dyDescent="0.2">
      <c r="BK122" s="390"/>
      <c r="BL122" s="390"/>
      <c r="BM122" s="390"/>
      <c r="BN122" s="390"/>
      <c r="BO122" s="390"/>
      <c r="BP122" s="390"/>
      <c r="BQ122" s="390"/>
      <c r="BR122" s="390"/>
      <c r="BS122" s="390"/>
      <c r="BT122" s="390"/>
      <c r="BU122" s="390"/>
      <c r="BV122" s="390"/>
    </row>
    <row r="123" spans="63:74" x14ac:dyDescent="0.2">
      <c r="BK123" s="390"/>
      <c r="BL123" s="390"/>
      <c r="BM123" s="390"/>
      <c r="BN123" s="390"/>
      <c r="BO123" s="390"/>
      <c r="BP123" s="390"/>
      <c r="BQ123" s="390"/>
      <c r="BR123" s="390"/>
      <c r="BS123" s="390"/>
      <c r="BT123" s="390"/>
      <c r="BU123" s="390"/>
      <c r="BV123" s="390"/>
    </row>
    <row r="124" spans="63:74" x14ac:dyDescent="0.2">
      <c r="BK124" s="390"/>
      <c r="BL124" s="390"/>
      <c r="BM124" s="390"/>
      <c r="BN124" s="390"/>
      <c r="BO124" s="390"/>
      <c r="BP124" s="390"/>
      <c r="BQ124" s="390"/>
      <c r="BR124" s="390"/>
      <c r="BS124" s="390"/>
      <c r="BT124" s="390"/>
      <c r="BU124" s="390"/>
      <c r="BV124" s="390"/>
    </row>
    <row r="125" spans="63:74" x14ac:dyDescent="0.2">
      <c r="BK125" s="390"/>
      <c r="BL125" s="390"/>
      <c r="BM125" s="390"/>
      <c r="BN125" s="390"/>
      <c r="BO125" s="390"/>
      <c r="BP125" s="390"/>
      <c r="BQ125" s="390"/>
      <c r="BR125" s="390"/>
      <c r="BS125" s="390"/>
      <c r="BT125" s="390"/>
      <c r="BU125" s="390"/>
      <c r="BV125" s="390"/>
    </row>
    <row r="126" spans="63:74" x14ac:dyDescent="0.2">
      <c r="BK126" s="390"/>
      <c r="BL126" s="390"/>
      <c r="BM126" s="390"/>
      <c r="BN126" s="390"/>
      <c r="BO126" s="390"/>
      <c r="BP126" s="390"/>
      <c r="BQ126" s="390"/>
      <c r="BR126" s="390"/>
      <c r="BS126" s="390"/>
      <c r="BT126" s="390"/>
      <c r="BU126" s="390"/>
      <c r="BV126" s="390"/>
    </row>
    <row r="127" spans="63:74" x14ac:dyDescent="0.2">
      <c r="BK127" s="390"/>
      <c r="BL127" s="390"/>
      <c r="BM127" s="390"/>
      <c r="BN127" s="390"/>
      <c r="BO127" s="390"/>
      <c r="BP127" s="390"/>
      <c r="BQ127" s="390"/>
      <c r="BR127" s="390"/>
      <c r="BS127" s="390"/>
      <c r="BT127" s="390"/>
      <c r="BU127" s="390"/>
      <c r="BV127" s="390"/>
    </row>
    <row r="128" spans="63:74" x14ac:dyDescent="0.2">
      <c r="BK128" s="390"/>
      <c r="BL128" s="390"/>
      <c r="BM128" s="390"/>
      <c r="BN128" s="390"/>
      <c r="BO128" s="390"/>
      <c r="BP128" s="390"/>
      <c r="BQ128" s="390"/>
      <c r="BR128" s="390"/>
      <c r="BS128" s="390"/>
      <c r="BT128" s="390"/>
      <c r="BU128" s="390"/>
      <c r="BV128" s="390"/>
    </row>
    <row r="129" spans="63:74" x14ac:dyDescent="0.2">
      <c r="BK129" s="390"/>
      <c r="BL129" s="390"/>
      <c r="BM129" s="390"/>
      <c r="BN129" s="390"/>
      <c r="BO129" s="390"/>
      <c r="BP129" s="390"/>
      <c r="BQ129" s="390"/>
      <c r="BR129" s="390"/>
      <c r="BS129" s="390"/>
      <c r="BT129" s="390"/>
      <c r="BU129" s="390"/>
      <c r="BV129" s="390"/>
    </row>
    <row r="130" spans="63:74" x14ac:dyDescent="0.2">
      <c r="BK130" s="390"/>
      <c r="BL130" s="390"/>
      <c r="BM130" s="390"/>
      <c r="BN130" s="390"/>
      <c r="BO130" s="390"/>
      <c r="BP130" s="390"/>
      <c r="BQ130" s="390"/>
      <c r="BR130" s="390"/>
      <c r="BS130" s="390"/>
      <c r="BT130" s="390"/>
      <c r="BU130" s="390"/>
      <c r="BV130" s="390"/>
    </row>
    <row r="131" spans="63:74" x14ac:dyDescent="0.2">
      <c r="BK131" s="390"/>
      <c r="BL131" s="390"/>
      <c r="BM131" s="390"/>
      <c r="BN131" s="390"/>
      <c r="BO131" s="390"/>
      <c r="BP131" s="390"/>
      <c r="BQ131" s="390"/>
      <c r="BR131" s="390"/>
      <c r="BS131" s="390"/>
      <c r="BT131" s="390"/>
      <c r="BU131" s="390"/>
      <c r="BV131" s="390"/>
    </row>
    <row r="132" spans="63:74" x14ac:dyDescent="0.2">
      <c r="BK132" s="390"/>
      <c r="BL132" s="390"/>
      <c r="BM132" s="390"/>
      <c r="BN132" s="390"/>
      <c r="BO132" s="390"/>
      <c r="BP132" s="390"/>
      <c r="BQ132" s="390"/>
      <c r="BR132" s="390"/>
      <c r="BS132" s="390"/>
      <c r="BT132" s="390"/>
      <c r="BU132" s="390"/>
      <c r="BV132" s="390"/>
    </row>
    <row r="133" spans="63:74" x14ac:dyDescent="0.2">
      <c r="BK133" s="390"/>
      <c r="BL133" s="390"/>
      <c r="BM133" s="390"/>
      <c r="BN133" s="390"/>
      <c r="BO133" s="390"/>
      <c r="BP133" s="390"/>
      <c r="BQ133" s="390"/>
      <c r="BR133" s="390"/>
      <c r="BS133" s="390"/>
      <c r="BT133" s="390"/>
      <c r="BU133" s="390"/>
      <c r="BV133" s="390"/>
    </row>
    <row r="134" spans="63:74" x14ac:dyDescent="0.2">
      <c r="BK134" s="390"/>
      <c r="BL134" s="390"/>
      <c r="BM134" s="390"/>
      <c r="BN134" s="390"/>
      <c r="BO134" s="390"/>
      <c r="BP134" s="390"/>
      <c r="BQ134" s="390"/>
      <c r="BR134" s="390"/>
      <c r="BS134" s="390"/>
      <c r="BT134" s="390"/>
      <c r="BU134" s="390"/>
      <c r="BV134" s="390"/>
    </row>
    <row r="135" spans="63:74" x14ac:dyDescent="0.2">
      <c r="BK135" s="390"/>
      <c r="BL135" s="390"/>
      <c r="BM135" s="390"/>
      <c r="BN135" s="390"/>
      <c r="BO135" s="390"/>
      <c r="BP135" s="390"/>
      <c r="BQ135" s="390"/>
      <c r="BR135" s="390"/>
      <c r="BS135" s="390"/>
      <c r="BT135" s="390"/>
      <c r="BU135" s="390"/>
      <c r="BV135" s="390"/>
    </row>
    <row r="136" spans="63:74" x14ac:dyDescent="0.2">
      <c r="BK136" s="390"/>
      <c r="BL136" s="390"/>
      <c r="BM136" s="390"/>
      <c r="BN136" s="390"/>
      <c r="BO136" s="390"/>
      <c r="BP136" s="390"/>
      <c r="BQ136" s="390"/>
      <c r="BR136" s="390"/>
      <c r="BS136" s="390"/>
      <c r="BT136" s="390"/>
      <c r="BU136" s="390"/>
      <c r="BV136" s="390"/>
    </row>
    <row r="137" spans="63:74" x14ac:dyDescent="0.2">
      <c r="BK137" s="390"/>
      <c r="BL137" s="390"/>
      <c r="BM137" s="390"/>
      <c r="BN137" s="390"/>
      <c r="BO137" s="390"/>
      <c r="BP137" s="390"/>
      <c r="BQ137" s="390"/>
      <c r="BR137" s="390"/>
      <c r="BS137" s="390"/>
      <c r="BT137" s="390"/>
      <c r="BU137" s="390"/>
      <c r="BV137" s="390"/>
    </row>
    <row r="138" spans="63:74" x14ac:dyDescent="0.2">
      <c r="BK138" s="390"/>
      <c r="BL138" s="390"/>
      <c r="BM138" s="390"/>
      <c r="BN138" s="390"/>
      <c r="BO138" s="390"/>
      <c r="BP138" s="390"/>
      <c r="BQ138" s="390"/>
      <c r="BR138" s="390"/>
      <c r="BS138" s="390"/>
      <c r="BT138" s="390"/>
      <c r="BU138" s="390"/>
      <c r="BV138" s="390"/>
    </row>
    <row r="139" spans="63:74" x14ac:dyDescent="0.2">
      <c r="BK139" s="390"/>
      <c r="BL139" s="390"/>
      <c r="BM139" s="390"/>
      <c r="BN139" s="390"/>
      <c r="BO139" s="390"/>
      <c r="BP139" s="390"/>
      <c r="BQ139" s="390"/>
      <c r="BR139" s="390"/>
      <c r="BS139" s="390"/>
      <c r="BT139" s="390"/>
      <c r="BU139" s="390"/>
      <c r="BV139" s="390"/>
    </row>
    <row r="140" spans="63:74" x14ac:dyDescent="0.2">
      <c r="BK140" s="390"/>
      <c r="BL140" s="390"/>
      <c r="BM140" s="390"/>
      <c r="BN140" s="390"/>
      <c r="BO140" s="390"/>
      <c r="BP140" s="390"/>
      <c r="BQ140" s="390"/>
      <c r="BR140" s="390"/>
      <c r="BS140" s="390"/>
      <c r="BT140" s="390"/>
      <c r="BU140" s="390"/>
      <c r="BV140" s="390"/>
    </row>
    <row r="141" spans="63:74" x14ac:dyDescent="0.2">
      <c r="BK141" s="390"/>
      <c r="BL141" s="390"/>
      <c r="BM141" s="390"/>
      <c r="BN141" s="390"/>
      <c r="BO141" s="390"/>
      <c r="BP141" s="390"/>
      <c r="BQ141" s="390"/>
      <c r="BR141" s="390"/>
      <c r="BS141" s="390"/>
      <c r="BT141" s="390"/>
      <c r="BU141" s="390"/>
      <c r="BV141" s="390"/>
    </row>
    <row r="142" spans="63:74" x14ac:dyDescent="0.2">
      <c r="BK142" s="390"/>
      <c r="BL142" s="390"/>
      <c r="BM142" s="390"/>
      <c r="BN142" s="390"/>
      <c r="BO142" s="390"/>
      <c r="BP142" s="390"/>
      <c r="BQ142" s="390"/>
      <c r="BR142" s="390"/>
      <c r="BS142" s="390"/>
      <c r="BT142" s="390"/>
      <c r="BU142" s="390"/>
      <c r="BV142" s="390"/>
    </row>
    <row r="143" spans="63:74" x14ac:dyDescent="0.2">
      <c r="BK143" s="390"/>
      <c r="BL143" s="390"/>
      <c r="BM143" s="390"/>
      <c r="BN143" s="390"/>
      <c r="BO143" s="390"/>
      <c r="BP143" s="390"/>
      <c r="BQ143" s="390"/>
      <c r="BR143" s="390"/>
      <c r="BS143" s="390"/>
      <c r="BT143" s="390"/>
      <c r="BU143" s="390"/>
      <c r="BV143" s="390"/>
    </row>
    <row r="144" spans="63:74" x14ac:dyDescent="0.2">
      <c r="BK144" s="390"/>
      <c r="BL144" s="390"/>
      <c r="BM144" s="390"/>
      <c r="BN144" s="390"/>
      <c r="BO144" s="390"/>
      <c r="BP144" s="390"/>
      <c r="BQ144" s="390"/>
      <c r="BR144" s="390"/>
      <c r="BS144" s="390"/>
      <c r="BT144" s="390"/>
      <c r="BU144" s="390"/>
      <c r="BV144" s="390"/>
    </row>
    <row r="145" spans="63:74" x14ac:dyDescent="0.2">
      <c r="BK145" s="390"/>
      <c r="BL145" s="390"/>
      <c r="BM145" s="390"/>
      <c r="BN145" s="390"/>
      <c r="BO145" s="390"/>
      <c r="BP145" s="390"/>
      <c r="BQ145" s="390"/>
      <c r="BR145" s="390"/>
      <c r="BS145" s="390"/>
      <c r="BT145" s="390"/>
      <c r="BU145" s="390"/>
      <c r="BV145" s="390"/>
    </row>
    <row r="177" spans="2:74" ht="9" customHeight="1" x14ac:dyDescent="0.2"/>
    <row r="178" spans="2:74" ht="9" customHeight="1" x14ac:dyDescent="0.2">
      <c r="B178" s="80"/>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c r="AA178" s="81"/>
      <c r="AB178" s="81"/>
      <c r="AC178" s="81"/>
      <c r="AD178" s="81"/>
      <c r="AE178" s="81"/>
      <c r="AF178" s="81"/>
      <c r="AG178" s="81"/>
      <c r="AH178" s="81"/>
      <c r="AI178" s="81"/>
      <c r="AJ178" s="81"/>
      <c r="AK178" s="81"/>
      <c r="AL178" s="81"/>
      <c r="AM178" s="81"/>
      <c r="AN178" s="81"/>
      <c r="AO178" s="81"/>
      <c r="AP178" s="81"/>
      <c r="AQ178" s="81"/>
      <c r="AR178" s="81"/>
      <c r="AS178" s="81"/>
      <c r="AT178" s="81"/>
      <c r="AU178" s="81"/>
      <c r="AV178" s="81"/>
      <c r="AW178" s="81"/>
      <c r="AX178" s="81"/>
      <c r="AY178" s="388"/>
      <c r="AZ178" s="388"/>
      <c r="BA178" s="388"/>
      <c r="BB178" s="388"/>
      <c r="BC178" s="388"/>
      <c r="BD178" s="82"/>
      <c r="BE178" s="82"/>
      <c r="BF178" s="82"/>
      <c r="BG178" s="388"/>
      <c r="BH178" s="388"/>
      <c r="BI178" s="388"/>
      <c r="BJ178" s="388"/>
      <c r="BK178" s="81"/>
      <c r="BL178" s="81"/>
      <c r="BM178" s="81"/>
      <c r="BN178" s="81"/>
      <c r="BO178" s="81"/>
      <c r="BP178" s="81"/>
      <c r="BQ178" s="81"/>
      <c r="BR178" s="81"/>
      <c r="BS178" s="81"/>
      <c r="BT178" s="81"/>
      <c r="BU178" s="81"/>
      <c r="BV178" s="81"/>
    </row>
    <row r="179" spans="2:74" ht="9" customHeight="1" x14ac:dyDescent="0.2">
      <c r="B179" s="80"/>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c r="AA179" s="81"/>
      <c r="AB179" s="81"/>
      <c r="AC179" s="81"/>
      <c r="AD179" s="81"/>
      <c r="AE179" s="81"/>
      <c r="AF179" s="81"/>
      <c r="AG179" s="81"/>
      <c r="AH179" s="81"/>
      <c r="AI179" s="81"/>
      <c r="AJ179" s="81"/>
      <c r="AK179" s="81"/>
      <c r="AL179" s="81"/>
      <c r="AM179" s="81"/>
      <c r="AN179" s="81"/>
      <c r="AO179" s="81"/>
      <c r="AP179" s="81"/>
      <c r="AQ179" s="81"/>
      <c r="AR179" s="81"/>
      <c r="AS179" s="81"/>
      <c r="AT179" s="81"/>
      <c r="AU179" s="81"/>
      <c r="AV179" s="81"/>
      <c r="AW179" s="81"/>
      <c r="AX179" s="81"/>
      <c r="AY179" s="388"/>
      <c r="AZ179" s="388"/>
      <c r="BA179" s="388"/>
      <c r="BB179" s="388"/>
      <c r="BC179" s="388"/>
      <c r="BD179" s="82"/>
      <c r="BE179" s="82"/>
      <c r="BF179" s="82"/>
      <c r="BG179" s="388"/>
      <c r="BH179" s="388"/>
      <c r="BI179" s="388"/>
      <c r="BJ179" s="388"/>
      <c r="BK179" s="81"/>
      <c r="BL179" s="81"/>
      <c r="BM179" s="81"/>
      <c r="BN179" s="81"/>
      <c r="BO179" s="81"/>
      <c r="BP179" s="81"/>
      <c r="BQ179" s="81"/>
      <c r="BR179" s="81"/>
      <c r="BS179" s="81"/>
      <c r="BT179" s="81"/>
      <c r="BU179" s="81"/>
      <c r="BV179" s="81"/>
    </row>
    <row r="180" spans="2:74" ht="9" customHeight="1" x14ac:dyDescent="0.2">
      <c r="B180" s="80"/>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c r="AA180" s="81"/>
      <c r="AB180" s="81"/>
      <c r="AC180" s="81"/>
      <c r="AD180" s="81"/>
      <c r="AE180" s="81"/>
      <c r="AF180" s="81"/>
      <c r="AG180" s="81"/>
      <c r="AH180" s="81"/>
      <c r="AI180" s="81"/>
      <c r="AJ180" s="81"/>
      <c r="AK180" s="81"/>
      <c r="AL180" s="81"/>
      <c r="AM180" s="81"/>
      <c r="AN180" s="81"/>
      <c r="AO180" s="81"/>
      <c r="AP180" s="81"/>
      <c r="AQ180" s="81"/>
      <c r="AR180" s="81"/>
      <c r="AS180" s="81"/>
      <c r="AT180" s="81"/>
      <c r="AU180" s="81"/>
      <c r="AV180" s="81"/>
      <c r="AW180" s="81"/>
      <c r="AX180" s="81"/>
      <c r="AY180" s="388"/>
      <c r="AZ180" s="388"/>
      <c r="BA180" s="388"/>
      <c r="BB180" s="388"/>
      <c r="BC180" s="388"/>
      <c r="BD180" s="82"/>
      <c r="BE180" s="82"/>
      <c r="BF180" s="82"/>
      <c r="BG180" s="388"/>
      <c r="BH180" s="388"/>
      <c r="BI180" s="388"/>
      <c r="BJ180" s="388"/>
      <c r="BK180" s="81"/>
      <c r="BL180" s="81"/>
      <c r="BM180" s="81"/>
      <c r="BN180" s="81"/>
      <c r="BO180" s="81"/>
      <c r="BP180" s="81"/>
      <c r="BQ180" s="81"/>
      <c r="BR180" s="81"/>
      <c r="BS180" s="81"/>
      <c r="BT180" s="81"/>
      <c r="BU180" s="81"/>
      <c r="BV180" s="81"/>
    </row>
    <row r="181" spans="2:74" ht="9" customHeight="1" x14ac:dyDescent="0.2">
      <c r="B181" s="80"/>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c r="AA181" s="81"/>
      <c r="AB181" s="81"/>
      <c r="AC181" s="81"/>
      <c r="AD181" s="81"/>
      <c r="AE181" s="81"/>
      <c r="AF181" s="81"/>
      <c r="AG181" s="81"/>
      <c r="AH181" s="81"/>
      <c r="AI181" s="81"/>
      <c r="AJ181" s="81"/>
      <c r="AK181" s="81"/>
      <c r="AL181" s="81"/>
      <c r="AM181" s="81"/>
      <c r="AN181" s="81"/>
      <c r="AO181" s="81"/>
      <c r="AP181" s="81"/>
      <c r="AQ181" s="81"/>
      <c r="AR181" s="81"/>
      <c r="AS181" s="81"/>
      <c r="AT181" s="81"/>
      <c r="AU181" s="81"/>
      <c r="AV181" s="81"/>
      <c r="AW181" s="81"/>
      <c r="AX181" s="81"/>
      <c r="AY181" s="388"/>
      <c r="AZ181" s="388"/>
      <c r="BA181" s="388"/>
      <c r="BB181" s="388"/>
      <c r="BC181" s="388"/>
      <c r="BD181" s="82"/>
      <c r="BE181" s="82"/>
      <c r="BF181" s="82"/>
      <c r="BG181" s="388"/>
      <c r="BH181" s="388"/>
      <c r="BI181" s="388"/>
      <c r="BJ181" s="388"/>
      <c r="BK181" s="81"/>
      <c r="BL181" s="81"/>
      <c r="BM181" s="81"/>
      <c r="BN181" s="81"/>
      <c r="BO181" s="81"/>
      <c r="BP181" s="81"/>
      <c r="BQ181" s="81"/>
      <c r="BR181" s="81"/>
      <c r="BS181" s="81"/>
      <c r="BT181" s="81"/>
      <c r="BU181" s="81"/>
      <c r="BV181" s="81"/>
    </row>
    <row r="182" spans="2:74" ht="9" customHeight="1" x14ac:dyDescent="0.2">
      <c r="B182" s="80"/>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c r="AA182" s="81"/>
      <c r="AB182" s="81"/>
      <c r="AC182" s="81"/>
      <c r="AD182" s="81"/>
      <c r="AE182" s="81"/>
      <c r="AF182" s="81"/>
      <c r="AG182" s="81"/>
      <c r="AH182" s="81"/>
      <c r="AI182" s="81"/>
      <c r="AJ182" s="81"/>
      <c r="AK182" s="81"/>
      <c r="AL182" s="81"/>
      <c r="AM182" s="81"/>
      <c r="AN182" s="81"/>
      <c r="AO182" s="81"/>
      <c r="AP182" s="81"/>
      <c r="AQ182" s="81"/>
      <c r="AR182" s="81"/>
      <c r="AS182" s="81"/>
      <c r="AT182" s="81"/>
      <c r="AU182" s="81"/>
      <c r="AV182" s="81"/>
      <c r="AW182" s="81"/>
      <c r="AX182" s="81"/>
      <c r="AY182" s="388"/>
      <c r="AZ182" s="388"/>
      <c r="BA182" s="388"/>
      <c r="BB182" s="388"/>
      <c r="BC182" s="388"/>
      <c r="BD182" s="82"/>
      <c r="BE182" s="82"/>
      <c r="BF182" s="82"/>
      <c r="BG182" s="388"/>
      <c r="BH182" s="388"/>
      <c r="BI182" s="388"/>
      <c r="BJ182" s="388"/>
      <c r="BK182" s="81"/>
      <c r="BL182" s="81"/>
      <c r="BM182" s="81"/>
      <c r="BN182" s="81"/>
      <c r="BO182" s="81"/>
      <c r="BP182" s="81"/>
      <c r="BQ182" s="81"/>
      <c r="BR182" s="81"/>
      <c r="BS182" s="81"/>
      <c r="BT182" s="81"/>
      <c r="BU182" s="81"/>
      <c r="BV182" s="81"/>
    </row>
    <row r="183" spans="2:74" x14ac:dyDescent="0.2">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83"/>
      <c r="AU183" s="83"/>
      <c r="AV183" s="83"/>
      <c r="AW183" s="83"/>
      <c r="AX183" s="83"/>
      <c r="AY183" s="522"/>
      <c r="AZ183" s="522"/>
      <c r="BA183" s="522"/>
      <c r="BB183" s="522"/>
      <c r="BC183" s="522"/>
      <c r="BD183" s="650"/>
      <c r="BE183" s="650"/>
      <c r="BF183" s="650"/>
      <c r="BG183" s="522"/>
      <c r="BH183" s="522"/>
      <c r="BI183" s="522"/>
      <c r="BJ183" s="522"/>
      <c r="BK183" s="83"/>
      <c r="BL183" s="83"/>
      <c r="BM183" s="83"/>
      <c r="BN183" s="83"/>
      <c r="BO183" s="83"/>
      <c r="BP183" s="83"/>
      <c r="BQ183" s="83"/>
      <c r="BR183" s="83"/>
      <c r="BS183" s="83"/>
      <c r="BT183" s="83"/>
      <c r="BU183" s="83"/>
      <c r="BV183" s="83"/>
    </row>
    <row r="184" spans="2:74" ht="9" customHeight="1" x14ac:dyDescent="0.2">
      <c r="B184" s="80"/>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c r="AA184" s="81"/>
      <c r="AB184" s="81"/>
      <c r="AC184" s="81"/>
      <c r="AD184" s="81"/>
      <c r="AE184" s="81"/>
      <c r="AF184" s="81"/>
      <c r="AG184" s="81"/>
      <c r="AH184" s="81"/>
      <c r="AI184" s="81"/>
      <c r="AJ184" s="81"/>
      <c r="AK184" s="81"/>
      <c r="AL184" s="81"/>
      <c r="AM184" s="81"/>
      <c r="AN184" s="81"/>
      <c r="AO184" s="81"/>
      <c r="AP184" s="81"/>
      <c r="AQ184" s="81"/>
      <c r="AR184" s="81"/>
      <c r="AS184" s="81"/>
      <c r="AT184" s="81"/>
      <c r="AU184" s="81"/>
      <c r="AV184" s="81"/>
      <c r="AW184" s="81"/>
      <c r="AX184" s="81"/>
      <c r="AY184" s="388"/>
      <c r="AZ184" s="388"/>
      <c r="BA184" s="388"/>
      <c r="BB184" s="388"/>
      <c r="BC184" s="388"/>
      <c r="BD184" s="82"/>
      <c r="BE184" s="82"/>
      <c r="BF184" s="82"/>
      <c r="BG184" s="388"/>
      <c r="BH184" s="388"/>
      <c r="BI184" s="388"/>
      <c r="BJ184" s="388"/>
      <c r="BK184" s="81"/>
      <c r="BL184" s="81"/>
      <c r="BM184" s="81"/>
      <c r="BN184" s="81"/>
      <c r="BO184" s="81"/>
      <c r="BP184" s="81"/>
      <c r="BQ184" s="81"/>
      <c r="BR184" s="81"/>
      <c r="BS184" s="81"/>
      <c r="BT184" s="81"/>
      <c r="BU184" s="81"/>
      <c r="BV184" s="81"/>
    </row>
    <row r="185" spans="2:74" ht="9" customHeight="1" x14ac:dyDescent="0.2">
      <c r="B185" s="80"/>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c r="AA185" s="81"/>
      <c r="AB185" s="81"/>
      <c r="AC185" s="81"/>
      <c r="AD185" s="81"/>
      <c r="AE185" s="81"/>
      <c r="AF185" s="81"/>
      <c r="AG185" s="81"/>
      <c r="AH185" s="81"/>
      <c r="AI185" s="81"/>
      <c r="AJ185" s="81"/>
      <c r="AK185" s="81"/>
      <c r="AL185" s="81"/>
      <c r="AM185" s="81"/>
      <c r="AN185" s="81"/>
      <c r="AO185" s="81"/>
      <c r="AP185" s="81"/>
      <c r="AQ185" s="81"/>
      <c r="AR185" s="81"/>
      <c r="AS185" s="81"/>
      <c r="AT185" s="81"/>
      <c r="AU185" s="81"/>
      <c r="AV185" s="81"/>
      <c r="AW185" s="81"/>
      <c r="AX185" s="81"/>
      <c r="AY185" s="388"/>
      <c r="AZ185" s="388"/>
      <c r="BA185" s="388"/>
      <c r="BB185" s="388"/>
      <c r="BC185" s="388"/>
      <c r="BD185" s="82"/>
      <c r="BE185" s="82"/>
      <c r="BF185" s="82"/>
      <c r="BG185" s="388"/>
      <c r="BH185" s="388"/>
      <c r="BI185" s="388"/>
      <c r="BJ185" s="388"/>
      <c r="BK185" s="81"/>
      <c r="BL185" s="81"/>
      <c r="BM185" s="81"/>
      <c r="BN185" s="81"/>
      <c r="BO185" s="81"/>
      <c r="BP185" s="81"/>
      <c r="BQ185" s="81"/>
      <c r="BR185" s="81"/>
      <c r="BS185" s="81"/>
      <c r="BT185" s="81"/>
      <c r="BU185" s="81"/>
      <c r="BV185" s="81"/>
    </row>
    <row r="186" spans="2:74" ht="9" customHeight="1" x14ac:dyDescent="0.2">
      <c r="B186" s="80"/>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c r="AA186" s="81"/>
      <c r="AB186" s="81"/>
      <c r="AC186" s="81"/>
      <c r="AD186" s="81"/>
      <c r="AE186" s="81"/>
      <c r="AF186" s="81"/>
      <c r="AG186" s="81"/>
      <c r="AH186" s="81"/>
      <c r="AI186" s="81"/>
      <c r="AJ186" s="81"/>
      <c r="AK186" s="81"/>
      <c r="AL186" s="81"/>
      <c r="AM186" s="81"/>
      <c r="AN186" s="81"/>
      <c r="AO186" s="81"/>
      <c r="AP186" s="81"/>
      <c r="AQ186" s="81"/>
      <c r="AR186" s="81"/>
      <c r="AS186" s="81"/>
      <c r="AT186" s="81"/>
      <c r="AU186" s="81"/>
      <c r="AV186" s="81"/>
      <c r="AW186" s="81"/>
      <c r="AX186" s="81"/>
      <c r="AY186" s="388"/>
      <c r="AZ186" s="388"/>
      <c r="BA186" s="388"/>
      <c r="BB186" s="388"/>
      <c r="BC186" s="388"/>
      <c r="BD186" s="82"/>
      <c r="BE186" s="82"/>
      <c r="BF186" s="82"/>
      <c r="BG186" s="388"/>
      <c r="BH186" s="388"/>
      <c r="BI186" s="388"/>
      <c r="BJ186" s="388"/>
      <c r="BK186" s="81"/>
      <c r="BL186" s="81"/>
      <c r="BM186" s="81"/>
      <c r="BN186" s="81"/>
      <c r="BO186" s="81"/>
      <c r="BP186" s="81"/>
      <c r="BQ186" s="81"/>
      <c r="BR186" s="81"/>
      <c r="BS186" s="81"/>
      <c r="BT186" s="81"/>
      <c r="BU186" s="81"/>
      <c r="BV186" s="81"/>
    </row>
    <row r="187" spans="2:74" ht="9" customHeight="1" x14ac:dyDescent="0.2">
      <c r="B187" s="80"/>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c r="AA187" s="81"/>
      <c r="AB187" s="81"/>
      <c r="AC187" s="81"/>
      <c r="AD187" s="81"/>
      <c r="AE187" s="81"/>
      <c r="AF187" s="81"/>
      <c r="AG187" s="81"/>
      <c r="AH187" s="81"/>
      <c r="AI187" s="81"/>
      <c r="AJ187" s="81"/>
      <c r="AK187" s="81"/>
      <c r="AL187" s="81"/>
      <c r="AM187" s="81"/>
      <c r="AN187" s="81"/>
      <c r="AO187" s="81"/>
      <c r="AP187" s="81"/>
      <c r="AQ187" s="81"/>
      <c r="AR187" s="81"/>
      <c r="AS187" s="81"/>
      <c r="AT187" s="81"/>
      <c r="AU187" s="81"/>
      <c r="AV187" s="81"/>
      <c r="AW187" s="81"/>
      <c r="AX187" s="81"/>
      <c r="AY187" s="388"/>
      <c r="AZ187" s="388"/>
      <c r="BA187" s="388"/>
      <c r="BB187" s="388"/>
      <c r="BC187" s="388"/>
      <c r="BD187" s="82"/>
      <c r="BE187" s="82"/>
      <c r="BF187" s="82"/>
      <c r="BG187" s="388"/>
      <c r="BH187" s="388"/>
      <c r="BI187" s="388"/>
      <c r="BJ187" s="388"/>
      <c r="BK187" s="81"/>
      <c r="BL187" s="81"/>
      <c r="BM187" s="81"/>
      <c r="BN187" s="81"/>
      <c r="BO187" s="81"/>
      <c r="BP187" s="81"/>
      <c r="BQ187" s="81"/>
      <c r="BR187" s="81"/>
      <c r="BS187" s="81"/>
      <c r="BT187" s="81"/>
      <c r="BU187" s="81"/>
      <c r="BV187" s="81"/>
    </row>
    <row r="188" spans="2:74" ht="9" customHeight="1" x14ac:dyDescent="0.2"/>
    <row r="189" spans="2:74" ht="9" customHeight="1" x14ac:dyDescent="0.2"/>
    <row r="190" spans="2:74" ht="9" customHeight="1" x14ac:dyDescent="0.2"/>
    <row r="191" spans="2:74" ht="9" customHeight="1" x14ac:dyDescent="0.2"/>
    <row r="192" spans="2:74" ht="9" customHeight="1" x14ac:dyDescent="0.2"/>
    <row r="193" ht="9" customHeight="1" x14ac:dyDescent="0.2"/>
    <row r="194" ht="9" customHeight="1" x14ac:dyDescent="0.2"/>
    <row r="195" ht="9" customHeight="1" x14ac:dyDescent="0.2"/>
    <row r="196" ht="9" customHeight="1" x14ac:dyDescent="0.2"/>
    <row r="197" ht="9" customHeight="1" x14ac:dyDescent="0.2"/>
    <row r="198" ht="9" customHeight="1" x14ac:dyDescent="0.2"/>
    <row r="199" ht="9" customHeight="1" x14ac:dyDescent="0.2"/>
    <row r="200" ht="9" customHeight="1" x14ac:dyDescent="0.2"/>
    <row r="201" ht="9" customHeight="1" x14ac:dyDescent="0.2"/>
    <row r="202" ht="9" customHeight="1" x14ac:dyDescent="0.2"/>
    <row r="203" ht="9" customHeight="1" x14ac:dyDescent="0.2"/>
    <row r="204" ht="9" customHeight="1" x14ac:dyDescent="0.2"/>
    <row r="205" ht="9" customHeight="1" x14ac:dyDescent="0.2"/>
    <row r="206" ht="9" customHeight="1" x14ac:dyDescent="0.2"/>
    <row r="207" ht="9" customHeight="1" x14ac:dyDescent="0.2"/>
    <row r="208" ht="9" customHeight="1" x14ac:dyDescent="0.2"/>
    <row r="209" ht="9" customHeight="1" x14ac:dyDescent="0.2"/>
    <row r="210" ht="9" customHeight="1" x14ac:dyDescent="0.2"/>
    <row r="211" ht="9" customHeight="1" x14ac:dyDescent="0.2"/>
    <row r="212" ht="9" customHeight="1" x14ac:dyDescent="0.2"/>
    <row r="213" ht="9" customHeight="1" x14ac:dyDescent="0.2"/>
    <row r="214" ht="9" customHeight="1" x14ac:dyDescent="0.2"/>
    <row r="215" ht="9" customHeight="1" x14ac:dyDescent="0.2"/>
    <row r="216" ht="9" customHeight="1" x14ac:dyDescent="0.2"/>
    <row r="217" ht="9" customHeight="1" x14ac:dyDescent="0.2"/>
    <row r="218" ht="9" customHeight="1" x14ac:dyDescent="0.2"/>
    <row r="219" ht="9" customHeight="1" x14ac:dyDescent="0.2"/>
    <row r="220" ht="9" customHeight="1" x14ac:dyDescent="0.2"/>
    <row r="221" ht="9" customHeight="1" x14ac:dyDescent="0.2"/>
    <row r="222" ht="9" customHeight="1" x14ac:dyDescent="0.2"/>
    <row r="223" ht="9" customHeight="1" x14ac:dyDescent="0.2"/>
    <row r="224" ht="9" customHeight="1" x14ac:dyDescent="0.2"/>
    <row r="225" ht="9" customHeight="1" x14ac:dyDescent="0.2"/>
    <row r="226" ht="9" customHeight="1" x14ac:dyDescent="0.2"/>
    <row r="227" ht="9" customHeight="1" x14ac:dyDescent="0.2"/>
    <row r="228" ht="9" customHeight="1" x14ac:dyDescent="0.2"/>
    <row r="229" ht="9" customHeight="1" x14ac:dyDescent="0.2"/>
    <row r="230" ht="9" customHeight="1" x14ac:dyDescent="0.2"/>
    <row r="231" ht="9" customHeight="1" x14ac:dyDescent="0.2"/>
    <row r="232" ht="9" customHeight="1" x14ac:dyDescent="0.2"/>
    <row r="233" ht="9" customHeight="1" x14ac:dyDescent="0.2"/>
    <row r="234" ht="9" customHeight="1" x14ac:dyDescent="0.2"/>
    <row r="235" ht="9" customHeight="1" x14ac:dyDescent="0.2"/>
    <row r="236" ht="9" customHeight="1" x14ac:dyDescent="0.2"/>
    <row r="237" ht="9" customHeight="1" x14ac:dyDescent="0.2"/>
    <row r="238" ht="9" customHeight="1" x14ac:dyDescent="0.2"/>
    <row r="239" ht="9" customHeight="1" x14ac:dyDescent="0.2"/>
    <row r="240" ht="9" customHeight="1" x14ac:dyDescent="0.2"/>
    <row r="241" ht="9" customHeight="1" x14ac:dyDescent="0.2"/>
    <row r="242" ht="9" customHeight="1" x14ac:dyDescent="0.2"/>
    <row r="243" ht="9" customHeight="1" x14ac:dyDescent="0.2"/>
    <row r="244" ht="9" customHeight="1" x14ac:dyDescent="0.2"/>
    <row r="245" ht="9" customHeight="1" x14ac:dyDescent="0.2"/>
    <row r="246" ht="9" customHeight="1" x14ac:dyDescent="0.2"/>
    <row r="247" ht="9" customHeight="1" x14ac:dyDescent="0.2"/>
    <row r="248" ht="9" customHeight="1" x14ac:dyDescent="0.2"/>
    <row r="249" ht="9" customHeight="1" x14ac:dyDescent="0.2"/>
    <row r="250" ht="9" customHeight="1" x14ac:dyDescent="0.2"/>
    <row r="251" ht="9" customHeight="1" x14ac:dyDescent="0.2"/>
    <row r="252" ht="9" customHeight="1" x14ac:dyDescent="0.2"/>
    <row r="253" ht="9" customHeight="1" x14ac:dyDescent="0.2"/>
    <row r="254" ht="9" customHeight="1" x14ac:dyDescent="0.2"/>
    <row r="255" ht="9" customHeight="1" x14ac:dyDescent="0.2"/>
    <row r="256" ht="9" customHeight="1" x14ac:dyDescent="0.2"/>
    <row r="257" ht="9" customHeight="1" x14ac:dyDescent="0.2"/>
    <row r="258" ht="9" customHeight="1" x14ac:dyDescent="0.2"/>
    <row r="259" ht="9" customHeight="1" x14ac:dyDescent="0.2"/>
    <row r="260" ht="9" customHeight="1" x14ac:dyDescent="0.2"/>
    <row r="261" ht="9" customHeight="1" x14ac:dyDescent="0.2"/>
    <row r="262" ht="9" customHeight="1" x14ac:dyDescent="0.2"/>
    <row r="263" ht="9" customHeight="1" x14ac:dyDescent="0.2"/>
    <row r="264" ht="9" customHeight="1" x14ac:dyDescent="0.2"/>
    <row r="265" ht="9" customHeight="1" x14ac:dyDescent="0.2"/>
    <row r="266" ht="9" customHeight="1" x14ac:dyDescent="0.2"/>
    <row r="267" ht="9" customHeight="1" x14ac:dyDescent="0.2"/>
    <row r="268" ht="9" customHeight="1" x14ac:dyDescent="0.2"/>
    <row r="269" ht="9" customHeight="1" x14ac:dyDescent="0.2"/>
    <row r="270" ht="9" customHeight="1" x14ac:dyDescent="0.2"/>
    <row r="271" ht="9" customHeight="1" x14ac:dyDescent="0.2"/>
    <row r="272" ht="9" customHeight="1" x14ac:dyDescent="0.2"/>
    <row r="273" ht="9" customHeight="1" x14ac:dyDescent="0.2"/>
    <row r="274" ht="9" customHeight="1" x14ac:dyDescent="0.2"/>
    <row r="275" ht="9" customHeight="1" x14ac:dyDescent="0.2"/>
    <row r="276" ht="9" customHeight="1" x14ac:dyDescent="0.2"/>
    <row r="277" ht="9" customHeight="1" x14ac:dyDescent="0.2"/>
    <row r="278" ht="9" customHeight="1" x14ac:dyDescent="0.2"/>
    <row r="279" ht="9" customHeight="1" x14ac:dyDescent="0.2"/>
    <row r="280" ht="9" customHeight="1" x14ac:dyDescent="0.2"/>
    <row r="281" ht="9" customHeight="1" x14ac:dyDescent="0.2"/>
    <row r="282" ht="9" customHeight="1" x14ac:dyDescent="0.2"/>
    <row r="283" ht="9" customHeight="1" x14ac:dyDescent="0.2"/>
    <row r="284" ht="9" customHeight="1" x14ac:dyDescent="0.2"/>
    <row r="285" ht="9" customHeight="1" x14ac:dyDescent="0.2"/>
    <row r="286" ht="9" customHeight="1" x14ac:dyDescent="0.2"/>
    <row r="287" ht="9" customHeight="1" x14ac:dyDescent="0.2"/>
    <row r="288" ht="9" customHeight="1" x14ac:dyDescent="0.2"/>
    <row r="289" ht="9" customHeight="1" x14ac:dyDescent="0.2"/>
    <row r="290" ht="9" customHeight="1" x14ac:dyDescent="0.2"/>
    <row r="291" ht="9" customHeight="1" x14ac:dyDescent="0.2"/>
    <row r="292" ht="9" customHeight="1" x14ac:dyDescent="0.2"/>
    <row r="293" ht="9" customHeight="1" x14ac:dyDescent="0.2"/>
    <row r="294" ht="9" customHeight="1" x14ac:dyDescent="0.2"/>
    <row r="295" ht="9" customHeight="1" x14ac:dyDescent="0.2"/>
    <row r="296" ht="9" customHeight="1" x14ac:dyDescent="0.2"/>
    <row r="297" ht="9" customHeight="1" x14ac:dyDescent="0.2"/>
    <row r="298" ht="9" customHeight="1" x14ac:dyDescent="0.2"/>
    <row r="299" ht="9" customHeight="1" x14ac:dyDescent="0.2"/>
    <row r="300" ht="9" customHeight="1" x14ac:dyDescent="0.2"/>
    <row r="301" ht="9" customHeight="1" x14ac:dyDescent="0.2"/>
    <row r="302" ht="9" customHeight="1" x14ac:dyDescent="0.2"/>
    <row r="303" ht="9" customHeight="1" x14ac:dyDescent="0.2"/>
    <row r="304" ht="9" customHeight="1" x14ac:dyDescent="0.2"/>
    <row r="305" ht="9" customHeight="1" x14ac:dyDescent="0.2"/>
    <row r="306" ht="9" customHeight="1" x14ac:dyDescent="0.2"/>
    <row r="307" ht="9" customHeight="1" x14ac:dyDescent="0.2"/>
    <row r="308" ht="9" customHeight="1" x14ac:dyDescent="0.2"/>
    <row r="309" ht="9" customHeight="1" x14ac:dyDescent="0.2"/>
    <row r="310" ht="9" customHeight="1" x14ac:dyDescent="0.2"/>
    <row r="311" ht="9" customHeight="1" x14ac:dyDescent="0.2"/>
    <row r="312" ht="9" customHeight="1" x14ac:dyDescent="0.2"/>
    <row r="313" ht="9" customHeight="1" x14ac:dyDescent="0.2"/>
    <row r="314" ht="9" customHeight="1" x14ac:dyDescent="0.2"/>
    <row r="315" ht="9" customHeight="1" x14ac:dyDescent="0.2"/>
    <row r="316" ht="9" customHeight="1" x14ac:dyDescent="0.2"/>
    <row r="317" ht="9" customHeight="1" x14ac:dyDescent="0.2"/>
    <row r="318" ht="9" customHeight="1" x14ac:dyDescent="0.2"/>
    <row r="319" ht="9" customHeight="1" x14ac:dyDescent="0.2"/>
    <row r="320" ht="9" customHeight="1" x14ac:dyDescent="0.2"/>
    <row r="321" ht="9" customHeight="1" x14ac:dyDescent="0.2"/>
    <row r="322" ht="9" customHeight="1" x14ac:dyDescent="0.2"/>
    <row r="323" ht="9" customHeight="1" x14ac:dyDescent="0.2"/>
    <row r="324" ht="9" customHeight="1" x14ac:dyDescent="0.2"/>
    <row r="325" ht="9" customHeight="1" x14ac:dyDescent="0.2"/>
    <row r="326" ht="9" customHeight="1" x14ac:dyDescent="0.2"/>
    <row r="327" ht="9" customHeight="1" x14ac:dyDescent="0.2"/>
    <row r="329" ht="9" customHeight="1" x14ac:dyDescent="0.2"/>
    <row r="330" ht="9" customHeight="1" x14ac:dyDescent="0.2"/>
    <row r="331" ht="9" customHeight="1" x14ac:dyDescent="0.2"/>
    <row r="332" ht="9" customHeight="1" x14ac:dyDescent="0.2"/>
    <row r="333" ht="9" customHeight="1" x14ac:dyDescent="0.2"/>
    <row r="334" ht="9" customHeight="1" x14ac:dyDescent="0.2"/>
    <row r="335" ht="9" customHeight="1" x14ac:dyDescent="0.2"/>
    <row r="336" ht="9" customHeight="1" x14ac:dyDescent="0.2"/>
    <row r="337" ht="9" customHeight="1" x14ac:dyDescent="0.2"/>
    <row r="339" ht="9" customHeight="1" x14ac:dyDescent="0.2"/>
    <row r="340" ht="9" customHeight="1" x14ac:dyDescent="0.2"/>
    <row r="341" ht="9" customHeight="1" x14ac:dyDescent="0.2"/>
    <row r="342" ht="9" customHeight="1" x14ac:dyDescent="0.2"/>
    <row r="343" ht="9" customHeight="1" x14ac:dyDescent="0.2"/>
  </sheetData>
  <mergeCells count="18">
    <mergeCell ref="AY3:BJ3"/>
    <mergeCell ref="BK3:BV3"/>
    <mergeCell ref="B1:AL1"/>
    <mergeCell ref="C3:N3"/>
    <mergeCell ref="O3:Z3"/>
    <mergeCell ref="AA3:AL3"/>
    <mergeCell ref="A1:A2"/>
    <mergeCell ref="AM3:AX3"/>
    <mergeCell ref="B48:Q48"/>
    <mergeCell ref="B49:Q49"/>
    <mergeCell ref="B44:Q44"/>
    <mergeCell ref="B45:Q45"/>
    <mergeCell ref="B46:Q46"/>
    <mergeCell ref="B47:Q47"/>
    <mergeCell ref="B40:Q40"/>
    <mergeCell ref="B41:Q41"/>
    <mergeCell ref="B43:Q43"/>
    <mergeCell ref="B42:Q42"/>
  </mergeCells>
  <phoneticPr fontId="6" type="noConversion"/>
  <conditionalFormatting sqref="C46:P46">
    <cfRule type="cellIs" dxfId="1" priority="1" stopIfTrue="1" operator="notEqual">
      <formula>0</formula>
    </cfRule>
  </conditionalFormatting>
  <hyperlinks>
    <hyperlink ref="A1:A2" location="Contents!A1" display="Table of Contents"/>
  </hyperlinks>
  <pageMargins left="0.25" right="0.25" top="0.25" bottom="0.25" header="0.5" footer="0.5"/>
  <pageSetup scale="8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3">
    <pageSetUpPr fitToPage="1"/>
  </sheetPr>
  <dimension ref="A1:BV143"/>
  <sheetViews>
    <sheetView showGridLines="0" zoomScaleNormal="100" workbookViewId="0">
      <pane xSplit="2" ySplit="4" topLeftCell="BB5" activePane="bottomRight" state="frozen"/>
      <selection activeCell="BF63" sqref="BF63"/>
      <selection pane="topRight" activeCell="BF63" sqref="BF63"/>
      <selection pane="bottomLeft" activeCell="BF63" sqref="BF63"/>
      <selection pane="bottomRight" activeCell="B1" sqref="B1:AL1"/>
    </sheetView>
  </sheetViews>
  <sheetFormatPr defaultColWidth="9.5546875" defaultRowHeight="10.199999999999999" x14ac:dyDescent="0.2"/>
  <cols>
    <col min="1" max="1" width="12.5546875" style="6" customWidth="1"/>
    <col min="2" max="2" width="20" style="6" customWidth="1"/>
    <col min="3" max="50" width="6.5546875" style="6" customWidth="1"/>
    <col min="51" max="55" width="6.5546875" style="386" customWidth="1"/>
    <col min="56" max="59" width="6.5546875" style="651" customWidth="1"/>
    <col min="60" max="62" width="6.5546875" style="386" customWidth="1"/>
    <col min="63" max="74" width="6.5546875" style="6" customWidth="1"/>
    <col min="75" max="16384" width="9.5546875" style="6"/>
  </cols>
  <sheetData>
    <row r="1" spans="1:74" ht="13.35" customHeight="1" x14ac:dyDescent="0.25">
      <c r="A1" s="797" t="s">
        <v>809</v>
      </c>
      <c r="B1" s="845" t="s">
        <v>1419</v>
      </c>
      <c r="C1" s="805"/>
      <c r="D1" s="805"/>
      <c r="E1" s="805"/>
      <c r="F1" s="805"/>
      <c r="G1" s="805"/>
      <c r="H1" s="805"/>
      <c r="I1" s="805"/>
      <c r="J1" s="805"/>
      <c r="K1" s="805"/>
      <c r="L1" s="805"/>
      <c r="M1" s="805"/>
      <c r="N1" s="805"/>
      <c r="O1" s="805"/>
      <c r="P1" s="805"/>
      <c r="Q1" s="805"/>
      <c r="R1" s="805"/>
      <c r="S1" s="805"/>
      <c r="T1" s="805"/>
      <c r="U1" s="805"/>
      <c r="V1" s="805"/>
      <c r="W1" s="805"/>
      <c r="X1" s="805"/>
      <c r="Y1" s="805"/>
      <c r="Z1" s="805"/>
      <c r="AA1" s="805"/>
      <c r="AB1" s="805"/>
      <c r="AC1" s="805"/>
      <c r="AD1" s="805"/>
      <c r="AE1" s="805"/>
      <c r="AF1" s="805"/>
      <c r="AG1" s="805"/>
      <c r="AH1" s="805"/>
      <c r="AI1" s="805"/>
      <c r="AJ1" s="805"/>
      <c r="AK1" s="805"/>
      <c r="AL1" s="805"/>
      <c r="AM1" s="85"/>
    </row>
    <row r="2" spans="1:74" s="72" customFormat="1" ht="13.2" x14ac:dyDescent="0.25">
      <c r="A2" s="798"/>
      <c r="B2" s="532" t="str">
        <f>"U.S. Energy Information Administration  |  Short-Term Energy Outlook  - "&amp;Dates!D1</f>
        <v>U.S. Energy Information Administration  |  Short-Term Energy Outlook  - September 2020</v>
      </c>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c r="AK2" s="533"/>
      <c r="AL2" s="533"/>
      <c r="AM2" s="301"/>
      <c r="AY2" s="390"/>
      <c r="AZ2" s="390"/>
      <c r="BA2" s="390"/>
      <c r="BB2" s="390"/>
      <c r="BC2" s="390"/>
      <c r="BD2" s="646"/>
      <c r="BE2" s="646"/>
      <c r="BF2" s="646"/>
      <c r="BG2" s="646"/>
      <c r="BH2" s="390"/>
      <c r="BI2" s="390"/>
      <c r="BJ2" s="390"/>
    </row>
    <row r="3" spans="1:74" s="12" customFormat="1" ht="13.2" x14ac:dyDescent="0.25">
      <c r="A3" s="14"/>
      <c r="B3" s="15"/>
      <c r="C3" s="806">
        <f>Dates!D3</f>
        <v>2016</v>
      </c>
      <c r="D3" s="802"/>
      <c r="E3" s="802"/>
      <c r="F3" s="802"/>
      <c r="G3" s="802"/>
      <c r="H3" s="802"/>
      <c r="I3" s="802"/>
      <c r="J3" s="802"/>
      <c r="K3" s="802"/>
      <c r="L3" s="802"/>
      <c r="M3" s="802"/>
      <c r="N3" s="803"/>
      <c r="O3" s="806">
        <f>C3+1</f>
        <v>2017</v>
      </c>
      <c r="P3" s="807"/>
      <c r="Q3" s="807"/>
      <c r="R3" s="807"/>
      <c r="S3" s="807"/>
      <c r="T3" s="807"/>
      <c r="U3" s="807"/>
      <c r="V3" s="807"/>
      <c r="W3" s="807"/>
      <c r="X3" s="802"/>
      <c r="Y3" s="802"/>
      <c r="Z3" s="803"/>
      <c r="AA3" s="799">
        <f>O3+1</f>
        <v>2018</v>
      </c>
      <c r="AB3" s="802"/>
      <c r="AC3" s="802"/>
      <c r="AD3" s="802"/>
      <c r="AE3" s="802"/>
      <c r="AF3" s="802"/>
      <c r="AG3" s="802"/>
      <c r="AH3" s="802"/>
      <c r="AI3" s="802"/>
      <c r="AJ3" s="802"/>
      <c r="AK3" s="802"/>
      <c r="AL3" s="803"/>
      <c r="AM3" s="799">
        <f>AA3+1</f>
        <v>2019</v>
      </c>
      <c r="AN3" s="802"/>
      <c r="AO3" s="802"/>
      <c r="AP3" s="802"/>
      <c r="AQ3" s="802"/>
      <c r="AR3" s="802"/>
      <c r="AS3" s="802"/>
      <c r="AT3" s="802"/>
      <c r="AU3" s="802"/>
      <c r="AV3" s="802"/>
      <c r="AW3" s="802"/>
      <c r="AX3" s="803"/>
      <c r="AY3" s="799">
        <f>AM3+1</f>
        <v>2020</v>
      </c>
      <c r="AZ3" s="800"/>
      <c r="BA3" s="800"/>
      <c r="BB3" s="800"/>
      <c r="BC3" s="800"/>
      <c r="BD3" s="800"/>
      <c r="BE3" s="800"/>
      <c r="BF3" s="800"/>
      <c r="BG3" s="800"/>
      <c r="BH3" s="800"/>
      <c r="BI3" s="800"/>
      <c r="BJ3" s="801"/>
      <c r="BK3" s="799">
        <f>AY3+1</f>
        <v>2021</v>
      </c>
      <c r="BL3" s="802"/>
      <c r="BM3" s="802"/>
      <c r="BN3" s="802"/>
      <c r="BO3" s="802"/>
      <c r="BP3" s="802"/>
      <c r="BQ3" s="802"/>
      <c r="BR3" s="802"/>
      <c r="BS3" s="802"/>
      <c r="BT3" s="802"/>
      <c r="BU3" s="802"/>
      <c r="BV3" s="803"/>
    </row>
    <row r="4" spans="1:74" s="12" customFormat="1" x14ac:dyDescent="0.2">
      <c r="A4" s="16"/>
      <c r="B4" s="17"/>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A5" s="84"/>
      <c r="B5" s="86" t="s">
        <v>92</v>
      </c>
      <c r="C5" s="87"/>
      <c r="D5" s="87"/>
      <c r="E5" s="87"/>
      <c r="F5" s="87"/>
      <c r="G5" s="87"/>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87"/>
      <c r="AO5" s="87"/>
      <c r="AP5" s="87"/>
      <c r="AQ5" s="87"/>
      <c r="AR5" s="87"/>
      <c r="AS5" s="87"/>
      <c r="AT5" s="87"/>
      <c r="AU5" s="87"/>
      <c r="AV5" s="87"/>
      <c r="AW5" s="87"/>
      <c r="AX5" s="87"/>
      <c r="AY5" s="419"/>
      <c r="AZ5" s="419"/>
      <c r="BA5" s="419"/>
      <c r="BB5" s="419"/>
      <c r="BC5" s="419"/>
      <c r="BD5" s="87"/>
      <c r="BE5" s="87"/>
      <c r="BF5" s="87"/>
      <c r="BG5" s="87"/>
      <c r="BH5" s="87"/>
      <c r="BI5" s="87"/>
      <c r="BJ5" s="419"/>
      <c r="BK5" s="419"/>
      <c r="BL5" s="419"/>
      <c r="BM5" s="419"/>
      <c r="BN5" s="419"/>
      <c r="BO5" s="419"/>
      <c r="BP5" s="419"/>
      <c r="BQ5" s="419"/>
      <c r="BR5" s="419"/>
      <c r="BS5" s="419"/>
      <c r="BT5" s="419"/>
      <c r="BU5" s="419"/>
      <c r="BV5" s="419"/>
    </row>
    <row r="6" spans="1:74" ht="11.1" customHeight="1" x14ac:dyDescent="0.2">
      <c r="A6" s="84" t="s">
        <v>747</v>
      </c>
      <c r="B6" s="188" t="s">
        <v>8</v>
      </c>
      <c r="C6" s="213">
        <v>2.3720370000000002</v>
      </c>
      <c r="D6" s="213">
        <v>2.0665710000000002</v>
      </c>
      <c r="E6" s="213">
        <v>1.7964310000000001</v>
      </c>
      <c r="F6" s="213">
        <v>1.991763</v>
      </c>
      <c r="G6" s="213">
        <v>1.996958</v>
      </c>
      <c r="H6" s="213">
        <v>2.6878929999999999</v>
      </c>
      <c r="I6" s="213">
        <v>2.9320580000000001</v>
      </c>
      <c r="J6" s="213">
        <v>2.9320580000000001</v>
      </c>
      <c r="K6" s="213">
        <v>3.1086879999999999</v>
      </c>
      <c r="L6" s="213">
        <v>3.0931030000000002</v>
      </c>
      <c r="M6" s="213">
        <v>2.6473719999999998</v>
      </c>
      <c r="N6" s="213">
        <v>3.7310490000000001</v>
      </c>
      <c r="O6" s="213">
        <v>3.4262480000000002</v>
      </c>
      <c r="P6" s="213">
        <v>2.9575239999999998</v>
      </c>
      <c r="Q6" s="213">
        <v>2.9865599999999999</v>
      </c>
      <c r="R6" s="213">
        <v>3.2178110000000002</v>
      </c>
      <c r="S6" s="213">
        <v>3.2665500000000001</v>
      </c>
      <c r="T6" s="213">
        <v>3.0850749999999998</v>
      </c>
      <c r="U6" s="213">
        <v>3.094408</v>
      </c>
      <c r="V6" s="213">
        <v>3.0072999999999999</v>
      </c>
      <c r="W6" s="213">
        <v>3.086112</v>
      </c>
      <c r="X6" s="213">
        <v>2.9855230000000001</v>
      </c>
      <c r="Y6" s="213">
        <v>3.125518</v>
      </c>
      <c r="Z6" s="213">
        <v>2.9253770000000001</v>
      </c>
      <c r="AA6" s="213">
        <v>3.8302200000000002</v>
      </c>
      <c r="AB6" s="213">
        <v>2.7714599999999998</v>
      </c>
      <c r="AC6" s="213">
        <v>2.795334</v>
      </c>
      <c r="AD6" s="213">
        <v>2.9022480000000002</v>
      </c>
      <c r="AE6" s="213">
        <v>2.9064000000000001</v>
      </c>
      <c r="AF6" s="213">
        <v>3.0797460000000001</v>
      </c>
      <c r="AG6" s="213">
        <v>2.9406539999999999</v>
      </c>
      <c r="AH6" s="213">
        <v>3.073518</v>
      </c>
      <c r="AI6" s="213">
        <v>3.1088100000000001</v>
      </c>
      <c r="AJ6" s="213">
        <v>3.4004880000000002</v>
      </c>
      <c r="AK6" s="213">
        <v>4.2464579999999996</v>
      </c>
      <c r="AL6" s="213">
        <v>4.1945579999999998</v>
      </c>
      <c r="AM6" s="213">
        <v>3.230251</v>
      </c>
      <c r="AN6" s="213">
        <v>2.7959489999999998</v>
      </c>
      <c r="AO6" s="213">
        <v>3.0629719999999998</v>
      </c>
      <c r="AP6" s="213">
        <v>2.7502330000000001</v>
      </c>
      <c r="AQ6" s="213">
        <v>2.740882</v>
      </c>
      <c r="AR6" s="213">
        <v>2.4925609999999998</v>
      </c>
      <c r="AS6" s="213">
        <v>2.4582739999999998</v>
      </c>
      <c r="AT6" s="213">
        <v>2.3076189999999999</v>
      </c>
      <c r="AU6" s="213">
        <v>2.658801</v>
      </c>
      <c r="AV6" s="213">
        <v>2.4219089999999999</v>
      </c>
      <c r="AW6" s="213">
        <v>2.7564669999999998</v>
      </c>
      <c r="AX6" s="213">
        <v>2.3055409999999998</v>
      </c>
      <c r="AY6" s="213">
        <v>2.0987800000000001</v>
      </c>
      <c r="AZ6" s="213">
        <v>1.9844900000000001</v>
      </c>
      <c r="BA6" s="213">
        <v>1.85981</v>
      </c>
      <c r="BB6" s="213">
        <v>1.80786</v>
      </c>
      <c r="BC6" s="213">
        <v>1.8161719999999999</v>
      </c>
      <c r="BD6" s="213">
        <v>1.694609</v>
      </c>
      <c r="BE6" s="213">
        <v>1.8359129999999999</v>
      </c>
      <c r="BF6" s="213">
        <v>2.3896999999999999</v>
      </c>
      <c r="BG6" s="351">
        <v>2.4017970000000002</v>
      </c>
      <c r="BH6" s="351">
        <v>2.620247</v>
      </c>
      <c r="BI6" s="351">
        <v>3.0352839999999999</v>
      </c>
      <c r="BJ6" s="351">
        <v>3.4193410000000002</v>
      </c>
      <c r="BK6" s="351">
        <v>3.5333380000000001</v>
      </c>
      <c r="BL6" s="351">
        <v>3.460423</v>
      </c>
      <c r="BM6" s="351">
        <v>3.3772259999999998</v>
      </c>
      <c r="BN6" s="351">
        <v>3.1382110000000001</v>
      </c>
      <c r="BO6" s="351">
        <v>3.126557</v>
      </c>
      <c r="BP6" s="351">
        <v>3.218747</v>
      </c>
      <c r="BQ6" s="351">
        <v>3.2077779999999998</v>
      </c>
      <c r="BR6" s="351">
        <v>3.2621699999999998</v>
      </c>
      <c r="BS6" s="351">
        <v>3.3056359999999998</v>
      </c>
      <c r="BT6" s="351">
        <v>3.3278129999999999</v>
      </c>
      <c r="BU6" s="351">
        <v>3.359931</v>
      </c>
      <c r="BV6" s="351">
        <v>3.412445</v>
      </c>
    </row>
    <row r="7" spans="1:74" ht="11.1" customHeight="1" x14ac:dyDescent="0.2">
      <c r="A7" s="84"/>
      <c r="B7" s="88" t="s">
        <v>1041</v>
      </c>
      <c r="C7" s="229"/>
      <c r="D7" s="229"/>
      <c r="E7" s="229"/>
      <c r="F7" s="229"/>
      <c r="G7" s="229"/>
      <c r="H7" s="229"/>
      <c r="I7" s="229"/>
      <c r="J7" s="229"/>
      <c r="K7" s="229"/>
      <c r="L7" s="229"/>
      <c r="M7" s="229"/>
      <c r="N7" s="229"/>
      <c r="O7" s="229"/>
      <c r="P7" s="229"/>
      <c r="Q7" s="229"/>
      <c r="R7" s="229"/>
      <c r="S7" s="229"/>
      <c r="T7" s="229"/>
      <c r="U7" s="229"/>
      <c r="V7" s="229"/>
      <c r="W7" s="229"/>
      <c r="X7" s="229"/>
      <c r="Y7" s="229"/>
      <c r="Z7" s="229"/>
      <c r="AA7" s="229"/>
      <c r="AB7" s="229"/>
      <c r="AC7" s="229"/>
      <c r="AD7" s="229"/>
      <c r="AE7" s="229"/>
      <c r="AF7" s="229"/>
      <c r="AG7" s="229"/>
      <c r="AH7" s="229"/>
      <c r="AI7" s="229"/>
      <c r="AJ7" s="229"/>
      <c r="AK7" s="229"/>
      <c r="AL7" s="229"/>
      <c r="AM7" s="229"/>
      <c r="AN7" s="229"/>
      <c r="AO7" s="229"/>
      <c r="AP7" s="229"/>
      <c r="AQ7" s="229"/>
      <c r="AR7" s="229"/>
      <c r="AS7" s="229"/>
      <c r="AT7" s="229"/>
      <c r="AU7" s="229"/>
      <c r="AV7" s="229"/>
      <c r="AW7" s="229"/>
      <c r="AX7" s="229"/>
      <c r="AY7" s="229"/>
      <c r="AZ7" s="229"/>
      <c r="BA7" s="229"/>
      <c r="BB7" s="229"/>
      <c r="BC7" s="229"/>
      <c r="BD7" s="229"/>
      <c r="BE7" s="229"/>
      <c r="BF7" s="229"/>
      <c r="BG7" s="383"/>
      <c r="BH7" s="383"/>
      <c r="BI7" s="383"/>
      <c r="BJ7" s="383"/>
      <c r="BK7" s="383"/>
      <c r="BL7" s="383"/>
      <c r="BM7" s="383"/>
      <c r="BN7" s="383"/>
      <c r="BO7" s="383"/>
      <c r="BP7" s="383"/>
      <c r="BQ7" s="383"/>
      <c r="BR7" s="383"/>
      <c r="BS7" s="383"/>
      <c r="BT7" s="383"/>
      <c r="BU7" s="383"/>
      <c r="BV7" s="383"/>
    </row>
    <row r="8" spans="1:74" ht="11.1" customHeight="1" x14ac:dyDescent="0.2">
      <c r="A8" s="84" t="s">
        <v>662</v>
      </c>
      <c r="B8" s="189" t="s">
        <v>444</v>
      </c>
      <c r="C8" s="213">
        <v>11.708628060000001</v>
      </c>
      <c r="D8" s="213">
        <v>11.729880100000001</v>
      </c>
      <c r="E8" s="213">
        <v>11.76674375</v>
      </c>
      <c r="F8" s="213">
        <v>12.32954595</v>
      </c>
      <c r="G8" s="213">
        <v>13.295388129999999</v>
      </c>
      <c r="H8" s="213">
        <v>15.177822839999999</v>
      </c>
      <c r="I8" s="213">
        <v>17.155360179999999</v>
      </c>
      <c r="J8" s="213">
        <v>18.303130899999999</v>
      </c>
      <c r="K8" s="213">
        <v>17.767641040000001</v>
      </c>
      <c r="L8" s="213">
        <v>15.055882690000001</v>
      </c>
      <c r="M8" s="213">
        <v>13.45701547</v>
      </c>
      <c r="N8" s="213">
        <v>12.83137762</v>
      </c>
      <c r="O8" s="213">
        <v>12.76872618</v>
      </c>
      <c r="P8" s="213">
        <v>13.107236820000001</v>
      </c>
      <c r="Q8" s="213">
        <v>12.73868764</v>
      </c>
      <c r="R8" s="213">
        <v>13.336267380000001</v>
      </c>
      <c r="S8" s="213">
        <v>14.51441114</v>
      </c>
      <c r="T8" s="213">
        <v>15.318883469999999</v>
      </c>
      <c r="U8" s="213">
        <v>17.860130439999999</v>
      </c>
      <c r="V8" s="213">
        <v>18.561951709999999</v>
      </c>
      <c r="W8" s="213">
        <v>17.905836950000001</v>
      </c>
      <c r="X8" s="213">
        <v>15.199058689999999</v>
      </c>
      <c r="Y8" s="213">
        <v>13.38193791</v>
      </c>
      <c r="Z8" s="213">
        <v>13.40248729</v>
      </c>
      <c r="AA8" s="213">
        <v>13.55757296</v>
      </c>
      <c r="AB8" s="213">
        <v>15.14397434</v>
      </c>
      <c r="AC8" s="213">
        <v>14.874174139999999</v>
      </c>
      <c r="AD8" s="213">
        <v>16.26639583</v>
      </c>
      <c r="AE8" s="213">
        <v>16.763194810000002</v>
      </c>
      <c r="AF8" s="213">
        <v>17.114342019999999</v>
      </c>
      <c r="AG8" s="213">
        <v>18.662701129999999</v>
      </c>
      <c r="AH8" s="213">
        <v>19.6873416</v>
      </c>
      <c r="AI8" s="213">
        <v>18.82623903</v>
      </c>
      <c r="AJ8" s="213">
        <v>15.382985659999999</v>
      </c>
      <c r="AK8" s="213">
        <v>13.74808434</v>
      </c>
      <c r="AL8" s="213">
        <v>14.737107610000001</v>
      </c>
      <c r="AM8" s="213">
        <v>14.54064028</v>
      </c>
      <c r="AN8" s="213">
        <v>14.31373011</v>
      </c>
      <c r="AO8" s="213">
        <v>14.44754998</v>
      </c>
      <c r="AP8" s="213">
        <v>15.19060603</v>
      </c>
      <c r="AQ8" s="213">
        <v>15.500826419999999</v>
      </c>
      <c r="AR8" s="213">
        <v>16.810376210000001</v>
      </c>
      <c r="AS8" s="213">
        <v>19.170142219999999</v>
      </c>
      <c r="AT8" s="213">
        <v>19.954414849999999</v>
      </c>
      <c r="AU8" s="213">
        <v>18.871915049999998</v>
      </c>
      <c r="AV8" s="213">
        <v>16.065565249999999</v>
      </c>
      <c r="AW8" s="213">
        <v>13.602888419999999</v>
      </c>
      <c r="AX8" s="213">
        <v>13.87193516</v>
      </c>
      <c r="AY8" s="213">
        <v>13.75171345</v>
      </c>
      <c r="AZ8" s="213">
        <v>13.73806716</v>
      </c>
      <c r="BA8" s="213">
        <v>13.9545069</v>
      </c>
      <c r="BB8" s="213">
        <v>14.38428672</v>
      </c>
      <c r="BC8" s="213">
        <v>14.22448215</v>
      </c>
      <c r="BD8" s="213">
        <v>15.75479073</v>
      </c>
      <c r="BE8" s="213">
        <v>17.165849999999999</v>
      </c>
      <c r="BF8" s="213">
        <v>17.360279999999999</v>
      </c>
      <c r="BG8" s="351">
        <v>16.647369999999999</v>
      </c>
      <c r="BH8" s="351">
        <v>13.747030000000001</v>
      </c>
      <c r="BI8" s="351">
        <v>12.916550000000001</v>
      </c>
      <c r="BJ8" s="351">
        <v>12.80218</v>
      </c>
      <c r="BK8" s="351">
        <v>12.68248</v>
      </c>
      <c r="BL8" s="351">
        <v>12.89419</v>
      </c>
      <c r="BM8" s="351">
        <v>12.996029999999999</v>
      </c>
      <c r="BN8" s="351">
        <v>13.46941</v>
      </c>
      <c r="BO8" s="351">
        <v>14.29049</v>
      </c>
      <c r="BP8" s="351">
        <v>15.15335</v>
      </c>
      <c r="BQ8" s="351">
        <v>16.912610000000001</v>
      </c>
      <c r="BR8" s="351">
        <v>17.36647</v>
      </c>
      <c r="BS8" s="351">
        <v>16.762090000000001</v>
      </c>
      <c r="BT8" s="351">
        <v>13.9689</v>
      </c>
      <c r="BU8" s="351">
        <v>13.206480000000001</v>
      </c>
      <c r="BV8" s="351">
        <v>13.039210000000001</v>
      </c>
    </row>
    <row r="9" spans="1:74" ht="11.1" customHeight="1" x14ac:dyDescent="0.2">
      <c r="A9" s="84" t="s">
        <v>663</v>
      </c>
      <c r="B9" s="187" t="s">
        <v>477</v>
      </c>
      <c r="C9" s="213">
        <v>8.8651019929999997</v>
      </c>
      <c r="D9" s="213">
        <v>8.5629676420000003</v>
      </c>
      <c r="E9" s="213">
        <v>9.2214454870000004</v>
      </c>
      <c r="F9" s="213">
        <v>9.6324801410000003</v>
      </c>
      <c r="G9" s="213">
        <v>10.662777520000001</v>
      </c>
      <c r="H9" s="213">
        <v>13.823025149999999</v>
      </c>
      <c r="I9" s="213">
        <v>15.50737251</v>
      </c>
      <c r="J9" s="213">
        <v>16.811784230000001</v>
      </c>
      <c r="K9" s="213">
        <v>16.24766224</v>
      </c>
      <c r="L9" s="213">
        <v>13.422996169999999</v>
      </c>
      <c r="M9" s="213">
        <v>10.478608749999999</v>
      </c>
      <c r="N9" s="213">
        <v>9.2738357679999996</v>
      </c>
      <c r="O9" s="213">
        <v>9.4274978150000006</v>
      </c>
      <c r="P9" s="213">
        <v>10.137152459999999</v>
      </c>
      <c r="Q9" s="213">
        <v>10.1466574</v>
      </c>
      <c r="R9" s="213">
        <v>10.53435983</v>
      </c>
      <c r="S9" s="213">
        <v>12.96101</v>
      </c>
      <c r="T9" s="213">
        <v>14.905379720000001</v>
      </c>
      <c r="U9" s="213">
        <v>17.393037459999999</v>
      </c>
      <c r="V9" s="213">
        <v>17.642458300000001</v>
      </c>
      <c r="W9" s="213">
        <v>16.537153060000001</v>
      </c>
      <c r="X9" s="213">
        <v>15.42248874</v>
      </c>
      <c r="Y9" s="213">
        <v>11.85208007</v>
      </c>
      <c r="Z9" s="213">
        <v>10.21583568</v>
      </c>
      <c r="AA9" s="213">
        <v>9.4657806230000006</v>
      </c>
      <c r="AB9" s="213">
        <v>10.49023871</v>
      </c>
      <c r="AC9" s="213">
        <v>10.76512565</v>
      </c>
      <c r="AD9" s="213">
        <v>10.27675872</v>
      </c>
      <c r="AE9" s="213">
        <v>13.013382099999999</v>
      </c>
      <c r="AF9" s="213">
        <v>16.915659609999999</v>
      </c>
      <c r="AG9" s="213">
        <v>18.053984880000002</v>
      </c>
      <c r="AH9" s="213">
        <v>18.74802996</v>
      </c>
      <c r="AI9" s="213">
        <v>17.978952670000002</v>
      </c>
      <c r="AJ9" s="213">
        <v>14.373266190000001</v>
      </c>
      <c r="AK9" s="213">
        <v>11.038600479999999</v>
      </c>
      <c r="AL9" s="213">
        <v>10.65259985</v>
      </c>
      <c r="AM9" s="213">
        <v>11.05088454</v>
      </c>
      <c r="AN9" s="213">
        <v>10.689079319999999</v>
      </c>
      <c r="AO9" s="213">
        <v>10.541795670000001</v>
      </c>
      <c r="AP9" s="213">
        <v>11.796979540000001</v>
      </c>
      <c r="AQ9" s="213">
        <v>13.426434220000001</v>
      </c>
      <c r="AR9" s="213">
        <v>15.916897090000001</v>
      </c>
      <c r="AS9" s="213">
        <v>18.297844739999999</v>
      </c>
      <c r="AT9" s="213">
        <v>18.958697180000001</v>
      </c>
      <c r="AU9" s="213">
        <v>18.282171000000002</v>
      </c>
      <c r="AV9" s="213">
        <v>15.297743690000001</v>
      </c>
      <c r="AW9" s="213">
        <v>11.55034034</v>
      </c>
      <c r="AX9" s="213">
        <v>10.364249920000001</v>
      </c>
      <c r="AY9" s="213">
        <v>10.644087900000001</v>
      </c>
      <c r="AZ9" s="213">
        <v>10.79064056</v>
      </c>
      <c r="BA9" s="213">
        <v>11.033208050000001</v>
      </c>
      <c r="BB9" s="213">
        <v>11.23587852</v>
      </c>
      <c r="BC9" s="213">
        <v>11.14124524</v>
      </c>
      <c r="BD9" s="213">
        <v>15.24569689</v>
      </c>
      <c r="BE9" s="213">
        <v>16.074269999999999</v>
      </c>
      <c r="BF9" s="213">
        <v>16.5121</v>
      </c>
      <c r="BG9" s="351">
        <v>15.83165</v>
      </c>
      <c r="BH9" s="351">
        <v>13.111280000000001</v>
      </c>
      <c r="BI9" s="351">
        <v>10.56691</v>
      </c>
      <c r="BJ9" s="351">
        <v>9.5799500000000002</v>
      </c>
      <c r="BK9" s="351">
        <v>9.5155239999999992</v>
      </c>
      <c r="BL9" s="351">
        <v>9.8699589999999997</v>
      </c>
      <c r="BM9" s="351">
        <v>10.356339999999999</v>
      </c>
      <c r="BN9" s="351">
        <v>10.9748</v>
      </c>
      <c r="BO9" s="351">
        <v>12.93191</v>
      </c>
      <c r="BP9" s="351">
        <v>15.73949</v>
      </c>
      <c r="BQ9" s="351">
        <v>16.93131</v>
      </c>
      <c r="BR9" s="351">
        <v>17.552389999999999</v>
      </c>
      <c r="BS9" s="351">
        <v>16.930859999999999</v>
      </c>
      <c r="BT9" s="351">
        <v>14.276949999999999</v>
      </c>
      <c r="BU9" s="351">
        <v>11.71303</v>
      </c>
      <c r="BV9" s="351">
        <v>10.5648</v>
      </c>
    </row>
    <row r="10" spans="1:74" ht="11.1" customHeight="1" x14ac:dyDescent="0.2">
      <c r="A10" s="84" t="s">
        <v>664</v>
      </c>
      <c r="B10" s="189" t="s">
        <v>445</v>
      </c>
      <c r="C10" s="213">
        <v>6.485816528</v>
      </c>
      <c r="D10" s="213">
        <v>6.7431362520000002</v>
      </c>
      <c r="E10" s="213">
        <v>7.3957815560000002</v>
      </c>
      <c r="F10" s="213">
        <v>7.7290952019999999</v>
      </c>
      <c r="G10" s="213">
        <v>10.275944000000001</v>
      </c>
      <c r="H10" s="213">
        <v>14.096790439999999</v>
      </c>
      <c r="I10" s="213">
        <v>17.422533749999999</v>
      </c>
      <c r="J10" s="213">
        <v>18.779172549999998</v>
      </c>
      <c r="K10" s="213">
        <v>17.284549909999999</v>
      </c>
      <c r="L10" s="213">
        <v>12.30303868</v>
      </c>
      <c r="M10" s="213">
        <v>8.7376741070000001</v>
      </c>
      <c r="N10" s="213">
        <v>7.1330221629999997</v>
      </c>
      <c r="O10" s="213">
        <v>7.5460100389999996</v>
      </c>
      <c r="P10" s="213">
        <v>8.1689126289999994</v>
      </c>
      <c r="Q10" s="213">
        <v>7.7849936230000001</v>
      </c>
      <c r="R10" s="213">
        <v>9.9699624849999999</v>
      </c>
      <c r="S10" s="213">
        <v>11.24884288</v>
      </c>
      <c r="T10" s="213">
        <v>16.662568709999999</v>
      </c>
      <c r="U10" s="213">
        <v>18.40760551</v>
      </c>
      <c r="V10" s="213">
        <v>18.831033810000001</v>
      </c>
      <c r="W10" s="213">
        <v>16.749065460000001</v>
      </c>
      <c r="X10" s="213">
        <v>11.103147720000001</v>
      </c>
      <c r="Y10" s="213">
        <v>7.8761079069999997</v>
      </c>
      <c r="Z10" s="213">
        <v>7.0267126080000004</v>
      </c>
      <c r="AA10" s="213">
        <v>6.8706755169999996</v>
      </c>
      <c r="AB10" s="213">
        <v>7.4291122170000001</v>
      </c>
      <c r="AC10" s="213">
        <v>7.3739020609999999</v>
      </c>
      <c r="AD10" s="213">
        <v>7.7361482019999999</v>
      </c>
      <c r="AE10" s="213">
        <v>12.835632690000001</v>
      </c>
      <c r="AF10" s="213">
        <v>16.75279969</v>
      </c>
      <c r="AG10" s="213">
        <v>18.897747649999999</v>
      </c>
      <c r="AH10" s="213">
        <v>18.94032537</v>
      </c>
      <c r="AI10" s="213">
        <v>17.54384799</v>
      </c>
      <c r="AJ10" s="213">
        <v>9.8465435770000003</v>
      </c>
      <c r="AK10" s="213">
        <v>7.4883130930000004</v>
      </c>
      <c r="AL10" s="213">
        <v>7.7499955439999999</v>
      </c>
      <c r="AM10" s="213">
        <v>7.1684620670000001</v>
      </c>
      <c r="AN10" s="213">
        <v>7.2949354</v>
      </c>
      <c r="AO10" s="213">
        <v>7.388133045</v>
      </c>
      <c r="AP10" s="213">
        <v>8.7354894479999992</v>
      </c>
      <c r="AQ10" s="213">
        <v>10.84986499</v>
      </c>
      <c r="AR10" s="213">
        <v>15.667006000000001</v>
      </c>
      <c r="AS10" s="213">
        <v>18.835849020000001</v>
      </c>
      <c r="AT10" s="213">
        <v>19.766839709999999</v>
      </c>
      <c r="AU10" s="213">
        <v>18.565909900000001</v>
      </c>
      <c r="AV10" s="213">
        <v>10.17961451</v>
      </c>
      <c r="AW10" s="213">
        <v>7.294804096</v>
      </c>
      <c r="AX10" s="213">
        <v>7.145935787</v>
      </c>
      <c r="AY10" s="213">
        <v>6.9078389070000004</v>
      </c>
      <c r="AZ10" s="213">
        <v>6.7781910859999996</v>
      </c>
      <c r="BA10" s="213">
        <v>7.4215525720000004</v>
      </c>
      <c r="BB10" s="213">
        <v>7.8886157729999997</v>
      </c>
      <c r="BC10" s="213">
        <v>9.6894796749999994</v>
      </c>
      <c r="BD10" s="213">
        <v>15.32914199</v>
      </c>
      <c r="BE10" s="213">
        <v>17.123740000000002</v>
      </c>
      <c r="BF10" s="213">
        <v>17.575559999999999</v>
      </c>
      <c r="BG10" s="351">
        <v>15.614890000000001</v>
      </c>
      <c r="BH10" s="351">
        <v>10.77201</v>
      </c>
      <c r="BI10" s="351">
        <v>8.4604549999999996</v>
      </c>
      <c r="BJ10" s="351">
        <v>7.6622430000000001</v>
      </c>
      <c r="BK10" s="351">
        <v>7.6563080000000001</v>
      </c>
      <c r="BL10" s="351">
        <v>7.9138950000000001</v>
      </c>
      <c r="BM10" s="351">
        <v>8.317202</v>
      </c>
      <c r="BN10" s="351">
        <v>9.2946829999999991</v>
      </c>
      <c r="BO10" s="351">
        <v>11.576980000000001</v>
      </c>
      <c r="BP10" s="351">
        <v>14.82236</v>
      </c>
      <c r="BQ10" s="351">
        <v>16.906690000000001</v>
      </c>
      <c r="BR10" s="351">
        <v>17.479230000000001</v>
      </c>
      <c r="BS10" s="351">
        <v>15.627940000000001</v>
      </c>
      <c r="BT10" s="351">
        <v>10.8344</v>
      </c>
      <c r="BU10" s="351">
        <v>8.5036640000000006</v>
      </c>
      <c r="BV10" s="351">
        <v>7.6099309999999996</v>
      </c>
    </row>
    <row r="11" spans="1:74" ht="11.1" customHeight="1" x14ac:dyDescent="0.2">
      <c r="A11" s="84" t="s">
        <v>665</v>
      </c>
      <c r="B11" s="189" t="s">
        <v>446</v>
      </c>
      <c r="C11" s="213">
        <v>7.1305342789999999</v>
      </c>
      <c r="D11" s="213">
        <v>7.259256733</v>
      </c>
      <c r="E11" s="213">
        <v>8.0908575089999992</v>
      </c>
      <c r="F11" s="213">
        <v>8.5990363740000006</v>
      </c>
      <c r="G11" s="213">
        <v>11.26900436</v>
      </c>
      <c r="H11" s="213">
        <v>15.034064730000001</v>
      </c>
      <c r="I11" s="213">
        <v>17.760377869999999</v>
      </c>
      <c r="J11" s="213">
        <v>18.50372668</v>
      </c>
      <c r="K11" s="213">
        <v>17.173509670000001</v>
      </c>
      <c r="L11" s="213">
        <v>13.754697520000001</v>
      </c>
      <c r="M11" s="213">
        <v>10.33897803</v>
      </c>
      <c r="N11" s="213">
        <v>7.8103746279999999</v>
      </c>
      <c r="O11" s="213">
        <v>7.9533677740000002</v>
      </c>
      <c r="P11" s="213">
        <v>8.4976755500000003</v>
      </c>
      <c r="Q11" s="213">
        <v>8.5440848660000004</v>
      </c>
      <c r="R11" s="213">
        <v>9.7987291509999999</v>
      </c>
      <c r="S11" s="213">
        <v>12.32398422</v>
      </c>
      <c r="T11" s="213">
        <v>16.105137119999998</v>
      </c>
      <c r="U11" s="213">
        <v>18.759036479999999</v>
      </c>
      <c r="V11" s="213">
        <v>19.177985</v>
      </c>
      <c r="W11" s="213">
        <v>18.004237960000001</v>
      </c>
      <c r="X11" s="213">
        <v>12.79197081</v>
      </c>
      <c r="Y11" s="213">
        <v>9.2800525589999996</v>
      </c>
      <c r="Z11" s="213">
        <v>8.6038449939999992</v>
      </c>
      <c r="AA11" s="213">
        <v>7.8194992599999997</v>
      </c>
      <c r="AB11" s="213">
        <v>8.3217775100000004</v>
      </c>
      <c r="AC11" s="213">
        <v>8.5095076850000009</v>
      </c>
      <c r="AD11" s="213">
        <v>8.8739449050000001</v>
      </c>
      <c r="AE11" s="213">
        <v>11.75290397</v>
      </c>
      <c r="AF11" s="213">
        <v>16.368471079999999</v>
      </c>
      <c r="AG11" s="213">
        <v>19.184589880000001</v>
      </c>
      <c r="AH11" s="213">
        <v>19.40432646</v>
      </c>
      <c r="AI11" s="213">
        <v>17.342856579999999</v>
      </c>
      <c r="AJ11" s="213">
        <v>11.64583294</v>
      </c>
      <c r="AK11" s="213">
        <v>8.5342765949999997</v>
      </c>
      <c r="AL11" s="213">
        <v>8.6114024649999994</v>
      </c>
      <c r="AM11" s="213">
        <v>8.1559516369999994</v>
      </c>
      <c r="AN11" s="213">
        <v>7.7562630490000002</v>
      </c>
      <c r="AO11" s="213">
        <v>7.8236337730000001</v>
      </c>
      <c r="AP11" s="213">
        <v>9.1413528720000006</v>
      </c>
      <c r="AQ11" s="213">
        <v>10.85213663</v>
      </c>
      <c r="AR11" s="213">
        <v>15.022800950000001</v>
      </c>
      <c r="AS11" s="213">
        <v>18.482804049999999</v>
      </c>
      <c r="AT11" s="213">
        <v>18.393550309999998</v>
      </c>
      <c r="AU11" s="213">
        <v>17.600595970000001</v>
      </c>
      <c r="AV11" s="213">
        <v>10.664785889999999</v>
      </c>
      <c r="AW11" s="213">
        <v>7.9332192240000001</v>
      </c>
      <c r="AX11" s="213">
        <v>7.4044747590000002</v>
      </c>
      <c r="AY11" s="213">
        <v>7.2747046830000004</v>
      </c>
      <c r="AZ11" s="213">
        <v>7.1642492000000004</v>
      </c>
      <c r="BA11" s="213">
        <v>7.5278504819999998</v>
      </c>
      <c r="BB11" s="213">
        <v>8.0536298659999996</v>
      </c>
      <c r="BC11" s="213">
        <v>10.670545369999999</v>
      </c>
      <c r="BD11" s="213">
        <v>14.573725530000001</v>
      </c>
      <c r="BE11" s="213">
        <v>16.696929999999998</v>
      </c>
      <c r="BF11" s="213">
        <v>17.161159999999999</v>
      </c>
      <c r="BG11" s="351">
        <v>15.62754</v>
      </c>
      <c r="BH11" s="351">
        <v>11.729039999999999</v>
      </c>
      <c r="BI11" s="351">
        <v>8.6984209999999997</v>
      </c>
      <c r="BJ11" s="351">
        <v>7.6141050000000003</v>
      </c>
      <c r="BK11" s="351">
        <v>7.4884130000000004</v>
      </c>
      <c r="BL11" s="351">
        <v>7.8703510000000003</v>
      </c>
      <c r="BM11" s="351">
        <v>8.2844449999999998</v>
      </c>
      <c r="BN11" s="351">
        <v>9.341037</v>
      </c>
      <c r="BO11" s="351">
        <v>11.310129999999999</v>
      </c>
      <c r="BP11" s="351">
        <v>14.959720000000001</v>
      </c>
      <c r="BQ11" s="351">
        <v>17.2669</v>
      </c>
      <c r="BR11" s="351">
        <v>17.8446</v>
      </c>
      <c r="BS11" s="351">
        <v>16.297270000000001</v>
      </c>
      <c r="BT11" s="351">
        <v>12.38926</v>
      </c>
      <c r="BU11" s="351">
        <v>9.3408859999999994</v>
      </c>
      <c r="BV11" s="351">
        <v>8.1734930000000006</v>
      </c>
    </row>
    <row r="12" spans="1:74" ht="11.1" customHeight="1" x14ac:dyDescent="0.2">
      <c r="A12" s="84" t="s">
        <v>666</v>
      </c>
      <c r="B12" s="189" t="s">
        <v>447</v>
      </c>
      <c r="C12" s="213">
        <v>9.7492652819999996</v>
      </c>
      <c r="D12" s="213">
        <v>9.6273683079999994</v>
      </c>
      <c r="E12" s="213">
        <v>11.611648969999999</v>
      </c>
      <c r="F12" s="213">
        <v>12.897175130000001</v>
      </c>
      <c r="G12" s="213">
        <v>15.71932786</v>
      </c>
      <c r="H12" s="213">
        <v>19.808467369999999</v>
      </c>
      <c r="I12" s="213">
        <v>22.775471979999999</v>
      </c>
      <c r="J12" s="213">
        <v>23.278647419999999</v>
      </c>
      <c r="K12" s="213">
        <v>23.35748766</v>
      </c>
      <c r="L12" s="213">
        <v>19.860198789999998</v>
      </c>
      <c r="M12" s="213">
        <v>13.743433919999999</v>
      </c>
      <c r="N12" s="213">
        <v>11.063063570000001</v>
      </c>
      <c r="O12" s="213">
        <v>11.33674218</v>
      </c>
      <c r="P12" s="213">
        <v>12.73901174</v>
      </c>
      <c r="Q12" s="213">
        <v>11.749708099999999</v>
      </c>
      <c r="R12" s="213">
        <v>15.789817360000001</v>
      </c>
      <c r="S12" s="213">
        <v>20.794327330000002</v>
      </c>
      <c r="T12" s="213">
        <v>23.697296120000001</v>
      </c>
      <c r="U12" s="213">
        <v>25.681117660000002</v>
      </c>
      <c r="V12" s="213">
        <v>26.656245070000001</v>
      </c>
      <c r="W12" s="213">
        <v>24.904320429999999</v>
      </c>
      <c r="X12" s="213">
        <v>20.45593023</v>
      </c>
      <c r="Y12" s="213">
        <v>12.88586941</v>
      </c>
      <c r="Z12" s="213">
        <v>11.13360481</v>
      </c>
      <c r="AA12" s="213">
        <v>10.332055560000001</v>
      </c>
      <c r="AB12" s="213">
        <v>12.32664173</v>
      </c>
      <c r="AC12" s="213">
        <v>10.76376587</v>
      </c>
      <c r="AD12" s="213">
        <v>12.207667969999999</v>
      </c>
      <c r="AE12" s="213">
        <v>17.740141999999999</v>
      </c>
      <c r="AF12" s="213">
        <v>22.336792840000001</v>
      </c>
      <c r="AG12" s="213">
        <v>23.681234480000001</v>
      </c>
      <c r="AH12" s="213">
        <v>24.53396884</v>
      </c>
      <c r="AI12" s="213">
        <v>24.431117149999999</v>
      </c>
      <c r="AJ12" s="213">
        <v>18.110700359999999</v>
      </c>
      <c r="AK12" s="213">
        <v>11.53329153</v>
      </c>
      <c r="AL12" s="213">
        <v>11.33079386</v>
      </c>
      <c r="AM12" s="213">
        <v>11.42322579</v>
      </c>
      <c r="AN12" s="213">
        <v>11.88488817</v>
      </c>
      <c r="AO12" s="213">
        <v>11.67233766</v>
      </c>
      <c r="AP12" s="213">
        <v>14.65422395</v>
      </c>
      <c r="AQ12" s="213">
        <v>20.344439220000002</v>
      </c>
      <c r="AR12" s="213">
        <v>23.681013029999999</v>
      </c>
      <c r="AS12" s="213">
        <v>26.384526430000001</v>
      </c>
      <c r="AT12" s="213">
        <v>25.792692880000001</v>
      </c>
      <c r="AU12" s="213">
        <v>25.807327040000001</v>
      </c>
      <c r="AV12" s="213">
        <v>22.060145250000001</v>
      </c>
      <c r="AW12" s="213">
        <v>12.196891089999999</v>
      </c>
      <c r="AX12" s="213">
        <v>11.59936941</v>
      </c>
      <c r="AY12" s="213">
        <v>12.07337879</v>
      </c>
      <c r="AZ12" s="213">
        <v>11.74111879</v>
      </c>
      <c r="BA12" s="213">
        <v>13.05142813</v>
      </c>
      <c r="BB12" s="213">
        <v>13.65314873</v>
      </c>
      <c r="BC12" s="213">
        <v>14.99918246</v>
      </c>
      <c r="BD12" s="213">
        <v>19.982806740000001</v>
      </c>
      <c r="BE12" s="213">
        <v>21.553190000000001</v>
      </c>
      <c r="BF12" s="213">
        <v>21.93929</v>
      </c>
      <c r="BG12" s="351">
        <v>21.311540000000001</v>
      </c>
      <c r="BH12" s="351">
        <v>16.469180000000001</v>
      </c>
      <c r="BI12" s="351">
        <v>11.90189</v>
      </c>
      <c r="BJ12" s="351">
        <v>10.60162</v>
      </c>
      <c r="BK12" s="351">
        <v>10.493230000000001</v>
      </c>
      <c r="BL12" s="351">
        <v>10.93181</v>
      </c>
      <c r="BM12" s="351">
        <v>11.49361</v>
      </c>
      <c r="BN12" s="351">
        <v>13.64927</v>
      </c>
      <c r="BO12" s="351">
        <v>17.287469999999999</v>
      </c>
      <c r="BP12" s="351">
        <v>20.81108</v>
      </c>
      <c r="BQ12" s="351">
        <v>22.513649999999998</v>
      </c>
      <c r="BR12" s="351">
        <v>22.973269999999999</v>
      </c>
      <c r="BS12" s="351">
        <v>22.317399999999999</v>
      </c>
      <c r="BT12" s="351">
        <v>17.528289999999998</v>
      </c>
      <c r="BU12" s="351">
        <v>13.03007</v>
      </c>
      <c r="BV12" s="351">
        <v>11.43404</v>
      </c>
    </row>
    <row r="13" spans="1:74" ht="11.1" customHeight="1" x14ac:dyDescent="0.2">
      <c r="A13" s="84" t="s">
        <v>667</v>
      </c>
      <c r="B13" s="189" t="s">
        <v>448</v>
      </c>
      <c r="C13" s="213">
        <v>8.5647697419999993</v>
      </c>
      <c r="D13" s="213">
        <v>8.2193885570000003</v>
      </c>
      <c r="E13" s="213">
        <v>9.1002532009999992</v>
      </c>
      <c r="F13" s="213">
        <v>10.889142270000001</v>
      </c>
      <c r="G13" s="213">
        <v>14.2431298</v>
      </c>
      <c r="H13" s="213">
        <v>16.911297279999999</v>
      </c>
      <c r="I13" s="213">
        <v>19.046655080000001</v>
      </c>
      <c r="J13" s="213">
        <v>20.352199720000002</v>
      </c>
      <c r="K13" s="213">
        <v>19.250153829999999</v>
      </c>
      <c r="L13" s="213">
        <v>18.796215010000001</v>
      </c>
      <c r="M13" s="213">
        <v>13.170340510000001</v>
      </c>
      <c r="N13" s="213">
        <v>9.6316103329999994</v>
      </c>
      <c r="O13" s="213">
        <v>9.7897600170000008</v>
      </c>
      <c r="P13" s="213">
        <v>10.893897239999999</v>
      </c>
      <c r="Q13" s="213">
        <v>10.863130699999999</v>
      </c>
      <c r="R13" s="213">
        <v>13.130260440000001</v>
      </c>
      <c r="S13" s="213">
        <v>16.621351870000002</v>
      </c>
      <c r="T13" s="213">
        <v>19.45387547</v>
      </c>
      <c r="U13" s="213">
        <v>20.711686799999999</v>
      </c>
      <c r="V13" s="213">
        <v>21.353847080000001</v>
      </c>
      <c r="W13" s="213">
        <v>19.914321699999999</v>
      </c>
      <c r="X13" s="213">
        <v>16.924195260000001</v>
      </c>
      <c r="Y13" s="213">
        <v>11.60827484</v>
      </c>
      <c r="Z13" s="213">
        <v>9.9958671960000007</v>
      </c>
      <c r="AA13" s="213">
        <v>9.1387087170000001</v>
      </c>
      <c r="AB13" s="213">
        <v>9.977215889</v>
      </c>
      <c r="AC13" s="213">
        <v>10.412329870000001</v>
      </c>
      <c r="AD13" s="213">
        <v>10.439104690000001</v>
      </c>
      <c r="AE13" s="213">
        <v>14.722739199999999</v>
      </c>
      <c r="AF13" s="213">
        <v>20.259388390000002</v>
      </c>
      <c r="AG13" s="213">
        <v>21.16873992</v>
      </c>
      <c r="AH13" s="213">
        <v>22.35077995</v>
      </c>
      <c r="AI13" s="213">
        <v>20.82289317</v>
      </c>
      <c r="AJ13" s="213">
        <v>16.175837990000002</v>
      </c>
      <c r="AK13" s="213">
        <v>10.53516636</v>
      </c>
      <c r="AL13" s="213">
        <v>9.7381353389999994</v>
      </c>
      <c r="AM13" s="213">
        <v>9.7632808600000001</v>
      </c>
      <c r="AN13" s="213">
        <v>9.611179259</v>
      </c>
      <c r="AO13" s="213">
        <v>9.4622962640000008</v>
      </c>
      <c r="AP13" s="213">
        <v>11.71291445</v>
      </c>
      <c r="AQ13" s="213">
        <v>16.792593929999999</v>
      </c>
      <c r="AR13" s="213">
        <v>20.265073529999999</v>
      </c>
      <c r="AS13" s="213">
        <v>21.30711999</v>
      </c>
      <c r="AT13" s="213">
        <v>21.632163340000002</v>
      </c>
      <c r="AU13" s="213">
        <v>21.30319115</v>
      </c>
      <c r="AV13" s="213">
        <v>17.573233800000001</v>
      </c>
      <c r="AW13" s="213">
        <v>9.4585237479999993</v>
      </c>
      <c r="AX13" s="213">
        <v>9.7925277390000005</v>
      </c>
      <c r="AY13" s="213">
        <v>9.8582648020000008</v>
      </c>
      <c r="AZ13" s="213">
        <v>9.4201881170000004</v>
      </c>
      <c r="BA13" s="213">
        <v>10.093315499999999</v>
      </c>
      <c r="BB13" s="213">
        <v>11.427522039999999</v>
      </c>
      <c r="BC13" s="213">
        <v>13.70134009</v>
      </c>
      <c r="BD13" s="213">
        <v>17.103907289999999</v>
      </c>
      <c r="BE13" s="213">
        <v>19.440300000000001</v>
      </c>
      <c r="BF13" s="213">
        <v>20.50469</v>
      </c>
      <c r="BG13" s="351">
        <v>20.44003</v>
      </c>
      <c r="BH13" s="351">
        <v>17.442340000000002</v>
      </c>
      <c r="BI13" s="351">
        <v>12.961690000000001</v>
      </c>
      <c r="BJ13" s="351">
        <v>11.190149999999999</v>
      </c>
      <c r="BK13" s="351">
        <v>10.51906</v>
      </c>
      <c r="BL13" s="351">
        <v>10.559469999999999</v>
      </c>
      <c r="BM13" s="351">
        <v>10.94312</v>
      </c>
      <c r="BN13" s="351">
        <v>12.882199999999999</v>
      </c>
      <c r="BO13" s="351">
        <v>16.523689999999998</v>
      </c>
      <c r="BP13" s="351">
        <v>20.08493</v>
      </c>
      <c r="BQ13" s="351">
        <v>21.95185</v>
      </c>
      <c r="BR13" s="351">
        <v>22.769829999999999</v>
      </c>
      <c r="BS13" s="351">
        <v>22.167999999999999</v>
      </c>
      <c r="BT13" s="351">
        <v>18.953420000000001</v>
      </c>
      <c r="BU13" s="351">
        <v>14.302960000000001</v>
      </c>
      <c r="BV13" s="351">
        <v>12.21523</v>
      </c>
    </row>
    <row r="14" spans="1:74" ht="11.1" customHeight="1" x14ac:dyDescent="0.2">
      <c r="A14" s="84" t="s">
        <v>668</v>
      </c>
      <c r="B14" s="189" t="s">
        <v>449</v>
      </c>
      <c r="C14" s="213">
        <v>7.916613516</v>
      </c>
      <c r="D14" s="213">
        <v>7.8878008050000004</v>
      </c>
      <c r="E14" s="213">
        <v>9.9470926940000002</v>
      </c>
      <c r="F14" s="213">
        <v>11.494070239999999</v>
      </c>
      <c r="G14" s="213">
        <v>15.876316729999999</v>
      </c>
      <c r="H14" s="213">
        <v>16.68216717</v>
      </c>
      <c r="I14" s="213">
        <v>19.522539009999999</v>
      </c>
      <c r="J14" s="213">
        <v>22.59338644</v>
      </c>
      <c r="K14" s="213">
        <v>21.02829509</v>
      </c>
      <c r="L14" s="213">
        <v>20.35328977</v>
      </c>
      <c r="M14" s="213">
        <v>18.167141749999999</v>
      </c>
      <c r="N14" s="213">
        <v>10.26588432</v>
      </c>
      <c r="O14" s="213">
        <v>9.2855150159999997</v>
      </c>
      <c r="P14" s="213">
        <v>10.52796129</v>
      </c>
      <c r="Q14" s="213">
        <v>11.96660988</v>
      </c>
      <c r="R14" s="213">
        <v>14.79660168</v>
      </c>
      <c r="S14" s="213">
        <v>16.52884018</v>
      </c>
      <c r="T14" s="213">
        <v>18.55035839</v>
      </c>
      <c r="U14" s="213">
        <v>20.910019550000001</v>
      </c>
      <c r="V14" s="213">
        <v>23.25372862</v>
      </c>
      <c r="W14" s="213">
        <v>21.636803709999999</v>
      </c>
      <c r="X14" s="213">
        <v>20.506007709999999</v>
      </c>
      <c r="Y14" s="213">
        <v>13.549094289999999</v>
      </c>
      <c r="Z14" s="213">
        <v>10.96035414</v>
      </c>
      <c r="AA14" s="213">
        <v>8.6077243330000002</v>
      </c>
      <c r="AB14" s="213">
        <v>9.2833014150000004</v>
      </c>
      <c r="AC14" s="213">
        <v>10.885303159999999</v>
      </c>
      <c r="AD14" s="213">
        <v>11.81731813</v>
      </c>
      <c r="AE14" s="213">
        <v>15.17767343</v>
      </c>
      <c r="AF14" s="213">
        <v>19.941891949999999</v>
      </c>
      <c r="AG14" s="213">
        <v>21.47223554</v>
      </c>
      <c r="AH14" s="213">
        <v>23.200504389999999</v>
      </c>
      <c r="AI14" s="213">
        <v>21.6202872</v>
      </c>
      <c r="AJ14" s="213">
        <v>17.332312630000001</v>
      </c>
      <c r="AK14" s="213">
        <v>10.49035286</v>
      </c>
      <c r="AL14" s="213">
        <v>8.4595592100000001</v>
      </c>
      <c r="AM14" s="213">
        <v>8.2874268040000008</v>
      </c>
      <c r="AN14" s="213">
        <v>8.2014858949999994</v>
      </c>
      <c r="AO14" s="213">
        <v>8.3887520569999996</v>
      </c>
      <c r="AP14" s="213">
        <v>10.6322247</v>
      </c>
      <c r="AQ14" s="213">
        <v>15.15513421</v>
      </c>
      <c r="AR14" s="213">
        <v>17.948558340000002</v>
      </c>
      <c r="AS14" s="213">
        <v>20.440324199999999</v>
      </c>
      <c r="AT14" s="213">
        <v>21.904417259999999</v>
      </c>
      <c r="AU14" s="213">
        <v>22.092102950000001</v>
      </c>
      <c r="AV14" s="213">
        <v>20.50195738</v>
      </c>
      <c r="AW14" s="213">
        <v>9.8038797389999992</v>
      </c>
      <c r="AX14" s="213">
        <v>8.9145637969999996</v>
      </c>
      <c r="AY14" s="213">
        <v>8.5210411310000005</v>
      </c>
      <c r="AZ14" s="213">
        <v>8.1893035869999995</v>
      </c>
      <c r="BA14" s="213">
        <v>9.2206758999999998</v>
      </c>
      <c r="BB14" s="213">
        <v>11.98848319</v>
      </c>
      <c r="BC14" s="213">
        <v>14.638983290000001</v>
      </c>
      <c r="BD14" s="213">
        <v>18.025783629999999</v>
      </c>
      <c r="BE14" s="213">
        <v>19.325130000000001</v>
      </c>
      <c r="BF14" s="213">
        <v>20.680119999999999</v>
      </c>
      <c r="BG14" s="351">
        <v>20.10643</v>
      </c>
      <c r="BH14" s="351">
        <v>18.342870000000001</v>
      </c>
      <c r="BI14" s="351">
        <v>12.829929999999999</v>
      </c>
      <c r="BJ14" s="351">
        <v>9.5934840000000001</v>
      </c>
      <c r="BK14" s="351">
        <v>9.2032769999999999</v>
      </c>
      <c r="BL14" s="351">
        <v>9.5549529999999994</v>
      </c>
      <c r="BM14" s="351">
        <v>10.536149999999999</v>
      </c>
      <c r="BN14" s="351">
        <v>13.00436</v>
      </c>
      <c r="BO14" s="351">
        <v>15.99718</v>
      </c>
      <c r="BP14" s="351">
        <v>18.35859</v>
      </c>
      <c r="BQ14" s="351">
        <v>20.063759999999998</v>
      </c>
      <c r="BR14" s="351">
        <v>21.647819999999999</v>
      </c>
      <c r="BS14" s="351">
        <v>20.67944</v>
      </c>
      <c r="BT14" s="351">
        <v>18.890699999999999</v>
      </c>
      <c r="BU14" s="351">
        <v>13.394539999999999</v>
      </c>
      <c r="BV14" s="351">
        <v>9.9811379999999996</v>
      </c>
    </row>
    <row r="15" spans="1:74" ht="11.1" customHeight="1" x14ac:dyDescent="0.2">
      <c r="A15" s="84" t="s">
        <v>669</v>
      </c>
      <c r="B15" s="189" t="s">
        <v>450</v>
      </c>
      <c r="C15" s="213">
        <v>7.9005274300000004</v>
      </c>
      <c r="D15" s="213">
        <v>8.2926679209999996</v>
      </c>
      <c r="E15" s="213">
        <v>8.7739948410000004</v>
      </c>
      <c r="F15" s="213">
        <v>8.7813350900000007</v>
      </c>
      <c r="G15" s="213">
        <v>9.3208108050000007</v>
      </c>
      <c r="H15" s="213">
        <v>12.582978580000001</v>
      </c>
      <c r="I15" s="213">
        <v>14.017451210000001</v>
      </c>
      <c r="J15" s="213">
        <v>14.46532558</v>
      </c>
      <c r="K15" s="213">
        <v>12.999683170000001</v>
      </c>
      <c r="L15" s="213">
        <v>10.52777627</v>
      </c>
      <c r="M15" s="213">
        <v>8.9927087530000005</v>
      </c>
      <c r="N15" s="213">
        <v>7.7864388910000004</v>
      </c>
      <c r="O15" s="213">
        <v>7.8577387859999996</v>
      </c>
      <c r="P15" s="213">
        <v>8.3422289000000003</v>
      </c>
      <c r="Q15" s="213">
        <v>8.9036976229999993</v>
      </c>
      <c r="R15" s="213">
        <v>9.2567879919999996</v>
      </c>
      <c r="S15" s="213">
        <v>10.17287061</v>
      </c>
      <c r="T15" s="213">
        <v>12.56793693</v>
      </c>
      <c r="U15" s="213">
        <v>14.50733305</v>
      </c>
      <c r="V15" s="213">
        <v>14.559898929999999</v>
      </c>
      <c r="W15" s="213">
        <v>13.019423489999999</v>
      </c>
      <c r="X15" s="213">
        <v>9.6195561830000003</v>
      </c>
      <c r="Y15" s="213">
        <v>8.7583557120000002</v>
      </c>
      <c r="Z15" s="213">
        <v>8.3203822340000002</v>
      </c>
      <c r="AA15" s="213">
        <v>8.1205024229999996</v>
      </c>
      <c r="AB15" s="213">
        <v>8.1913694530000001</v>
      </c>
      <c r="AC15" s="213">
        <v>8.4995312290000005</v>
      </c>
      <c r="AD15" s="213">
        <v>8.9312091230000004</v>
      </c>
      <c r="AE15" s="213">
        <v>11.128867420000001</v>
      </c>
      <c r="AF15" s="213">
        <v>13.31150023</v>
      </c>
      <c r="AG15" s="213">
        <v>14.960607</v>
      </c>
      <c r="AH15" s="213">
        <v>13.95862488</v>
      </c>
      <c r="AI15" s="213">
        <v>13.34964965</v>
      </c>
      <c r="AJ15" s="213">
        <v>9.35339046</v>
      </c>
      <c r="AK15" s="213">
        <v>7.4163563149999998</v>
      </c>
      <c r="AL15" s="213">
        <v>7.3407176209999996</v>
      </c>
      <c r="AM15" s="213">
        <v>7.6135802159999999</v>
      </c>
      <c r="AN15" s="213">
        <v>7.7297570970000002</v>
      </c>
      <c r="AO15" s="213">
        <v>7.871106631</v>
      </c>
      <c r="AP15" s="213">
        <v>8.6667358199999995</v>
      </c>
      <c r="AQ15" s="213">
        <v>9.2651373639999992</v>
      </c>
      <c r="AR15" s="213">
        <v>11.514806399999999</v>
      </c>
      <c r="AS15" s="213">
        <v>13.13044522</v>
      </c>
      <c r="AT15" s="213">
        <v>14.02627538</v>
      </c>
      <c r="AU15" s="213">
        <v>13.12282458</v>
      </c>
      <c r="AV15" s="213">
        <v>8.9107002299999998</v>
      </c>
      <c r="AW15" s="213">
        <v>7.5055924789999997</v>
      </c>
      <c r="AX15" s="213">
        <v>7.4774882189999996</v>
      </c>
      <c r="AY15" s="213">
        <v>7.4261834889999996</v>
      </c>
      <c r="AZ15" s="213">
        <v>7.425700645</v>
      </c>
      <c r="BA15" s="213">
        <v>7.7983077539999996</v>
      </c>
      <c r="BB15" s="213">
        <v>8.9436376489999994</v>
      </c>
      <c r="BC15" s="213">
        <v>9.8444452709999997</v>
      </c>
      <c r="BD15" s="213">
        <v>11.40966981</v>
      </c>
      <c r="BE15" s="213">
        <v>12.968030000000001</v>
      </c>
      <c r="BF15" s="213">
        <v>13.28894</v>
      </c>
      <c r="BG15" s="351">
        <v>12.34187</v>
      </c>
      <c r="BH15" s="351">
        <v>9.5009099999999993</v>
      </c>
      <c r="BI15" s="351">
        <v>7.7059340000000001</v>
      </c>
      <c r="BJ15" s="351">
        <v>7.4518630000000003</v>
      </c>
      <c r="BK15" s="351">
        <v>7.6085690000000001</v>
      </c>
      <c r="BL15" s="351">
        <v>8.0398409999999991</v>
      </c>
      <c r="BM15" s="351">
        <v>8.4231200000000008</v>
      </c>
      <c r="BN15" s="351">
        <v>9.022926</v>
      </c>
      <c r="BO15" s="351">
        <v>10.087199999999999</v>
      </c>
      <c r="BP15" s="351">
        <v>12.296530000000001</v>
      </c>
      <c r="BQ15" s="351">
        <v>13.959519999999999</v>
      </c>
      <c r="BR15" s="351">
        <v>14.281140000000001</v>
      </c>
      <c r="BS15" s="351">
        <v>13.268380000000001</v>
      </c>
      <c r="BT15" s="351">
        <v>10.397399999999999</v>
      </c>
      <c r="BU15" s="351">
        <v>8.5822819999999993</v>
      </c>
      <c r="BV15" s="351">
        <v>8.2512559999999997</v>
      </c>
    </row>
    <row r="16" spans="1:74" ht="11.1" customHeight="1" x14ac:dyDescent="0.2">
      <c r="A16" s="84" t="s">
        <v>670</v>
      </c>
      <c r="B16" s="189" t="s">
        <v>451</v>
      </c>
      <c r="C16" s="213">
        <v>11.00013262</v>
      </c>
      <c r="D16" s="213">
        <v>11.19315761</v>
      </c>
      <c r="E16" s="213">
        <v>10.60800081</v>
      </c>
      <c r="F16" s="213">
        <v>10.672914069999999</v>
      </c>
      <c r="G16" s="213">
        <v>11.67569237</v>
      </c>
      <c r="H16" s="213">
        <v>11.795160940000001</v>
      </c>
      <c r="I16" s="213">
        <v>12.42731055</v>
      </c>
      <c r="J16" s="213">
        <v>13.2446872</v>
      </c>
      <c r="K16" s="213">
        <v>13.356075819999999</v>
      </c>
      <c r="L16" s="213">
        <v>12.73724105</v>
      </c>
      <c r="M16" s="213">
        <v>11.96491048</v>
      </c>
      <c r="N16" s="213">
        <v>12.11928062</v>
      </c>
      <c r="O16" s="213">
        <v>12.178232339999999</v>
      </c>
      <c r="P16" s="213">
        <v>11.90023017</v>
      </c>
      <c r="Q16" s="213">
        <v>11.76913057</v>
      </c>
      <c r="R16" s="213">
        <v>12.01303901</v>
      </c>
      <c r="S16" s="213">
        <v>12.78191584</v>
      </c>
      <c r="T16" s="213">
        <v>13.37095877</v>
      </c>
      <c r="U16" s="213">
        <v>12.970883880000001</v>
      </c>
      <c r="V16" s="213">
        <v>13.05279264</v>
      </c>
      <c r="W16" s="213">
        <v>12.623812060000001</v>
      </c>
      <c r="X16" s="213">
        <v>11.79033405</v>
      </c>
      <c r="Y16" s="213">
        <v>11.05829378</v>
      </c>
      <c r="Z16" s="213">
        <v>11.20333237</v>
      </c>
      <c r="AA16" s="213">
        <v>11.68045648</v>
      </c>
      <c r="AB16" s="213">
        <v>11.47607404</v>
      </c>
      <c r="AC16" s="213">
        <v>11.698392050000001</v>
      </c>
      <c r="AD16" s="213">
        <v>11.380155520000001</v>
      </c>
      <c r="AE16" s="213">
        <v>12.56631823</v>
      </c>
      <c r="AF16" s="213">
        <v>12.433381089999999</v>
      </c>
      <c r="AG16" s="213">
        <v>12.801966289999999</v>
      </c>
      <c r="AH16" s="213">
        <v>13.41361727</v>
      </c>
      <c r="AI16" s="213">
        <v>12.567433429999999</v>
      </c>
      <c r="AJ16" s="213">
        <v>11.803446839999999</v>
      </c>
      <c r="AK16" s="213">
        <v>11.18144646</v>
      </c>
      <c r="AL16" s="213">
        <v>12.07542898</v>
      </c>
      <c r="AM16" s="213">
        <v>12.682305100000001</v>
      </c>
      <c r="AN16" s="213">
        <v>12.18976979</v>
      </c>
      <c r="AO16" s="213">
        <v>12.491727969999999</v>
      </c>
      <c r="AP16" s="213">
        <v>12.620350139999999</v>
      </c>
      <c r="AQ16" s="213">
        <v>12.89351911</v>
      </c>
      <c r="AR16" s="213">
        <v>12.745315570000001</v>
      </c>
      <c r="AS16" s="213">
        <v>13.93680752</v>
      </c>
      <c r="AT16" s="213">
        <v>13.57154437</v>
      </c>
      <c r="AU16" s="213">
        <v>12.984265369999999</v>
      </c>
      <c r="AV16" s="213">
        <v>12.100651450000001</v>
      </c>
      <c r="AW16" s="213">
        <v>11.633250629999999</v>
      </c>
      <c r="AX16" s="213">
        <v>12.357187250000001</v>
      </c>
      <c r="AY16" s="213">
        <v>13.883820800000001</v>
      </c>
      <c r="AZ16" s="213">
        <v>13.414659</v>
      </c>
      <c r="BA16" s="213">
        <v>12.77862702</v>
      </c>
      <c r="BB16" s="213">
        <v>14.658348459999999</v>
      </c>
      <c r="BC16" s="213">
        <v>14.08535213</v>
      </c>
      <c r="BD16" s="213">
        <v>14.02310086</v>
      </c>
      <c r="BE16" s="213">
        <v>13.92029</v>
      </c>
      <c r="BF16" s="213">
        <v>13.937519999999999</v>
      </c>
      <c r="BG16" s="351">
        <v>13.66503</v>
      </c>
      <c r="BH16" s="351">
        <v>13.22195</v>
      </c>
      <c r="BI16" s="351">
        <v>12.362909999999999</v>
      </c>
      <c r="BJ16" s="351">
        <v>12.797890000000001</v>
      </c>
      <c r="BK16" s="351">
        <v>13.19689</v>
      </c>
      <c r="BL16" s="351">
        <v>13.26689</v>
      </c>
      <c r="BM16" s="351">
        <v>13.4085</v>
      </c>
      <c r="BN16" s="351">
        <v>13.61504</v>
      </c>
      <c r="BO16" s="351">
        <v>14.452669999999999</v>
      </c>
      <c r="BP16" s="351">
        <v>14.75249</v>
      </c>
      <c r="BQ16" s="351">
        <v>14.892110000000001</v>
      </c>
      <c r="BR16" s="351">
        <v>15.05758</v>
      </c>
      <c r="BS16" s="351">
        <v>14.842700000000001</v>
      </c>
      <c r="BT16" s="351">
        <v>14.43731</v>
      </c>
      <c r="BU16" s="351">
        <v>13.55036</v>
      </c>
      <c r="BV16" s="351">
        <v>13.86815</v>
      </c>
    </row>
    <row r="17" spans="1:74" ht="11.1" customHeight="1" x14ac:dyDescent="0.2">
      <c r="A17" s="84" t="s">
        <v>540</v>
      </c>
      <c r="B17" s="189" t="s">
        <v>425</v>
      </c>
      <c r="C17" s="213">
        <v>8.2799999999999994</v>
      </c>
      <c r="D17" s="213">
        <v>8.36</v>
      </c>
      <c r="E17" s="213">
        <v>9.19</v>
      </c>
      <c r="F17" s="213">
        <v>9.65</v>
      </c>
      <c r="G17" s="213">
        <v>11.62</v>
      </c>
      <c r="H17" s="213">
        <v>14.43</v>
      </c>
      <c r="I17" s="213">
        <v>16.559999999999999</v>
      </c>
      <c r="J17" s="213">
        <v>17.600000000000001</v>
      </c>
      <c r="K17" s="213">
        <v>16.78</v>
      </c>
      <c r="L17" s="213">
        <v>13.74</v>
      </c>
      <c r="M17" s="213">
        <v>10.77</v>
      </c>
      <c r="N17" s="213">
        <v>9.06</v>
      </c>
      <c r="O17" s="213">
        <v>9.32</v>
      </c>
      <c r="P17" s="213">
        <v>10.01</v>
      </c>
      <c r="Q17" s="213">
        <v>9.86</v>
      </c>
      <c r="R17" s="213">
        <v>11.34</v>
      </c>
      <c r="S17" s="213">
        <v>13.25</v>
      </c>
      <c r="T17" s="213">
        <v>16.059999999999999</v>
      </c>
      <c r="U17" s="213">
        <v>17.86</v>
      </c>
      <c r="V17" s="213">
        <v>18.22</v>
      </c>
      <c r="W17" s="213">
        <v>16.920000000000002</v>
      </c>
      <c r="X17" s="213">
        <v>13.39</v>
      </c>
      <c r="Y17" s="213">
        <v>10.14</v>
      </c>
      <c r="Z17" s="213">
        <v>9.2899999999999991</v>
      </c>
      <c r="AA17" s="213">
        <v>8.9</v>
      </c>
      <c r="AB17" s="213">
        <v>9.6300000000000008</v>
      </c>
      <c r="AC17" s="213">
        <v>9.76</v>
      </c>
      <c r="AD17" s="213">
        <v>10.050000000000001</v>
      </c>
      <c r="AE17" s="213">
        <v>13.52</v>
      </c>
      <c r="AF17" s="213">
        <v>16.47</v>
      </c>
      <c r="AG17" s="213">
        <v>17.84</v>
      </c>
      <c r="AH17" s="213">
        <v>18.559999999999999</v>
      </c>
      <c r="AI17" s="213">
        <v>17.23</v>
      </c>
      <c r="AJ17" s="213">
        <v>12.23</v>
      </c>
      <c r="AK17" s="213">
        <v>9.41</v>
      </c>
      <c r="AL17" s="213">
        <v>9.61</v>
      </c>
      <c r="AM17" s="213">
        <v>9.4499999999999993</v>
      </c>
      <c r="AN17" s="213">
        <v>9.4700000000000006</v>
      </c>
      <c r="AO17" s="213">
        <v>9.49</v>
      </c>
      <c r="AP17" s="213">
        <v>10.94</v>
      </c>
      <c r="AQ17" s="213">
        <v>12.88</v>
      </c>
      <c r="AR17" s="213">
        <v>15.72</v>
      </c>
      <c r="AS17" s="213">
        <v>17.940000000000001</v>
      </c>
      <c r="AT17" s="213">
        <v>18.579999999999998</v>
      </c>
      <c r="AU17" s="213">
        <v>17.809999999999999</v>
      </c>
      <c r="AV17" s="213">
        <v>12.62</v>
      </c>
      <c r="AW17" s="213">
        <v>9.42</v>
      </c>
      <c r="AX17" s="213">
        <v>9.3800000000000008</v>
      </c>
      <c r="AY17" s="213">
        <v>9.52</v>
      </c>
      <c r="AZ17" s="213">
        <v>9.26</v>
      </c>
      <c r="BA17" s="213">
        <v>9.86</v>
      </c>
      <c r="BB17" s="213">
        <v>10.68</v>
      </c>
      <c r="BC17" s="213">
        <v>11.85</v>
      </c>
      <c r="BD17" s="213">
        <v>15.37</v>
      </c>
      <c r="BE17" s="213">
        <v>16.676960000000001</v>
      </c>
      <c r="BF17" s="213">
        <v>17.191859999999998</v>
      </c>
      <c r="BG17" s="351">
        <v>16.198550000000001</v>
      </c>
      <c r="BH17" s="351">
        <v>12.891450000000001</v>
      </c>
      <c r="BI17" s="351">
        <v>10.25787</v>
      </c>
      <c r="BJ17" s="351">
        <v>9.4655090000000008</v>
      </c>
      <c r="BK17" s="351">
        <v>9.3501189999999994</v>
      </c>
      <c r="BL17" s="351">
        <v>9.6315600000000003</v>
      </c>
      <c r="BM17" s="351">
        <v>10.125030000000001</v>
      </c>
      <c r="BN17" s="351">
        <v>11.155749999999999</v>
      </c>
      <c r="BO17" s="351">
        <v>13.25461</v>
      </c>
      <c r="BP17" s="351">
        <v>15.829879999999999</v>
      </c>
      <c r="BQ17" s="351">
        <v>17.352180000000001</v>
      </c>
      <c r="BR17" s="351">
        <v>17.95393</v>
      </c>
      <c r="BS17" s="351">
        <v>16.935230000000001</v>
      </c>
      <c r="BT17" s="351">
        <v>13.52284</v>
      </c>
      <c r="BU17" s="351">
        <v>10.877459999999999</v>
      </c>
      <c r="BV17" s="351">
        <v>10.00708</v>
      </c>
    </row>
    <row r="18" spans="1:74" ht="11.1" customHeight="1" x14ac:dyDescent="0.2">
      <c r="A18" s="84"/>
      <c r="B18" s="88" t="s">
        <v>1042</v>
      </c>
      <c r="C18" s="230"/>
      <c r="D18" s="230"/>
      <c r="E18" s="230"/>
      <c r="F18" s="230"/>
      <c r="G18" s="230"/>
      <c r="H18" s="230"/>
      <c r="I18" s="230"/>
      <c r="J18" s="230"/>
      <c r="K18" s="230"/>
      <c r="L18" s="230"/>
      <c r="M18" s="230"/>
      <c r="N18" s="230"/>
      <c r="O18" s="230"/>
      <c r="P18" s="230"/>
      <c r="Q18" s="230"/>
      <c r="R18" s="230"/>
      <c r="S18" s="230"/>
      <c r="T18" s="230"/>
      <c r="U18" s="230"/>
      <c r="V18" s="230"/>
      <c r="W18" s="230"/>
      <c r="X18" s="230"/>
      <c r="Y18" s="230"/>
      <c r="Z18" s="230"/>
      <c r="AA18" s="230"/>
      <c r="AB18" s="230"/>
      <c r="AC18" s="230"/>
      <c r="AD18" s="230"/>
      <c r="AE18" s="230"/>
      <c r="AF18" s="230"/>
      <c r="AG18" s="230"/>
      <c r="AH18" s="230"/>
      <c r="AI18" s="230"/>
      <c r="AJ18" s="230"/>
      <c r="AK18" s="230"/>
      <c r="AL18" s="230"/>
      <c r="AM18" s="230"/>
      <c r="AN18" s="230"/>
      <c r="AO18" s="230"/>
      <c r="AP18" s="230"/>
      <c r="AQ18" s="230"/>
      <c r="AR18" s="230"/>
      <c r="AS18" s="230"/>
      <c r="AT18" s="230"/>
      <c r="AU18" s="230"/>
      <c r="AV18" s="230"/>
      <c r="AW18" s="230"/>
      <c r="AX18" s="230"/>
      <c r="AY18" s="230"/>
      <c r="AZ18" s="230"/>
      <c r="BA18" s="230"/>
      <c r="BB18" s="230"/>
      <c r="BC18" s="230"/>
      <c r="BD18" s="230"/>
      <c r="BE18" s="230"/>
      <c r="BF18" s="230"/>
      <c r="BG18" s="384"/>
      <c r="BH18" s="384"/>
      <c r="BI18" s="384"/>
      <c r="BJ18" s="384"/>
      <c r="BK18" s="384"/>
      <c r="BL18" s="384"/>
      <c r="BM18" s="384"/>
      <c r="BN18" s="384"/>
      <c r="BO18" s="384"/>
      <c r="BP18" s="384"/>
      <c r="BQ18" s="384"/>
      <c r="BR18" s="384"/>
      <c r="BS18" s="384"/>
      <c r="BT18" s="384"/>
      <c r="BU18" s="384"/>
      <c r="BV18" s="384"/>
    </row>
    <row r="19" spans="1:74" ht="11.1" customHeight="1" x14ac:dyDescent="0.2">
      <c r="A19" s="84" t="s">
        <v>671</v>
      </c>
      <c r="B19" s="189" t="s">
        <v>444</v>
      </c>
      <c r="C19" s="213">
        <v>8.8438091199999995</v>
      </c>
      <c r="D19" s="213">
        <v>8.7964741380000007</v>
      </c>
      <c r="E19" s="213">
        <v>8.77048731</v>
      </c>
      <c r="F19" s="213">
        <v>9.3908153349999992</v>
      </c>
      <c r="G19" s="213">
        <v>9.5196524650000001</v>
      </c>
      <c r="H19" s="213">
        <v>10.05904555</v>
      </c>
      <c r="I19" s="213">
        <v>10.242276479999999</v>
      </c>
      <c r="J19" s="213">
        <v>10.688144080000001</v>
      </c>
      <c r="K19" s="213">
        <v>10.31750422</v>
      </c>
      <c r="L19" s="213">
        <v>9.8424160829999998</v>
      </c>
      <c r="M19" s="213">
        <v>9.4953731000000001</v>
      </c>
      <c r="N19" s="213">
        <v>9.4696665499999995</v>
      </c>
      <c r="O19" s="213">
        <v>9.5931426290000008</v>
      </c>
      <c r="P19" s="213">
        <v>9.9854696670000003</v>
      </c>
      <c r="Q19" s="213">
        <v>9.4599479479999999</v>
      </c>
      <c r="R19" s="213">
        <v>9.8296195040000001</v>
      </c>
      <c r="S19" s="213">
        <v>10.37786228</v>
      </c>
      <c r="T19" s="213">
        <v>10.34649705</v>
      </c>
      <c r="U19" s="213">
        <v>10.743619280000001</v>
      </c>
      <c r="V19" s="213">
        <v>10.84145977</v>
      </c>
      <c r="W19" s="213">
        <v>10.49107912</v>
      </c>
      <c r="X19" s="213">
        <v>9.9154192969999997</v>
      </c>
      <c r="Y19" s="213">
        <v>9.5022677869999992</v>
      </c>
      <c r="Z19" s="213">
        <v>9.9073746479999993</v>
      </c>
      <c r="AA19" s="213">
        <v>10.51822694</v>
      </c>
      <c r="AB19" s="213">
        <v>11.35234082</v>
      </c>
      <c r="AC19" s="213">
        <v>12.11169945</v>
      </c>
      <c r="AD19" s="213">
        <v>12.20189553</v>
      </c>
      <c r="AE19" s="213">
        <v>12.24700947</v>
      </c>
      <c r="AF19" s="213">
        <v>10.78482288</v>
      </c>
      <c r="AG19" s="213">
        <v>10.988833639999999</v>
      </c>
      <c r="AH19" s="213">
        <v>10.9073443</v>
      </c>
      <c r="AI19" s="213">
        <v>11.060715480000001</v>
      </c>
      <c r="AJ19" s="213">
        <v>10.223200650000001</v>
      </c>
      <c r="AK19" s="213">
        <v>10.132444789999999</v>
      </c>
      <c r="AL19" s="213">
        <v>11.419295809999999</v>
      </c>
      <c r="AM19" s="213">
        <v>11.21114777</v>
      </c>
      <c r="AN19" s="213">
        <v>11.08550479</v>
      </c>
      <c r="AO19" s="213">
        <v>11.360226340000001</v>
      </c>
      <c r="AP19" s="213">
        <v>11.484291989999999</v>
      </c>
      <c r="AQ19" s="213">
        <v>11.391828200000001</v>
      </c>
      <c r="AR19" s="213">
        <v>11.28938677</v>
      </c>
      <c r="AS19" s="213">
        <v>11.481390490000001</v>
      </c>
      <c r="AT19" s="213">
        <v>12.263576309999999</v>
      </c>
      <c r="AU19" s="213">
        <v>11.16509102</v>
      </c>
      <c r="AV19" s="213">
        <v>10.03524668</v>
      </c>
      <c r="AW19" s="213">
        <v>9.8466087489999996</v>
      </c>
      <c r="AX19" s="213">
        <v>10.36869555</v>
      </c>
      <c r="AY19" s="213">
        <v>10.246068470000001</v>
      </c>
      <c r="AZ19" s="213">
        <v>10.623781449999999</v>
      </c>
      <c r="BA19" s="213">
        <v>10.278092020000001</v>
      </c>
      <c r="BB19" s="213">
        <v>10.855447</v>
      </c>
      <c r="BC19" s="213">
        <v>10.129960410000001</v>
      </c>
      <c r="BD19" s="213">
        <v>11.67617383</v>
      </c>
      <c r="BE19" s="213">
        <v>10.67327</v>
      </c>
      <c r="BF19" s="213">
        <v>10.171860000000001</v>
      </c>
      <c r="BG19" s="351">
        <v>9.7387160000000002</v>
      </c>
      <c r="BH19" s="351">
        <v>9.0280400000000007</v>
      </c>
      <c r="BI19" s="351">
        <v>9.1024989999999999</v>
      </c>
      <c r="BJ19" s="351">
        <v>9.8256460000000008</v>
      </c>
      <c r="BK19" s="351">
        <v>10.01919</v>
      </c>
      <c r="BL19" s="351">
        <v>9.9572000000000003</v>
      </c>
      <c r="BM19" s="351">
        <v>10.081</v>
      </c>
      <c r="BN19" s="351">
        <v>10.376709999999999</v>
      </c>
      <c r="BO19" s="351">
        <v>10.377700000000001</v>
      </c>
      <c r="BP19" s="351">
        <v>10.29538</v>
      </c>
      <c r="BQ19" s="351">
        <v>10.41619</v>
      </c>
      <c r="BR19" s="351">
        <v>10.614470000000001</v>
      </c>
      <c r="BS19" s="351">
        <v>10.5787</v>
      </c>
      <c r="BT19" s="351">
        <v>10.15752</v>
      </c>
      <c r="BU19" s="351">
        <v>10.307689999999999</v>
      </c>
      <c r="BV19" s="351">
        <v>10.97414</v>
      </c>
    </row>
    <row r="20" spans="1:74" ht="11.1" customHeight="1" x14ac:dyDescent="0.2">
      <c r="A20" s="84" t="s">
        <v>672</v>
      </c>
      <c r="B20" s="187" t="s">
        <v>477</v>
      </c>
      <c r="C20" s="213">
        <v>6.9498748250000002</v>
      </c>
      <c r="D20" s="213">
        <v>6.9571643180000002</v>
      </c>
      <c r="E20" s="213">
        <v>6.8602306620000002</v>
      </c>
      <c r="F20" s="213">
        <v>6.5237488829999997</v>
      </c>
      <c r="G20" s="213">
        <v>6.4465875820000003</v>
      </c>
      <c r="H20" s="213">
        <v>6.3374758140000003</v>
      </c>
      <c r="I20" s="213">
        <v>6.25555065</v>
      </c>
      <c r="J20" s="213">
        <v>5.9203295320000002</v>
      </c>
      <c r="K20" s="213">
        <v>6.0284618459999999</v>
      </c>
      <c r="L20" s="213">
        <v>6.2694763379999996</v>
      </c>
      <c r="M20" s="213">
        <v>6.7011599239999997</v>
      </c>
      <c r="N20" s="213">
        <v>7.0619127009999998</v>
      </c>
      <c r="O20" s="213">
        <v>7.5827686050000001</v>
      </c>
      <c r="P20" s="213">
        <v>7.9284085790000001</v>
      </c>
      <c r="Q20" s="213">
        <v>7.7083014600000004</v>
      </c>
      <c r="R20" s="213">
        <v>7.4107859229999997</v>
      </c>
      <c r="S20" s="213">
        <v>7.4887926389999997</v>
      </c>
      <c r="T20" s="213">
        <v>7.4759880399999998</v>
      </c>
      <c r="U20" s="213">
        <v>7.3486523310000003</v>
      </c>
      <c r="V20" s="213">
        <v>6.6758507820000004</v>
      </c>
      <c r="W20" s="213">
        <v>6.6378238520000004</v>
      </c>
      <c r="X20" s="213">
        <v>7.2887059169999997</v>
      </c>
      <c r="Y20" s="213">
        <v>7.318730178</v>
      </c>
      <c r="Z20" s="213">
        <v>7.5810708849999999</v>
      </c>
      <c r="AA20" s="213">
        <v>7.7866607569999999</v>
      </c>
      <c r="AB20" s="213">
        <v>8.3352810799999997</v>
      </c>
      <c r="AC20" s="213">
        <v>8.2729578480000008</v>
      </c>
      <c r="AD20" s="213">
        <v>7.5228413180000002</v>
      </c>
      <c r="AE20" s="213">
        <v>7.8049432269999999</v>
      </c>
      <c r="AF20" s="213">
        <v>7.7293118940000003</v>
      </c>
      <c r="AG20" s="213">
        <v>7.5991385820000001</v>
      </c>
      <c r="AH20" s="213">
        <v>7.4435917859999998</v>
      </c>
      <c r="AI20" s="213">
        <v>7.2703919529999999</v>
      </c>
      <c r="AJ20" s="213">
        <v>7.4165989550000004</v>
      </c>
      <c r="AK20" s="213">
        <v>7.5516751080000004</v>
      </c>
      <c r="AL20" s="213">
        <v>8.247676641</v>
      </c>
      <c r="AM20" s="213">
        <v>8.7682652619999999</v>
      </c>
      <c r="AN20" s="213">
        <v>8.3602623010000006</v>
      </c>
      <c r="AO20" s="213">
        <v>8.0376224329999992</v>
      </c>
      <c r="AP20" s="213">
        <v>7.6323182059999999</v>
      </c>
      <c r="AQ20" s="213">
        <v>8.0549056790000009</v>
      </c>
      <c r="AR20" s="213">
        <v>7.431150648</v>
      </c>
      <c r="AS20" s="213">
        <v>6.9448748289999997</v>
      </c>
      <c r="AT20" s="213">
        <v>6.8128909560000004</v>
      </c>
      <c r="AU20" s="213">
        <v>6.826959778</v>
      </c>
      <c r="AV20" s="213">
        <v>7.5047490459999997</v>
      </c>
      <c r="AW20" s="213">
        <v>7.3403368330000003</v>
      </c>
      <c r="AX20" s="213">
        <v>7.5659378549999996</v>
      </c>
      <c r="AY20" s="213">
        <v>7.9576929940000003</v>
      </c>
      <c r="AZ20" s="213">
        <v>7.8218971709999998</v>
      </c>
      <c r="BA20" s="213">
        <v>7.9514635250000003</v>
      </c>
      <c r="BB20" s="213">
        <v>7.2439627629999999</v>
      </c>
      <c r="BC20" s="213">
        <v>6.8733445580000003</v>
      </c>
      <c r="BD20" s="213">
        <v>6.7887979769999998</v>
      </c>
      <c r="BE20" s="213">
        <v>6.3569329999999997</v>
      </c>
      <c r="BF20" s="213">
        <v>6.3103160000000003</v>
      </c>
      <c r="BG20" s="351">
        <v>6.4720719999999998</v>
      </c>
      <c r="BH20" s="351">
        <v>6.8124890000000002</v>
      </c>
      <c r="BI20" s="351">
        <v>7.0835489999999997</v>
      </c>
      <c r="BJ20" s="351">
        <v>7.397081</v>
      </c>
      <c r="BK20" s="351">
        <v>7.4123260000000002</v>
      </c>
      <c r="BL20" s="351">
        <v>7.5034029999999996</v>
      </c>
      <c r="BM20" s="351">
        <v>7.7506409999999999</v>
      </c>
      <c r="BN20" s="351">
        <v>7.5618559999999997</v>
      </c>
      <c r="BO20" s="351">
        <v>7.5304820000000001</v>
      </c>
      <c r="BP20" s="351">
        <v>7.3803900000000002</v>
      </c>
      <c r="BQ20" s="351">
        <v>7.003215</v>
      </c>
      <c r="BR20" s="351">
        <v>6.9200400000000002</v>
      </c>
      <c r="BS20" s="351">
        <v>7.0658260000000004</v>
      </c>
      <c r="BT20" s="351">
        <v>7.3573659999999999</v>
      </c>
      <c r="BU20" s="351">
        <v>7.5384900000000004</v>
      </c>
      <c r="BV20" s="351">
        <v>7.7096689999999999</v>
      </c>
    </row>
    <row r="21" spans="1:74" ht="11.1" customHeight="1" x14ac:dyDescent="0.2">
      <c r="A21" s="84" t="s">
        <v>673</v>
      </c>
      <c r="B21" s="189" t="s">
        <v>445</v>
      </c>
      <c r="C21" s="213">
        <v>5.745064781</v>
      </c>
      <c r="D21" s="213">
        <v>5.8572770199999997</v>
      </c>
      <c r="E21" s="213">
        <v>6.0855502809999997</v>
      </c>
      <c r="F21" s="213">
        <v>6.0756137299999997</v>
      </c>
      <c r="G21" s="213">
        <v>6.8427921889999999</v>
      </c>
      <c r="H21" s="213">
        <v>7.8568277530000001</v>
      </c>
      <c r="I21" s="213">
        <v>8.8436179280000005</v>
      </c>
      <c r="J21" s="213">
        <v>8.9780526490000003</v>
      </c>
      <c r="K21" s="213">
        <v>8.5368532439999996</v>
      </c>
      <c r="L21" s="213">
        <v>7.394186446</v>
      </c>
      <c r="M21" s="213">
        <v>6.7441753430000002</v>
      </c>
      <c r="N21" s="213">
        <v>6.136120279</v>
      </c>
      <c r="O21" s="213">
        <v>6.5959354010000002</v>
      </c>
      <c r="P21" s="213">
        <v>6.7437421710000001</v>
      </c>
      <c r="Q21" s="213">
        <v>6.4853329400000002</v>
      </c>
      <c r="R21" s="213">
        <v>7.3984238759999998</v>
      </c>
      <c r="S21" s="213">
        <v>7.8567877800000003</v>
      </c>
      <c r="T21" s="213">
        <v>8.9315618509999997</v>
      </c>
      <c r="U21" s="213">
        <v>9.054957108</v>
      </c>
      <c r="V21" s="213">
        <v>9.2259046080000005</v>
      </c>
      <c r="W21" s="213">
        <v>8.5474582879999996</v>
      </c>
      <c r="X21" s="213">
        <v>6.9873020480000001</v>
      </c>
      <c r="Y21" s="213">
        <v>6.2006028950000003</v>
      </c>
      <c r="Z21" s="213">
        <v>5.9312724140000004</v>
      </c>
      <c r="AA21" s="213">
        <v>6.0300300470000003</v>
      </c>
      <c r="AB21" s="213">
        <v>6.3635553700000003</v>
      </c>
      <c r="AC21" s="213">
        <v>6.1385827429999997</v>
      </c>
      <c r="AD21" s="213">
        <v>6.1975124270000004</v>
      </c>
      <c r="AE21" s="213">
        <v>7.9983456259999999</v>
      </c>
      <c r="AF21" s="213">
        <v>8.4819087209999999</v>
      </c>
      <c r="AG21" s="213">
        <v>9.1334596710000007</v>
      </c>
      <c r="AH21" s="213">
        <v>9.0412032260000004</v>
      </c>
      <c r="AI21" s="213">
        <v>8.7505414720000001</v>
      </c>
      <c r="AJ21" s="213">
        <v>6.8060856139999997</v>
      </c>
      <c r="AK21" s="213">
        <v>6.2609518250000002</v>
      </c>
      <c r="AL21" s="213">
        <v>6.6066916070000001</v>
      </c>
      <c r="AM21" s="213">
        <v>6.3204182700000002</v>
      </c>
      <c r="AN21" s="213">
        <v>6.2857391360000001</v>
      </c>
      <c r="AO21" s="213">
        <v>6.192593424</v>
      </c>
      <c r="AP21" s="213">
        <v>6.7112744959999997</v>
      </c>
      <c r="AQ21" s="213">
        <v>7.2863787240000004</v>
      </c>
      <c r="AR21" s="213">
        <v>8.3035890880000007</v>
      </c>
      <c r="AS21" s="213">
        <v>9.0243935979999996</v>
      </c>
      <c r="AT21" s="213">
        <v>8.8669912709999998</v>
      </c>
      <c r="AU21" s="213">
        <v>8.6810653549999994</v>
      </c>
      <c r="AV21" s="213">
        <v>6.6744210500000003</v>
      </c>
      <c r="AW21" s="213">
        <v>5.9003768599999997</v>
      </c>
      <c r="AX21" s="213">
        <v>5.9103335760000002</v>
      </c>
      <c r="AY21" s="213">
        <v>5.7590193510000001</v>
      </c>
      <c r="AZ21" s="213">
        <v>5.6319969209999998</v>
      </c>
      <c r="BA21" s="213">
        <v>5.9228147120000001</v>
      </c>
      <c r="BB21" s="213">
        <v>6.0175616339999998</v>
      </c>
      <c r="BC21" s="213">
        <v>6.9456682890000003</v>
      </c>
      <c r="BD21" s="213">
        <v>8.4671035729999993</v>
      </c>
      <c r="BE21" s="213">
        <v>8.5844819999999995</v>
      </c>
      <c r="BF21" s="213">
        <v>8.5683279999999993</v>
      </c>
      <c r="BG21" s="351">
        <v>7.9836270000000003</v>
      </c>
      <c r="BH21" s="351">
        <v>6.8029460000000004</v>
      </c>
      <c r="BI21" s="351">
        <v>6.4033720000000001</v>
      </c>
      <c r="BJ21" s="351">
        <v>6.4769569999999996</v>
      </c>
      <c r="BK21" s="351">
        <v>6.5622499999999997</v>
      </c>
      <c r="BL21" s="351">
        <v>6.4830240000000003</v>
      </c>
      <c r="BM21" s="351">
        <v>6.8992529999999999</v>
      </c>
      <c r="BN21" s="351">
        <v>7.2569910000000002</v>
      </c>
      <c r="BO21" s="351">
        <v>8.0925759999999993</v>
      </c>
      <c r="BP21" s="351">
        <v>8.9112930000000006</v>
      </c>
      <c r="BQ21" s="351">
        <v>9.3135890000000003</v>
      </c>
      <c r="BR21" s="351">
        <v>9.4655529999999999</v>
      </c>
      <c r="BS21" s="351">
        <v>8.8331090000000003</v>
      </c>
      <c r="BT21" s="351">
        <v>7.6359680000000001</v>
      </c>
      <c r="BU21" s="351">
        <v>7.1858250000000004</v>
      </c>
      <c r="BV21" s="351">
        <v>7.110061</v>
      </c>
    </row>
    <row r="22" spans="1:74" ht="11.1" customHeight="1" x14ac:dyDescent="0.2">
      <c r="A22" s="84" t="s">
        <v>674</v>
      </c>
      <c r="B22" s="189" t="s">
        <v>446</v>
      </c>
      <c r="C22" s="213">
        <v>6.1175357469999998</v>
      </c>
      <c r="D22" s="213">
        <v>6.1853920010000003</v>
      </c>
      <c r="E22" s="213">
        <v>6.4511635419999998</v>
      </c>
      <c r="F22" s="213">
        <v>6.2428619000000003</v>
      </c>
      <c r="G22" s="213">
        <v>6.7650606020000001</v>
      </c>
      <c r="H22" s="213">
        <v>7.7724631239999997</v>
      </c>
      <c r="I22" s="213">
        <v>8.4893882260000009</v>
      </c>
      <c r="J22" s="213">
        <v>8.6874276869999996</v>
      </c>
      <c r="K22" s="213">
        <v>8.3280943819999997</v>
      </c>
      <c r="L22" s="213">
        <v>7.3638628830000004</v>
      </c>
      <c r="M22" s="213">
        <v>6.9741567050000004</v>
      </c>
      <c r="N22" s="213">
        <v>6.534452259</v>
      </c>
      <c r="O22" s="213">
        <v>6.9276853520000001</v>
      </c>
      <c r="P22" s="213">
        <v>7.0393323959999998</v>
      </c>
      <c r="Q22" s="213">
        <v>6.7586815360000001</v>
      </c>
      <c r="R22" s="213">
        <v>7.1324821140000001</v>
      </c>
      <c r="S22" s="213">
        <v>7.7950360930000002</v>
      </c>
      <c r="T22" s="213">
        <v>8.8083525589999994</v>
      </c>
      <c r="U22" s="213">
        <v>9.0974341390000006</v>
      </c>
      <c r="V22" s="213">
        <v>9.3089353619999997</v>
      </c>
      <c r="W22" s="213">
        <v>8.7777406829999993</v>
      </c>
      <c r="X22" s="213">
        <v>7.2548528250000004</v>
      </c>
      <c r="Y22" s="213">
        <v>6.8570849049999998</v>
      </c>
      <c r="Z22" s="213">
        <v>7.010455898</v>
      </c>
      <c r="AA22" s="213">
        <v>6.8890682459999999</v>
      </c>
      <c r="AB22" s="213">
        <v>6.9304612590000003</v>
      </c>
      <c r="AC22" s="213">
        <v>7.038031481</v>
      </c>
      <c r="AD22" s="213">
        <v>6.9195587200000004</v>
      </c>
      <c r="AE22" s="213">
        <v>7.3410661450000001</v>
      </c>
      <c r="AF22" s="213">
        <v>8.6602332910000008</v>
      </c>
      <c r="AG22" s="213">
        <v>9.1571448709999999</v>
      </c>
      <c r="AH22" s="213">
        <v>9.1569721120000001</v>
      </c>
      <c r="AI22" s="213">
        <v>8.7203558399999999</v>
      </c>
      <c r="AJ22" s="213">
        <v>7.1343869800000004</v>
      </c>
      <c r="AK22" s="213">
        <v>6.9764916279999998</v>
      </c>
      <c r="AL22" s="213">
        <v>7.1559571039999996</v>
      </c>
      <c r="AM22" s="213">
        <v>7.0507742010000003</v>
      </c>
      <c r="AN22" s="213">
        <v>6.7336228</v>
      </c>
      <c r="AO22" s="213">
        <v>6.5371264040000003</v>
      </c>
      <c r="AP22" s="213">
        <v>6.7994524070000004</v>
      </c>
      <c r="AQ22" s="213">
        <v>7.0874978679999998</v>
      </c>
      <c r="AR22" s="213">
        <v>7.9946904820000002</v>
      </c>
      <c r="AS22" s="213">
        <v>8.4418709110000005</v>
      </c>
      <c r="AT22" s="213">
        <v>8.2926707929999992</v>
      </c>
      <c r="AU22" s="213">
        <v>7.8576295070000004</v>
      </c>
      <c r="AV22" s="213">
        <v>6.2696128629999999</v>
      </c>
      <c r="AW22" s="213">
        <v>6.2158149160000002</v>
      </c>
      <c r="AX22" s="213">
        <v>6.0653515100000002</v>
      </c>
      <c r="AY22" s="213">
        <v>6.0516927220000003</v>
      </c>
      <c r="AZ22" s="213">
        <v>5.9490767199999999</v>
      </c>
      <c r="BA22" s="213">
        <v>5.8810085980000002</v>
      </c>
      <c r="BB22" s="213">
        <v>5.8907713490000004</v>
      </c>
      <c r="BC22" s="213">
        <v>6.8787020720000003</v>
      </c>
      <c r="BD22" s="213">
        <v>7.6452559630000003</v>
      </c>
      <c r="BE22" s="213">
        <v>7.8923719999999999</v>
      </c>
      <c r="BF22" s="213">
        <v>8.1247600000000002</v>
      </c>
      <c r="BG22" s="351">
        <v>7.6426780000000001</v>
      </c>
      <c r="BH22" s="351">
        <v>6.697114</v>
      </c>
      <c r="BI22" s="351">
        <v>6.7247310000000002</v>
      </c>
      <c r="BJ22" s="351">
        <v>6.7092650000000003</v>
      </c>
      <c r="BK22" s="351">
        <v>7.0308650000000004</v>
      </c>
      <c r="BL22" s="351">
        <v>7.429087</v>
      </c>
      <c r="BM22" s="351">
        <v>7.6543999999999999</v>
      </c>
      <c r="BN22" s="351">
        <v>7.6212710000000001</v>
      </c>
      <c r="BO22" s="351">
        <v>7.8095090000000003</v>
      </c>
      <c r="BP22" s="351">
        <v>8.6827400000000008</v>
      </c>
      <c r="BQ22" s="351">
        <v>9.1022180000000006</v>
      </c>
      <c r="BR22" s="351">
        <v>9.312716</v>
      </c>
      <c r="BS22" s="351">
        <v>8.7895579999999995</v>
      </c>
      <c r="BT22" s="351">
        <v>7.7636719999999997</v>
      </c>
      <c r="BU22" s="351">
        <v>7.6266829999999999</v>
      </c>
      <c r="BV22" s="351">
        <v>7.4028299999999998</v>
      </c>
    </row>
    <row r="23" spans="1:74" ht="11.1" customHeight="1" x14ac:dyDescent="0.2">
      <c r="A23" s="84" t="s">
        <v>675</v>
      </c>
      <c r="B23" s="189" t="s">
        <v>447</v>
      </c>
      <c r="C23" s="213">
        <v>7.2796476849999996</v>
      </c>
      <c r="D23" s="213">
        <v>7.4942681970000002</v>
      </c>
      <c r="E23" s="213">
        <v>8.1502783020000003</v>
      </c>
      <c r="F23" s="213">
        <v>8.0866253070000003</v>
      </c>
      <c r="G23" s="213">
        <v>8.3010406900000007</v>
      </c>
      <c r="H23" s="213">
        <v>8.7834616170000004</v>
      </c>
      <c r="I23" s="213">
        <v>9.335187822</v>
      </c>
      <c r="J23" s="213">
        <v>9.2839632460000008</v>
      </c>
      <c r="K23" s="213">
        <v>9.3340717259999995</v>
      </c>
      <c r="L23" s="213">
        <v>8.972180689</v>
      </c>
      <c r="M23" s="213">
        <v>8.6751286870000008</v>
      </c>
      <c r="N23" s="213">
        <v>8.2817929110000001</v>
      </c>
      <c r="O23" s="213">
        <v>8.6542832860000001</v>
      </c>
      <c r="P23" s="213">
        <v>9.3191504290000005</v>
      </c>
      <c r="Q23" s="213">
        <v>8.4790201740000004</v>
      </c>
      <c r="R23" s="213">
        <v>9.6082333169999998</v>
      </c>
      <c r="S23" s="213">
        <v>9.9089417540000007</v>
      </c>
      <c r="T23" s="213">
        <v>10.05682622</v>
      </c>
      <c r="U23" s="213">
        <v>9.5237150840000009</v>
      </c>
      <c r="V23" s="213">
        <v>9.7314502429999994</v>
      </c>
      <c r="W23" s="213">
        <v>9.6184220709999995</v>
      </c>
      <c r="X23" s="213">
        <v>9.2906870640000001</v>
      </c>
      <c r="Y23" s="213">
        <v>8.8750225169999997</v>
      </c>
      <c r="Z23" s="213">
        <v>8.4652616760000008</v>
      </c>
      <c r="AA23" s="213">
        <v>8.1868814239999992</v>
      </c>
      <c r="AB23" s="213">
        <v>9.0355760549999999</v>
      </c>
      <c r="AC23" s="213">
        <v>8.0711328820000006</v>
      </c>
      <c r="AD23" s="213">
        <v>8.8678931569999992</v>
      </c>
      <c r="AE23" s="213">
        <v>9.5224331039999992</v>
      </c>
      <c r="AF23" s="213">
        <v>9.8914721149999991</v>
      </c>
      <c r="AG23" s="213">
        <v>9.8731824939999999</v>
      </c>
      <c r="AH23" s="213">
        <v>9.6766938959999997</v>
      </c>
      <c r="AI23" s="213">
        <v>9.8203638170000005</v>
      </c>
      <c r="AJ23" s="213">
        <v>9.0491518769999999</v>
      </c>
      <c r="AK23" s="213">
        <v>8.6015756979999995</v>
      </c>
      <c r="AL23" s="213">
        <v>8.7226616700000008</v>
      </c>
      <c r="AM23" s="213">
        <v>9.0211189279999999</v>
      </c>
      <c r="AN23" s="213">
        <v>9.0475941570000007</v>
      </c>
      <c r="AO23" s="213">
        <v>8.4082917469999998</v>
      </c>
      <c r="AP23" s="213">
        <v>9.3706348649999995</v>
      </c>
      <c r="AQ23" s="213">
        <v>9.4797942049999993</v>
      </c>
      <c r="AR23" s="213">
        <v>9.8407470690000007</v>
      </c>
      <c r="AS23" s="213">
        <v>9.8013901870000009</v>
      </c>
      <c r="AT23" s="213">
        <v>9.5427606639999993</v>
      </c>
      <c r="AU23" s="213">
        <v>9.5522192379999993</v>
      </c>
      <c r="AV23" s="213">
        <v>9.449294986</v>
      </c>
      <c r="AW23" s="213">
        <v>8.4459824769999994</v>
      </c>
      <c r="AX23" s="213">
        <v>8.8593364399999999</v>
      </c>
      <c r="AY23" s="213">
        <v>8.6688266600000006</v>
      </c>
      <c r="AZ23" s="213">
        <v>8.2405390220000001</v>
      </c>
      <c r="BA23" s="213">
        <v>8.8544063640000008</v>
      </c>
      <c r="BB23" s="213">
        <v>9.0714718439999995</v>
      </c>
      <c r="BC23" s="213">
        <v>9.2444786929999996</v>
      </c>
      <c r="BD23" s="213">
        <v>9.3654488259999997</v>
      </c>
      <c r="BE23" s="213">
        <v>9.3770559999999996</v>
      </c>
      <c r="BF23" s="213">
        <v>9.3226700000000005</v>
      </c>
      <c r="BG23" s="351">
        <v>9.3060790000000004</v>
      </c>
      <c r="BH23" s="351">
        <v>8.9745089999999994</v>
      </c>
      <c r="BI23" s="351">
        <v>8.6954619999999991</v>
      </c>
      <c r="BJ23" s="351">
        <v>8.6342400000000001</v>
      </c>
      <c r="BK23" s="351">
        <v>8.7107910000000004</v>
      </c>
      <c r="BL23" s="351">
        <v>8.7246249999999996</v>
      </c>
      <c r="BM23" s="351">
        <v>8.8951349999999998</v>
      </c>
      <c r="BN23" s="351">
        <v>9.2971149999999998</v>
      </c>
      <c r="BO23" s="351">
        <v>9.6191809999999993</v>
      </c>
      <c r="BP23" s="351">
        <v>9.9573540000000005</v>
      </c>
      <c r="BQ23" s="351">
        <v>9.9732990000000008</v>
      </c>
      <c r="BR23" s="351">
        <v>9.8559090000000005</v>
      </c>
      <c r="BS23" s="351">
        <v>9.7220370000000003</v>
      </c>
      <c r="BT23" s="351">
        <v>9.3033579999999994</v>
      </c>
      <c r="BU23" s="351">
        <v>8.9600790000000003</v>
      </c>
      <c r="BV23" s="351">
        <v>8.6500369999999993</v>
      </c>
    </row>
    <row r="24" spans="1:74" ht="11.1" customHeight="1" x14ac:dyDescent="0.2">
      <c r="A24" s="84" t="s">
        <v>676</v>
      </c>
      <c r="B24" s="189" t="s">
        <v>448</v>
      </c>
      <c r="C24" s="213">
        <v>7.5212303560000002</v>
      </c>
      <c r="D24" s="213">
        <v>7.3566755500000003</v>
      </c>
      <c r="E24" s="213">
        <v>7.6702787910000003</v>
      </c>
      <c r="F24" s="213">
        <v>8.3349355490000008</v>
      </c>
      <c r="G24" s="213">
        <v>8.4597283599999997</v>
      </c>
      <c r="H24" s="213">
        <v>9.0501157939999999</v>
      </c>
      <c r="I24" s="213">
        <v>9.5000941549999993</v>
      </c>
      <c r="J24" s="213">
        <v>10.01615183</v>
      </c>
      <c r="K24" s="213">
        <v>9.7334595979999996</v>
      </c>
      <c r="L24" s="213">
        <v>10.145863950000001</v>
      </c>
      <c r="M24" s="213">
        <v>9.4891298249999991</v>
      </c>
      <c r="N24" s="213">
        <v>8.4394713079999999</v>
      </c>
      <c r="O24" s="213">
        <v>8.6951086219999993</v>
      </c>
      <c r="P24" s="213">
        <v>9.1312956290000002</v>
      </c>
      <c r="Q24" s="213">
        <v>9.0463971500000007</v>
      </c>
      <c r="R24" s="213">
        <v>9.7864027169999996</v>
      </c>
      <c r="S24" s="213">
        <v>10.180161549999999</v>
      </c>
      <c r="T24" s="213">
        <v>10.499552919999999</v>
      </c>
      <c r="U24" s="213">
        <v>10.55549905</v>
      </c>
      <c r="V24" s="213">
        <v>10.72065826</v>
      </c>
      <c r="W24" s="213">
        <v>10.569577880000001</v>
      </c>
      <c r="X24" s="213">
        <v>10.10542085</v>
      </c>
      <c r="Y24" s="213">
        <v>9.3346739920000008</v>
      </c>
      <c r="Z24" s="213">
        <v>8.7311751169999994</v>
      </c>
      <c r="AA24" s="213">
        <v>8.4276742739999992</v>
      </c>
      <c r="AB24" s="213">
        <v>8.7835359650000004</v>
      </c>
      <c r="AC24" s="213">
        <v>8.9246330070000006</v>
      </c>
      <c r="AD24" s="213">
        <v>8.7222544610000003</v>
      </c>
      <c r="AE24" s="213">
        <v>9.7157160860000005</v>
      </c>
      <c r="AF24" s="213">
        <v>10.46767034</v>
      </c>
      <c r="AG24" s="213">
        <v>10.770551749999999</v>
      </c>
      <c r="AH24" s="213">
        <v>10.776230760000001</v>
      </c>
      <c r="AI24" s="213">
        <v>10.203347129999999</v>
      </c>
      <c r="AJ24" s="213">
        <v>9.6568063399999993</v>
      </c>
      <c r="AK24" s="213">
        <v>8.6540650069999998</v>
      </c>
      <c r="AL24" s="213">
        <v>8.7405005140000007</v>
      </c>
      <c r="AM24" s="213">
        <v>8.7707657319999992</v>
      </c>
      <c r="AN24" s="213">
        <v>8.6379814069999998</v>
      </c>
      <c r="AO24" s="213">
        <v>8.3429829739999999</v>
      </c>
      <c r="AP24" s="213">
        <v>9.1344339639999994</v>
      </c>
      <c r="AQ24" s="213">
        <v>10.15819845</v>
      </c>
      <c r="AR24" s="213">
        <v>10.309468669999999</v>
      </c>
      <c r="AS24" s="213">
        <v>10.061316079999999</v>
      </c>
      <c r="AT24" s="213">
        <v>10.043864920000001</v>
      </c>
      <c r="AU24" s="213">
        <v>10.088012060000001</v>
      </c>
      <c r="AV24" s="213">
        <v>9.7253808450000001</v>
      </c>
      <c r="AW24" s="213">
        <v>8.1362865339999999</v>
      </c>
      <c r="AX24" s="213">
        <v>8.4215663230000004</v>
      </c>
      <c r="AY24" s="213">
        <v>8.5536364660000004</v>
      </c>
      <c r="AZ24" s="213">
        <v>8.1228915219999998</v>
      </c>
      <c r="BA24" s="213">
        <v>8.4244136160000007</v>
      </c>
      <c r="BB24" s="213">
        <v>8.738529217</v>
      </c>
      <c r="BC24" s="213">
        <v>9.8160133419999998</v>
      </c>
      <c r="BD24" s="213">
        <v>9.4185837630000009</v>
      </c>
      <c r="BE24" s="213">
        <v>9.2788140000000006</v>
      </c>
      <c r="BF24" s="213">
        <v>9.2859540000000003</v>
      </c>
      <c r="BG24" s="351">
        <v>9.1046320000000005</v>
      </c>
      <c r="BH24" s="351">
        <v>8.7689869999999992</v>
      </c>
      <c r="BI24" s="351">
        <v>8.3803509999999992</v>
      </c>
      <c r="BJ24" s="351">
        <v>7.9092450000000003</v>
      </c>
      <c r="BK24" s="351">
        <v>7.9526389999999996</v>
      </c>
      <c r="BL24" s="351">
        <v>8.3423440000000006</v>
      </c>
      <c r="BM24" s="351">
        <v>8.5230080000000008</v>
      </c>
      <c r="BN24" s="351">
        <v>9.2052820000000004</v>
      </c>
      <c r="BO24" s="351">
        <v>9.5706579999999999</v>
      </c>
      <c r="BP24" s="351">
        <v>9.7434089999999998</v>
      </c>
      <c r="BQ24" s="351">
        <v>9.9666219999999992</v>
      </c>
      <c r="BR24" s="351">
        <v>10.21078</v>
      </c>
      <c r="BS24" s="351">
        <v>10.07192</v>
      </c>
      <c r="BT24" s="351">
        <v>9.7798130000000008</v>
      </c>
      <c r="BU24" s="351">
        <v>9.3743020000000001</v>
      </c>
      <c r="BV24" s="351">
        <v>8.7606409999999997</v>
      </c>
    </row>
    <row r="25" spans="1:74" ht="11.1" customHeight="1" x14ac:dyDescent="0.2">
      <c r="A25" s="84" t="s">
        <v>677</v>
      </c>
      <c r="B25" s="189" t="s">
        <v>449</v>
      </c>
      <c r="C25" s="213">
        <v>6.2657175650000001</v>
      </c>
      <c r="D25" s="213">
        <v>6.1006638799999999</v>
      </c>
      <c r="E25" s="213">
        <v>6.5206001689999997</v>
      </c>
      <c r="F25" s="213">
        <v>6.4745830660000001</v>
      </c>
      <c r="G25" s="213">
        <v>7.1913992950000001</v>
      </c>
      <c r="H25" s="213">
        <v>7.1013067330000004</v>
      </c>
      <c r="I25" s="213">
        <v>7.8884590149999996</v>
      </c>
      <c r="J25" s="213">
        <v>8.5164762700000001</v>
      </c>
      <c r="K25" s="213">
        <v>8.4064110880000005</v>
      </c>
      <c r="L25" s="213">
        <v>8.7017409350000001</v>
      </c>
      <c r="M25" s="213">
        <v>8.5249550139999997</v>
      </c>
      <c r="N25" s="213">
        <v>7.6508547020000002</v>
      </c>
      <c r="O25" s="213">
        <v>7.4198012310000001</v>
      </c>
      <c r="P25" s="213">
        <v>7.688897753</v>
      </c>
      <c r="Q25" s="213">
        <v>7.6239105110000001</v>
      </c>
      <c r="R25" s="213">
        <v>8.014193444</v>
      </c>
      <c r="S25" s="213">
        <v>8.1031750200000001</v>
      </c>
      <c r="T25" s="213">
        <v>8.3014922799999997</v>
      </c>
      <c r="U25" s="213">
        <v>8.6964242980000002</v>
      </c>
      <c r="V25" s="213">
        <v>8.8819582159999992</v>
      </c>
      <c r="W25" s="213">
        <v>8.7929095499999992</v>
      </c>
      <c r="X25" s="213">
        <v>8.6319461959999995</v>
      </c>
      <c r="Y25" s="213">
        <v>8.0318788390000009</v>
      </c>
      <c r="Z25" s="213">
        <v>7.9060980599999997</v>
      </c>
      <c r="AA25" s="213">
        <v>6.5109998009999996</v>
      </c>
      <c r="AB25" s="213">
        <v>6.7242550919999999</v>
      </c>
      <c r="AC25" s="213">
        <v>7.0531021909999998</v>
      </c>
      <c r="AD25" s="213">
        <v>7.0939918430000004</v>
      </c>
      <c r="AE25" s="213">
        <v>7.4505407149999998</v>
      </c>
      <c r="AF25" s="213">
        <v>7.9485720559999997</v>
      </c>
      <c r="AG25" s="213">
        <v>8.0428883649999996</v>
      </c>
      <c r="AH25" s="213">
        <v>8.0243936770000008</v>
      </c>
      <c r="AI25" s="213">
        <v>7.8679431370000001</v>
      </c>
      <c r="AJ25" s="213">
        <v>7.4112750040000002</v>
      </c>
      <c r="AK25" s="213">
        <v>6.4991923979999999</v>
      </c>
      <c r="AL25" s="213">
        <v>6.1842620630000003</v>
      </c>
      <c r="AM25" s="213">
        <v>6.1318388940000004</v>
      </c>
      <c r="AN25" s="213">
        <v>5.9803558299999997</v>
      </c>
      <c r="AO25" s="213">
        <v>5.9239410719999999</v>
      </c>
      <c r="AP25" s="213">
        <v>6.146601134</v>
      </c>
      <c r="AQ25" s="213">
        <v>6.865462215</v>
      </c>
      <c r="AR25" s="213">
        <v>6.9520048829999999</v>
      </c>
      <c r="AS25" s="213">
        <v>7.2258454600000004</v>
      </c>
      <c r="AT25" s="213">
        <v>7.4421857200000003</v>
      </c>
      <c r="AU25" s="213">
        <v>7.6094917510000002</v>
      </c>
      <c r="AV25" s="213">
        <v>7.660448594</v>
      </c>
      <c r="AW25" s="213">
        <v>6.1201209470000002</v>
      </c>
      <c r="AX25" s="213">
        <v>6.0132347360000002</v>
      </c>
      <c r="AY25" s="213">
        <v>5.8478500599999998</v>
      </c>
      <c r="AZ25" s="213">
        <v>5.4669869889999996</v>
      </c>
      <c r="BA25" s="213">
        <v>5.8251339499999997</v>
      </c>
      <c r="BB25" s="213">
        <v>6.0892700169999996</v>
      </c>
      <c r="BC25" s="213">
        <v>6.9470119329999998</v>
      </c>
      <c r="BD25" s="213">
        <v>7.9917081400000001</v>
      </c>
      <c r="BE25" s="213">
        <v>7.6102509999999999</v>
      </c>
      <c r="BF25" s="213">
        <v>7.4435140000000004</v>
      </c>
      <c r="BG25" s="351">
        <v>7.3446990000000003</v>
      </c>
      <c r="BH25" s="351">
        <v>7.4314999999999998</v>
      </c>
      <c r="BI25" s="351">
        <v>7.1578559999999998</v>
      </c>
      <c r="BJ25" s="351">
        <v>6.8215810000000001</v>
      </c>
      <c r="BK25" s="351">
        <v>7.1147479999999996</v>
      </c>
      <c r="BL25" s="351">
        <v>7.32212</v>
      </c>
      <c r="BM25" s="351">
        <v>7.2572789999999996</v>
      </c>
      <c r="BN25" s="351">
        <v>7.5856560000000002</v>
      </c>
      <c r="BO25" s="351">
        <v>7.8635539999999997</v>
      </c>
      <c r="BP25" s="351">
        <v>8.0517140000000005</v>
      </c>
      <c r="BQ25" s="351">
        <v>8.3438140000000001</v>
      </c>
      <c r="BR25" s="351">
        <v>8.5185099999999991</v>
      </c>
      <c r="BS25" s="351">
        <v>8.3615619999999993</v>
      </c>
      <c r="BT25" s="351">
        <v>8.4373830000000005</v>
      </c>
      <c r="BU25" s="351">
        <v>8.0782260000000008</v>
      </c>
      <c r="BV25" s="351">
        <v>7.5247929999999998</v>
      </c>
    </row>
    <row r="26" spans="1:74" ht="11.1" customHeight="1" x14ac:dyDescent="0.2">
      <c r="A26" s="84" t="s">
        <v>678</v>
      </c>
      <c r="B26" s="189" t="s">
        <v>450</v>
      </c>
      <c r="C26" s="213">
        <v>6.8436322000000001</v>
      </c>
      <c r="D26" s="213">
        <v>6.9775949610000003</v>
      </c>
      <c r="E26" s="213">
        <v>7.1145222739999996</v>
      </c>
      <c r="F26" s="213">
        <v>6.9575303640000001</v>
      </c>
      <c r="G26" s="213">
        <v>6.949129278</v>
      </c>
      <c r="H26" s="213">
        <v>7.5873176869999996</v>
      </c>
      <c r="I26" s="213">
        <v>7.8950360960000001</v>
      </c>
      <c r="J26" s="213">
        <v>8.1039387230000006</v>
      </c>
      <c r="K26" s="213">
        <v>7.8771148560000004</v>
      </c>
      <c r="L26" s="213">
        <v>7.4345254880000002</v>
      </c>
      <c r="M26" s="213">
        <v>6.9515867890000003</v>
      </c>
      <c r="N26" s="213">
        <v>6.6784014770000004</v>
      </c>
      <c r="O26" s="213">
        <v>6.7201430320000002</v>
      </c>
      <c r="P26" s="213">
        <v>6.9553309890000001</v>
      </c>
      <c r="Q26" s="213">
        <v>7.1529288720000004</v>
      </c>
      <c r="R26" s="213">
        <v>7.2039907520000002</v>
      </c>
      <c r="S26" s="213">
        <v>7.2940875610000004</v>
      </c>
      <c r="T26" s="213">
        <v>7.9007280199999999</v>
      </c>
      <c r="U26" s="213">
        <v>8.3608026960000004</v>
      </c>
      <c r="V26" s="213">
        <v>8.3601375020000006</v>
      </c>
      <c r="W26" s="213">
        <v>8.223194501</v>
      </c>
      <c r="X26" s="213">
        <v>7.302136365</v>
      </c>
      <c r="Y26" s="213">
        <v>7.2275735360000004</v>
      </c>
      <c r="Z26" s="213">
        <v>7.1755322289999999</v>
      </c>
      <c r="AA26" s="213">
        <v>6.9606657189999996</v>
      </c>
      <c r="AB26" s="213">
        <v>6.9539941609999998</v>
      </c>
      <c r="AC26" s="213">
        <v>7.100963031</v>
      </c>
      <c r="AD26" s="213">
        <v>7.0804514579999998</v>
      </c>
      <c r="AE26" s="213">
        <v>7.7971438190000004</v>
      </c>
      <c r="AF26" s="213">
        <v>8.0150609280000005</v>
      </c>
      <c r="AG26" s="213">
        <v>8.4682697499999993</v>
      </c>
      <c r="AH26" s="213">
        <v>7.5556694230000003</v>
      </c>
      <c r="AI26" s="213">
        <v>7.6873354300000001</v>
      </c>
      <c r="AJ26" s="213">
        <v>6.7657232699999996</v>
      </c>
      <c r="AK26" s="213">
        <v>6.292960399</v>
      </c>
      <c r="AL26" s="213">
        <v>6.1542659259999999</v>
      </c>
      <c r="AM26" s="213">
        <v>6.3387448769999999</v>
      </c>
      <c r="AN26" s="213">
        <v>6.40203772</v>
      </c>
      <c r="AO26" s="213">
        <v>6.4596341080000004</v>
      </c>
      <c r="AP26" s="213">
        <v>6.498283829</v>
      </c>
      <c r="AQ26" s="213">
        <v>6.6718213000000004</v>
      </c>
      <c r="AR26" s="213">
        <v>7.1695989090000003</v>
      </c>
      <c r="AS26" s="213">
        <v>7.4223917569999998</v>
      </c>
      <c r="AT26" s="213">
        <v>7.4062199739999999</v>
      </c>
      <c r="AU26" s="213">
        <v>7.4030947310000004</v>
      </c>
      <c r="AV26" s="213">
        <v>6.4098648349999996</v>
      </c>
      <c r="AW26" s="213">
        <v>6.0832708049999997</v>
      </c>
      <c r="AX26" s="213">
        <v>6.0945848729999996</v>
      </c>
      <c r="AY26" s="213">
        <v>6.0693177670000003</v>
      </c>
      <c r="AZ26" s="213">
        <v>6.0362682310000002</v>
      </c>
      <c r="BA26" s="213">
        <v>6.0984794669999998</v>
      </c>
      <c r="BB26" s="213">
        <v>8.0053086960000002</v>
      </c>
      <c r="BC26" s="213">
        <v>6.8293851119999998</v>
      </c>
      <c r="BD26" s="213">
        <v>7.2504569249999999</v>
      </c>
      <c r="BE26" s="213">
        <v>7.5083880000000001</v>
      </c>
      <c r="BF26" s="213">
        <v>7.6814159999999996</v>
      </c>
      <c r="BG26" s="351">
        <v>7.6487439999999998</v>
      </c>
      <c r="BH26" s="351">
        <v>7.1849369999999997</v>
      </c>
      <c r="BI26" s="351">
        <v>6.6297790000000001</v>
      </c>
      <c r="BJ26" s="351">
        <v>6.5390410000000001</v>
      </c>
      <c r="BK26" s="351">
        <v>6.9381490000000001</v>
      </c>
      <c r="BL26" s="351">
        <v>7.1676789999999997</v>
      </c>
      <c r="BM26" s="351">
        <v>7.289282</v>
      </c>
      <c r="BN26" s="351">
        <v>7.3853229999999996</v>
      </c>
      <c r="BO26" s="351">
        <v>7.5075060000000002</v>
      </c>
      <c r="BP26" s="351">
        <v>7.8470740000000001</v>
      </c>
      <c r="BQ26" s="351">
        <v>8.2420559999999998</v>
      </c>
      <c r="BR26" s="351">
        <v>8.4881869999999999</v>
      </c>
      <c r="BS26" s="351">
        <v>8.4532100000000003</v>
      </c>
      <c r="BT26" s="351">
        <v>7.9973970000000003</v>
      </c>
      <c r="BU26" s="351">
        <v>7.4238819999999999</v>
      </c>
      <c r="BV26" s="351">
        <v>7.2638889999999998</v>
      </c>
    </row>
    <row r="27" spans="1:74" ht="11.1" customHeight="1" x14ac:dyDescent="0.2">
      <c r="A27" s="84" t="s">
        <v>679</v>
      </c>
      <c r="B27" s="189" t="s">
        <v>451</v>
      </c>
      <c r="C27" s="213">
        <v>8.2355107529999998</v>
      </c>
      <c r="D27" s="213">
        <v>8.7109176720000008</v>
      </c>
      <c r="E27" s="213">
        <v>8.4521432809999997</v>
      </c>
      <c r="F27" s="213">
        <v>7.9453054840000004</v>
      </c>
      <c r="G27" s="213">
        <v>8.1078895709999994</v>
      </c>
      <c r="H27" s="213">
        <v>8.5651464219999998</v>
      </c>
      <c r="I27" s="213">
        <v>8.8520243700000005</v>
      </c>
      <c r="J27" s="213">
        <v>9.3159325230000007</v>
      </c>
      <c r="K27" s="213">
        <v>9.5252054279999996</v>
      </c>
      <c r="L27" s="213">
        <v>9.2298115349999996</v>
      </c>
      <c r="M27" s="213">
        <v>9.2160965739999998</v>
      </c>
      <c r="N27" s="213">
        <v>9.1846307300000003</v>
      </c>
      <c r="O27" s="213">
        <v>9.0318213969999999</v>
      </c>
      <c r="P27" s="213">
        <v>9.0401089080000006</v>
      </c>
      <c r="Q27" s="213">
        <v>9.2052122759999992</v>
      </c>
      <c r="R27" s="213">
        <v>8.9645232060000009</v>
      </c>
      <c r="S27" s="213">
        <v>8.8609399530000008</v>
      </c>
      <c r="T27" s="213">
        <v>9.4269185869999994</v>
      </c>
      <c r="U27" s="213">
        <v>9.202691519</v>
      </c>
      <c r="V27" s="213">
        <v>9.2448786819999995</v>
      </c>
      <c r="W27" s="213">
        <v>8.8567408679999993</v>
      </c>
      <c r="X27" s="213">
        <v>8.4553672199999994</v>
      </c>
      <c r="Y27" s="213">
        <v>8.4778077849999995</v>
      </c>
      <c r="Z27" s="213">
        <v>8.6182836500000004</v>
      </c>
      <c r="AA27" s="213">
        <v>8.8226280900000003</v>
      </c>
      <c r="AB27" s="213">
        <v>8.9553310980000003</v>
      </c>
      <c r="AC27" s="213">
        <v>8.806901818</v>
      </c>
      <c r="AD27" s="213">
        <v>8.6098163529999994</v>
      </c>
      <c r="AE27" s="213">
        <v>8.5350408590000004</v>
      </c>
      <c r="AF27" s="213">
        <v>8.4783965709999993</v>
      </c>
      <c r="AG27" s="213">
        <v>9.1778928670000006</v>
      </c>
      <c r="AH27" s="213">
        <v>9.0591103069999992</v>
      </c>
      <c r="AI27" s="213">
        <v>8.9932663890000004</v>
      </c>
      <c r="AJ27" s="213">
        <v>8.2468311990000007</v>
      </c>
      <c r="AK27" s="213">
        <v>8.4116935290000008</v>
      </c>
      <c r="AL27" s="213">
        <v>9.0483670269999994</v>
      </c>
      <c r="AM27" s="213">
        <v>9.187720895</v>
      </c>
      <c r="AN27" s="213">
        <v>8.8309016739999997</v>
      </c>
      <c r="AO27" s="213">
        <v>9.288486442</v>
      </c>
      <c r="AP27" s="213">
        <v>9.208526912</v>
      </c>
      <c r="AQ27" s="213">
        <v>8.7469877070000006</v>
      </c>
      <c r="AR27" s="213">
        <v>8.3769432629999994</v>
      </c>
      <c r="AS27" s="213">
        <v>9.3081629190000008</v>
      </c>
      <c r="AT27" s="213">
        <v>8.9914221469999998</v>
      </c>
      <c r="AU27" s="213">
        <v>9.1263445589999996</v>
      </c>
      <c r="AV27" s="213">
        <v>8.6009223590000001</v>
      </c>
      <c r="AW27" s="213">
        <v>8.8328311369999994</v>
      </c>
      <c r="AX27" s="213">
        <v>9.1744742200000005</v>
      </c>
      <c r="AY27" s="213">
        <v>9.7875920329999992</v>
      </c>
      <c r="AZ27" s="213">
        <v>9.5107040049999991</v>
      </c>
      <c r="BA27" s="213">
        <v>9.4728700450000005</v>
      </c>
      <c r="BB27" s="213">
        <v>9.4039688520000002</v>
      </c>
      <c r="BC27" s="213">
        <v>9.601607735</v>
      </c>
      <c r="BD27" s="213">
        <v>8.8306186970000002</v>
      </c>
      <c r="BE27" s="213">
        <v>8.6425999999999998</v>
      </c>
      <c r="BF27" s="213">
        <v>8.5899380000000001</v>
      </c>
      <c r="BG27" s="351">
        <v>8.3575330000000001</v>
      </c>
      <c r="BH27" s="351">
        <v>8.1578510000000009</v>
      </c>
      <c r="BI27" s="351">
        <v>8.0634789999999992</v>
      </c>
      <c r="BJ27" s="351">
        <v>8.4156019999999998</v>
      </c>
      <c r="BK27" s="351">
        <v>8.5110360000000007</v>
      </c>
      <c r="BL27" s="351">
        <v>8.7981689999999997</v>
      </c>
      <c r="BM27" s="351">
        <v>8.9763789999999997</v>
      </c>
      <c r="BN27" s="351">
        <v>8.8362540000000003</v>
      </c>
      <c r="BO27" s="351">
        <v>8.9507779999999997</v>
      </c>
      <c r="BP27" s="351">
        <v>9.2608870000000003</v>
      </c>
      <c r="BQ27" s="351">
        <v>9.3157429999999994</v>
      </c>
      <c r="BR27" s="351">
        <v>9.3911519999999999</v>
      </c>
      <c r="BS27" s="351">
        <v>9.1976560000000003</v>
      </c>
      <c r="BT27" s="351">
        <v>9.0186270000000004</v>
      </c>
      <c r="BU27" s="351">
        <v>8.8740500000000004</v>
      </c>
      <c r="BV27" s="351">
        <v>9.0737970000000008</v>
      </c>
    </row>
    <row r="28" spans="1:74" ht="11.1" customHeight="1" x14ac:dyDescent="0.2">
      <c r="A28" s="84" t="s">
        <v>680</v>
      </c>
      <c r="B28" s="189" t="s">
        <v>425</v>
      </c>
      <c r="C28" s="213">
        <v>6.75</v>
      </c>
      <c r="D28" s="213">
        <v>6.86</v>
      </c>
      <c r="E28" s="213">
        <v>7.08</v>
      </c>
      <c r="F28" s="213">
        <v>6.98</v>
      </c>
      <c r="G28" s="213">
        <v>7.32</v>
      </c>
      <c r="H28" s="213">
        <v>7.72</v>
      </c>
      <c r="I28" s="213">
        <v>8.14</v>
      </c>
      <c r="J28" s="213">
        <v>8.3000000000000007</v>
      </c>
      <c r="K28" s="213">
        <v>8.2799999999999994</v>
      </c>
      <c r="L28" s="213">
        <v>7.96</v>
      </c>
      <c r="M28" s="213">
        <v>7.67</v>
      </c>
      <c r="N28" s="213">
        <v>7.27</v>
      </c>
      <c r="O28" s="213">
        <v>7.58</v>
      </c>
      <c r="P28" s="213">
        <v>7.89</v>
      </c>
      <c r="Q28" s="213">
        <v>7.68</v>
      </c>
      <c r="R28" s="213">
        <v>8.0399999999999991</v>
      </c>
      <c r="S28" s="213">
        <v>8.31</v>
      </c>
      <c r="T28" s="213">
        <v>8.75</v>
      </c>
      <c r="U28" s="213">
        <v>8.81</v>
      </c>
      <c r="V28" s="213">
        <v>8.76</v>
      </c>
      <c r="W28" s="213">
        <v>8.52</v>
      </c>
      <c r="X28" s="213">
        <v>7.97</v>
      </c>
      <c r="Y28" s="213">
        <v>7.51</v>
      </c>
      <c r="Z28" s="213">
        <v>7.42</v>
      </c>
      <c r="AA28" s="213">
        <v>7.39</v>
      </c>
      <c r="AB28" s="213">
        <v>7.74</v>
      </c>
      <c r="AC28" s="213">
        <v>7.71</v>
      </c>
      <c r="AD28" s="213">
        <v>7.65</v>
      </c>
      <c r="AE28" s="213">
        <v>8.34</v>
      </c>
      <c r="AF28" s="213">
        <v>8.58</v>
      </c>
      <c r="AG28" s="213">
        <v>8.84</v>
      </c>
      <c r="AH28" s="213">
        <v>8.69</v>
      </c>
      <c r="AI28" s="213">
        <v>8.57</v>
      </c>
      <c r="AJ28" s="213">
        <v>7.69</v>
      </c>
      <c r="AK28" s="213">
        <v>7.34</v>
      </c>
      <c r="AL28" s="213">
        <v>7.7</v>
      </c>
      <c r="AM28" s="213">
        <v>7.7</v>
      </c>
      <c r="AN28" s="213">
        <v>7.58</v>
      </c>
      <c r="AO28" s="213">
        <v>7.44</v>
      </c>
      <c r="AP28" s="213">
        <v>7.76</v>
      </c>
      <c r="AQ28" s="213">
        <v>8.08</v>
      </c>
      <c r="AR28" s="213">
        <v>8.2200000000000006</v>
      </c>
      <c r="AS28" s="213">
        <v>8.4499999999999993</v>
      </c>
      <c r="AT28" s="213">
        <v>8.41</v>
      </c>
      <c r="AU28" s="213">
        <v>8.33</v>
      </c>
      <c r="AV28" s="213">
        <v>7.63</v>
      </c>
      <c r="AW28" s="213">
        <v>7.03</v>
      </c>
      <c r="AX28" s="213">
        <v>7.21</v>
      </c>
      <c r="AY28" s="213">
        <v>7.26</v>
      </c>
      <c r="AZ28" s="213">
        <v>7.06</v>
      </c>
      <c r="BA28" s="213">
        <v>7.32</v>
      </c>
      <c r="BB28" s="213">
        <v>7.38</v>
      </c>
      <c r="BC28" s="213">
        <v>7.75</v>
      </c>
      <c r="BD28" s="213">
        <v>8.17</v>
      </c>
      <c r="BE28" s="213">
        <v>8.0346899999999994</v>
      </c>
      <c r="BF28" s="213">
        <v>7.9816789999999997</v>
      </c>
      <c r="BG28" s="351">
        <v>7.8494809999999999</v>
      </c>
      <c r="BH28" s="351">
        <v>7.4670319999999997</v>
      </c>
      <c r="BI28" s="351">
        <v>7.2820919999999996</v>
      </c>
      <c r="BJ28" s="351">
        <v>7.3456789999999996</v>
      </c>
      <c r="BK28" s="351">
        <v>7.4724149999999998</v>
      </c>
      <c r="BL28" s="351">
        <v>7.5883159999999998</v>
      </c>
      <c r="BM28" s="351">
        <v>7.8383339999999997</v>
      </c>
      <c r="BN28" s="351">
        <v>7.9982850000000001</v>
      </c>
      <c r="BO28" s="351">
        <v>8.3087610000000005</v>
      </c>
      <c r="BP28" s="351">
        <v>8.6354590000000009</v>
      </c>
      <c r="BQ28" s="351">
        <v>8.725142</v>
      </c>
      <c r="BR28" s="351">
        <v>8.7853130000000004</v>
      </c>
      <c r="BS28" s="351">
        <v>8.6380250000000007</v>
      </c>
      <c r="BT28" s="351">
        <v>8.2584140000000001</v>
      </c>
      <c r="BU28" s="351">
        <v>8.0110709999999994</v>
      </c>
      <c r="BV28" s="351">
        <v>7.9347390000000004</v>
      </c>
    </row>
    <row r="29" spans="1:74" ht="11.1" customHeight="1" x14ac:dyDescent="0.2">
      <c r="A29" s="84"/>
      <c r="B29" s="88" t="s">
        <v>1043</v>
      </c>
      <c r="C29" s="230"/>
      <c r="D29" s="230"/>
      <c r="E29" s="230"/>
      <c r="F29" s="230"/>
      <c r="G29" s="230"/>
      <c r="H29" s="230"/>
      <c r="I29" s="230"/>
      <c r="J29" s="230"/>
      <c r="K29" s="230"/>
      <c r="L29" s="230"/>
      <c r="M29" s="230"/>
      <c r="N29" s="230"/>
      <c r="O29" s="230"/>
      <c r="P29" s="230"/>
      <c r="Q29" s="230"/>
      <c r="R29" s="230"/>
      <c r="S29" s="230"/>
      <c r="T29" s="230"/>
      <c r="U29" s="230"/>
      <c r="V29" s="230"/>
      <c r="W29" s="230"/>
      <c r="X29" s="230"/>
      <c r="Y29" s="230"/>
      <c r="Z29" s="230"/>
      <c r="AA29" s="230"/>
      <c r="AB29" s="230"/>
      <c r="AC29" s="230"/>
      <c r="AD29" s="230"/>
      <c r="AE29" s="230"/>
      <c r="AF29" s="230"/>
      <c r="AG29" s="230"/>
      <c r="AH29" s="230"/>
      <c r="AI29" s="230"/>
      <c r="AJ29" s="230"/>
      <c r="AK29" s="230"/>
      <c r="AL29" s="230"/>
      <c r="AM29" s="230"/>
      <c r="AN29" s="230"/>
      <c r="AO29" s="230"/>
      <c r="AP29" s="230"/>
      <c r="AQ29" s="230"/>
      <c r="AR29" s="230"/>
      <c r="AS29" s="230"/>
      <c r="AT29" s="230"/>
      <c r="AU29" s="230"/>
      <c r="AV29" s="230"/>
      <c r="AW29" s="230"/>
      <c r="AX29" s="230"/>
      <c r="AY29" s="230"/>
      <c r="AZ29" s="230"/>
      <c r="BA29" s="230"/>
      <c r="BB29" s="230"/>
      <c r="BC29" s="230"/>
      <c r="BD29" s="230"/>
      <c r="BE29" s="230"/>
      <c r="BF29" s="230"/>
      <c r="BG29" s="384"/>
      <c r="BH29" s="384"/>
      <c r="BI29" s="384"/>
      <c r="BJ29" s="384"/>
      <c r="BK29" s="384"/>
      <c r="BL29" s="384"/>
      <c r="BM29" s="384"/>
      <c r="BN29" s="384"/>
      <c r="BO29" s="384"/>
      <c r="BP29" s="384"/>
      <c r="BQ29" s="384"/>
      <c r="BR29" s="384"/>
      <c r="BS29" s="384"/>
      <c r="BT29" s="384"/>
      <c r="BU29" s="384"/>
      <c r="BV29" s="384"/>
    </row>
    <row r="30" spans="1:74" ht="11.1" customHeight="1" x14ac:dyDescent="0.2">
      <c r="A30" s="84" t="s">
        <v>681</v>
      </c>
      <c r="B30" s="189" t="s">
        <v>444</v>
      </c>
      <c r="C30" s="259">
        <v>6.9363884730000001</v>
      </c>
      <c r="D30" s="259">
        <v>6.8895142399999996</v>
      </c>
      <c r="E30" s="259">
        <v>6.7995878059999999</v>
      </c>
      <c r="F30" s="259">
        <v>7.1242841050000001</v>
      </c>
      <c r="G30" s="259">
        <v>6.7164218289999997</v>
      </c>
      <c r="H30" s="259">
        <v>6.0022458680000002</v>
      </c>
      <c r="I30" s="259">
        <v>6.1916693609999998</v>
      </c>
      <c r="J30" s="259">
        <v>6.1707072040000002</v>
      </c>
      <c r="K30" s="259">
        <v>6.0265870179999999</v>
      </c>
      <c r="L30" s="259">
        <v>6.3814590219999996</v>
      </c>
      <c r="M30" s="259">
        <v>6.8369076260000003</v>
      </c>
      <c r="N30" s="259">
        <v>7.4073315830000004</v>
      </c>
      <c r="O30" s="259">
        <v>7.7954803940000001</v>
      </c>
      <c r="P30" s="259">
        <v>8.0512428039999993</v>
      </c>
      <c r="Q30" s="259">
        <v>7.5129609479999999</v>
      </c>
      <c r="R30" s="259">
        <v>7.3678126879999999</v>
      </c>
      <c r="S30" s="259">
        <v>7.3957094999999997</v>
      </c>
      <c r="T30" s="259">
        <v>6.2762496580000002</v>
      </c>
      <c r="U30" s="259">
        <v>6.3644888259999997</v>
      </c>
      <c r="V30" s="259">
        <v>6.3163158619999997</v>
      </c>
      <c r="W30" s="259">
        <v>6.4823519129999996</v>
      </c>
      <c r="X30" s="259">
        <v>5.6898904879999996</v>
      </c>
      <c r="Y30" s="259">
        <v>6.8923153189999997</v>
      </c>
      <c r="Z30" s="259">
        <v>7.6882873869999999</v>
      </c>
      <c r="AA30" s="259">
        <v>8.5533484830000006</v>
      </c>
      <c r="AB30" s="259">
        <v>9.1655362319999991</v>
      </c>
      <c r="AC30" s="259">
        <v>9.5354845170000004</v>
      </c>
      <c r="AD30" s="259">
        <v>10.016747779999999</v>
      </c>
      <c r="AE30" s="259">
        <v>8.4288619409999992</v>
      </c>
      <c r="AF30" s="259">
        <v>6.9336793930000002</v>
      </c>
      <c r="AG30" s="259">
        <v>6.6919032639999996</v>
      </c>
      <c r="AH30" s="259">
        <v>6.6491853350000003</v>
      </c>
      <c r="AI30" s="259">
        <v>6.263146968</v>
      </c>
      <c r="AJ30" s="259">
        <v>6.4324183540000002</v>
      </c>
      <c r="AK30" s="259">
        <v>7.7010730409999999</v>
      </c>
      <c r="AL30" s="259">
        <v>9.1837783949999992</v>
      </c>
      <c r="AM30" s="259">
        <v>9.0814247110000004</v>
      </c>
      <c r="AN30" s="259">
        <v>9.0932066650000003</v>
      </c>
      <c r="AO30" s="259">
        <v>9.3515002280000008</v>
      </c>
      <c r="AP30" s="259">
        <v>9.006926322</v>
      </c>
      <c r="AQ30" s="259">
        <v>8.0226654790000005</v>
      </c>
      <c r="AR30" s="259">
        <v>7.5296971099999999</v>
      </c>
      <c r="AS30" s="259">
        <v>6.9266279910000002</v>
      </c>
      <c r="AT30" s="259">
        <v>7.3914581779999997</v>
      </c>
      <c r="AU30" s="259">
        <v>6.4704012899999999</v>
      </c>
      <c r="AV30" s="259">
        <v>6.3052714459999999</v>
      </c>
      <c r="AW30" s="259">
        <v>7.1604683820000004</v>
      </c>
      <c r="AX30" s="259">
        <v>7.9915390110000004</v>
      </c>
      <c r="AY30" s="259">
        <v>8.0309398319999996</v>
      </c>
      <c r="AZ30" s="259">
        <v>8.2929952240000002</v>
      </c>
      <c r="BA30" s="259">
        <v>7.9478886309999996</v>
      </c>
      <c r="BB30" s="259">
        <v>8.1279485759999996</v>
      </c>
      <c r="BC30" s="259">
        <v>6.9072244060000001</v>
      </c>
      <c r="BD30" s="259">
        <v>6.6255034339999996</v>
      </c>
      <c r="BE30" s="259">
        <v>6.4871939999999997</v>
      </c>
      <c r="BF30" s="259">
        <v>6.4126159999999999</v>
      </c>
      <c r="BG30" s="378">
        <v>6.4506740000000002</v>
      </c>
      <c r="BH30" s="378">
        <v>6.6622500000000002</v>
      </c>
      <c r="BI30" s="378">
        <v>7.7527990000000004</v>
      </c>
      <c r="BJ30" s="378">
        <v>8.4536250000000006</v>
      </c>
      <c r="BK30" s="378">
        <v>8.5321149999999992</v>
      </c>
      <c r="BL30" s="378">
        <v>8.3725129999999996</v>
      </c>
      <c r="BM30" s="378">
        <v>8.3927759999999996</v>
      </c>
      <c r="BN30" s="378">
        <v>8.228396</v>
      </c>
      <c r="BO30" s="378">
        <v>7.4737330000000002</v>
      </c>
      <c r="BP30" s="378">
        <v>7.1614180000000003</v>
      </c>
      <c r="BQ30" s="378">
        <v>7.0923629999999998</v>
      </c>
      <c r="BR30" s="378">
        <v>6.9902990000000003</v>
      </c>
      <c r="BS30" s="378">
        <v>6.9028020000000003</v>
      </c>
      <c r="BT30" s="378">
        <v>6.9886929999999996</v>
      </c>
      <c r="BU30" s="378">
        <v>7.9534130000000003</v>
      </c>
      <c r="BV30" s="378">
        <v>8.4805770000000003</v>
      </c>
    </row>
    <row r="31" spans="1:74" ht="11.1" customHeight="1" x14ac:dyDescent="0.2">
      <c r="A31" s="84" t="s">
        <v>682</v>
      </c>
      <c r="B31" s="187" t="s">
        <v>477</v>
      </c>
      <c r="C31" s="259">
        <v>6.5068490450000001</v>
      </c>
      <c r="D31" s="259">
        <v>6.393824167</v>
      </c>
      <c r="E31" s="259">
        <v>6.6387285199999999</v>
      </c>
      <c r="F31" s="259">
        <v>5.8151801250000004</v>
      </c>
      <c r="G31" s="259">
        <v>6.0861503309999998</v>
      </c>
      <c r="H31" s="259">
        <v>6.1539792049999997</v>
      </c>
      <c r="I31" s="259">
        <v>6.4207180050000003</v>
      </c>
      <c r="J31" s="259">
        <v>6.2030051479999999</v>
      </c>
      <c r="K31" s="259">
        <v>6.141799947</v>
      </c>
      <c r="L31" s="259">
        <v>6.2946883769999999</v>
      </c>
      <c r="M31" s="259">
        <v>6.7719712510000001</v>
      </c>
      <c r="N31" s="259">
        <v>6.9358542490000001</v>
      </c>
      <c r="O31" s="259">
        <v>7.5689719850000001</v>
      </c>
      <c r="P31" s="259">
        <v>8.0716385119999998</v>
      </c>
      <c r="Q31" s="259">
        <v>7.4868232209999999</v>
      </c>
      <c r="R31" s="259">
        <v>7.661189931</v>
      </c>
      <c r="S31" s="259">
        <v>7.3251826500000004</v>
      </c>
      <c r="T31" s="259">
        <v>8.0639777119999998</v>
      </c>
      <c r="U31" s="259">
        <v>8.2978650300000005</v>
      </c>
      <c r="V31" s="259">
        <v>7.3401395569999996</v>
      </c>
      <c r="W31" s="259">
        <v>7.0643328470000002</v>
      </c>
      <c r="X31" s="259">
        <v>7.3726771859999998</v>
      </c>
      <c r="Y31" s="259">
        <v>7.5642822479999996</v>
      </c>
      <c r="Z31" s="259">
        <v>7.8598414549999998</v>
      </c>
      <c r="AA31" s="259">
        <v>7.996986229</v>
      </c>
      <c r="AB31" s="259">
        <v>8.6365123490000002</v>
      </c>
      <c r="AC31" s="259">
        <v>8.7142671630000006</v>
      </c>
      <c r="AD31" s="259">
        <v>7.7343045269999999</v>
      </c>
      <c r="AE31" s="259">
        <v>7.8043025410000002</v>
      </c>
      <c r="AF31" s="259">
        <v>7.5933170030000001</v>
      </c>
      <c r="AG31" s="259">
        <v>7.7940928400000002</v>
      </c>
      <c r="AH31" s="259">
        <v>7.8897886599999998</v>
      </c>
      <c r="AI31" s="259">
        <v>7.6537421329999997</v>
      </c>
      <c r="AJ31" s="259">
        <v>7.2342827879999998</v>
      </c>
      <c r="AK31" s="259">
        <v>7.6251370300000003</v>
      </c>
      <c r="AL31" s="259">
        <v>8.3821212749999994</v>
      </c>
      <c r="AM31" s="259">
        <v>9.2459132989999997</v>
      </c>
      <c r="AN31" s="259">
        <v>8.7125008659999992</v>
      </c>
      <c r="AO31" s="259">
        <v>8.2812320600000007</v>
      </c>
      <c r="AP31" s="259">
        <v>7.957750603</v>
      </c>
      <c r="AQ31" s="259">
        <v>7.5175151720000004</v>
      </c>
      <c r="AR31" s="259">
        <v>7.2183118820000001</v>
      </c>
      <c r="AS31" s="259">
        <v>7.4085482450000004</v>
      </c>
      <c r="AT31" s="259">
        <v>6.6221988200000004</v>
      </c>
      <c r="AU31" s="259">
        <v>6.887047667</v>
      </c>
      <c r="AV31" s="259">
        <v>6.2211473000000002</v>
      </c>
      <c r="AW31" s="259">
        <v>6.9815657929999997</v>
      </c>
      <c r="AX31" s="259">
        <v>7.3215576000000002</v>
      </c>
      <c r="AY31" s="259">
        <v>6.9529266180000002</v>
      </c>
      <c r="AZ31" s="259">
        <v>7.779594801</v>
      </c>
      <c r="BA31" s="259">
        <v>7.7336980970000004</v>
      </c>
      <c r="BB31" s="259">
        <v>6.9470092860000001</v>
      </c>
      <c r="BC31" s="259">
        <v>6.6823880740000003</v>
      </c>
      <c r="BD31" s="259">
        <v>6.4875442430000003</v>
      </c>
      <c r="BE31" s="259">
        <v>6.4913800000000004</v>
      </c>
      <c r="BF31" s="259">
        <v>6.4620050000000004</v>
      </c>
      <c r="BG31" s="378">
        <v>6.4685259999999998</v>
      </c>
      <c r="BH31" s="378">
        <v>6.6820620000000002</v>
      </c>
      <c r="BI31" s="378">
        <v>7.0205479999999998</v>
      </c>
      <c r="BJ31" s="378">
        <v>7.1951720000000003</v>
      </c>
      <c r="BK31" s="378">
        <v>7.67117</v>
      </c>
      <c r="BL31" s="378">
        <v>7.8287050000000002</v>
      </c>
      <c r="BM31" s="378">
        <v>7.9365730000000001</v>
      </c>
      <c r="BN31" s="378">
        <v>7.4252589999999996</v>
      </c>
      <c r="BO31" s="378">
        <v>7.2677430000000003</v>
      </c>
      <c r="BP31" s="378">
        <v>7.329027</v>
      </c>
      <c r="BQ31" s="378">
        <v>7.4646319999999999</v>
      </c>
      <c r="BR31" s="378">
        <v>7.4509299999999996</v>
      </c>
      <c r="BS31" s="378">
        <v>7.4077440000000001</v>
      </c>
      <c r="BT31" s="378">
        <v>7.5519590000000001</v>
      </c>
      <c r="BU31" s="378">
        <v>7.7620820000000004</v>
      </c>
      <c r="BV31" s="378">
        <v>7.765943</v>
      </c>
    </row>
    <row r="32" spans="1:74" ht="11.1" customHeight="1" x14ac:dyDescent="0.2">
      <c r="A32" s="84" t="s">
        <v>683</v>
      </c>
      <c r="B32" s="189" t="s">
        <v>445</v>
      </c>
      <c r="C32" s="259">
        <v>5.0522579949999997</v>
      </c>
      <c r="D32" s="259">
        <v>5.1111485590000001</v>
      </c>
      <c r="E32" s="259">
        <v>4.9290572260000003</v>
      </c>
      <c r="F32" s="259">
        <v>4.9908062690000001</v>
      </c>
      <c r="G32" s="259">
        <v>4.5197621200000002</v>
      </c>
      <c r="H32" s="259">
        <v>4.5057452119999999</v>
      </c>
      <c r="I32" s="259">
        <v>5.554647589</v>
      </c>
      <c r="J32" s="259">
        <v>5.3521507719999999</v>
      </c>
      <c r="K32" s="259">
        <v>5.4429123539999997</v>
      </c>
      <c r="L32" s="259">
        <v>5.2189345989999998</v>
      </c>
      <c r="M32" s="259">
        <v>5.5099714420000003</v>
      </c>
      <c r="N32" s="259">
        <v>5.4294632329999999</v>
      </c>
      <c r="O32" s="259">
        <v>6.1121250309999997</v>
      </c>
      <c r="P32" s="259">
        <v>5.9143382080000002</v>
      </c>
      <c r="Q32" s="259">
        <v>5.6620856030000004</v>
      </c>
      <c r="R32" s="259">
        <v>6.1469859690000002</v>
      </c>
      <c r="S32" s="259">
        <v>5.7397176410000004</v>
      </c>
      <c r="T32" s="259">
        <v>5.9421259690000001</v>
      </c>
      <c r="U32" s="259">
        <v>5.3872642500000003</v>
      </c>
      <c r="V32" s="259">
        <v>5.7275306700000002</v>
      </c>
      <c r="W32" s="259">
        <v>5.610091368</v>
      </c>
      <c r="X32" s="259">
        <v>5.0159022350000004</v>
      </c>
      <c r="Y32" s="259">
        <v>5.450583763</v>
      </c>
      <c r="Z32" s="259">
        <v>5.3575339179999997</v>
      </c>
      <c r="AA32" s="259">
        <v>5.6805788890000004</v>
      </c>
      <c r="AB32" s="259">
        <v>6.0601997250000004</v>
      </c>
      <c r="AC32" s="259">
        <v>5.4811123390000001</v>
      </c>
      <c r="AD32" s="259">
        <v>4.9810028439999998</v>
      </c>
      <c r="AE32" s="259">
        <v>5.0340925929999996</v>
      </c>
      <c r="AF32" s="259">
        <v>5.3807876800000001</v>
      </c>
      <c r="AG32" s="259">
        <v>5.2620833999999999</v>
      </c>
      <c r="AH32" s="259">
        <v>5.3724417180000001</v>
      </c>
      <c r="AI32" s="259">
        <v>5.1028525250000003</v>
      </c>
      <c r="AJ32" s="259">
        <v>5.2316172009999997</v>
      </c>
      <c r="AK32" s="259">
        <v>5.708100935</v>
      </c>
      <c r="AL32" s="259">
        <v>6.2118903090000002</v>
      </c>
      <c r="AM32" s="259">
        <v>5.7742560210000002</v>
      </c>
      <c r="AN32" s="259">
        <v>5.6272858059999997</v>
      </c>
      <c r="AO32" s="259">
        <v>5.8558619140000001</v>
      </c>
      <c r="AP32" s="259">
        <v>5.5799614330000002</v>
      </c>
      <c r="AQ32" s="259">
        <v>4.9619042059999998</v>
      </c>
      <c r="AR32" s="259">
        <v>5.6522987740000001</v>
      </c>
      <c r="AS32" s="259">
        <v>6.1135378950000003</v>
      </c>
      <c r="AT32" s="259">
        <v>5.4698705539999999</v>
      </c>
      <c r="AU32" s="259">
        <v>5.3458265049999998</v>
      </c>
      <c r="AV32" s="259">
        <v>5.2502308490000003</v>
      </c>
      <c r="AW32" s="259">
        <v>5.1229861970000004</v>
      </c>
      <c r="AX32" s="259">
        <v>5.0941440910000004</v>
      </c>
      <c r="AY32" s="259">
        <v>4.8454551329999997</v>
      </c>
      <c r="AZ32" s="259">
        <v>4.8775935319999997</v>
      </c>
      <c r="BA32" s="259">
        <v>4.9229357580000004</v>
      </c>
      <c r="BB32" s="259">
        <v>4.9013429500000001</v>
      </c>
      <c r="BC32" s="259">
        <v>4.5633932509999999</v>
      </c>
      <c r="BD32" s="259">
        <v>6.4611346149999997</v>
      </c>
      <c r="BE32" s="259">
        <v>5.8459139999999996</v>
      </c>
      <c r="BF32" s="259">
        <v>5.5413370000000004</v>
      </c>
      <c r="BG32" s="378">
        <v>5.2378159999999996</v>
      </c>
      <c r="BH32" s="378">
        <v>4.9621190000000004</v>
      </c>
      <c r="BI32" s="378">
        <v>5.4000360000000001</v>
      </c>
      <c r="BJ32" s="378">
        <v>5.7143499999999996</v>
      </c>
      <c r="BK32" s="378">
        <v>6.349577</v>
      </c>
      <c r="BL32" s="378">
        <v>6.4310369999999999</v>
      </c>
      <c r="BM32" s="378">
        <v>6.646204</v>
      </c>
      <c r="BN32" s="378">
        <v>6.4815170000000002</v>
      </c>
      <c r="BO32" s="378">
        <v>6.0741959999999997</v>
      </c>
      <c r="BP32" s="378">
        <v>6.0755460000000001</v>
      </c>
      <c r="BQ32" s="378">
        <v>6.275957</v>
      </c>
      <c r="BR32" s="378">
        <v>6.3209229999999996</v>
      </c>
      <c r="BS32" s="378">
        <v>6.1648779999999999</v>
      </c>
      <c r="BT32" s="378">
        <v>5.9447850000000004</v>
      </c>
      <c r="BU32" s="378">
        <v>6.2706609999999996</v>
      </c>
      <c r="BV32" s="378">
        <v>6.3746790000000004</v>
      </c>
    </row>
    <row r="33" spans="1:74" ht="11.1" customHeight="1" x14ac:dyDescent="0.2">
      <c r="A33" s="84" t="s">
        <v>684</v>
      </c>
      <c r="B33" s="189" t="s">
        <v>446</v>
      </c>
      <c r="C33" s="259">
        <v>4.5110971559999999</v>
      </c>
      <c r="D33" s="259">
        <v>4.5994602970000003</v>
      </c>
      <c r="E33" s="259">
        <v>4.115386473</v>
      </c>
      <c r="F33" s="259">
        <v>3.8328093669999999</v>
      </c>
      <c r="G33" s="259">
        <v>3.3954542320000001</v>
      </c>
      <c r="H33" s="259">
        <v>3.4803901129999999</v>
      </c>
      <c r="I33" s="259">
        <v>4.106205332</v>
      </c>
      <c r="J33" s="259">
        <v>4.0457257479999997</v>
      </c>
      <c r="K33" s="259">
        <v>4.0306279260000002</v>
      </c>
      <c r="L33" s="259">
        <v>4.1156677669999997</v>
      </c>
      <c r="M33" s="259">
        <v>4.3783098369999998</v>
      </c>
      <c r="N33" s="259">
        <v>4.930324111</v>
      </c>
      <c r="O33" s="259">
        <v>5.2225537539999998</v>
      </c>
      <c r="P33" s="259">
        <v>5.2028518149999998</v>
      </c>
      <c r="Q33" s="259">
        <v>4.5014933619999997</v>
      </c>
      <c r="R33" s="259">
        <v>4.3593083479999999</v>
      </c>
      <c r="S33" s="259">
        <v>4.1659291429999996</v>
      </c>
      <c r="T33" s="259">
        <v>4.2333279929999996</v>
      </c>
      <c r="U33" s="259">
        <v>4.1031653009999998</v>
      </c>
      <c r="V33" s="259">
        <v>4.067260815</v>
      </c>
      <c r="W33" s="259">
        <v>4.4622733810000001</v>
      </c>
      <c r="X33" s="259">
        <v>4.4552670990000003</v>
      </c>
      <c r="Y33" s="259">
        <v>4.4902398080000001</v>
      </c>
      <c r="Z33" s="259">
        <v>4.9382210740000003</v>
      </c>
      <c r="AA33" s="259">
        <v>5.1759302900000002</v>
      </c>
      <c r="AB33" s="259">
        <v>5.4870909450000003</v>
      </c>
      <c r="AC33" s="259">
        <v>4.649954921</v>
      </c>
      <c r="AD33" s="259">
        <v>4.3606358869999999</v>
      </c>
      <c r="AE33" s="259">
        <v>4.2275219069999999</v>
      </c>
      <c r="AF33" s="259">
        <v>4.1199472630000002</v>
      </c>
      <c r="AG33" s="259">
        <v>4.1328681229999997</v>
      </c>
      <c r="AH33" s="259">
        <v>4.2253201530000002</v>
      </c>
      <c r="AI33" s="259">
        <v>4.2663109370000001</v>
      </c>
      <c r="AJ33" s="259">
        <v>4.4154117490000004</v>
      </c>
      <c r="AK33" s="259">
        <v>5.0660764489999996</v>
      </c>
      <c r="AL33" s="259">
        <v>5.6176428439999997</v>
      </c>
      <c r="AM33" s="259">
        <v>5.5488784180000001</v>
      </c>
      <c r="AN33" s="259">
        <v>5.1887083709999997</v>
      </c>
      <c r="AO33" s="259">
        <v>4.7169224669999998</v>
      </c>
      <c r="AP33" s="259">
        <v>4.2251105600000001</v>
      </c>
      <c r="AQ33" s="259">
        <v>3.844751617</v>
      </c>
      <c r="AR33" s="259">
        <v>3.6539936270000002</v>
      </c>
      <c r="AS33" s="259">
        <v>3.37984273</v>
      </c>
      <c r="AT33" s="259">
        <v>3.3518795770000001</v>
      </c>
      <c r="AU33" s="259">
        <v>3.3876225980000001</v>
      </c>
      <c r="AV33" s="259">
        <v>3.753881051</v>
      </c>
      <c r="AW33" s="259">
        <v>4.2325360500000002</v>
      </c>
      <c r="AX33" s="259">
        <v>4.4457963149999999</v>
      </c>
      <c r="AY33" s="259">
        <v>4.1061327040000002</v>
      </c>
      <c r="AZ33" s="259">
        <v>3.9103665620000001</v>
      </c>
      <c r="BA33" s="259">
        <v>3.7700092000000001</v>
      </c>
      <c r="BB33" s="259">
        <v>3.407413671</v>
      </c>
      <c r="BC33" s="259">
        <v>3.3361888400000002</v>
      </c>
      <c r="BD33" s="259">
        <v>3.0804556089999999</v>
      </c>
      <c r="BE33" s="259">
        <v>3.034402</v>
      </c>
      <c r="BF33" s="259">
        <v>3.2468469999999998</v>
      </c>
      <c r="BG33" s="378">
        <v>3.4691890000000001</v>
      </c>
      <c r="BH33" s="378">
        <v>3.8222529999999999</v>
      </c>
      <c r="BI33" s="378">
        <v>4.3854579999999999</v>
      </c>
      <c r="BJ33" s="378">
        <v>5.0606059999999999</v>
      </c>
      <c r="BK33" s="378">
        <v>5.4327909999999999</v>
      </c>
      <c r="BL33" s="378">
        <v>5.5743720000000003</v>
      </c>
      <c r="BM33" s="378">
        <v>5.44597</v>
      </c>
      <c r="BN33" s="378">
        <v>5.0103689999999999</v>
      </c>
      <c r="BO33" s="378">
        <v>4.6286180000000003</v>
      </c>
      <c r="BP33" s="378">
        <v>4.6127380000000002</v>
      </c>
      <c r="BQ33" s="378">
        <v>4.6116580000000003</v>
      </c>
      <c r="BR33" s="378">
        <v>4.6655230000000003</v>
      </c>
      <c r="BS33" s="378">
        <v>4.7739469999999997</v>
      </c>
      <c r="BT33" s="378">
        <v>4.9937319999999996</v>
      </c>
      <c r="BU33" s="378">
        <v>5.303833</v>
      </c>
      <c r="BV33" s="378">
        <v>5.7013769999999999</v>
      </c>
    </row>
    <row r="34" spans="1:74" ht="11.1" customHeight="1" x14ac:dyDescent="0.2">
      <c r="A34" s="84" t="s">
        <v>685</v>
      </c>
      <c r="B34" s="189" t="s">
        <v>447</v>
      </c>
      <c r="C34" s="259">
        <v>4.7035626109999997</v>
      </c>
      <c r="D34" s="259">
        <v>4.4803406250000002</v>
      </c>
      <c r="E34" s="259">
        <v>4.0133889439999999</v>
      </c>
      <c r="F34" s="259">
        <v>3.6975872810000001</v>
      </c>
      <c r="G34" s="259">
        <v>3.8202695539999998</v>
      </c>
      <c r="H34" s="259">
        <v>3.8429000809999998</v>
      </c>
      <c r="I34" s="259">
        <v>4.4191412579999998</v>
      </c>
      <c r="J34" s="259">
        <v>4.4285752819999997</v>
      </c>
      <c r="K34" s="259">
        <v>4.4867768799999999</v>
      </c>
      <c r="L34" s="259">
        <v>4.5429080730000004</v>
      </c>
      <c r="M34" s="259">
        <v>4.7053761009999997</v>
      </c>
      <c r="N34" s="259">
        <v>5.185781671</v>
      </c>
      <c r="O34" s="259">
        <v>5.7869137830000001</v>
      </c>
      <c r="P34" s="259">
        <v>5.4451839580000003</v>
      </c>
      <c r="Q34" s="259">
        <v>4.7539431749999999</v>
      </c>
      <c r="R34" s="259">
        <v>5.0305350530000004</v>
      </c>
      <c r="S34" s="259">
        <v>4.8876263360000003</v>
      </c>
      <c r="T34" s="259">
        <v>4.946310027</v>
      </c>
      <c r="U34" s="259">
        <v>4.8784224969999999</v>
      </c>
      <c r="V34" s="259">
        <v>4.8190040090000004</v>
      </c>
      <c r="W34" s="259">
        <v>4.9079771450000003</v>
      </c>
      <c r="X34" s="259">
        <v>4.7686152860000002</v>
      </c>
      <c r="Y34" s="259">
        <v>4.7608916859999999</v>
      </c>
      <c r="Z34" s="259">
        <v>5.1942190310000003</v>
      </c>
      <c r="AA34" s="259">
        <v>5.5586808650000004</v>
      </c>
      <c r="AB34" s="259">
        <v>5.5225435940000001</v>
      </c>
      <c r="AC34" s="259">
        <v>4.8921786100000002</v>
      </c>
      <c r="AD34" s="259">
        <v>4.7942012390000004</v>
      </c>
      <c r="AE34" s="259">
        <v>4.6691260569999997</v>
      </c>
      <c r="AF34" s="259">
        <v>4.4835870010000001</v>
      </c>
      <c r="AG34" s="259">
        <v>4.7269324209999999</v>
      </c>
      <c r="AH34" s="259">
        <v>4.5992481889999999</v>
      </c>
      <c r="AI34" s="259">
        <v>4.6882099430000004</v>
      </c>
      <c r="AJ34" s="259">
        <v>4.7460454929999996</v>
      </c>
      <c r="AK34" s="259">
        <v>5.2168281609999996</v>
      </c>
      <c r="AL34" s="259">
        <v>6.19634134</v>
      </c>
      <c r="AM34" s="259">
        <v>6.0565216260000003</v>
      </c>
      <c r="AN34" s="259">
        <v>5.412212577</v>
      </c>
      <c r="AO34" s="259">
        <v>5.0513356419999997</v>
      </c>
      <c r="AP34" s="259">
        <v>4.8951257549999996</v>
      </c>
      <c r="AQ34" s="259">
        <v>4.4185245950000001</v>
      </c>
      <c r="AR34" s="259">
        <v>4.4623533980000003</v>
      </c>
      <c r="AS34" s="259">
        <v>4.2595792000000001</v>
      </c>
      <c r="AT34" s="259">
        <v>4.3775506139999996</v>
      </c>
      <c r="AU34" s="259">
        <v>4.5545208190000004</v>
      </c>
      <c r="AV34" s="259">
        <v>3.8370273319999999</v>
      </c>
      <c r="AW34" s="259">
        <v>4.7179885979999998</v>
      </c>
      <c r="AX34" s="259">
        <v>4.959349606</v>
      </c>
      <c r="AY34" s="259">
        <v>4.4203225320000001</v>
      </c>
      <c r="AZ34" s="259">
        <v>4.0861178980000004</v>
      </c>
      <c r="BA34" s="259">
        <v>3.978031788</v>
      </c>
      <c r="BB34" s="259">
        <v>3.6784335650000002</v>
      </c>
      <c r="BC34" s="259">
        <v>3.785839406</v>
      </c>
      <c r="BD34" s="259">
        <v>3.6647919710000001</v>
      </c>
      <c r="BE34" s="259">
        <v>3.6720959999999998</v>
      </c>
      <c r="BF34" s="259">
        <v>3.8511030000000002</v>
      </c>
      <c r="BG34" s="378">
        <v>4.2277909999999999</v>
      </c>
      <c r="BH34" s="378">
        <v>4.3555799999999998</v>
      </c>
      <c r="BI34" s="378">
        <v>4.8724980000000002</v>
      </c>
      <c r="BJ34" s="378">
        <v>5.4046339999999997</v>
      </c>
      <c r="BK34" s="378">
        <v>5.8714490000000001</v>
      </c>
      <c r="BL34" s="378">
        <v>5.5941159999999996</v>
      </c>
      <c r="BM34" s="378">
        <v>5.35921</v>
      </c>
      <c r="BN34" s="378">
        <v>5.0679780000000001</v>
      </c>
      <c r="BO34" s="378">
        <v>4.9412770000000004</v>
      </c>
      <c r="BP34" s="378">
        <v>4.918793</v>
      </c>
      <c r="BQ34" s="378">
        <v>4.9488099999999999</v>
      </c>
      <c r="BR34" s="378">
        <v>4.9231379999999998</v>
      </c>
      <c r="BS34" s="378">
        <v>5.0131709999999998</v>
      </c>
      <c r="BT34" s="378">
        <v>5.0454530000000002</v>
      </c>
      <c r="BU34" s="378">
        <v>5.3605010000000002</v>
      </c>
      <c r="BV34" s="378">
        <v>5.5617979999999996</v>
      </c>
    </row>
    <row r="35" spans="1:74" ht="11.1" customHeight="1" x14ac:dyDescent="0.2">
      <c r="A35" s="84" t="s">
        <v>686</v>
      </c>
      <c r="B35" s="189" t="s">
        <v>448</v>
      </c>
      <c r="C35" s="259">
        <v>4.1271880259999998</v>
      </c>
      <c r="D35" s="259">
        <v>4.1347143879999999</v>
      </c>
      <c r="E35" s="259">
        <v>3.7080405380000001</v>
      </c>
      <c r="F35" s="259">
        <v>3.4521801760000002</v>
      </c>
      <c r="G35" s="259">
        <v>3.3528390450000001</v>
      </c>
      <c r="H35" s="259">
        <v>3.4474100179999998</v>
      </c>
      <c r="I35" s="259">
        <v>4.1107239980000001</v>
      </c>
      <c r="J35" s="259">
        <v>4.0384545249999997</v>
      </c>
      <c r="K35" s="259">
        <v>4.2538391229999997</v>
      </c>
      <c r="L35" s="259">
        <v>4.4036368809999997</v>
      </c>
      <c r="M35" s="259">
        <v>4.5214702759999996</v>
      </c>
      <c r="N35" s="259">
        <v>4.9457381729999996</v>
      </c>
      <c r="O35" s="259">
        <v>5.2979019510000001</v>
      </c>
      <c r="P35" s="259">
        <v>5.1080018789999997</v>
      </c>
      <c r="Q35" s="259">
        <v>4.4886547480000001</v>
      </c>
      <c r="R35" s="259">
        <v>4.4947945469999997</v>
      </c>
      <c r="S35" s="259">
        <v>4.4733808939999999</v>
      </c>
      <c r="T35" s="259">
        <v>4.5085468540000004</v>
      </c>
      <c r="U35" s="259">
        <v>4.3994705740000004</v>
      </c>
      <c r="V35" s="259">
        <v>4.2721029460000004</v>
      </c>
      <c r="W35" s="259">
        <v>4.2550807260000001</v>
      </c>
      <c r="X35" s="259">
        <v>4.2884529699999998</v>
      </c>
      <c r="Y35" s="259">
        <v>4.4590980309999999</v>
      </c>
      <c r="Z35" s="259">
        <v>4.6830244670000001</v>
      </c>
      <c r="AA35" s="259">
        <v>4.9634788790000002</v>
      </c>
      <c r="AB35" s="259">
        <v>5.2490872</v>
      </c>
      <c r="AC35" s="259">
        <v>4.4831761419999996</v>
      </c>
      <c r="AD35" s="259">
        <v>4.2792269430000003</v>
      </c>
      <c r="AE35" s="259">
        <v>4.1770477359999996</v>
      </c>
      <c r="AF35" s="259">
        <v>4.0804131530000003</v>
      </c>
      <c r="AG35" s="259">
        <v>4.141173824</v>
      </c>
      <c r="AH35" s="259">
        <v>4.0569913480000004</v>
      </c>
      <c r="AI35" s="259">
        <v>4.1152915639999996</v>
      </c>
      <c r="AJ35" s="259">
        <v>4.2566776610000003</v>
      </c>
      <c r="AK35" s="259">
        <v>4.7204455789999997</v>
      </c>
      <c r="AL35" s="259">
        <v>5.5030755899999999</v>
      </c>
      <c r="AM35" s="259">
        <v>5.2986483309999999</v>
      </c>
      <c r="AN35" s="259">
        <v>5.0022345799999997</v>
      </c>
      <c r="AO35" s="259">
        <v>4.4676965849999997</v>
      </c>
      <c r="AP35" s="259">
        <v>4.3412131939999998</v>
      </c>
      <c r="AQ35" s="259">
        <v>3.8938029869999999</v>
      </c>
      <c r="AR35" s="259">
        <v>3.872467178</v>
      </c>
      <c r="AS35" s="259">
        <v>3.658845087</v>
      </c>
      <c r="AT35" s="259">
        <v>3.5055482389999999</v>
      </c>
      <c r="AU35" s="259">
        <v>3.6004483999999999</v>
      </c>
      <c r="AV35" s="259">
        <v>3.7152126989999998</v>
      </c>
      <c r="AW35" s="259">
        <v>4.1669054479999996</v>
      </c>
      <c r="AX35" s="259">
        <v>4.2928543890000004</v>
      </c>
      <c r="AY35" s="259">
        <v>4.0367066779999998</v>
      </c>
      <c r="AZ35" s="259">
        <v>3.9196098159999999</v>
      </c>
      <c r="BA35" s="259">
        <v>3.7188245279999999</v>
      </c>
      <c r="BB35" s="259">
        <v>3.321213846</v>
      </c>
      <c r="BC35" s="259">
        <v>3.1901198630000001</v>
      </c>
      <c r="BD35" s="259">
        <v>3.0269264250000001</v>
      </c>
      <c r="BE35" s="259">
        <v>3.2405910000000002</v>
      </c>
      <c r="BF35" s="259">
        <v>3.5876839999999999</v>
      </c>
      <c r="BG35" s="378">
        <v>4.0218059999999998</v>
      </c>
      <c r="BH35" s="378">
        <v>4.2475170000000002</v>
      </c>
      <c r="BI35" s="378">
        <v>4.6218570000000003</v>
      </c>
      <c r="BJ35" s="378">
        <v>5.1600619999999999</v>
      </c>
      <c r="BK35" s="378">
        <v>5.3576600000000001</v>
      </c>
      <c r="BL35" s="378">
        <v>5.3550969999999998</v>
      </c>
      <c r="BM35" s="378">
        <v>5.1918810000000004</v>
      </c>
      <c r="BN35" s="378">
        <v>4.8618059999999996</v>
      </c>
      <c r="BO35" s="378">
        <v>4.7387309999999996</v>
      </c>
      <c r="BP35" s="378">
        <v>4.7104439999999999</v>
      </c>
      <c r="BQ35" s="378">
        <v>4.6310609999999999</v>
      </c>
      <c r="BR35" s="378">
        <v>4.6852960000000001</v>
      </c>
      <c r="BS35" s="378">
        <v>4.7830250000000003</v>
      </c>
      <c r="BT35" s="378">
        <v>4.9441790000000001</v>
      </c>
      <c r="BU35" s="378">
        <v>5.1179800000000002</v>
      </c>
      <c r="BV35" s="378">
        <v>5.330387</v>
      </c>
    </row>
    <row r="36" spans="1:74" ht="11.1" customHeight="1" x14ac:dyDescent="0.2">
      <c r="A36" s="84" t="s">
        <v>687</v>
      </c>
      <c r="B36" s="189" t="s">
        <v>449</v>
      </c>
      <c r="C36" s="259">
        <v>2.5267723179999999</v>
      </c>
      <c r="D36" s="259">
        <v>2.4114417330000002</v>
      </c>
      <c r="E36" s="259">
        <v>1.9226332420000001</v>
      </c>
      <c r="F36" s="259">
        <v>2.1320701899999999</v>
      </c>
      <c r="G36" s="259">
        <v>2.1806384570000001</v>
      </c>
      <c r="H36" s="259">
        <v>2.2030475260000002</v>
      </c>
      <c r="I36" s="259">
        <v>3.007267245</v>
      </c>
      <c r="J36" s="259">
        <v>3.0445728179999998</v>
      </c>
      <c r="K36" s="259">
        <v>3.1836996019999999</v>
      </c>
      <c r="L36" s="259">
        <v>3.2380297100000002</v>
      </c>
      <c r="M36" s="259">
        <v>2.9995746740000002</v>
      </c>
      <c r="N36" s="259">
        <v>3.3436314</v>
      </c>
      <c r="O36" s="259">
        <v>3.894518068</v>
      </c>
      <c r="P36" s="259">
        <v>3.5076543089999999</v>
      </c>
      <c r="Q36" s="259">
        <v>2.8582694069999999</v>
      </c>
      <c r="R36" s="259">
        <v>3.331595654</v>
      </c>
      <c r="S36" s="259">
        <v>3.370100366</v>
      </c>
      <c r="T36" s="259">
        <v>3.5258609189999999</v>
      </c>
      <c r="U36" s="259">
        <v>3.417497241</v>
      </c>
      <c r="V36" s="259">
        <v>3.2125897430000001</v>
      </c>
      <c r="W36" s="259">
        <v>3.2231721740000001</v>
      </c>
      <c r="X36" s="259">
        <v>3.1376008299999998</v>
      </c>
      <c r="Y36" s="259">
        <v>3.0135575459999999</v>
      </c>
      <c r="Z36" s="259">
        <v>3.224893749</v>
      </c>
      <c r="AA36" s="259">
        <v>3.3825953659999999</v>
      </c>
      <c r="AB36" s="259">
        <v>3.796037766</v>
      </c>
      <c r="AC36" s="259">
        <v>2.9327141449999998</v>
      </c>
      <c r="AD36" s="259">
        <v>2.9947424520000001</v>
      </c>
      <c r="AE36" s="259">
        <v>3.1329763659999998</v>
      </c>
      <c r="AF36" s="259">
        <v>3.2395659530000001</v>
      </c>
      <c r="AG36" s="259">
        <v>3.2089278960000001</v>
      </c>
      <c r="AH36" s="259">
        <v>3.0457916030000001</v>
      </c>
      <c r="AI36" s="259">
        <v>3.194751106</v>
      </c>
      <c r="AJ36" s="259">
        <v>3.4819310109999999</v>
      </c>
      <c r="AK36" s="259">
        <v>3.8404976849999999</v>
      </c>
      <c r="AL36" s="259">
        <v>4.8298166580000004</v>
      </c>
      <c r="AM36" s="259">
        <v>3.9753267980000002</v>
      </c>
      <c r="AN36" s="259">
        <v>3.323339415</v>
      </c>
      <c r="AO36" s="259">
        <v>3.0687019690000001</v>
      </c>
      <c r="AP36" s="259">
        <v>2.952904615</v>
      </c>
      <c r="AQ36" s="259">
        <v>2.8427643150000002</v>
      </c>
      <c r="AR36" s="259">
        <v>2.8298711870000002</v>
      </c>
      <c r="AS36" s="259">
        <v>2.631643671</v>
      </c>
      <c r="AT36" s="259">
        <v>2.4149948910000001</v>
      </c>
      <c r="AU36" s="259">
        <v>2.5334193680000001</v>
      </c>
      <c r="AV36" s="259">
        <v>2.5607374780000001</v>
      </c>
      <c r="AW36" s="259">
        <v>2.78764309</v>
      </c>
      <c r="AX36" s="259">
        <v>2.566296693</v>
      </c>
      <c r="AY36" s="259">
        <v>2.327769129</v>
      </c>
      <c r="AZ36" s="259">
        <v>2.1215780889999998</v>
      </c>
      <c r="BA36" s="259">
        <v>2.0387410620000002</v>
      </c>
      <c r="BB36" s="259">
        <v>1.8571812620000001</v>
      </c>
      <c r="BC36" s="259">
        <v>1.978431265</v>
      </c>
      <c r="BD36" s="259">
        <v>1.8882028200000001</v>
      </c>
      <c r="BE36" s="259">
        <v>1.9330750000000001</v>
      </c>
      <c r="BF36" s="259">
        <v>2.3653409999999999</v>
      </c>
      <c r="BG36" s="378">
        <v>2.5409929999999998</v>
      </c>
      <c r="BH36" s="378">
        <v>2.724437</v>
      </c>
      <c r="BI36" s="378">
        <v>2.9638049999999998</v>
      </c>
      <c r="BJ36" s="378">
        <v>3.5662560000000001</v>
      </c>
      <c r="BK36" s="378">
        <v>3.802162</v>
      </c>
      <c r="BL36" s="378">
        <v>3.6220319999999999</v>
      </c>
      <c r="BM36" s="378">
        <v>3.527523</v>
      </c>
      <c r="BN36" s="378">
        <v>3.3149660000000001</v>
      </c>
      <c r="BO36" s="378">
        <v>3.2712819999999998</v>
      </c>
      <c r="BP36" s="378">
        <v>3.3383949999999998</v>
      </c>
      <c r="BQ36" s="378">
        <v>3.4584380000000001</v>
      </c>
      <c r="BR36" s="378">
        <v>3.5364710000000001</v>
      </c>
      <c r="BS36" s="378">
        <v>3.4518369999999998</v>
      </c>
      <c r="BT36" s="378">
        <v>3.5959490000000001</v>
      </c>
      <c r="BU36" s="378">
        <v>3.5037699999999998</v>
      </c>
      <c r="BV36" s="378">
        <v>3.7355879999999999</v>
      </c>
    </row>
    <row r="37" spans="1:74" s="85" customFormat="1" ht="11.1" customHeight="1" x14ac:dyDescent="0.2">
      <c r="A37" s="84" t="s">
        <v>688</v>
      </c>
      <c r="B37" s="189" t="s">
        <v>450</v>
      </c>
      <c r="C37" s="259">
        <v>5.1722677690000003</v>
      </c>
      <c r="D37" s="259">
        <v>5.3440807269999997</v>
      </c>
      <c r="E37" s="259">
        <v>5.364426463</v>
      </c>
      <c r="F37" s="259">
        <v>5.0094400810000002</v>
      </c>
      <c r="G37" s="259">
        <v>4.8311354189999998</v>
      </c>
      <c r="H37" s="259">
        <v>5.0712494709999998</v>
      </c>
      <c r="I37" s="259">
        <v>5.4299312400000002</v>
      </c>
      <c r="J37" s="259">
        <v>5.4765530140000003</v>
      </c>
      <c r="K37" s="259">
        <v>5.4356943360000001</v>
      </c>
      <c r="L37" s="259">
        <v>5.3669115070000002</v>
      </c>
      <c r="M37" s="259">
        <v>5.0587194139999996</v>
      </c>
      <c r="N37" s="259">
        <v>4.9980827259999998</v>
      </c>
      <c r="O37" s="259">
        <v>5.2972361149999996</v>
      </c>
      <c r="P37" s="259">
        <v>5.3605868350000003</v>
      </c>
      <c r="Q37" s="259">
        <v>5.3579657259999998</v>
      </c>
      <c r="R37" s="259">
        <v>5.2137567369999998</v>
      </c>
      <c r="S37" s="259">
        <v>5.428069915</v>
      </c>
      <c r="T37" s="259">
        <v>5.6379229869999996</v>
      </c>
      <c r="U37" s="259">
        <v>5.7188914820000001</v>
      </c>
      <c r="V37" s="259">
        <v>5.7457657869999998</v>
      </c>
      <c r="W37" s="259">
        <v>5.6204761569999997</v>
      </c>
      <c r="X37" s="259">
        <v>6.058180224</v>
      </c>
      <c r="Y37" s="259">
        <v>5.4162233410000002</v>
      </c>
      <c r="Z37" s="259">
        <v>5.3164554099999997</v>
      </c>
      <c r="AA37" s="259">
        <v>5.4896643000000003</v>
      </c>
      <c r="AB37" s="259">
        <v>5.5560795890000003</v>
      </c>
      <c r="AC37" s="259">
        <v>5.5665571610000004</v>
      </c>
      <c r="AD37" s="259">
        <v>5.3050969879999998</v>
      </c>
      <c r="AE37" s="259">
        <v>5.4150409589999997</v>
      </c>
      <c r="AF37" s="259">
        <v>5.6137402420000004</v>
      </c>
      <c r="AG37" s="259">
        <v>5.5613106859999997</v>
      </c>
      <c r="AH37" s="259">
        <v>5.196752128</v>
      </c>
      <c r="AI37" s="259">
        <v>3.9754688919999999</v>
      </c>
      <c r="AJ37" s="259">
        <v>5.1332166170000004</v>
      </c>
      <c r="AK37" s="259">
        <v>4.7934967139999998</v>
      </c>
      <c r="AL37" s="259">
        <v>4.819046621</v>
      </c>
      <c r="AM37" s="259">
        <v>5.2932368480000003</v>
      </c>
      <c r="AN37" s="259">
        <v>5.3652349429999999</v>
      </c>
      <c r="AO37" s="259">
        <v>5.2690945339999997</v>
      </c>
      <c r="AP37" s="259">
        <v>4.964771517</v>
      </c>
      <c r="AQ37" s="259">
        <v>4.693550364</v>
      </c>
      <c r="AR37" s="259">
        <v>4.7321313820000004</v>
      </c>
      <c r="AS37" s="259">
        <v>5.1993403479999998</v>
      </c>
      <c r="AT37" s="259">
        <v>4.8530073419999997</v>
      </c>
      <c r="AU37" s="259">
        <v>4.935238622</v>
      </c>
      <c r="AV37" s="259">
        <v>4.9319171089999996</v>
      </c>
      <c r="AW37" s="259">
        <v>4.7274649420000001</v>
      </c>
      <c r="AX37" s="259">
        <v>4.5642657069999997</v>
      </c>
      <c r="AY37" s="259">
        <v>4.3731079829999997</v>
      </c>
      <c r="AZ37" s="259">
        <v>4.4276969949999998</v>
      </c>
      <c r="BA37" s="259">
        <v>4.4198328980000001</v>
      </c>
      <c r="BB37" s="259">
        <v>4.2866883659999999</v>
      </c>
      <c r="BC37" s="259">
        <v>4.5733474770000004</v>
      </c>
      <c r="BD37" s="259">
        <v>5.1461519579999999</v>
      </c>
      <c r="BE37" s="259">
        <v>5.1607599999999998</v>
      </c>
      <c r="BF37" s="259">
        <v>5.1895860000000003</v>
      </c>
      <c r="BG37" s="378">
        <v>5.146655</v>
      </c>
      <c r="BH37" s="378">
        <v>5.2403779999999998</v>
      </c>
      <c r="BI37" s="378">
        <v>5.2658269999999998</v>
      </c>
      <c r="BJ37" s="378">
        <v>5.4235290000000003</v>
      </c>
      <c r="BK37" s="378">
        <v>5.6768400000000003</v>
      </c>
      <c r="BL37" s="378">
        <v>5.7400589999999996</v>
      </c>
      <c r="BM37" s="378">
        <v>5.8982299999999999</v>
      </c>
      <c r="BN37" s="378">
        <v>5.695551</v>
      </c>
      <c r="BO37" s="378">
        <v>5.4855020000000003</v>
      </c>
      <c r="BP37" s="378">
        <v>5.6233630000000003</v>
      </c>
      <c r="BQ37" s="378">
        <v>5.8592320000000004</v>
      </c>
      <c r="BR37" s="378">
        <v>5.986809</v>
      </c>
      <c r="BS37" s="378">
        <v>5.999905</v>
      </c>
      <c r="BT37" s="378">
        <v>6.0973459999999999</v>
      </c>
      <c r="BU37" s="378">
        <v>6.049506</v>
      </c>
      <c r="BV37" s="378">
        <v>6.0672030000000001</v>
      </c>
    </row>
    <row r="38" spans="1:74" s="85" customFormat="1" ht="11.1" customHeight="1" x14ac:dyDescent="0.2">
      <c r="A38" s="84" t="s">
        <v>689</v>
      </c>
      <c r="B38" s="189" t="s">
        <v>451</v>
      </c>
      <c r="C38" s="259">
        <v>6.356417134</v>
      </c>
      <c r="D38" s="259">
        <v>6.8026068750000004</v>
      </c>
      <c r="E38" s="259">
        <v>6.6009490609999997</v>
      </c>
      <c r="F38" s="259">
        <v>5.9493335470000002</v>
      </c>
      <c r="G38" s="259">
        <v>5.8138672109999998</v>
      </c>
      <c r="H38" s="259">
        <v>6.006773924</v>
      </c>
      <c r="I38" s="259">
        <v>6.222315268</v>
      </c>
      <c r="J38" s="259">
        <v>6.7161794090000004</v>
      </c>
      <c r="K38" s="259">
        <v>6.7078777690000004</v>
      </c>
      <c r="L38" s="259">
        <v>6.7015964950000004</v>
      </c>
      <c r="M38" s="259">
        <v>6.9158010760000002</v>
      </c>
      <c r="N38" s="259">
        <v>7.4736873389999996</v>
      </c>
      <c r="O38" s="259">
        <v>7.3179371010000001</v>
      </c>
      <c r="P38" s="259">
        <v>7.1805507229999996</v>
      </c>
      <c r="Q38" s="259">
        <v>7.2256126629999997</v>
      </c>
      <c r="R38" s="259">
        <v>6.6695920319999997</v>
      </c>
      <c r="S38" s="259">
        <v>6.5883332719999999</v>
      </c>
      <c r="T38" s="259">
        <v>6.5778267279999998</v>
      </c>
      <c r="U38" s="259">
        <v>6.4981616539999996</v>
      </c>
      <c r="V38" s="259">
        <v>6.167649623</v>
      </c>
      <c r="W38" s="259">
        <v>6.0278947599999997</v>
      </c>
      <c r="X38" s="259">
        <v>5.9341815530000002</v>
      </c>
      <c r="Y38" s="259">
        <v>6.1655559599999998</v>
      </c>
      <c r="Z38" s="259">
        <v>6.6398606779999998</v>
      </c>
      <c r="AA38" s="259">
        <v>7.0905676599999996</v>
      </c>
      <c r="AB38" s="259">
        <v>6.9850194569999999</v>
      </c>
      <c r="AC38" s="259">
        <v>6.922733977</v>
      </c>
      <c r="AD38" s="259">
        <v>6.1807968669999998</v>
      </c>
      <c r="AE38" s="259">
        <v>6.0497829330000004</v>
      </c>
      <c r="AF38" s="259">
        <v>5.9890818069999998</v>
      </c>
      <c r="AG38" s="259">
        <v>6.3316232909999997</v>
      </c>
      <c r="AH38" s="259">
        <v>7.3885039089999998</v>
      </c>
      <c r="AI38" s="259">
        <v>6.7539959549999997</v>
      </c>
      <c r="AJ38" s="259">
        <v>6.0908687620000004</v>
      </c>
      <c r="AK38" s="259">
        <v>6.55490073</v>
      </c>
      <c r="AL38" s="259">
        <v>7.3707126900000004</v>
      </c>
      <c r="AM38" s="259">
        <v>7.5886826249999997</v>
      </c>
      <c r="AN38" s="259">
        <v>7.6575412460000001</v>
      </c>
      <c r="AO38" s="259">
        <v>7.7967597389999996</v>
      </c>
      <c r="AP38" s="259">
        <v>7.0297203430000001</v>
      </c>
      <c r="AQ38" s="259">
        <v>6.5291691490000003</v>
      </c>
      <c r="AR38" s="259">
        <v>6.3492097669999996</v>
      </c>
      <c r="AS38" s="259">
        <v>6.4477351609999998</v>
      </c>
      <c r="AT38" s="259">
        <v>6.6041123170000002</v>
      </c>
      <c r="AU38" s="259">
        <v>6.4400528650000002</v>
      </c>
      <c r="AV38" s="259">
        <v>6.2700271240000003</v>
      </c>
      <c r="AW38" s="259">
        <v>6.8200272909999997</v>
      </c>
      <c r="AX38" s="259">
        <v>7.3542292429999998</v>
      </c>
      <c r="AY38" s="259">
        <v>7.8991033660000003</v>
      </c>
      <c r="AZ38" s="259">
        <v>7.5362558599999998</v>
      </c>
      <c r="BA38" s="259">
        <v>7.1900828370000003</v>
      </c>
      <c r="BB38" s="259">
        <v>6.7947623730000002</v>
      </c>
      <c r="BC38" s="259">
        <v>6.2967208389999998</v>
      </c>
      <c r="BD38" s="259">
        <v>5.942218542</v>
      </c>
      <c r="BE38" s="259">
        <v>5.7632909999999997</v>
      </c>
      <c r="BF38" s="259">
        <v>5.7574949999999996</v>
      </c>
      <c r="BG38" s="378">
        <v>5.7994789999999998</v>
      </c>
      <c r="BH38" s="378">
        <v>5.7149599999999996</v>
      </c>
      <c r="BI38" s="378">
        <v>6.0036370000000003</v>
      </c>
      <c r="BJ38" s="378">
        <v>6.4932359999999996</v>
      </c>
      <c r="BK38" s="378">
        <v>7.0094799999999999</v>
      </c>
      <c r="BL38" s="378">
        <v>6.9751789999999998</v>
      </c>
      <c r="BM38" s="378">
        <v>7.0747869999999997</v>
      </c>
      <c r="BN38" s="378">
        <v>6.6802390000000003</v>
      </c>
      <c r="BO38" s="378">
        <v>6.5780750000000001</v>
      </c>
      <c r="BP38" s="378">
        <v>6.7036179999999996</v>
      </c>
      <c r="BQ38" s="378">
        <v>6.7497449999999999</v>
      </c>
      <c r="BR38" s="378">
        <v>6.8313329999999999</v>
      </c>
      <c r="BS38" s="378">
        <v>6.8111220000000001</v>
      </c>
      <c r="BT38" s="378">
        <v>6.6849410000000002</v>
      </c>
      <c r="BU38" s="378">
        <v>6.8691519999999997</v>
      </c>
      <c r="BV38" s="378">
        <v>7.1608939999999999</v>
      </c>
    </row>
    <row r="39" spans="1:74" s="85" customFormat="1" ht="11.1" customHeight="1" x14ac:dyDescent="0.2">
      <c r="A39" s="84" t="s">
        <v>690</v>
      </c>
      <c r="B39" s="190" t="s">
        <v>425</v>
      </c>
      <c r="C39" s="214">
        <v>3.62</v>
      </c>
      <c r="D39" s="214">
        <v>3.58</v>
      </c>
      <c r="E39" s="214">
        <v>3.02</v>
      </c>
      <c r="F39" s="214">
        <v>3</v>
      </c>
      <c r="G39" s="214">
        <v>2.9</v>
      </c>
      <c r="H39" s="214">
        <v>2.89</v>
      </c>
      <c r="I39" s="214">
        <v>3.57</v>
      </c>
      <c r="J39" s="214">
        <v>3.59</v>
      </c>
      <c r="K39" s="214">
        <v>3.74</v>
      </c>
      <c r="L39" s="214">
        <v>3.87</v>
      </c>
      <c r="M39" s="214">
        <v>3.86</v>
      </c>
      <c r="N39" s="214">
        <v>4.2699999999999996</v>
      </c>
      <c r="O39" s="214">
        <v>4.8499999999999996</v>
      </c>
      <c r="P39" s="214">
        <v>4.53</v>
      </c>
      <c r="Q39" s="214">
        <v>3.92</v>
      </c>
      <c r="R39" s="214">
        <v>4.1100000000000003</v>
      </c>
      <c r="S39" s="214">
        <v>4.0199999999999996</v>
      </c>
      <c r="T39" s="214">
        <v>4.05</v>
      </c>
      <c r="U39" s="214">
        <v>3.92</v>
      </c>
      <c r="V39" s="214">
        <v>3.78</v>
      </c>
      <c r="W39" s="214">
        <v>3.83</v>
      </c>
      <c r="X39" s="214">
        <v>3.78</v>
      </c>
      <c r="Y39" s="214">
        <v>3.84</v>
      </c>
      <c r="Z39" s="214">
        <v>4.1900000000000004</v>
      </c>
      <c r="AA39" s="214">
        <v>4.4800000000000004</v>
      </c>
      <c r="AB39" s="214">
        <v>4.87</v>
      </c>
      <c r="AC39" s="214">
        <v>4.0199999999999996</v>
      </c>
      <c r="AD39" s="214">
        <v>3.91</v>
      </c>
      <c r="AE39" s="214">
        <v>3.81</v>
      </c>
      <c r="AF39" s="214">
        <v>3.78</v>
      </c>
      <c r="AG39" s="214">
        <v>3.77</v>
      </c>
      <c r="AH39" s="214">
        <v>3.68</v>
      </c>
      <c r="AI39" s="214">
        <v>3.76</v>
      </c>
      <c r="AJ39" s="214">
        <v>4.04</v>
      </c>
      <c r="AK39" s="214">
        <v>4.5199999999999996</v>
      </c>
      <c r="AL39" s="214">
        <v>5.48</v>
      </c>
      <c r="AM39" s="214">
        <v>5.03</v>
      </c>
      <c r="AN39" s="214">
        <v>4.6399999999999997</v>
      </c>
      <c r="AO39" s="214">
        <v>4.32</v>
      </c>
      <c r="AP39" s="214">
        <v>4</v>
      </c>
      <c r="AQ39" s="214">
        <v>3.64</v>
      </c>
      <c r="AR39" s="214">
        <v>3.55</v>
      </c>
      <c r="AS39" s="214">
        <v>3.34</v>
      </c>
      <c r="AT39" s="214">
        <v>3.2</v>
      </c>
      <c r="AU39" s="214">
        <v>3.35</v>
      </c>
      <c r="AV39" s="214">
        <v>3.43</v>
      </c>
      <c r="AW39" s="214">
        <v>3.87</v>
      </c>
      <c r="AX39" s="214">
        <v>3.88</v>
      </c>
      <c r="AY39" s="214">
        <v>3.66</v>
      </c>
      <c r="AZ39" s="214">
        <v>3.54</v>
      </c>
      <c r="BA39" s="214">
        <v>3.35</v>
      </c>
      <c r="BB39" s="214">
        <v>2.97</v>
      </c>
      <c r="BC39" s="214">
        <v>2.87</v>
      </c>
      <c r="BD39" s="214">
        <v>2.72</v>
      </c>
      <c r="BE39" s="214">
        <v>2.6254019999999998</v>
      </c>
      <c r="BF39" s="214">
        <v>2.981341</v>
      </c>
      <c r="BG39" s="380">
        <v>3.2219859999999998</v>
      </c>
      <c r="BH39" s="380">
        <v>3.4732419999999999</v>
      </c>
      <c r="BI39" s="380">
        <v>3.8673120000000001</v>
      </c>
      <c r="BJ39" s="380">
        <v>4.4994360000000002</v>
      </c>
      <c r="BK39" s="380">
        <v>4.8468980000000004</v>
      </c>
      <c r="BL39" s="380">
        <v>4.7828879999999998</v>
      </c>
      <c r="BM39" s="380">
        <v>4.6089370000000001</v>
      </c>
      <c r="BN39" s="380">
        <v>4.2553280000000004</v>
      </c>
      <c r="BO39" s="380">
        <v>4.0533650000000003</v>
      </c>
      <c r="BP39" s="380">
        <v>4.0247219999999997</v>
      </c>
      <c r="BQ39" s="380">
        <v>4.0593659999999998</v>
      </c>
      <c r="BR39" s="380">
        <v>4.1185970000000003</v>
      </c>
      <c r="BS39" s="380">
        <v>4.1251629999999997</v>
      </c>
      <c r="BT39" s="380">
        <v>4.3432329999999997</v>
      </c>
      <c r="BU39" s="380">
        <v>4.482456</v>
      </c>
      <c r="BV39" s="380">
        <v>4.8004410000000002</v>
      </c>
    </row>
    <row r="40" spans="1:74" s="284" customFormat="1" ht="11.1" customHeight="1" x14ac:dyDescent="0.2">
      <c r="A40" s="198"/>
      <c r="B40" s="282"/>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c r="AA40" s="283"/>
      <c r="AB40" s="283"/>
      <c r="AC40" s="283"/>
      <c r="AD40" s="283"/>
      <c r="AE40" s="283"/>
      <c r="AF40" s="283"/>
      <c r="AG40" s="283"/>
      <c r="AH40" s="283"/>
      <c r="AI40" s="283"/>
      <c r="AJ40" s="283"/>
      <c r="AK40" s="283"/>
      <c r="AL40" s="283"/>
      <c r="AM40" s="283"/>
      <c r="AN40" s="283"/>
      <c r="AO40" s="283"/>
      <c r="AP40" s="283"/>
      <c r="AQ40" s="283"/>
      <c r="AR40" s="283"/>
      <c r="AS40" s="283"/>
      <c r="AT40" s="283"/>
      <c r="AU40" s="283"/>
      <c r="AV40" s="283"/>
      <c r="AW40" s="283"/>
      <c r="AX40" s="283"/>
      <c r="AY40" s="385"/>
      <c r="AZ40" s="385"/>
      <c r="BA40" s="385"/>
      <c r="BB40" s="385"/>
      <c r="BC40" s="259"/>
      <c r="BD40" s="652"/>
      <c r="BE40" s="652"/>
      <c r="BF40" s="652"/>
      <c r="BG40" s="652"/>
      <c r="BH40" s="385"/>
      <c r="BI40" s="385"/>
      <c r="BJ40" s="385"/>
      <c r="BK40" s="385"/>
      <c r="BL40" s="385"/>
      <c r="BM40" s="385"/>
      <c r="BN40" s="385"/>
      <c r="BO40" s="385"/>
      <c r="BP40" s="385"/>
      <c r="BQ40" s="385"/>
      <c r="BR40" s="385"/>
      <c r="BS40" s="385"/>
      <c r="BT40" s="385"/>
      <c r="BU40" s="385"/>
      <c r="BV40" s="385"/>
    </row>
    <row r="41" spans="1:74" s="284" customFormat="1" ht="12" customHeight="1" x14ac:dyDescent="0.25">
      <c r="A41" s="198"/>
      <c r="B41" s="808" t="s">
        <v>826</v>
      </c>
      <c r="C41" s="805"/>
      <c r="D41" s="805"/>
      <c r="E41" s="805"/>
      <c r="F41" s="805"/>
      <c r="G41" s="805"/>
      <c r="H41" s="805"/>
      <c r="I41" s="805"/>
      <c r="J41" s="805"/>
      <c r="K41" s="805"/>
      <c r="L41" s="805"/>
      <c r="M41" s="805"/>
      <c r="N41" s="805"/>
      <c r="O41" s="805"/>
      <c r="P41" s="805"/>
      <c r="Q41" s="805"/>
      <c r="AY41" s="516"/>
      <c r="AZ41" s="516"/>
      <c r="BA41" s="516"/>
      <c r="BB41" s="516"/>
      <c r="BC41" s="516"/>
      <c r="BD41" s="653"/>
      <c r="BE41" s="653"/>
      <c r="BF41" s="653"/>
      <c r="BG41" s="653"/>
      <c r="BH41" s="516"/>
      <c r="BI41" s="516"/>
      <c r="BJ41" s="516"/>
    </row>
    <row r="42" spans="1:74" s="284" customFormat="1" ht="12" customHeight="1" x14ac:dyDescent="0.25">
      <c r="A42" s="198"/>
      <c r="B42" s="810" t="s">
        <v>131</v>
      </c>
      <c r="C42" s="805"/>
      <c r="D42" s="805"/>
      <c r="E42" s="805"/>
      <c r="F42" s="805"/>
      <c r="G42" s="805"/>
      <c r="H42" s="805"/>
      <c r="I42" s="805"/>
      <c r="J42" s="805"/>
      <c r="K42" s="805"/>
      <c r="L42" s="805"/>
      <c r="M42" s="805"/>
      <c r="N42" s="805"/>
      <c r="O42" s="805"/>
      <c r="P42" s="805"/>
      <c r="Q42" s="805"/>
      <c r="AY42" s="516"/>
      <c r="AZ42" s="516"/>
      <c r="BA42" s="516"/>
      <c r="BB42" s="516"/>
      <c r="BC42" s="516"/>
      <c r="BD42" s="653"/>
      <c r="BE42" s="653"/>
      <c r="BF42" s="653"/>
      <c r="BG42" s="653"/>
      <c r="BH42" s="516"/>
      <c r="BI42" s="516"/>
      <c r="BJ42" s="516"/>
    </row>
    <row r="43" spans="1:74" s="445" customFormat="1" ht="12" customHeight="1" x14ac:dyDescent="0.25">
      <c r="A43" s="444"/>
      <c r="B43" s="794" t="s">
        <v>851</v>
      </c>
      <c r="C43" s="795"/>
      <c r="D43" s="795"/>
      <c r="E43" s="795"/>
      <c r="F43" s="795"/>
      <c r="G43" s="795"/>
      <c r="H43" s="795"/>
      <c r="I43" s="795"/>
      <c r="J43" s="795"/>
      <c r="K43" s="795"/>
      <c r="L43" s="795"/>
      <c r="M43" s="795"/>
      <c r="N43" s="795"/>
      <c r="O43" s="795"/>
      <c r="P43" s="795"/>
      <c r="Q43" s="791"/>
      <c r="AY43" s="517"/>
      <c r="AZ43" s="517"/>
      <c r="BA43" s="517"/>
      <c r="BB43" s="517"/>
      <c r="BC43" s="517"/>
      <c r="BD43" s="654"/>
      <c r="BE43" s="654"/>
      <c r="BF43" s="654"/>
      <c r="BG43" s="654"/>
      <c r="BH43" s="517"/>
      <c r="BI43" s="517"/>
      <c r="BJ43" s="517"/>
    </row>
    <row r="44" spans="1:74" s="445" customFormat="1" ht="12" customHeight="1" x14ac:dyDescent="0.25">
      <c r="A44" s="444"/>
      <c r="B44" s="789" t="s">
        <v>887</v>
      </c>
      <c r="C44" s="795"/>
      <c r="D44" s="795"/>
      <c r="E44" s="795"/>
      <c r="F44" s="795"/>
      <c r="G44" s="795"/>
      <c r="H44" s="795"/>
      <c r="I44" s="795"/>
      <c r="J44" s="795"/>
      <c r="K44" s="795"/>
      <c r="L44" s="795"/>
      <c r="M44" s="795"/>
      <c r="N44" s="795"/>
      <c r="O44" s="795"/>
      <c r="P44" s="795"/>
      <c r="Q44" s="791"/>
      <c r="AY44" s="517"/>
      <c r="AZ44" s="517"/>
      <c r="BA44" s="517"/>
      <c r="BB44" s="517"/>
      <c r="BC44" s="517"/>
      <c r="BD44" s="654"/>
      <c r="BE44" s="654"/>
      <c r="BF44" s="654"/>
      <c r="BG44" s="654"/>
      <c r="BH44" s="517"/>
      <c r="BI44" s="517"/>
      <c r="BJ44" s="517"/>
    </row>
    <row r="45" spans="1:74" s="445" customFormat="1" ht="12" customHeight="1" x14ac:dyDescent="0.25">
      <c r="A45" s="444"/>
      <c r="B45" s="838" t="s">
        <v>888</v>
      </c>
      <c r="C45" s="791"/>
      <c r="D45" s="791"/>
      <c r="E45" s="791"/>
      <c r="F45" s="791"/>
      <c r="G45" s="791"/>
      <c r="H45" s="791"/>
      <c r="I45" s="791"/>
      <c r="J45" s="791"/>
      <c r="K45" s="791"/>
      <c r="L45" s="791"/>
      <c r="M45" s="791"/>
      <c r="N45" s="791"/>
      <c r="O45" s="791"/>
      <c r="P45" s="791"/>
      <c r="Q45" s="791"/>
      <c r="AY45" s="517"/>
      <c r="AZ45" s="517"/>
      <c r="BA45" s="517"/>
      <c r="BB45" s="517"/>
      <c r="BC45" s="517"/>
      <c r="BD45" s="654"/>
      <c r="BE45" s="654"/>
      <c r="BF45" s="654"/>
      <c r="BG45" s="654"/>
      <c r="BH45" s="517"/>
      <c r="BI45" s="517"/>
      <c r="BJ45" s="517"/>
    </row>
    <row r="46" spans="1:74" s="445" customFormat="1" ht="12" customHeight="1" x14ac:dyDescent="0.25">
      <c r="A46" s="446"/>
      <c r="B46" s="794" t="s">
        <v>889</v>
      </c>
      <c r="C46" s="795"/>
      <c r="D46" s="795"/>
      <c r="E46" s="795"/>
      <c r="F46" s="795"/>
      <c r="G46" s="795"/>
      <c r="H46" s="795"/>
      <c r="I46" s="795"/>
      <c r="J46" s="795"/>
      <c r="K46" s="795"/>
      <c r="L46" s="795"/>
      <c r="M46" s="795"/>
      <c r="N46" s="795"/>
      <c r="O46" s="795"/>
      <c r="P46" s="795"/>
      <c r="Q46" s="791"/>
      <c r="AY46" s="517"/>
      <c r="AZ46" s="517"/>
      <c r="BA46" s="517"/>
      <c r="BB46" s="517"/>
      <c r="BC46" s="517"/>
      <c r="BD46" s="654"/>
      <c r="BE46" s="654"/>
      <c r="BF46" s="654"/>
      <c r="BG46" s="654"/>
      <c r="BH46" s="517"/>
      <c r="BI46" s="517"/>
      <c r="BJ46" s="517"/>
    </row>
    <row r="47" spans="1:74" s="445" customFormat="1" ht="12" customHeight="1" x14ac:dyDescent="0.25">
      <c r="A47" s="446"/>
      <c r="B47" s="814" t="s">
        <v>183</v>
      </c>
      <c r="C47" s="791"/>
      <c r="D47" s="791"/>
      <c r="E47" s="791"/>
      <c r="F47" s="791"/>
      <c r="G47" s="791"/>
      <c r="H47" s="791"/>
      <c r="I47" s="791"/>
      <c r="J47" s="791"/>
      <c r="K47" s="791"/>
      <c r="L47" s="791"/>
      <c r="M47" s="791"/>
      <c r="N47" s="791"/>
      <c r="O47" s="791"/>
      <c r="P47" s="791"/>
      <c r="Q47" s="791"/>
      <c r="AY47" s="517"/>
      <c r="AZ47" s="517"/>
      <c r="BA47" s="517"/>
      <c r="BB47" s="517"/>
      <c r="BC47" s="517"/>
      <c r="BD47" s="654"/>
      <c r="BE47" s="654"/>
      <c r="BF47" s="654"/>
      <c r="BG47" s="654"/>
      <c r="BH47" s="517"/>
      <c r="BI47" s="517"/>
      <c r="BJ47" s="517"/>
    </row>
    <row r="48" spans="1:74" s="445" customFormat="1" ht="12" customHeight="1" x14ac:dyDescent="0.25">
      <c r="A48" s="446"/>
      <c r="B48" s="789" t="s">
        <v>855</v>
      </c>
      <c r="C48" s="790"/>
      <c r="D48" s="790"/>
      <c r="E48" s="790"/>
      <c r="F48" s="790"/>
      <c r="G48" s="790"/>
      <c r="H48" s="790"/>
      <c r="I48" s="790"/>
      <c r="J48" s="790"/>
      <c r="K48" s="790"/>
      <c r="L48" s="790"/>
      <c r="M48" s="790"/>
      <c r="N48" s="790"/>
      <c r="O48" s="790"/>
      <c r="P48" s="790"/>
      <c r="Q48" s="791"/>
      <c r="AY48" s="517"/>
      <c r="AZ48" s="517"/>
      <c r="BA48" s="517"/>
      <c r="BB48" s="517"/>
      <c r="BC48" s="517"/>
      <c r="BD48" s="654"/>
      <c r="BE48" s="654"/>
      <c r="BF48" s="654"/>
      <c r="BG48" s="654"/>
      <c r="BH48" s="517"/>
      <c r="BI48" s="517"/>
      <c r="BJ48" s="517"/>
    </row>
    <row r="49" spans="1:74" s="447" customFormat="1" ht="12" customHeight="1" x14ac:dyDescent="0.25">
      <c r="A49" s="429"/>
      <c r="B49" s="811" t="s">
        <v>949</v>
      </c>
      <c r="C49" s="791"/>
      <c r="D49" s="791"/>
      <c r="E49" s="791"/>
      <c r="F49" s="791"/>
      <c r="G49" s="791"/>
      <c r="H49" s="791"/>
      <c r="I49" s="791"/>
      <c r="J49" s="791"/>
      <c r="K49" s="791"/>
      <c r="L49" s="791"/>
      <c r="M49" s="791"/>
      <c r="N49" s="791"/>
      <c r="O49" s="791"/>
      <c r="P49" s="791"/>
      <c r="Q49" s="791"/>
      <c r="AY49" s="518"/>
      <c r="AZ49" s="518"/>
      <c r="BA49" s="518"/>
      <c r="BB49" s="518"/>
      <c r="BC49" s="518"/>
      <c r="BD49" s="655"/>
      <c r="BE49" s="655"/>
      <c r="BF49" s="655"/>
      <c r="BG49" s="655"/>
      <c r="BH49" s="518"/>
      <c r="BI49" s="518"/>
      <c r="BJ49" s="518"/>
    </row>
    <row r="50" spans="1:74" x14ac:dyDescent="0.2">
      <c r="BK50" s="386"/>
      <c r="BL50" s="386"/>
      <c r="BM50" s="386"/>
      <c r="BN50" s="386"/>
      <c r="BO50" s="386"/>
      <c r="BP50" s="386"/>
      <c r="BQ50" s="386"/>
      <c r="BR50" s="386"/>
      <c r="BS50" s="386"/>
      <c r="BT50" s="386"/>
      <c r="BU50" s="386"/>
      <c r="BV50" s="386"/>
    </row>
    <row r="51" spans="1:74" x14ac:dyDescent="0.2">
      <c r="BK51" s="386"/>
      <c r="BL51" s="386"/>
      <c r="BM51" s="386"/>
      <c r="BN51" s="386"/>
      <c r="BO51" s="386"/>
      <c r="BP51" s="386"/>
      <c r="BQ51" s="386"/>
      <c r="BR51" s="386"/>
      <c r="BS51" s="386"/>
      <c r="BT51" s="386"/>
      <c r="BU51" s="386"/>
      <c r="BV51" s="386"/>
    </row>
    <row r="52" spans="1:74" x14ac:dyDescent="0.2">
      <c r="BK52" s="386"/>
      <c r="BL52" s="386"/>
      <c r="BM52" s="386"/>
      <c r="BN52" s="386"/>
      <c r="BO52" s="386"/>
      <c r="BP52" s="386"/>
      <c r="BQ52" s="386"/>
      <c r="BR52" s="386"/>
      <c r="BS52" s="386"/>
      <c r="BT52" s="386"/>
      <c r="BU52" s="386"/>
      <c r="BV52" s="386"/>
    </row>
    <row r="53" spans="1:74" x14ac:dyDescent="0.2">
      <c r="BK53" s="386"/>
      <c r="BL53" s="386"/>
      <c r="BM53" s="386"/>
      <c r="BN53" s="386"/>
      <c r="BO53" s="386"/>
      <c r="BP53" s="386"/>
      <c r="BQ53" s="386"/>
      <c r="BR53" s="386"/>
      <c r="BS53" s="386"/>
      <c r="BT53" s="386"/>
      <c r="BU53" s="386"/>
      <c r="BV53" s="386"/>
    </row>
    <row r="54" spans="1:74" x14ac:dyDescent="0.2">
      <c r="BK54" s="386"/>
      <c r="BL54" s="386"/>
      <c r="BM54" s="386"/>
      <c r="BN54" s="386"/>
      <c r="BO54" s="386"/>
      <c r="BP54" s="386"/>
      <c r="BQ54" s="386"/>
      <c r="BR54" s="386"/>
      <c r="BS54" s="386"/>
      <c r="BT54" s="386"/>
      <c r="BU54" s="386"/>
      <c r="BV54" s="386"/>
    </row>
    <row r="55" spans="1:74" x14ac:dyDescent="0.2">
      <c r="BK55" s="386"/>
      <c r="BL55" s="386"/>
      <c r="BM55" s="386"/>
      <c r="BN55" s="386"/>
      <c r="BO55" s="386"/>
      <c r="BP55" s="386"/>
      <c r="BQ55" s="386"/>
      <c r="BR55" s="386"/>
      <c r="BS55" s="386"/>
      <c r="BT55" s="386"/>
      <c r="BU55" s="386"/>
      <c r="BV55" s="386"/>
    </row>
    <row r="56" spans="1:74" x14ac:dyDescent="0.2">
      <c r="BK56" s="386"/>
      <c r="BL56" s="386"/>
      <c r="BM56" s="386"/>
      <c r="BN56" s="386"/>
      <c r="BO56" s="386"/>
      <c r="BP56" s="386"/>
      <c r="BQ56" s="386"/>
      <c r="BR56" s="386"/>
      <c r="BS56" s="386"/>
      <c r="BT56" s="386"/>
      <c r="BU56" s="386"/>
      <c r="BV56" s="386"/>
    </row>
    <row r="57" spans="1:74" x14ac:dyDescent="0.2">
      <c r="BK57" s="386"/>
      <c r="BL57" s="386"/>
      <c r="BM57" s="386"/>
      <c r="BN57" s="386"/>
      <c r="BO57" s="386"/>
      <c r="BP57" s="386"/>
      <c r="BQ57" s="386"/>
      <c r="BR57" s="386"/>
      <c r="BS57" s="386"/>
      <c r="BT57" s="386"/>
      <c r="BU57" s="386"/>
      <c r="BV57" s="386"/>
    </row>
    <row r="58" spans="1:74" x14ac:dyDescent="0.2">
      <c r="BK58" s="386"/>
      <c r="BL58" s="386"/>
      <c r="BM58" s="386"/>
      <c r="BN58" s="386"/>
      <c r="BO58" s="386"/>
      <c r="BP58" s="386"/>
      <c r="BQ58" s="386"/>
      <c r="BR58" s="386"/>
      <c r="BS58" s="386"/>
      <c r="BT58" s="386"/>
      <c r="BU58" s="386"/>
      <c r="BV58" s="386"/>
    </row>
    <row r="59" spans="1:74" x14ac:dyDescent="0.2">
      <c r="BK59" s="386"/>
      <c r="BL59" s="386"/>
      <c r="BM59" s="386"/>
      <c r="BN59" s="386"/>
      <c r="BO59" s="386"/>
      <c r="BP59" s="386"/>
      <c r="BQ59" s="386"/>
      <c r="BR59" s="386"/>
      <c r="BS59" s="386"/>
      <c r="BT59" s="386"/>
      <c r="BU59" s="386"/>
      <c r="BV59" s="386"/>
    </row>
    <row r="60" spans="1:74" x14ac:dyDescent="0.2">
      <c r="BK60" s="386"/>
      <c r="BL60" s="386"/>
      <c r="BM60" s="386"/>
      <c r="BN60" s="386"/>
      <c r="BO60" s="386"/>
      <c r="BP60" s="386"/>
      <c r="BQ60" s="386"/>
      <c r="BR60" s="386"/>
      <c r="BS60" s="386"/>
      <c r="BT60" s="386"/>
      <c r="BU60" s="386"/>
      <c r="BV60" s="386"/>
    </row>
    <row r="61" spans="1:74" x14ac:dyDescent="0.2">
      <c r="BK61" s="386"/>
      <c r="BL61" s="386"/>
      <c r="BM61" s="386"/>
      <c r="BN61" s="386"/>
      <c r="BO61" s="386"/>
      <c r="BP61" s="386"/>
      <c r="BQ61" s="386"/>
      <c r="BR61" s="386"/>
      <c r="BS61" s="386"/>
      <c r="BT61" s="386"/>
      <c r="BU61" s="386"/>
      <c r="BV61" s="386"/>
    </row>
    <row r="62" spans="1:74" x14ac:dyDescent="0.2">
      <c r="BK62" s="386"/>
      <c r="BL62" s="386"/>
      <c r="BM62" s="386"/>
      <c r="BN62" s="386"/>
      <c r="BO62" s="386"/>
      <c r="BP62" s="386"/>
      <c r="BQ62" s="386"/>
      <c r="BR62" s="386"/>
      <c r="BS62" s="386"/>
      <c r="BT62" s="386"/>
      <c r="BU62" s="386"/>
      <c r="BV62" s="386"/>
    </row>
    <row r="63" spans="1:74" x14ac:dyDescent="0.2">
      <c r="BK63" s="386"/>
      <c r="BL63" s="386"/>
      <c r="BM63" s="386"/>
      <c r="BN63" s="386"/>
      <c r="BO63" s="386"/>
      <c r="BP63" s="386"/>
      <c r="BQ63" s="386"/>
      <c r="BR63" s="386"/>
      <c r="BS63" s="386"/>
      <c r="BT63" s="386"/>
      <c r="BU63" s="386"/>
      <c r="BV63" s="386"/>
    </row>
    <row r="64" spans="1:74" x14ac:dyDescent="0.2">
      <c r="BK64" s="386"/>
      <c r="BL64" s="386"/>
      <c r="BM64" s="386"/>
      <c r="BN64" s="386"/>
      <c r="BO64" s="386"/>
      <c r="BP64" s="386"/>
      <c r="BQ64" s="386"/>
      <c r="BR64" s="386"/>
      <c r="BS64" s="386"/>
      <c r="BT64" s="386"/>
      <c r="BU64" s="386"/>
      <c r="BV64" s="386"/>
    </row>
    <row r="65" spans="63:74" x14ac:dyDescent="0.2">
      <c r="BK65" s="386"/>
      <c r="BL65" s="386"/>
      <c r="BM65" s="386"/>
      <c r="BN65" s="386"/>
      <c r="BO65" s="386"/>
      <c r="BP65" s="386"/>
      <c r="BQ65" s="386"/>
      <c r="BR65" s="386"/>
      <c r="BS65" s="386"/>
      <c r="BT65" s="386"/>
      <c r="BU65" s="386"/>
      <c r="BV65" s="386"/>
    </row>
    <row r="66" spans="63:74" x14ac:dyDescent="0.2">
      <c r="BK66" s="386"/>
      <c r="BL66" s="386"/>
      <c r="BM66" s="386"/>
      <c r="BN66" s="386"/>
      <c r="BO66" s="386"/>
      <c r="BP66" s="386"/>
      <c r="BQ66" s="386"/>
      <c r="BR66" s="386"/>
      <c r="BS66" s="386"/>
      <c r="BT66" s="386"/>
      <c r="BU66" s="386"/>
      <c r="BV66" s="386"/>
    </row>
    <row r="67" spans="63:74" x14ac:dyDescent="0.2">
      <c r="BK67" s="386"/>
      <c r="BL67" s="386"/>
      <c r="BM67" s="386"/>
      <c r="BN67" s="386"/>
      <c r="BO67" s="386"/>
      <c r="BP67" s="386"/>
      <c r="BQ67" s="386"/>
      <c r="BR67" s="386"/>
      <c r="BS67" s="386"/>
      <c r="BT67" s="386"/>
      <c r="BU67" s="386"/>
      <c r="BV67" s="386"/>
    </row>
    <row r="68" spans="63:74" x14ac:dyDescent="0.2">
      <c r="BK68" s="386"/>
      <c r="BL68" s="386"/>
      <c r="BM68" s="386"/>
      <c r="BN68" s="386"/>
      <c r="BO68" s="386"/>
      <c r="BP68" s="386"/>
      <c r="BQ68" s="386"/>
      <c r="BR68" s="386"/>
      <c r="BS68" s="386"/>
      <c r="BT68" s="386"/>
      <c r="BU68" s="386"/>
      <c r="BV68" s="386"/>
    </row>
    <row r="69" spans="63:74" x14ac:dyDescent="0.2">
      <c r="BK69" s="386"/>
      <c r="BL69" s="386"/>
      <c r="BM69" s="386"/>
      <c r="BN69" s="386"/>
      <c r="BO69" s="386"/>
      <c r="BP69" s="386"/>
      <c r="BQ69" s="386"/>
      <c r="BR69" s="386"/>
      <c r="BS69" s="386"/>
      <c r="BT69" s="386"/>
      <c r="BU69" s="386"/>
      <c r="BV69" s="386"/>
    </row>
    <row r="70" spans="63:74" x14ac:dyDescent="0.2">
      <c r="BK70" s="386"/>
      <c r="BL70" s="386"/>
      <c r="BM70" s="386"/>
      <c r="BN70" s="386"/>
      <c r="BO70" s="386"/>
      <c r="BP70" s="386"/>
      <c r="BQ70" s="386"/>
      <c r="BR70" s="386"/>
      <c r="BS70" s="386"/>
      <c r="BT70" s="386"/>
      <c r="BU70" s="386"/>
      <c r="BV70" s="386"/>
    </row>
    <row r="71" spans="63:74" x14ac:dyDescent="0.2">
      <c r="BK71" s="386"/>
      <c r="BL71" s="386"/>
      <c r="BM71" s="386"/>
      <c r="BN71" s="386"/>
      <c r="BO71" s="386"/>
      <c r="BP71" s="386"/>
      <c r="BQ71" s="386"/>
      <c r="BR71" s="386"/>
      <c r="BS71" s="386"/>
      <c r="BT71" s="386"/>
      <c r="BU71" s="386"/>
      <c r="BV71" s="386"/>
    </row>
    <row r="72" spans="63:74" x14ac:dyDescent="0.2">
      <c r="BK72" s="386"/>
      <c r="BL72" s="386"/>
      <c r="BM72" s="386"/>
      <c r="BN72" s="386"/>
      <c r="BO72" s="386"/>
      <c r="BP72" s="386"/>
      <c r="BQ72" s="386"/>
      <c r="BR72" s="386"/>
      <c r="BS72" s="386"/>
      <c r="BT72" s="386"/>
      <c r="BU72" s="386"/>
      <c r="BV72" s="386"/>
    </row>
    <row r="73" spans="63:74" x14ac:dyDescent="0.2">
      <c r="BK73" s="386"/>
      <c r="BL73" s="386"/>
      <c r="BM73" s="386"/>
      <c r="BN73" s="386"/>
      <c r="BO73" s="386"/>
      <c r="BP73" s="386"/>
      <c r="BQ73" s="386"/>
      <c r="BR73" s="386"/>
      <c r="BS73" s="386"/>
      <c r="BT73" s="386"/>
      <c r="BU73" s="386"/>
      <c r="BV73" s="386"/>
    </row>
    <row r="74" spans="63:74" x14ac:dyDescent="0.2">
      <c r="BK74" s="386"/>
      <c r="BL74" s="386"/>
      <c r="BM74" s="386"/>
      <c r="BN74" s="386"/>
      <c r="BO74" s="386"/>
      <c r="BP74" s="386"/>
      <c r="BQ74" s="386"/>
      <c r="BR74" s="386"/>
      <c r="BS74" s="386"/>
      <c r="BT74" s="386"/>
      <c r="BU74" s="386"/>
      <c r="BV74" s="386"/>
    </row>
    <row r="75" spans="63:74" x14ac:dyDescent="0.2">
      <c r="BK75" s="386"/>
      <c r="BL75" s="386"/>
      <c r="BM75" s="386"/>
      <c r="BN75" s="386"/>
      <c r="BO75" s="386"/>
      <c r="BP75" s="386"/>
      <c r="BQ75" s="386"/>
      <c r="BR75" s="386"/>
      <c r="BS75" s="386"/>
      <c r="BT75" s="386"/>
      <c r="BU75" s="386"/>
      <c r="BV75" s="386"/>
    </row>
    <row r="76" spans="63:74" x14ac:dyDescent="0.2">
      <c r="BK76" s="386"/>
      <c r="BL76" s="386"/>
      <c r="BM76" s="386"/>
      <c r="BN76" s="386"/>
      <c r="BO76" s="386"/>
      <c r="BP76" s="386"/>
      <c r="BQ76" s="386"/>
      <c r="BR76" s="386"/>
      <c r="BS76" s="386"/>
      <c r="BT76" s="386"/>
      <c r="BU76" s="386"/>
      <c r="BV76" s="386"/>
    </row>
    <row r="77" spans="63:74" x14ac:dyDescent="0.2">
      <c r="BK77" s="386"/>
      <c r="BL77" s="386"/>
      <c r="BM77" s="386"/>
      <c r="BN77" s="386"/>
      <c r="BO77" s="386"/>
      <c r="BP77" s="386"/>
      <c r="BQ77" s="386"/>
      <c r="BR77" s="386"/>
      <c r="BS77" s="386"/>
      <c r="BT77" s="386"/>
      <c r="BU77" s="386"/>
      <c r="BV77" s="386"/>
    </row>
    <row r="78" spans="63:74" x14ac:dyDescent="0.2">
      <c r="BK78" s="386"/>
      <c r="BL78" s="386"/>
      <c r="BM78" s="386"/>
      <c r="BN78" s="386"/>
      <c r="BO78" s="386"/>
      <c r="BP78" s="386"/>
      <c r="BQ78" s="386"/>
      <c r="BR78" s="386"/>
      <c r="BS78" s="386"/>
      <c r="BT78" s="386"/>
      <c r="BU78" s="386"/>
      <c r="BV78" s="386"/>
    </row>
    <row r="79" spans="63:74" x14ac:dyDescent="0.2">
      <c r="BK79" s="386"/>
      <c r="BL79" s="386"/>
      <c r="BM79" s="386"/>
      <c r="BN79" s="386"/>
      <c r="BO79" s="386"/>
      <c r="BP79" s="386"/>
      <c r="BQ79" s="386"/>
      <c r="BR79" s="386"/>
      <c r="BS79" s="386"/>
      <c r="BT79" s="386"/>
      <c r="BU79" s="386"/>
      <c r="BV79" s="386"/>
    </row>
    <row r="80" spans="63:74" x14ac:dyDescent="0.2">
      <c r="BK80" s="386"/>
      <c r="BL80" s="386"/>
      <c r="BM80" s="386"/>
      <c r="BN80" s="386"/>
      <c r="BO80" s="386"/>
      <c r="BP80" s="386"/>
      <c r="BQ80" s="386"/>
      <c r="BR80" s="386"/>
      <c r="BS80" s="386"/>
      <c r="BT80" s="386"/>
      <c r="BU80" s="386"/>
      <c r="BV80" s="386"/>
    </row>
    <row r="81" spans="63:74" x14ac:dyDescent="0.2">
      <c r="BK81" s="386"/>
      <c r="BL81" s="386"/>
      <c r="BM81" s="386"/>
      <c r="BN81" s="386"/>
      <c r="BO81" s="386"/>
      <c r="BP81" s="386"/>
      <c r="BQ81" s="386"/>
      <c r="BR81" s="386"/>
      <c r="BS81" s="386"/>
      <c r="BT81" s="386"/>
      <c r="BU81" s="386"/>
      <c r="BV81" s="386"/>
    </row>
    <row r="82" spans="63:74" x14ac:dyDescent="0.2">
      <c r="BK82" s="386"/>
      <c r="BL82" s="386"/>
      <c r="BM82" s="386"/>
      <c r="BN82" s="386"/>
      <c r="BO82" s="386"/>
      <c r="BP82" s="386"/>
      <c r="BQ82" s="386"/>
      <c r="BR82" s="386"/>
      <c r="BS82" s="386"/>
      <c r="BT82" s="386"/>
      <c r="BU82" s="386"/>
      <c r="BV82" s="386"/>
    </row>
    <row r="83" spans="63:74" x14ac:dyDescent="0.2">
      <c r="BK83" s="386"/>
      <c r="BL83" s="386"/>
      <c r="BM83" s="386"/>
      <c r="BN83" s="386"/>
      <c r="BO83" s="386"/>
      <c r="BP83" s="386"/>
      <c r="BQ83" s="386"/>
      <c r="BR83" s="386"/>
      <c r="BS83" s="386"/>
      <c r="BT83" s="386"/>
      <c r="BU83" s="386"/>
      <c r="BV83" s="386"/>
    </row>
    <row r="84" spans="63:74" x14ac:dyDescent="0.2">
      <c r="BK84" s="386"/>
      <c r="BL84" s="386"/>
      <c r="BM84" s="386"/>
      <c r="BN84" s="386"/>
      <c r="BO84" s="386"/>
      <c r="BP84" s="386"/>
      <c r="BQ84" s="386"/>
      <c r="BR84" s="386"/>
      <c r="BS84" s="386"/>
      <c r="BT84" s="386"/>
      <c r="BU84" s="386"/>
      <c r="BV84" s="386"/>
    </row>
    <row r="85" spans="63:74" x14ac:dyDescent="0.2">
      <c r="BK85" s="386"/>
      <c r="BL85" s="386"/>
      <c r="BM85" s="386"/>
      <c r="BN85" s="386"/>
      <c r="BO85" s="386"/>
      <c r="BP85" s="386"/>
      <c r="BQ85" s="386"/>
      <c r="BR85" s="386"/>
      <c r="BS85" s="386"/>
      <c r="BT85" s="386"/>
      <c r="BU85" s="386"/>
      <c r="BV85" s="386"/>
    </row>
    <row r="86" spans="63:74" x14ac:dyDescent="0.2">
      <c r="BK86" s="386"/>
      <c r="BL86" s="386"/>
      <c r="BM86" s="386"/>
      <c r="BN86" s="386"/>
      <c r="BO86" s="386"/>
      <c r="BP86" s="386"/>
      <c r="BQ86" s="386"/>
      <c r="BR86" s="386"/>
      <c r="BS86" s="386"/>
      <c r="BT86" s="386"/>
      <c r="BU86" s="386"/>
      <c r="BV86" s="386"/>
    </row>
    <row r="87" spans="63:74" x14ac:dyDescent="0.2">
      <c r="BK87" s="386"/>
      <c r="BL87" s="386"/>
      <c r="BM87" s="386"/>
      <c r="BN87" s="386"/>
      <c r="BO87" s="386"/>
      <c r="BP87" s="386"/>
      <c r="BQ87" s="386"/>
      <c r="BR87" s="386"/>
      <c r="BS87" s="386"/>
      <c r="BT87" s="386"/>
      <c r="BU87" s="386"/>
      <c r="BV87" s="386"/>
    </row>
    <row r="88" spans="63:74" x14ac:dyDescent="0.2">
      <c r="BK88" s="386"/>
      <c r="BL88" s="386"/>
      <c r="BM88" s="386"/>
      <c r="BN88" s="386"/>
      <c r="BO88" s="386"/>
      <c r="BP88" s="386"/>
      <c r="BQ88" s="386"/>
      <c r="BR88" s="386"/>
      <c r="BS88" s="386"/>
      <c r="BT88" s="386"/>
      <c r="BU88" s="386"/>
      <c r="BV88" s="386"/>
    </row>
    <row r="89" spans="63:74" x14ac:dyDescent="0.2">
      <c r="BK89" s="386"/>
      <c r="BL89" s="386"/>
      <c r="BM89" s="386"/>
      <c r="BN89" s="386"/>
      <c r="BO89" s="386"/>
      <c r="BP89" s="386"/>
      <c r="BQ89" s="386"/>
      <c r="BR89" s="386"/>
      <c r="BS89" s="386"/>
      <c r="BT89" s="386"/>
      <c r="BU89" s="386"/>
      <c r="BV89" s="386"/>
    </row>
    <row r="90" spans="63:74" x14ac:dyDescent="0.2">
      <c r="BK90" s="386"/>
      <c r="BL90" s="386"/>
      <c r="BM90" s="386"/>
      <c r="BN90" s="386"/>
      <c r="BO90" s="386"/>
      <c r="BP90" s="386"/>
      <c r="BQ90" s="386"/>
      <c r="BR90" s="386"/>
      <c r="BS90" s="386"/>
      <c r="BT90" s="386"/>
      <c r="BU90" s="386"/>
      <c r="BV90" s="386"/>
    </row>
    <row r="91" spans="63:74" x14ac:dyDescent="0.2">
      <c r="BK91" s="386"/>
      <c r="BL91" s="386"/>
      <c r="BM91" s="386"/>
      <c r="BN91" s="386"/>
      <c r="BO91" s="386"/>
      <c r="BP91" s="386"/>
      <c r="BQ91" s="386"/>
      <c r="BR91" s="386"/>
      <c r="BS91" s="386"/>
      <c r="BT91" s="386"/>
      <c r="BU91" s="386"/>
      <c r="BV91" s="386"/>
    </row>
    <row r="92" spans="63:74" x14ac:dyDescent="0.2">
      <c r="BK92" s="386"/>
      <c r="BL92" s="386"/>
      <c r="BM92" s="386"/>
      <c r="BN92" s="386"/>
      <c r="BO92" s="386"/>
      <c r="BP92" s="386"/>
      <c r="BQ92" s="386"/>
      <c r="BR92" s="386"/>
      <c r="BS92" s="386"/>
      <c r="BT92" s="386"/>
      <c r="BU92" s="386"/>
      <c r="BV92" s="386"/>
    </row>
    <row r="93" spans="63:74" x14ac:dyDescent="0.2">
      <c r="BK93" s="386"/>
      <c r="BL93" s="386"/>
      <c r="BM93" s="386"/>
      <c r="BN93" s="386"/>
      <c r="BO93" s="386"/>
      <c r="BP93" s="386"/>
      <c r="BQ93" s="386"/>
      <c r="BR93" s="386"/>
      <c r="BS93" s="386"/>
      <c r="BT93" s="386"/>
      <c r="BU93" s="386"/>
      <c r="BV93" s="386"/>
    </row>
    <row r="94" spans="63:74" x14ac:dyDescent="0.2">
      <c r="BK94" s="386"/>
      <c r="BL94" s="386"/>
      <c r="BM94" s="386"/>
      <c r="BN94" s="386"/>
      <c r="BO94" s="386"/>
      <c r="BP94" s="386"/>
      <c r="BQ94" s="386"/>
      <c r="BR94" s="386"/>
      <c r="BS94" s="386"/>
      <c r="BT94" s="386"/>
      <c r="BU94" s="386"/>
      <c r="BV94" s="386"/>
    </row>
    <row r="95" spans="63:74" x14ac:dyDescent="0.2">
      <c r="BK95" s="386"/>
      <c r="BL95" s="386"/>
      <c r="BM95" s="386"/>
      <c r="BN95" s="386"/>
      <c r="BO95" s="386"/>
      <c r="BP95" s="386"/>
      <c r="BQ95" s="386"/>
      <c r="BR95" s="386"/>
      <c r="BS95" s="386"/>
      <c r="BT95" s="386"/>
      <c r="BU95" s="386"/>
      <c r="BV95" s="386"/>
    </row>
    <row r="96" spans="63:74" x14ac:dyDescent="0.2">
      <c r="BK96" s="386"/>
      <c r="BL96" s="386"/>
      <c r="BM96" s="386"/>
      <c r="BN96" s="386"/>
      <c r="BO96" s="386"/>
      <c r="BP96" s="386"/>
      <c r="BQ96" s="386"/>
      <c r="BR96" s="386"/>
      <c r="BS96" s="386"/>
      <c r="BT96" s="386"/>
      <c r="BU96" s="386"/>
      <c r="BV96" s="386"/>
    </row>
    <row r="97" spans="63:74" x14ac:dyDescent="0.2">
      <c r="BK97" s="386"/>
      <c r="BL97" s="386"/>
      <c r="BM97" s="386"/>
      <c r="BN97" s="386"/>
      <c r="BO97" s="386"/>
      <c r="BP97" s="386"/>
      <c r="BQ97" s="386"/>
      <c r="BR97" s="386"/>
      <c r="BS97" s="386"/>
      <c r="BT97" s="386"/>
      <c r="BU97" s="386"/>
      <c r="BV97" s="386"/>
    </row>
    <row r="98" spans="63:74" x14ac:dyDescent="0.2">
      <c r="BK98" s="386"/>
      <c r="BL98" s="386"/>
      <c r="BM98" s="386"/>
      <c r="BN98" s="386"/>
      <c r="BO98" s="386"/>
      <c r="BP98" s="386"/>
      <c r="BQ98" s="386"/>
      <c r="BR98" s="386"/>
      <c r="BS98" s="386"/>
      <c r="BT98" s="386"/>
      <c r="BU98" s="386"/>
      <c r="BV98" s="386"/>
    </row>
    <row r="99" spans="63:74" x14ac:dyDescent="0.2">
      <c r="BK99" s="386"/>
      <c r="BL99" s="386"/>
      <c r="BM99" s="386"/>
      <c r="BN99" s="386"/>
      <c r="BO99" s="386"/>
      <c r="BP99" s="386"/>
      <c r="BQ99" s="386"/>
      <c r="BR99" s="386"/>
      <c r="BS99" s="386"/>
      <c r="BT99" s="386"/>
      <c r="BU99" s="386"/>
      <c r="BV99" s="386"/>
    </row>
    <row r="100" spans="63:74" x14ac:dyDescent="0.2">
      <c r="BK100" s="386"/>
      <c r="BL100" s="386"/>
      <c r="BM100" s="386"/>
      <c r="BN100" s="386"/>
      <c r="BO100" s="386"/>
      <c r="BP100" s="386"/>
      <c r="BQ100" s="386"/>
      <c r="BR100" s="386"/>
      <c r="BS100" s="386"/>
      <c r="BT100" s="386"/>
      <c r="BU100" s="386"/>
      <c r="BV100" s="386"/>
    </row>
    <row r="101" spans="63:74" x14ac:dyDescent="0.2">
      <c r="BK101" s="386"/>
      <c r="BL101" s="386"/>
      <c r="BM101" s="386"/>
      <c r="BN101" s="386"/>
      <c r="BO101" s="386"/>
      <c r="BP101" s="386"/>
      <c r="BQ101" s="386"/>
      <c r="BR101" s="386"/>
      <c r="BS101" s="386"/>
      <c r="BT101" s="386"/>
      <c r="BU101" s="386"/>
      <c r="BV101" s="386"/>
    </row>
    <row r="102" spans="63:74" x14ac:dyDescent="0.2">
      <c r="BK102" s="386"/>
      <c r="BL102" s="386"/>
      <c r="BM102" s="386"/>
      <c r="BN102" s="386"/>
      <c r="BO102" s="386"/>
      <c r="BP102" s="386"/>
      <c r="BQ102" s="386"/>
      <c r="BR102" s="386"/>
      <c r="BS102" s="386"/>
      <c r="BT102" s="386"/>
      <c r="BU102" s="386"/>
      <c r="BV102" s="386"/>
    </row>
    <row r="103" spans="63:74" x14ac:dyDescent="0.2">
      <c r="BK103" s="386"/>
      <c r="BL103" s="386"/>
      <c r="BM103" s="386"/>
      <c r="BN103" s="386"/>
      <c r="BO103" s="386"/>
      <c r="BP103" s="386"/>
      <c r="BQ103" s="386"/>
      <c r="BR103" s="386"/>
      <c r="BS103" s="386"/>
      <c r="BT103" s="386"/>
      <c r="BU103" s="386"/>
      <c r="BV103" s="386"/>
    </row>
    <row r="104" spans="63:74" x14ac:dyDescent="0.2">
      <c r="BK104" s="386"/>
      <c r="BL104" s="386"/>
      <c r="BM104" s="386"/>
      <c r="BN104" s="386"/>
      <c r="BO104" s="386"/>
      <c r="BP104" s="386"/>
      <c r="BQ104" s="386"/>
      <c r="BR104" s="386"/>
      <c r="BS104" s="386"/>
      <c r="BT104" s="386"/>
      <c r="BU104" s="386"/>
      <c r="BV104" s="386"/>
    </row>
    <row r="105" spans="63:74" x14ac:dyDescent="0.2">
      <c r="BK105" s="386"/>
      <c r="BL105" s="386"/>
      <c r="BM105" s="386"/>
      <c r="BN105" s="386"/>
      <c r="BO105" s="386"/>
      <c r="BP105" s="386"/>
      <c r="BQ105" s="386"/>
      <c r="BR105" s="386"/>
      <c r="BS105" s="386"/>
      <c r="BT105" s="386"/>
      <c r="BU105" s="386"/>
      <c r="BV105" s="386"/>
    </row>
    <row r="106" spans="63:74" x14ac:dyDescent="0.2">
      <c r="BK106" s="386"/>
      <c r="BL106" s="386"/>
      <c r="BM106" s="386"/>
      <c r="BN106" s="386"/>
      <c r="BO106" s="386"/>
      <c r="BP106" s="386"/>
      <c r="BQ106" s="386"/>
      <c r="BR106" s="386"/>
      <c r="BS106" s="386"/>
      <c r="BT106" s="386"/>
      <c r="BU106" s="386"/>
      <c r="BV106" s="386"/>
    </row>
    <row r="107" spans="63:74" x14ac:dyDescent="0.2">
      <c r="BK107" s="386"/>
      <c r="BL107" s="386"/>
      <c r="BM107" s="386"/>
      <c r="BN107" s="386"/>
      <c r="BO107" s="386"/>
      <c r="BP107" s="386"/>
      <c r="BQ107" s="386"/>
      <c r="BR107" s="386"/>
      <c r="BS107" s="386"/>
      <c r="BT107" s="386"/>
      <c r="BU107" s="386"/>
      <c r="BV107" s="386"/>
    </row>
    <row r="108" spans="63:74" x14ac:dyDescent="0.2">
      <c r="BK108" s="386"/>
      <c r="BL108" s="386"/>
      <c r="BM108" s="386"/>
      <c r="BN108" s="386"/>
      <c r="BO108" s="386"/>
      <c r="BP108" s="386"/>
      <c r="BQ108" s="386"/>
      <c r="BR108" s="386"/>
      <c r="BS108" s="386"/>
      <c r="BT108" s="386"/>
      <c r="BU108" s="386"/>
      <c r="BV108" s="386"/>
    </row>
    <row r="109" spans="63:74" x14ac:dyDescent="0.2">
      <c r="BK109" s="386"/>
      <c r="BL109" s="386"/>
      <c r="BM109" s="386"/>
      <c r="BN109" s="386"/>
      <c r="BO109" s="386"/>
      <c r="BP109" s="386"/>
      <c r="BQ109" s="386"/>
      <c r="BR109" s="386"/>
      <c r="BS109" s="386"/>
      <c r="BT109" s="386"/>
      <c r="BU109" s="386"/>
      <c r="BV109" s="386"/>
    </row>
    <row r="110" spans="63:74" x14ac:dyDescent="0.2">
      <c r="BK110" s="386"/>
      <c r="BL110" s="386"/>
      <c r="BM110" s="386"/>
      <c r="BN110" s="386"/>
      <c r="BO110" s="386"/>
      <c r="BP110" s="386"/>
      <c r="BQ110" s="386"/>
      <c r="BR110" s="386"/>
      <c r="BS110" s="386"/>
      <c r="BT110" s="386"/>
      <c r="BU110" s="386"/>
      <c r="BV110" s="386"/>
    </row>
    <row r="111" spans="63:74" x14ac:dyDescent="0.2">
      <c r="BK111" s="386"/>
      <c r="BL111" s="386"/>
      <c r="BM111" s="386"/>
      <c r="BN111" s="386"/>
      <c r="BO111" s="386"/>
      <c r="BP111" s="386"/>
      <c r="BQ111" s="386"/>
      <c r="BR111" s="386"/>
      <c r="BS111" s="386"/>
      <c r="BT111" s="386"/>
      <c r="BU111" s="386"/>
      <c r="BV111" s="386"/>
    </row>
    <row r="112" spans="63:74" x14ac:dyDescent="0.2">
      <c r="BK112" s="386"/>
      <c r="BL112" s="386"/>
      <c r="BM112" s="386"/>
      <c r="BN112" s="386"/>
      <c r="BO112" s="386"/>
      <c r="BP112" s="386"/>
      <c r="BQ112" s="386"/>
      <c r="BR112" s="386"/>
      <c r="BS112" s="386"/>
      <c r="BT112" s="386"/>
      <c r="BU112" s="386"/>
      <c r="BV112" s="386"/>
    </row>
    <row r="113" spans="63:74" x14ac:dyDescent="0.2">
      <c r="BK113" s="386"/>
      <c r="BL113" s="386"/>
      <c r="BM113" s="386"/>
      <c r="BN113" s="386"/>
      <c r="BO113" s="386"/>
      <c r="BP113" s="386"/>
      <c r="BQ113" s="386"/>
      <c r="BR113" s="386"/>
      <c r="BS113" s="386"/>
      <c r="BT113" s="386"/>
      <c r="BU113" s="386"/>
      <c r="BV113" s="386"/>
    </row>
    <row r="114" spans="63:74" x14ac:dyDescent="0.2">
      <c r="BK114" s="386"/>
      <c r="BL114" s="386"/>
      <c r="BM114" s="386"/>
      <c r="BN114" s="386"/>
      <c r="BO114" s="386"/>
      <c r="BP114" s="386"/>
      <c r="BQ114" s="386"/>
      <c r="BR114" s="386"/>
      <c r="BS114" s="386"/>
      <c r="BT114" s="386"/>
      <c r="BU114" s="386"/>
      <c r="BV114" s="386"/>
    </row>
    <row r="115" spans="63:74" x14ac:dyDescent="0.2">
      <c r="BK115" s="386"/>
      <c r="BL115" s="386"/>
      <c r="BM115" s="386"/>
      <c r="BN115" s="386"/>
      <c r="BO115" s="386"/>
      <c r="BP115" s="386"/>
      <c r="BQ115" s="386"/>
      <c r="BR115" s="386"/>
      <c r="BS115" s="386"/>
      <c r="BT115" s="386"/>
      <c r="BU115" s="386"/>
      <c r="BV115" s="386"/>
    </row>
    <row r="116" spans="63:74" x14ac:dyDescent="0.2">
      <c r="BK116" s="386"/>
      <c r="BL116" s="386"/>
      <c r="BM116" s="386"/>
      <c r="BN116" s="386"/>
      <c r="BO116" s="386"/>
      <c r="BP116" s="386"/>
      <c r="BQ116" s="386"/>
      <c r="BR116" s="386"/>
      <c r="BS116" s="386"/>
      <c r="BT116" s="386"/>
      <c r="BU116" s="386"/>
      <c r="BV116" s="386"/>
    </row>
    <row r="117" spans="63:74" x14ac:dyDescent="0.2">
      <c r="BK117" s="386"/>
      <c r="BL117" s="386"/>
      <c r="BM117" s="386"/>
      <c r="BN117" s="386"/>
      <c r="BO117" s="386"/>
      <c r="BP117" s="386"/>
      <c r="BQ117" s="386"/>
      <c r="BR117" s="386"/>
      <c r="BS117" s="386"/>
      <c r="BT117" s="386"/>
      <c r="BU117" s="386"/>
      <c r="BV117" s="386"/>
    </row>
    <row r="118" spans="63:74" x14ac:dyDescent="0.2">
      <c r="BK118" s="386"/>
      <c r="BL118" s="386"/>
      <c r="BM118" s="386"/>
      <c r="BN118" s="386"/>
      <c r="BO118" s="386"/>
      <c r="BP118" s="386"/>
      <c r="BQ118" s="386"/>
      <c r="BR118" s="386"/>
      <c r="BS118" s="386"/>
      <c r="BT118" s="386"/>
      <c r="BU118" s="386"/>
      <c r="BV118" s="386"/>
    </row>
    <row r="119" spans="63:74" x14ac:dyDescent="0.2">
      <c r="BK119" s="386"/>
      <c r="BL119" s="386"/>
      <c r="BM119" s="386"/>
      <c r="BN119" s="386"/>
      <c r="BO119" s="386"/>
      <c r="BP119" s="386"/>
      <c r="BQ119" s="386"/>
      <c r="BR119" s="386"/>
      <c r="BS119" s="386"/>
      <c r="BT119" s="386"/>
      <c r="BU119" s="386"/>
      <c r="BV119" s="386"/>
    </row>
    <row r="120" spans="63:74" x14ac:dyDescent="0.2">
      <c r="BK120" s="386"/>
      <c r="BL120" s="386"/>
      <c r="BM120" s="386"/>
      <c r="BN120" s="386"/>
      <c r="BO120" s="386"/>
      <c r="BP120" s="386"/>
      <c r="BQ120" s="386"/>
      <c r="BR120" s="386"/>
      <c r="BS120" s="386"/>
      <c r="BT120" s="386"/>
      <c r="BU120" s="386"/>
      <c r="BV120" s="386"/>
    </row>
    <row r="121" spans="63:74" x14ac:dyDescent="0.2">
      <c r="BK121" s="386"/>
      <c r="BL121" s="386"/>
      <c r="BM121" s="386"/>
      <c r="BN121" s="386"/>
      <c r="BO121" s="386"/>
      <c r="BP121" s="386"/>
      <c r="BQ121" s="386"/>
      <c r="BR121" s="386"/>
      <c r="BS121" s="386"/>
      <c r="BT121" s="386"/>
      <c r="BU121" s="386"/>
      <c r="BV121" s="386"/>
    </row>
    <row r="122" spans="63:74" x14ac:dyDescent="0.2">
      <c r="BK122" s="386"/>
      <c r="BL122" s="386"/>
      <c r="BM122" s="386"/>
      <c r="BN122" s="386"/>
      <c r="BO122" s="386"/>
      <c r="BP122" s="386"/>
      <c r="BQ122" s="386"/>
      <c r="BR122" s="386"/>
      <c r="BS122" s="386"/>
      <c r="BT122" s="386"/>
      <c r="BU122" s="386"/>
      <c r="BV122" s="386"/>
    </row>
    <row r="123" spans="63:74" x14ac:dyDescent="0.2">
      <c r="BK123" s="386"/>
      <c r="BL123" s="386"/>
      <c r="BM123" s="386"/>
      <c r="BN123" s="386"/>
      <c r="BO123" s="386"/>
      <c r="BP123" s="386"/>
      <c r="BQ123" s="386"/>
      <c r="BR123" s="386"/>
      <c r="BS123" s="386"/>
      <c r="BT123" s="386"/>
      <c r="BU123" s="386"/>
      <c r="BV123" s="386"/>
    </row>
    <row r="124" spans="63:74" x14ac:dyDescent="0.2">
      <c r="BK124" s="386"/>
      <c r="BL124" s="386"/>
      <c r="BM124" s="386"/>
      <c r="BN124" s="386"/>
      <c r="BO124" s="386"/>
      <c r="BP124" s="386"/>
      <c r="BQ124" s="386"/>
      <c r="BR124" s="386"/>
      <c r="BS124" s="386"/>
      <c r="BT124" s="386"/>
      <c r="BU124" s="386"/>
      <c r="BV124" s="386"/>
    </row>
    <row r="125" spans="63:74" x14ac:dyDescent="0.2">
      <c r="BK125" s="386"/>
      <c r="BL125" s="386"/>
      <c r="BM125" s="386"/>
      <c r="BN125" s="386"/>
      <c r="BO125" s="386"/>
      <c r="BP125" s="386"/>
      <c r="BQ125" s="386"/>
      <c r="BR125" s="386"/>
      <c r="BS125" s="386"/>
      <c r="BT125" s="386"/>
      <c r="BU125" s="386"/>
      <c r="BV125" s="386"/>
    </row>
    <row r="126" spans="63:74" x14ac:dyDescent="0.2">
      <c r="BK126" s="386"/>
      <c r="BL126" s="386"/>
      <c r="BM126" s="386"/>
      <c r="BN126" s="386"/>
      <c r="BO126" s="386"/>
      <c r="BP126" s="386"/>
      <c r="BQ126" s="386"/>
      <c r="BR126" s="386"/>
      <c r="BS126" s="386"/>
      <c r="BT126" s="386"/>
      <c r="BU126" s="386"/>
      <c r="BV126" s="386"/>
    </row>
    <row r="127" spans="63:74" x14ac:dyDescent="0.2">
      <c r="BK127" s="386"/>
      <c r="BL127" s="386"/>
      <c r="BM127" s="386"/>
      <c r="BN127" s="386"/>
      <c r="BO127" s="386"/>
      <c r="BP127" s="386"/>
      <c r="BQ127" s="386"/>
      <c r="BR127" s="386"/>
      <c r="BS127" s="386"/>
      <c r="BT127" s="386"/>
      <c r="BU127" s="386"/>
      <c r="BV127" s="386"/>
    </row>
    <row r="128" spans="63:74" x14ac:dyDescent="0.2">
      <c r="BK128" s="386"/>
      <c r="BL128" s="386"/>
      <c r="BM128" s="386"/>
      <c r="BN128" s="386"/>
      <c r="BO128" s="386"/>
      <c r="BP128" s="386"/>
      <c r="BQ128" s="386"/>
      <c r="BR128" s="386"/>
      <c r="BS128" s="386"/>
      <c r="BT128" s="386"/>
      <c r="BU128" s="386"/>
      <c r="BV128" s="386"/>
    </row>
    <row r="129" spans="63:74" x14ac:dyDescent="0.2">
      <c r="BK129" s="386"/>
      <c r="BL129" s="386"/>
      <c r="BM129" s="386"/>
      <c r="BN129" s="386"/>
      <c r="BO129" s="386"/>
      <c r="BP129" s="386"/>
      <c r="BQ129" s="386"/>
      <c r="BR129" s="386"/>
      <c r="BS129" s="386"/>
      <c r="BT129" s="386"/>
      <c r="BU129" s="386"/>
      <c r="BV129" s="386"/>
    </row>
    <row r="130" spans="63:74" x14ac:dyDescent="0.2">
      <c r="BK130" s="386"/>
      <c r="BL130" s="386"/>
      <c r="BM130" s="386"/>
      <c r="BN130" s="386"/>
      <c r="BO130" s="386"/>
      <c r="BP130" s="386"/>
      <c r="BQ130" s="386"/>
      <c r="BR130" s="386"/>
      <c r="BS130" s="386"/>
      <c r="BT130" s="386"/>
      <c r="BU130" s="386"/>
      <c r="BV130" s="386"/>
    </row>
    <row r="131" spans="63:74" x14ac:dyDescent="0.2">
      <c r="BK131" s="386"/>
      <c r="BL131" s="386"/>
      <c r="BM131" s="386"/>
      <c r="BN131" s="386"/>
      <c r="BO131" s="386"/>
      <c r="BP131" s="386"/>
      <c r="BQ131" s="386"/>
      <c r="BR131" s="386"/>
      <c r="BS131" s="386"/>
      <c r="BT131" s="386"/>
      <c r="BU131" s="386"/>
      <c r="BV131" s="386"/>
    </row>
    <row r="132" spans="63:74" x14ac:dyDescent="0.2">
      <c r="BK132" s="386"/>
      <c r="BL132" s="386"/>
      <c r="BM132" s="386"/>
      <c r="BN132" s="386"/>
      <c r="BO132" s="386"/>
      <c r="BP132" s="386"/>
      <c r="BQ132" s="386"/>
      <c r="BR132" s="386"/>
      <c r="BS132" s="386"/>
      <c r="BT132" s="386"/>
      <c r="BU132" s="386"/>
      <c r="BV132" s="386"/>
    </row>
    <row r="133" spans="63:74" x14ac:dyDescent="0.2">
      <c r="BK133" s="386"/>
      <c r="BL133" s="386"/>
      <c r="BM133" s="386"/>
      <c r="BN133" s="386"/>
      <c r="BO133" s="386"/>
      <c r="BP133" s="386"/>
      <c r="BQ133" s="386"/>
      <c r="BR133" s="386"/>
      <c r="BS133" s="386"/>
      <c r="BT133" s="386"/>
      <c r="BU133" s="386"/>
      <c r="BV133" s="386"/>
    </row>
    <row r="134" spans="63:74" x14ac:dyDescent="0.2">
      <c r="BK134" s="386"/>
      <c r="BL134" s="386"/>
      <c r="BM134" s="386"/>
      <c r="BN134" s="386"/>
      <c r="BO134" s="386"/>
      <c r="BP134" s="386"/>
      <c r="BQ134" s="386"/>
      <c r="BR134" s="386"/>
      <c r="BS134" s="386"/>
      <c r="BT134" s="386"/>
      <c r="BU134" s="386"/>
      <c r="BV134" s="386"/>
    </row>
    <row r="135" spans="63:74" x14ac:dyDescent="0.2">
      <c r="BK135" s="386"/>
      <c r="BL135" s="386"/>
      <c r="BM135" s="386"/>
      <c r="BN135" s="386"/>
      <c r="BO135" s="386"/>
      <c r="BP135" s="386"/>
      <c r="BQ135" s="386"/>
      <c r="BR135" s="386"/>
      <c r="BS135" s="386"/>
      <c r="BT135" s="386"/>
      <c r="BU135" s="386"/>
      <c r="BV135" s="386"/>
    </row>
    <row r="136" spans="63:74" x14ac:dyDescent="0.2">
      <c r="BK136" s="386"/>
      <c r="BL136" s="386"/>
      <c r="BM136" s="386"/>
      <c r="BN136" s="386"/>
      <c r="BO136" s="386"/>
      <c r="BP136" s="386"/>
      <c r="BQ136" s="386"/>
      <c r="BR136" s="386"/>
      <c r="BS136" s="386"/>
      <c r="BT136" s="386"/>
      <c r="BU136" s="386"/>
      <c r="BV136" s="386"/>
    </row>
    <row r="137" spans="63:74" x14ac:dyDescent="0.2">
      <c r="BK137" s="386"/>
      <c r="BL137" s="386"/>
      <c r="BM137" s="386"/>
      <c r="BN137" s="386"/>
      <c r="BO137" s="386"/>
      <c r="BP137" s="386"/>
      <c r="BQ137" s="386"/>
      <c r="BR137" s="386"/>
      <c r="BS137" s="386"/>
      <c r="BT137" s="386"/>
      <c r="BU137" s="386"/>
      <c r="BV137" s="386"/>
    </row>
    <row r="138" spans="63:74" x14ac:dyDescent="0.2">
      <c r="BK138" s="386"/>
      <c r="BL138" s="386"/>
      <c r="BM138" s="386"/>
      <c r="BN138" s="386"/>
      <c r="BO138" s="386"/>
      <c r="BP138" s="386"/>
      <c r="BQ138" s="386"/>
      <c r="BR138" s="386"/>
      <c r="BS138" s="386"/>
      <c r="BT138" s="386"/>
      <c r="BU138" s="386"/>
      <c r="BV138" s="386"/>
    </row>
    <row r="139" spans="63:74" x14ac:dyDescent="0.2">
      <c r="BK139" s="386"/>
      <c r="BL139" s="386"/>
      <c r="BM139" s="386"/>
      <c r="BN139" s="386"/>
      <c r="BO139" s="386"/>
      <c r="BP139" s="386"/>
      <c r="BQ139" s="386"/>
      <c r="BR139" s="386"/>
      <c r="BS139" s="386"/>
      <c r="BT139" s="386"/>
      <c r="BU139" s="386"/>
      <c r="BV139" s="386"/>
    </row>
    <row r="140" spans="63:74" x14ac:dyDescent="0.2">
      <c r="BK140" s="386"/>
      <c r="BL140" s="386"/>
      <c r="BM140" s="386"/>
      <c r="BN140" s="386"/>
      <c r="BO140" s="386"/>
      <c r="BP140" s="386"/>
      <c r="BQ140" s="386"/>
      <c r="BR140" s="386"/>
      <c r="BS140" s="386"/>
      <c r="BT140" s="386"/>
      <c r="BU140" s="386"/>
      <c r="BV140" s="386"/>
    </row>
    <row r="141" spans="63:74" x14ac:dyDescent="0.2">
      <c r="BK141" s="386"/>
      <c r="BL141" s="386"/>
      <c r="BM141" s="386"/>
      <c r="BN141" s="386"/>
      <c r="BO141" s="386"/>
      <c r="BP141" s="386"/>
      <c r="BQ141" s="386"/>
      <c r="BR141" s="386"/>
      <c r="BS141" s="386"/>
      <c r="BT141" s="386"/>
      <c r="BU141" s="386"/>
      <c r="BV141" s="386"/>
    </row>
    <row r="142" spans="63:74" x14ac:dyDescent="0.2">
      <c r="BK142" s="386"/>
      <c r="BL142" s="386"/>
      <c r="BM142" s="386"/>
      <c r="BN142" s="386"/>
      <c r="BO142" s="386"/>
      <c r="BP142" s="386"/>
      <c r="BQ142" s="386"/>
      <c r="BR142" s="386"/>
      <c r="BS142" s="386"/>
      <c r="BT142" s="386"/>
      <c r="BU142" s="386"/>
      <c r="BV142" s="386"/>
    </row>
    <row r="143" spans="63:74" x14ac:dyDescent="0.2">
      <c r="BK143" s="386"/>
      <c r="BL143" s="386"/>
      <c r="BM143" s="386"/>
      <c r="BN143" s="386"/>
      <c r="BO143" s="386"/>
      <c r="BP143" s="386"/>
      <c r="BQ143" s="386"/>
      <c r="BR143" s="386"/>
      <c r="BS143" s="386"/>
      <c r="BT143" s="386"/>
      <c r="BU143" s="386"/>
      <c r="BV143" s="386"/>
    </row>
  </sheetData>
  <mergeCells count="17">
    <mergeCell ref="BK3:BV3"/>
    <mergeCell ref="B1:AL1"/>
    <mergeCell ref="C3:N3"/>
    <mergeCell ref="O3:Z3"/>
    <mergeCell ref="AA3:AL3"/>
    <mergeCell ref="AM3:AX3"/>
    <mergeCell ref="AY3:BJ3"/>
    <mergeCell ref="B47:Q47"/>
    <mergeCell ref="B48:Q48"/>
    <mergeCell ref="B49:Q49"/>
    <mergeCell ref="A1:A2"/>
    <mergeCell ref="B41:Q41"/>
    <mergeCell ref="B43:Q43"/>
    <mergeCell ref="B44:Q44"/>
    <mergeCell ref="B45:Q45"/>
    <mergeCell ref="B42:Q42"/>
    <mergeCell ref="B46:Q46"/>
  </mergeCells>
  <phoneticPr fontId="6" type="noConversion"/>
  <hyperlinks>
    <hyperlink ref="A1:A2" location="Contents!A1" display="Table of Contents"/>
  </hyperlinks>
  <pageMargins left="0.25" right="0.25" top="0.25" bottom="0.25" header="0.5" footer="0.5"/>
  <pageSetup scale="87"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4">
    <pageSetUpPr fitToPage="1"/>
  </sheetPr>
  <dimension ref="A1:BV143"/>
  <sheetViews>
    <sheetView showGridLines="0" workbookViewId="0">
      <pane xSplit="2" ySplit="4" topLeftCell="AX5" activePane="bottomRight" state="frozen"/>
      <selection activeCell="BF63" sqref="BF63"/>
      <selection pane="topRight" activeCell="BF63" sqref="BF63"/>
      <selection pane="bottomLeft" activeCell="BF63" sqref="BF63"/>
      <selection pane="bottomRight" activeCell="B1" sqref="B1:AL1"/>
    </sheetView>
  </sheetViews>
  <sheetFormatPr defaultColWidth="9.5546875" defaultRowHeight="10.199999999999999" x14ac:dyDescent="0.2"/>
  <cols>
    <col min="1" max="1" width="11.5546875" style="89" customWidth="1"/>
    <col min="2" max="2" width="27.44140625" style="89" customWidth="1"/>
    <col min="3" max="50" width="6.5546875" style="89" customWidth="1"/>
    <col min="51" max="55" width="6.5546875" style="382" customWidth="1"/>
    <col min="56" max="58" width="6.5546875" style="656" customWidth="1"/>
    <col min="59" max="62" width="6.5546875" style="382" customWidth="1"/>
    <col min="63" max="74" width="6.5546875" style="89" customWidth="1"/>
    <col min="75" max="16384" width="9.5546875" style="89"/>
  </cols>
  <sheetData>
    <row r="1" spans="1:74" ht="14.85" customHeight="1" x14ac:dyDescent="0.25">
      <c r="A1" s="797" t="s">
        <v>809</v>
      </c>
      <c r="B1" s="847" t="s">
        <v>243</v>
      </c>
      <c r="C1" s="848"/>
      <c r="D1" s="848"/>
      <c r="E1" s="848"/>
      <c r="F1" s="848"/>
      <c r="G1" s="848"/>
      <c r="H1" s="848"/>
      <c r="I1" s="848"/>
      <c r="J1" s="848"/>
      <c r="K1" s="848"/>
      <c r="L1" s="848"/>
      <c r="M1" s="848"/>
      <c r="N1" s="848"/>
      <c r="O1" s="848"/>
      <c r="P1" s="848"/>
      <c r="Q1" s="848"/>
      <c r="R1" s="848"/>
      <c r="S1" s="848"/>
      <c r="T1" s="848"/>
      <c r="U1" s="848"/>
      <c r="V1" s="848"/>
      <c r="W1" s="848"/>
      <c r="X1" s="848"/>
      <c r="Y1" s="848"/>
      <c r="Z1" s="848"/>
      <c r="AA1" s="848"/>
      <c r="AB1" s="848"/>
      <c r="AC1" s="848"/>
      <c r="AD1" s="848"/>
      <c r="AE1" s="848"/>
      <c r="AF1" s="848"/>
      <c r="AG1" s="848"/>
      <c r="AH1" s="848"/>
      <c r="AI1" s="848"/>
      <c r="AJ1" s="848"/>
      <c r="AK1" s="848"/>
      <c r="AL1" s="848"/>
      <c r="AM1" s="300"/>
    </row>
    <row r="2" spans="1:74" s="72" customFormat="1" ht="13.2" x14ac:dyDescent="0.25">
      <c r="A2" s="798"/>
      <c r="B2" s="532" t="str">
        <f>"U.S. Energy Information Administration  |  Short-Term Energy Outlook  - "&amp;Dates!D1</f>
        <v>U.S. Energy Information Administration  |  Short-Term Energy Outlook  - September 2020</v>
      </c>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c r="AK2" s="533"/>
      <c r="AL2" s="533"/>
      <c r="AM2" s="301"/>
      <c r="AY2" s="390"/>
      <c r="AZ2" s="390"/>
      <c r="BA2" s="390"/>
      <c r="BB2" s="390"/>
      <c r="BC2" s="390"/>
      <c r="BD2" s="646"/>
      <c r="BE2" s="646"/>
      <c r="BF2" s="646"/>
      <c r="BG2" s="390"/>
      <c r="BH2" s="390"/>
      <c r="BI2" s="390"/>
      <c r="BJ2" s="390"/>
    </row>
    <row r="3" spans="1:74" s="12" customFormat="1" ht="13.2" x14ac:dyDescent="0.25">
      <c r="A3" s="14"/>
      <c r="B3" s="15"/>
      <c r="C3" s="806">
        <f>Dates!D3</f>
        <v>2016</v>
      </c>
      <c r="D3" s="802"/>
      <c r="E3" s="802"/>
      <c r="F3" s="802"/>
      <c r="G3" s="802"/>
      <c r="H3" s="802"/>
      <c r="I3" s="802"/>
      <c r="J3" s="802"/>
      <c r="K3" s="802"/>
      <c r="L3" s="802"/>
      <c r="M3" s="802"/>
      <c r="N3" s="803"/>
      <c r="O3" s="806">
        <f>C3+1</f>
        <v>2017</v>
      </c>
      <c r="P3" s="807"/>
      <c r="Q3" s="807"/>
      <c r="R3" s="807"/>
      <c r="S3" s="807"/>
      <c r="T3" s="807"/>
      <c r="U3" s="807"/>
      <c r="V3" s="807"/>
      <c r="W3" s="807"/>
      <c r="X3" s="802"/>
      <c r="Y3" s="802"/>
      <c r="Z3" s="803"/>
      <c r="AA3" s="799">
        <f>O3+1</f>
        <v>2018</v>
      </c>
      <c r="AB3" s="802"/>
      <c r="AC3" s="802"/>
      <c r="AD3" s="802"/>
      <c r="AE3" s="802"/>
      <c r="AF3" s="802"/>
      <c r="AG3" s="802"/>
      <c r="AH3" s="802"/>
      <c r="AI3" s="802"/>
      <c r="AJ3" s="802"/>
      <c r="AK3" s="802"/>
      <c r="AL3" s="803"/>
      <c r="AM3" s="799">
        <f>AA3+1</f>
        <v>2019</v>
      </c>
      <c r="AN3" s="802"/>
      <c r="AO3" s="802"/>
      <c r="AP3" s="802"/>
      <c r="AQ3" s="802"/>
      <c r="AR3" s="802"/>
      <c r="AS3" s="802"/>
      <c r="AT3" s="802"/>
      <c r="AU3" s="802"/>
      <c r="AV3" s="802"/>
      <c r="AW3" s="802"/>
      <c r="AX3" s="803"/>
      <c r="AY3" s="799">
        <f>AM3+1</f>
        <v>2020</v>
      </c>
      <c r="AZ3" s="800"/>
      <c r="BA3" s="800"/>
      <c r="BB3" s="800"/>
      <c r="BC3" s="800"/>
      <c r="BD3" s="800"/>
      <c r="BE3" s="800"/>
      <c r="BF3" s="800"/>
      <c r="BG3" s="800"/>
      <c r="BH3" s="800"/>
      <c r="BI3" s="800"/>
      <c r="BJ3" s="801"/>
      <c r="BK3" s="799">
        <f>AY3+1</f>
        <v>2021</v>
      </c>
      <c r="BL3" s="802"/>
      <c r="BM3" s="802"/>
      <c r="BN3" s="802"/>
      <c r="BO3" s="802"/>
      <c r="BP3" s="802"/>
      <c r="BQ3" s="802"/>
      <c r="BR3" s="802"/>
      <c r="BS3" s="802"/>
      <c r="BT3" s="802"/>
      <c r="BU3" s="802"/>
      <c r="BV3" s="803"/>
    </row>
    <row r="4" spans="1:74" s="12" customFormat="1" x14ac:dyDescent="0.2">
      <c r="A4" s="16"/>
      <c r="B4" s="17"/>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A5" s="90"/>
      <c r="B5" s="91" t="s">
        <v>225</v>
      </c>
      <c r="C5" s="92"/>
      <c r="D5" s="92"/>
      <c r="E5" s="92"/>
      <c r="F5" s="92"/>
      <c r="G5" s="92"/>
      <c r="H5" s="92"/>
      <c r="I5" s="92"/>
      <c r="J5" s="92"/>
      <c r="K5" s="92"/>
      <c r="L5" s="92"/>
      <c r="M5" s="92"/>
      <c r="N5" s="92"/>
      <c r="O5" s="92"/>
      <c r="P5" s="92"/>
      <c r="Q5" s="92"/>
      <c r="R5" s="92"/>
      <c r="S5" s="92"/>
      <c r="T5" s="92"/>
      <c r="U5" s="92"/>
      <c r="V5" s="92"/>
      <c r="W5" s="92"/>
      <c r="X5" s="92"/>
      <c r="Y5" s="92"/>
      <c r="Z5" s="92"/>
      <c r="AA5" s="92"/>
      <c r="AB5" s="92"/>
      <c r="AC5" s="92"/>
      <c r="AD5" s="92"/>
      <c r="AE5" s="92"/>
      <c r="AF5" s="92"/>
      <c r="AG5" s="92"/>
      <c r="AH5" s="92"/>
      <c r="AI5" s="92"/>
      <c r="AJ5" s="92"/>
      <c r="AK5" s="92"/>
      <c r="AL5" s="92"/>
      <c r="AM5" s="92"/>
      <c r="AN5" s="92"/>
      <c r="AO5" s="92"/>
      <c r="AP5" s="92"/>
      <c r="AQ5" s="92"/>
      <c r="AR5" s="92"/>
      <c r="AS5" s="92"/>
      <c r="AT5" s="92"/>
      <c r="AU5" s="92"/>
      <c r="AV5" s="92"/>
      <c r="AW5" s="92"/>
      <c r="AX5" s="92"/>
      <c r="AY5" s="418"/>
      <c r="AZ5" s="773"/>
      <c r="BA5" s="773"/>
      <c r="BB5" s="773"/>
      <c r="BC5" s="773"/>
      <c r="BD5" s="773"/>
      <c r="BE5" s="773"/>
      <c r="BF5" s="773"/>
      <c r="BG5" s="773"/>
      <c r="BH5" s="92"/>
      <c r="BI5" s="92"/>
      <c r="BJ5" s="418"/>
      <c r="BK5" s="418"/>
      <c r="BL5" s="418"/>
      <c r="BM5" s="418"/>
      <c r="BN5" s="418"/>
      <c r="BO5" s="418"/>
      <c r="BP5" s="418"/>
      <c r="BQ5" s="418"/>
      <c r="BR5" s="418"/>
      <c r="BS5" s="418"/>
      <c r="BT5" s="418"/>
      <c r="BU5" s="418"/>
      <c r="BV5" s="418"/>
    </row>
    <row r="6" spans="1:74" ht="11.1" customHeight="1" x14ac:dyDescent="0.2">
      <c r="A6" s="93" t="s">
        <v>205</v>
      </c>
      <c r="B6" s="199" t="s">
        <v>453</v>
      </c>
      <c r="C6" s="256">
        <v>60.568714999999997</v>
      </c>
      <c r="D6" s="256">
        <v>57.328505999999997</v>
      </c>
      <c r="E6" s="256">
        <v>55.327888000000002</v>
      </c>
      <c r="F6" s="256">
        <v>48.216355</v>
      </c>
      <c r="G6" s="256">
        <v>53.123077000000002</v>
      </c>
      <c r="H6" s="256">
        <v>59.513340999999997</v>
      </c>
      <c r="I6" s="256">
        <v>61.783814</v>
      </c>
      <c r="J6" s="256">
        <v>68.246998000000005</v>
      </c>
      <c r="K6" s="256">
        <v>65.069716999999997</v>
      </c>
      <c r="L6" s="256">
        <v>68.725230999999994</v>
      </c>
      <c r="M6" s="256">
        <v>67.149752000000007</v>
      </c>
      <c r="N6" s="256">
        <v>63.311104</v>
      </c>
      <c r="O6" s="256">
        <v>68.414385999999993</v>
      </c>
      <c r="P6" s="256">
        <v>64.389031000000003</v>
      </c>
      <c r="Q6" s="256">
        <v>64.335048</v>
      </c>
      <c r="R6" s="256">
        <v>58.753723000000001</v>
      </c>
      <c r="S6" s="256">
        <v>62.115414000000001</v>
      </c>
      <c r="T6" s="256">
        <v>66.228987000000004</v>
      </c>
      <c r="U6" s="256">
        <v>62.966363999999999</v>
      </c>
      <c r="V6" s="256">
        <v>70.582329999999999</v>
      </c>
      <c r="W6" s="256">
        <v>62.891468000000003</v>
      </c>
      <c r="X6" s="256">
        <v>66.367608000000004</v>
      </c>
      <c r="Y6" s="256">
        <v>64.345232999999993</v>
      </c>
      <c r="Z6" s="256">
        <v>63.219765000000002</v>
      </c>
      <c r="AA6" s="256">
        <v>61.936683000000002</v>
      </c>
      <c r="AB6" s="256">
        <v>60.235142000000003</v>
      </c>
      <c r="AC6" s="256">
        <v>65.467141999999996</v>
      </c>
      <c r="AD6" s="256">
        <v>58.032114</v>
      </c>
      <c r="AE6" s="256">
        <v>61.195974999999997</v>
      </c>
      <c r="AF6" s="256">
        <v>61.557372000000001</v>
      </c>
      <c r="AG6" s="256">
        <v>62.945245999999997</v>
      </c>
      <c r="AH6" s="256">
        <v>69.301237999999998</v>
      </c>
      <c r="AI6" s="256">
        <v>62.416694</v>
      </c>
      <c r="AJ6" s="256">
        <v>66.384384999999995</v>
      </c>
      <c r="AK6" s="256">
        <v>62.717784999999999</v>
      </c>
      <c r="AL6" s="256">
        <v>63.332763999999997</v>
      </c>
      <c r="AM6" s="256">
        <v>65.732791000000006</v>
      </c>
      <c r="AN6" s="256">
        <v>58.223570000000002</v>
      </c>
      <c r="AO6" s="256">
        <v>55.580039999999997</v>
      </c>
      <c r="AP6" s="256">
        <v>61.007258999999998</v>
      </c>
      <c r="AQ6" s="256">
        <v>61.653404000000002</v>
      </c>
      <c r="AR6" s="256">
        <v>56.515031</v>
      </c>
      <c r="AS6" s="256">
        <v>59.034596000000001</v>
      </c>
      <c r="AT6" s="256">
        <v>63.757680000000001</v>
      </c>
      <c r="AU6" s="256">
        <v>58.563501000000002</v>
      </c>
      <c r="AV6" s="256">
        <v>57.142977999999999</v>
      </c>
      <c r="AW6" s="256">
        <v>54.361009000000003</v>
      </c>
      <c r="AX6" s="256">
        <v>53.699269000000001</v>
      </c>
      <c r="AY6" s="256">
        <v>55.612462000000001</v>
      </c>
      <c r="AZ6" s="256">
        <v>47.378791999999997</v>
      </c>
      <c r="BA6" s="256">
        <v>46.060924999999997</v>
      </c>
      <c r="BB6" s="256">
        <v>38.281796</v>
      </c>
      <c r="BC6" s="256">
        <v>36.346901000000003</v>
      </c>
      <c r="BD6" s="256">
        <v>38.506180000000001</v>
      </c>
      <c r="BE6" s="256">
        <v>43.086573999999999</v>
      </c>
      <c r="BF6" s="256">
        <v>47.467761543000002</v>
      </c>
      <c r="BG6" s="342">
        <v>30.41403</v>
      </c>
      <c r="BH6" s="342">
        <v>63.142589999999998</v>
      </c>
      <c r="BI6" s="342">
        <v>40.258940000000003</v>
      </c>
      <c r="BJ6" s="342">
        <v>24.632660000000001</v>
      </c>
      <c r="BK6" s="342">
        <v>73.231930000000006</v>
      </c>
      <c r="BL6" s="342">
        <v>46.807360000000003</v>
      </c>
      <c r="BM6" s="342">
        <v>50.220030000000001</v>
      </c>
      <c r="BN6" s="342">
        <v>37.691240000000001</v>
      </c>
      <c r="BO6" s="342">
        <v>43.124360000000003</v>
      </c>
      <c r="BP6" s="342">
        <v>42.992579999999997</v>
      </c>
      <c r="BQ6" s="342">
        <v>52.075850000000003</v>
      </c>
      <c r="BR6" s="342">
        <v>55.751750000000001</v>
      </c>
      <c r="BS6" s="342">
        <v>46.757309999999997</v>
      </c>
      <c r="BT6" s="342">
        <v>51.974249999999998</v>
      </c>
      <c r="BU6" s="342">
        <v>47.215789999999998</v>
      </c>
      <c r="BV6" s="342">
        <v>52.518540000000002</v>
      </c>
    </row>
    <row r="7" spans="1:74" ht="11.1" customHeight="1" x14ac:dyDescent="0.2">
      <c r="A7" s="93" t="s">
        <v>206</v>
      </c>
      <c r="B7" s="199" t="s">
        <v>454</v>
      </c>
      <c r="C7" s="256">
        <v>15.514084</v>
      </c>
      <c r="D7" s="256">
        <v>14.684125</v>
      </c>
      <c r="E7" s="256">
        <v>14.171692999999999</v>
      </c>
      <c r="F7" s="256">
        <v>12.994496</v>
      </c>
      <c r="G7" s="256">
        <v>14.316874</v>
      </c>
      <c r="H7" s="256">
        <v>16.039048000000001</v>
      </c>
      <c r="I7" s="256">
        <v>14.287929999999999</v>
      </c>
      <c r="J7" s="256">
        <v>15.782622</v>
      </c>
      <c r="K7" s="256">
        <v>15.047812</v>
      </c>
      <c r="L7" s="256">
        <v>16.377801999999999</v>
      </c>
      <c r="M7" s="256">
        <v>16.002369999999999</v>
      </c>
      <c r="N7" s="256">
        <v>15.087555999999999</v>
      </c>
      <c r="O7" s="256">
        <v>17.655503</v>
      </c>
      <c r="P7" s="256">
        <v>16.616696000000001</v>
      </c>
      <c r="Q7" s="256">
        <v>16.602744999999999</v>
      </c>
      <c r="R7" s="256">
        <v>15.923213000000001</v>
      </c>
      <c r="S7" s="256">
        <v>16.834295999999998</v>
      </c>
      <c r="T7" s="256">
        <v>17.949145999999999</v>
      </c>
      <c r="U7" s="256">
        <v>14.912551000000001</v>
      </c>
      <c r="V7" s="256">
        <v>16.716270000000002</v>
      </c>
      <c r="W7" s="256">
        <v>14.894819999999999</v>
      </c>
      <c r="X7" s="256">
        <v>17.227444999999999</v>
      </c>
      <c r="Y7" s="256">
        <v>16.702470000000002</v>
      </c>
      <c r="Z7" s="256">
        <v>16.410352</v>
      </c>
      <c r="AA7" s="256">
        <v>16.550924999999999</v>
      </c>
      <c r="AB7" s="256">
        <v>16.096222000000001</v>
      </c>
      <c r="AC7" s="256">
        <v>17.494301</v>
      </c>
      <c r="AD7" s="256">
        <v>16.625109999999999</v>
      </c>
      <c r="AE7" s="256">
        <v>17.531472999999998</v>
      </c>
      <c r="AF7" s="256">
        <v>17.635003999999999</v>
      </c>
      <c r="AG7" s="256">
        <v>15.842116000000001</v>
      </c>
      <c r="AH7" s="256">
        <v>17.441796</v>
      </c>
      <c r="AI7" s="256">
        <v>15.709068</v>
      </c>
      <c r="AJ7" s="256">
        <v>17.231833999999999</v>
      </c>
      <c r="AK7" s="256">
        <v>16.280069000000001</v>
      </c>
      <c r="AL7" s="256">
        <v>16.439712</v>
      </c>
      <c r="AM7" s="256">
        <v>18.152909999999999</v>
      </c>
      <c r="AN7" s="256">
        <v>16.079155</v>
      </c>
      <c r="AO7" s="256">
        <v>15.349117</v>
      </c>
      <c r="AP7" s="256">
        <v>17.861619000000001</v>
      </c>
      <c r="AQ7" s="256">
        <v>18.050808</v>
      </c>
      <c r="AR7" s="256">
        <v>16.546389999999999</v>
      </c>
      <c r="AS7" s="256">
        <v>15.175352</v>
      </c>
      <c r="AT7" s="256">
        <v>16.389453</v>
      </c>
      <c r="AU7" s="256">
        <v>15.054243</v>
      </c>
      <c r="AV7" s="256">
        <v>15.201108</v>
      </c>
      <c r="AW7" s="256">
        <v>14.578358</v>
      </c>
      <c r="AX7" s="256">
        <v>14.522959999999999</v>
      </c>
      <c r="AY7" s="256">
        <v>14.806521</v>
      </c>
      <c r="AZ7" s="256">
        <v>12.614367</v>
      </c>
      <c r="BA7" s="256">
        <v>12.263529</v>
      </c>
      <c r="BB7" s="256">
        <v>10.890897000000001</v>
      </c>
      <c r="BC7" s="256">
        <v>10.287304000000001</v>
      </c>
      <c r="BD7" s="256">
        <v>10.823537999999999</v>
      </c>
      <c r="BE7" s="256">
        <v>11.609332999999999</v>
      </c>
      <c r="BF7" s="256">
        <v>12.758525628999999</v>
      </c>
      <c r="BG7" s="342">
        <v>8.7492590000000003</v>
      </c>
      <c r="BH7" s="342">
        <v>16.142050000000001</v>
      </c>
      <c r="BI7" s="342">
        <v>10.75329</v>
      </c>
      <c r="BJ7" s="342">
        <v>5.8572030000000002</v>
      </c>
      <c r="BK7" s="342">
        <v>15.43436</v>
      </c>
      <c r="BL7" s="342">
        <v>11.157590000000001</v>
      </c>
      <c r="BM7" s="342">
        <v>12.408390000000001</v>
      </c>
      <c r="BN7" s="342">
        <v>11.74493</v>
      </c>
      <c r="BO7" s="342">
        <v>11.482239999999999</v>
      </c>
      <c r="BP7" s="342">
        <v>10.05151</v>
      </c>
      <c r="BQ7" s="342">
        <v>11.82113</v>
      </c>
      <c r="BR7" s="342">
        <v>12.35787</v>
      </c>
      <c r="BS7" s="342">
        <v>10.86773</v>
      </c>
      <c r="BT7" s="342">
        <v>11.457509999999999</v>
      </c>
      <c r="BU7" s="342">
        <v>10.752700000000001</v>
      </c>
      <c r="BV7" s="342">
        <v>10.78004</v>
      </c>
    </row>
    <row r="8" spans="1:74" ht="11.1" customHeight="1" x14ac:dyDescent="0.2">
      <c r="A8" s="93" t="s">
        <v>207</v>
      </c>
      <c r="B8" s="199" t="s">
        <v>455</v>
      </c>
      <c r="C8" s="256">
        <v>12.901736</v>
      </c>
      <c r="D8" s="256">
        <v>12.211539</v>
      </c>
      <c r="E8" s="256">
        <v>11.785367000000001</v>
      </c>
      <c r="F8" s="256">
        <v>10.327764999999999</v>
      </c>
      <c r="G8" s="256">
        <v>11.378765</v>
      </c>
      <c r="H8" s="256">
        <v>12.747572</v>
      </c>
      <c r="I8" s="256">
        <v>11.330605</v>
      </c>
      <c r="J8" s="256">
        <v>12.515905999999999</v>
      </c>
      <c r="K8" s="256">
        <v>11.933246</v>
      </c>
      <c r="L8" s="256">
        <v>12.749162</v>
      </c>
      <c r="M8" s="256">
        <v>12.456887</v>
      </c>
      <c r="N8" s="256">
        <v>11.744757999999999</v>
      </c>
      <c r="O8" s="256">
        <v>13.348423</v>
      </c>
      <c r="P8" s="256">
        <v>12.563029999999999</v>
      </c>
      <c r="Q8" s="256">
        <v>12.552457</v>
      </c>
      <c r="R8" s="256">
        <v>11.399927999999999</v>
      </c>
      <c r="S8" s="256">
        <v>12.052180999999999</v>
      </c>
      <c r="T8" s="256">
        <v>12.850327999999999</v>
      </c>
      <c r="U8" s="256">
        <v>11.19679</v>
      </c>
      <c r="V8" s="256">
        <v>12.551097</v>
      </c>
      <c r="W8" s="256">
        <v>11.183469000000001</v>
      </c>
      <c r="X8" s="256">
        <v>12.181654999999999</v>
      </c>
      <c r="Y8" s="256">
        <v>11.810457</v>
      </c>
      <c r="Z8" s="256">
        <v>11.603852</v>
      </c>
      <c r="AA8" s="256">
        <v>11.193096000000001</v>
      </c>
      <c r="AB8" s="256">
        <v>10.885598999999999</v>
      </c>
      <c r="AC8" s="256">
        <v>11.831136000000001</v>
      </c>
      <c r="AD8" s="256">
        <v>11.057188</v>
      </c>
      <c r="AE8" s="256">
        <v>11.660024</v>
      </c>
      <c r="AF8" s="256">
        <v>11.728915000000001</v>
      </c>
      <c r="AG8" s="256">
        <v>11.224977000000001</v>
      </c>
      <c r="AH8" s="256">
        <v>12.358420000000001</v>
      </c>
      <c r="AI8" s="256">
        <v>11.130723</v>
      </c>
      <c r="AJ8" s="256">
        <v>11.691022999999999</v>
      </c>
      <c r="AK8" s="256">
        <v>11.045306999999999</v>
      </c>
      <c r="AL8" s="256">
        <v>11.153570999999999</v>
      </c>
      <c r="AM8" s="256">
        <v>12.967663</v>
      </c>
      <c r="AN8" s="256">
        <v>11.486252</v>
      </c>
      <c r="AO8" s="256">
        <v>10.964722</v>
      </c>
      <c r="AP8" s="256">
        <v>10.986751</v>
      </c>
      <c r="AQ8" s="256">
        <v>11.103123</v>
      </c>
      <c r="AR8" s="256">
        <v>10.177706000000001</v>
      </c>
      <c r="AS8" s="256">
        <v>10.536974000000001</v>
      </c>
      <c r="AT8" s="256">
        <v>11.379996999999999</v>
      </c>
      <c r="AU8" s="256">
        <v>10.452914</v>
      </c>
      <c r="AV8" s="256">
        <v>10.507319000000001</v>
      </c>
      <c r="AW8" s="256">
        <v>10.068588</v>
      </c>
      <c r="AX8" s="256">
        <v>10.018407</v>
      </c>
      <c r="AY8" s="256">
        <v>9.6096970000000006</v>
      </c>
      <c r="AZ8" s="256">
        <v>8.1869239999999994</v>
      </c>
      <c r="BA8" s="256">
        <v>7.9591900000000004</v>
      </c>
      <c r="BB8" s="256">
        <v>6.8705049999999996</v>
      </c>
      <c r="BC8" s="256">
        <v>6.5168270000000001</v>
      </c>
      <c r="BD8" s="256">
        <v>6.8045559999999998</v>
      </c>
      <c r="BE8" s="256">
        <v>7.2504150000000003</v>
      </c>
      <c r="BF8" s="256">
        <v>7.9704410000000001</v>
      </c>
      <c r="BG8" s="342">
        <v>4.7601810000000002</v>
      </c>
      <c r="BH8" s="342">
        <v>10.347490000000001</v>
      </c>
      <c r="BI8" s="342">
        <v>6.7862070000000001</v>
      </c>
      <c r="BJ8" s="342">
        <v>4.1222279999999998</v>
      </c>
      <c r="BK8" s="342">
        <v>14.445650000000001</v>
      </c>
      <c r="BL8" s="342">
        <v>9.8276699999999995</v>
      </c>
      <c r="BM8" s="342">
        <v>9.5098339999999997</v>
      </c>
      <c r="BN8" s="342">
        <v>6.2445360000000001</v>
      </c>
      <c r="BO8" s="342">
        <v>6.0844009999999997</v>
      </c>
      <c r="BP8" s="342">
        <v>6.7048480000000001</v>
      </c>
      <c r="BQ8" s="342">
        <v>7.7822930000000001</v>
      </c>
      <c r="BR8" s="342">
        <v>9.2690140000000003</v>
      </c>
      <c r="BS8" s="342">
        <v>7.4957529999999997</v>
      </c>
      <c r="BT8" s="342">
        <v>8.7452869999999994</v>
      </c>
      <c r="BU8" s="342">
        <v>9.1096620000000001</v>
      </c>
      <c r="BV8" s="342">
        <v>9.6115739999999992</v>
      </c>
    </row>
    <row r="9" spans="1:74" ht="11.1" customHeight="1" x14ac:dyDescent="0.2">
      <c r="A9" s="93" t="s">
        <v>208</v>
      </c>
      <c r="B9" s="199" t="s">
        <v>456</v>
      </c>
      <c r="C9" s="256">
        <v>32.152895000000001</v>
      </c>
      <c r="D9" s="256">
        <v>30.432842000000001</v>
      </c>
      <c r="E9" s="256">
        <v>29.370827999999999</v>
      </c>
      <c r="F9" s="256">
        <v>24.894093999999999</v>
      </c>
      <c r="G9" s="256">
        <v>27.427437999999999</v>
      </c>
      <c r="H9" s="256">
        <v>30.726721000000001</v>
      </c>
      <c r="I9" s="256">
        <v>36.165278999999998</v>
      </c>
      <c r="J9" s="256">
        <v>39.94847</v>
      </c>
      <c r="K9" s="256">
        <v>38.088659</v>
      </c>
      <c r="L9" s="256">
        <v>39.598267</v>
      </c>
      <c r="M9" s="256">
        <v>38.690494999999999</v>
      </c>
      <c r="N9" s="256">
        <v>36.478789999999996</v>
      </c>
      <c r="O9" s="256">
        <v>37.41046</v>
      </c>
      <c r="P9" s="256">
        <v>35.209305000000001</v>
      </c>
      <c r="Q9" s="256">
        <v>35.179845999999998</v>
      </c>
      <c r="R9" s="256">
        <v>31.430582000000001</v>
      </c>
      <c r="S9" s="256">
        <v>33.228937000000002</v>
      </c>
      <c r="T9" s="256">
        <v>35.429513</v>
      </c>
      <c r="U9" s="256">
        <v>36.857022999999998</v>
      </c>
      <c r="V9" s="256">
        <v>41.314962999999999</v>
      </c>
      <c r="W9" s="256">
        <v>36.813178999999998</v>
      </c>
      <c r="X9" s="256">
        <v>36.958508000000002</v>
      </c>
      <c r="Y9" s="256">
        <v>35.832306000000003</v>
      </c>
      <c r="Z9" s="256">
        <v>35.205561000000003</v>
      </c>
      <c r="AA9" s="256">
        <v>34.227167000000001</v>
      </c>
      <c r="AB9" s="256">
        <v>33.286895999999999</v>
      </c>
      <c r="AC9" s="256">
        <v>36.178142000000001</v>
      </c>
      <c r="AD9" s="256">
        <v>30.363935999999999</v>
      </c>
      <c r="AE9" s="256">
        <v>32.019362000000001</v>
      </c>
      <c r="AF9" s="256">
        <v>32.208449000000002</v>
      </c>
      <c r="AG9" s="256">
        <v>35.900148999999999</v>
      </c>
      <c r="AH9" s="256">
        <v>39.525241999999999</v>
      </c>
      <c r="AI9" s="256">
        <v>35.598708000000002</v>
      </c>
      <c r="AJ9" s="256">
        <v>37.609195999999997</v>
      </c>
      <c r="AK9" s="256">
        <v>35.531927000000003</v>
      </c>
      <c r="AL9" s="256">
        <v>35.880312000000004</v>
      </c>
      <c r="AM9" s="256">
        <v>34.612217999999999</v>
      </c>
      <c r="AN9" s="256">
        <v>30.658162999999998</v>
      </c>
      <c r="AO9" s="256">
        <v>29.266200999999999</v>
      </c>
      <c r="AP9" s="256">
        <v>32.158889000000002</v>
      </c>
      <c r="AQ9" s="256">
        <v>32.499473000000002</v>
      </c>
      <c r="AR9" s="256">
        <v>29.790935000000001</v>
      </c>
      <c r="AS9" s="256">
        <v>33.322270000000003</v>
      </c>
      <c r="AT9" s="256">
        <v>35.988230000000001</v>
      </c>
      <c r="AU9" s="256">
        <v>33.056344000000003</v>
      </c>
      <c r="AV9" s="256">
        <v>31.434550999999999</v>
      </c>
      <c r="AW9" s="256">
        <v>29.714062999999999</v>
      </c>
      <c r="AX9" s="256">
        <v>29.157902</v>
      </c>
      <c r="AY9" s="256">
        <v>31.196244</v>
      </c>
      <c r="AZ9" s="256">
        <v>26.577501000000002</v>
      </c>
      <c r="BA9" s="256">
        <v>25.838206</v>
      </c>
      <c r="BB9" s="256">
        <v>20.520394</v>
      </c>
      <c r="BC9" s="256">
        <v>19.542770000000001</v>
      </c>
      <c r="BD9" s="256">
        <v>20.878086</v>
      </c>
      <c r="BE9" s="256">
        <v>24.226825999999999</v>
      </c>
      <c r="BF9" s="256">
        <v>26.738794914</v>
      </c>
      <c r="BG9" s="342">
        <v>16.904589999999999</v>
      </c>
      <c r="BH9" s="342">
        <v>36.65305</v>
      </c>
      <c r="BI9" s="342">
        <v>22.719449999999998</v>
      </c>
      <c r="BJ9" s="342">
        <v>14.653230000000001</v>
      </c>
      <c r="BK9" s="342">
        <v>43.351930000000003</v>
      </c>
      <c r="BL9" s="342">
        <v>25.822099999999999</v>
      </c>
      <c r="BM9" s="342">
        <v>28.30181</v>
      </c>
      <c r="BN9" s="342">
        <v>19.70177</v>
      </c>
      <c r="BO9" s="342">
        <v>25.55772</v>
      </c>
      <c r="BP9" s="342">
        <v>26.236219999999999</v>
      </c>
      <c r="BQ9" s="342">
        <v>32.472430000000003</v>
      </c>
      <c r="BR9" s="342">
        <v>34.124870000000001</v>
      </c>
      <c r="BS9" s="342">
        <v>28.393820000000002</v>
      </c>
      <c r="BT9" s="342">
        <v>31.771460000000001</v>
      </c>
      <c r="BU9" s="342">
        <v>27.353429999999999</v>
      </c>
      <c r="BV9" s="342">
        <v>32.126930000000002</v>
      </c>
    </row>
    <row r="10" spans="1:74" ht="11.1" customHeight="1" x14ac:dyDescent="0.2">
      <c r="A10" s="95" t="s">
        <v>209</v>
      </c>
      <c r="B10" s="199" t="s">
        <v>457</v>
      </c>
      <c r="C10" s="256">
        <v>0.63500000000000001</v>
      </c>
      <c r="D10" s="256">
        <v>-2.1999999999999999E-2</v>
      </c>
      <c r="E10" s="256">
        <v>5.0999999999999997E-2</v>
      </c>
      <c r="F10" s="256">
        <v>0.19600000000000001</v>
      </c>
      <c r="G10" s="256">
        <v>0.95799999999999996</v>
      </c>
      <c r="H10" s="256">
        <v>1.121</v>
      </c>
      <c r="I10" s="256">
        <v>1.5389999999999999</v>
      </c>
      <c r="J10" s="256">
        <v>2.2669999999999999</v>
      </c>
      <c r="K10" s="256">
        <v>1.8440000000000001</v>
      </c>
      <c r="L10" s="256">
        <v>0.85699999999999998</v>
      </c>
      <c r="M10" s="256">
        <v>0.78</v>
      </c>
      <c r="N10" s="256">
        <v>0.33600000000000002</v>
      </c>
      <c r="O10" s="256">
        <v>0.33500000000000002</v>
      </c>
      <c r="P10" s="256">
        <v>-0.19600000000000001</v>
      </c>
      <c r="Q10" s="256">
        <v>-0.02</v>
      </c>
      <c r="R10" s="256">
        <v>2.1000000000000001E-2</v>
      </c>
      <c r="S10" s="256">
        <v>0.81899999999999995</v>
      </c>
      <c r="T10" s="256">
        <v>0.92</v>
      </c>
      <c r="U10" s="256">
        <v>-2.0350000000000001</v>
      </c>
      <c r="V10" s="256">
        <v>1.2390000000000001</v>
      </c>
      <c r="W10" s="256">
        <v>0.79600000000000004</v>
      </c>
      <c r="X10" s="256">
        <v>-2.9000000000000001E-2</v>
      </c>
      <c r="Y10" s="256">
        <v>-0.246</v>
      </c>
      <c r="Z10" s="256">
        <v>-0.29399999999999998</v>
      </c>
      <c r="AA10" s="256">
        <v>-0.77</v>
      </c>
      <c r="AB10" s="256">
        <v>-0.16857896999999999</v>
      </c>
      <c r="AC10" s="256">
        <v>0.20210849</v>
      </c>
      <c r="AD10" s="256">
        <v>1.3188276999999999</v>
      </c>
      <c r="AE10" s="256">
        <v>0.57559006000000001</v>
      </c>
      <c r="AF10" s="256">
        <v>-0.15553971</v>
      </c>
      <c r="AG10" s="256">
        <v>1.97172193</v>
      </c>
      <c r="AH10" s="256">
        <v>-0.78142403999999999</v>
      </c>
      <c r="AI10" s="256">
        <v>-0.73095279999999996</v>
      </c>
      <c r="AJ10" s="256">
        <v>0.65947904000000002</v>
      </c>
      <c r="AK10" s="256">
        <v>-0.54153896999999995</v>
      </c>
      <c r="AL10" s="256">
        <v>0.72730726999999995</v>
      </c>
      <c r="AM10" s="256">
        <v>0.30099999999999999</v>
      </c>
      <c r="AN10" s="256">
        <v>-1.66</v>
      </c>
      <c r="AO10" s="256">
        <v>-0.107</v>
      </c>
      <c r="AP10" s="256">
        <v>1.8149999999999999</v>
      </c>
      <c r="AQ10" s="256">
        <v>-0.85</v>
      </c>
      <c r="AR10" s="256">
        <v>0.315</v>
      </c>
      <c r="AS10" s="256">
        <v>-9.9000000000000005E-2</v>
      </c>
      <c r="AT10" s="256">
        <v>-0.52300000000000002</v>
      </c>
      <c r="AU10" s="256">
        <v>-0.57299999999999995</v>
      </c>
      <c r="AV10" s="256">
        <v>-1.1399999999999999</v>
      </c>
      <c r="AW10" s="256">
        <v>-0.35399999999999998</v>
      </c>
      <c r="AX10" s="256">
        <v>0.129</v>
      </c>
      <c r="AY10" s="256">
        <v>-6.2E-2</v>
      </c>
      <c r="AZ10" s="256">
        <v>-0.42099999999999999</v>
      </c>
      <c r="BA10" s="256">
        <v>-2.5999999999999999E-2</v>
      </c>
      <c r="BB10" s="256">
        <v>-0.33900000000000002</v>
      </c>
      <c r="BC10" s="256">
        <v>-0.35399999999999998</v>
      </c>
      <c r="BD10" s="256">
        <v>1.512</v>
      </c>
      <c r="BE10" s="256">
        <v>-1.5404549999999999</v>
      </c>
      <c r="BF10" s="256">
        <v>-0.27140330000000001</v>
      </c>
      <c r="BG10" s="342">
        <v>0.45211499999999999</v>
      </c>
      <c r="BH10" s="342">
        <v>-1.4512769999999999</v>
      </c>
      <c r="BI10" s="342">
        <v>-0.17843429999999999</v>
      </c>
      <c r="BJ10" s="342">
        <v>0.2339869</v>
      </c>
      <c r="BK10" s="342">
        <v>0.78112289999999995</v>
      </c>
      <c r="BL10" s="342">
        <v>-0.4036727</v>
      </c>
      <c r="BM10" s="342">
        <v>0.28420319999999999</v>
      </c>
      <c r="BN10" s="342">
        <v>-0.2519942</v>
      </c>
      <c r="BO10" s="342">
        <v>-0.1639642</v>
      </c>
      <c r="BP10" s="342">
        <v>1.9132849999999999</v>
      </c>
      <c r="BQ10" s="342">
        <v>2.0073979999999998</v>
      </c>
      <c r="BR10" s="342">
        <v>-0.27201900000000001</v>
      </c>
      <c r="BS10" s="342">
        <v>0.19344030000000001</v>
      </c>
      <c r="BT10" s="342">
        <v>-0.97840899999999997</v>
      </c>
      <c r="BU10" s="342">
        <v>-0.2511352</v>
      </c>
      <c r="BV10" s="342">
        <v>-0.82072250000000002</v>
      </c>
    </row>
    <row r="11" spans="1:74" ht="11.1" customHeight="1" x14ac:dyDescent="0.2">
      <c r="A11" s="93" t="s">
        <v>210</v>
      </c>
      <c r="B11" s="199" t="s">
        <v>458</v>
      </c>
      <c r="C11" s="256">
        <v>0.69317200000000001</v>
      </c>
      <c r="D11" s="256">
        <v>0.81884800000000002</v>
      </c>
      <c r="E11" s="256">
        <v>1.185524</v>
      </c>
      <c r="F11" s="256">
        <v>0.74032200000000004</v>
      </c>
      <c r="G11" s="256">
        <v>0.91033299999999995</v>
      </c>
      <c r="H11" s="256">
        <v>0.64115299999999997</v>
      </c>
      <c r="I11" s="256">
        <v>0.99005900000000002</v>
      </c>
      <c r="J11" s="256">
        <v>0.94300799999999996</v>
      </c>
      <c r="K11" s="256">
        <v>0.80000899999999997</v>
      </c>
      <c r="L11" s="256">
        <v>0.76838099999999998</v>
      </c>
      <c r="M11" s="256">
        <v>0.70643500000000004</v>
      </c>
      <c r="N11" s="256">
        <v>0.64911399999999997</v>
      </c>
      <c r="O11" s="256">
        <v>0.74309199999999997</v>
      </c>
      <c r="P11" s="256">
        <v>0.61230099999999998</v>
      </c>
      <c r="Q11" s="256">
        <v>0.55966099999999996</v>
      </c>
      <c r="R11" s="256">
        <v>0.492863</v>
      </c>
      <c r="S11" s="256">
        <v>1.0531200000000001</v>
      </c>
      <c r="T11" s="256">
        <v>0.65106699999999995</v>
      </c>
      <c r="U11" s="256">
        <v>0.95627399999999996</v>
      </c>
      <c r="V11" s="256">
        <v>0.83888600000000002</v>
      </c>
      <c r="W11" s="256">
        <v>0.51282300000000003</v>
      </c>
      <c r="X11" s="256">
        <v>0.58159000000000005</v>
      </c>
      <c r="Y11" s="256">
        <v>0.36757600000000001</v>
      </c>
      <c r="Z11" s="256">
        <v>0.40791899999999998</v>
      </c>
      <c r="AA11" s="256">
        <v>0.49962600000000001</v>
      </c>
      <c r="AB11" s="256">
        <v>0.34919800000000001</v>
      </c>
      <c r="AC11" s="256">
        <v>0.51813799999999999</v>
      </c>
      <c r="AD11" s="256">
        <v>0.49401499999999998</v>
      </c>
      <c r="AE11" s="256">
        <v>0.543771</v>
      </c>
      <c r="AF11" s="256">
        <v>0.50861400000000001</v>
      </c>
      <c r="AG11" s="256">
        <v>0.69199100000000002</v>
      </c>
      <c r="AH11" s="256">
        <v>0.48385499999999998</v>
      </c>
      <c r="AI11" s="256">
        <v>0.26286399999999999</v>
      </c>
      <c r="AJ11" s="256">
        <v>0.30414999999999998</v>
      </c>
      <c r="AK11" s="256">
        <v>0.39988600000000002</v>
      </c>
      <c r="AL11" s="256">
        <v>0.89804200000000001</v>
      </c>
      <c r="AM11" s="256">
        <v>0.624726</v>
      </c>
      <c r="AN11" s="256">
        <v>0.35844100000000001</v>
      </c>
      <c r="AO11" s="256">
        <v>0.70563200000000004</v>
      </c>
      <c r="AP11" s="256">
        <v>0.53663499999999997</v>
      </c>
      <c r="AQ11" s="256">
        <v>0.40755599999999997</v>
      </c>
      <c r="AR11" s="256">
        <v>0.65956099999999995</v>
      </c>
      <c r="AS11" s="256">
        <v>0.51126400000000005</v>
      </c>
      <c r="AT11" s="256">
        <v>0.51892700000000003</v>
      </c>
      <c r="AU11" s="256">
        <v>0.65108299999999997</v>
      </c>
      <c r="AV11" s="256">
        <v>0.74237799999999998</v>
      </c>
      <c r="AW11" s="256">
        <v>0.46596399999999999</v>
      </c>
      <c r="AX11" s="256">
        <v>0.51488</v>
      </c>
      <c r="AY11" s="256">
        <v>0.53513900000000003</v>
      </c>
      <c r="AZ11" s="256">
        <v>0.34311999999999998</v>
      </c>
      <c r="BA11" s="256">
        <v>0.46080199999999999</v>
      </c>
      <c r="BB11" s="256">
        <v>0.36460300000000001</v>
      </c>
      <c r="BC11" s="256">
        <v>0.49755700000000003</v>
      </c>
      <c r="BD11" s="256">
        <v>0.28411399999999998</v>
      </c>
      <c r="BE11" s="256">
        <v>0.37963849999999999</v>
      </c>
      <c r="BF11" s="256">
        <v>0.34892960000000001</v>
      </c>
      <c r="BG11" s="342">
        <v>0.36451070000000002</v>
      </c>
      <c r="BH11" s="342">
        <v>0.39882709999999999</v>
      </c>
      <c r="BI11" s="342">
        <v>0.38990659999999999</v>
      </c>
      <c r="BJ11" s="342">
        <v>0.39905459999999998</v>
      </c>
      <c r="BK11" s="342">
        <v>0.43025469999999999</v>
      </c>
      <c r="BL11" s="342">
        <v>0.25441609999999998</v>
      </c>
      <c r="BM11" s="342">
        <v>0.30430790000000002</v>
      </c>
      <c r="BN11" s="342">
        <v>0.28447030000000001</v>
      </c>
      <c r="BO11" s="342">
        <v>0.3437093</v>
      </c>
      <c r="BP11" s="342">
        <v>0.39976099999999998</v>
      </c>
      <c r="BQ11" s="342">
        <v>0.46701700000000002</v>
      </c>
      <c r="BR11" s="342">
        <v>0.41281980000000001</v>
      </c>
      <c r="BS11" s="342">
        <v>0.40971940000000001</v>
      </c>
      <c r="BT11" s="342">
        <v>0.43298510000000001</v>
      </c>
      <c r="BU11" s="342">
        <v>0.41407690000000003</v>
      </c>
      <c r="BV11" s="342">
        <v>0.41731669999999998</v>
      </c>
    </row>
    <row r="12" spans="1:74" ht="11.1" customHeight="1" x14ac:dyDescent="0.2">
      <c r="A12" s="93" t="s">
        <v>211</v>
      </c>
      <c r="B12" s="199" t="s">
        <v>459</v>
      </c>
      <c r="C12" s="256">
        <v>4.4332520000000004</v>
      </c>
      <c r="D12" s="256">
        <v>4.5113630000000002</v>
      </c>
      <c r="E12" s="256">
        <v>5.2084060000000001</v>
      </c>
      <c r="F12" s="256">
        <v>4.5832699999999997</v>
      </c>
      <c r="G12" s="256">
        <v>4.2086100000000002</v>
      </c>
      <c r="H12" s="256">
        <v>5.4315249999999997</v>
      </c>
      <c r="I12" s="256">
        <v>3.2758970000000001</v>
      </c>
      <c r="J12" s="256">
        <v>5.0031559999999997</v>
      </c>
      <c r="K12" s="256">
        <v>4.2728570000000001</v>
      </c>
      <c r="L12" s="256">
        <v>4.8629439999999997</v>
      </c>
      <c r="M12" s="256">
        <v>6.5535009999999998</v>
      </c>
      <c r="N12" s="256">
        <v>7.9262360000000003</v>
      </c>
      <c r="O12" s="256">
        <v>7.3854649999999999</v>
      </c>
      <c r="P12" s="256">
        <v>6.9083259999999997</v>
      </c>
      <c r="Q12" s="256">
        <v>8.0131139999999998</v>
      </c>
      <c r="R12" s="256">
        <v>7.2364160000000002</v>
      </c>
      <c r="S12" s="256">
        <v>7.2428109999999997</v>
      </c>
      <c r="T12" s="256">
        <v>7.3171759999999999</v>
      </c>
      <c r="U12" s="256">
        <v>7.177251</v>
      </c>
      <c r="V12" s="256">
        <v>8.5731289999999998</v>
      </c>
      <c r="W12" s="256">
        <v>8.8937369999999998</v>
      </c>
      <c r="X12" s="256">
        <v>9.1589869999999998</v>
      </c>
      <c r="Y12" s="256">
        <v>9.5521969999999996</v>
      </c>
      <c r="Z12" s="256">
        <v>9.4947759999999999</v>
      </c>
      <c r="AA12" s="256">
        <v>8.7722200000000008</v>
      </c>
      <c r="AB12" s="256">
        <v>9.0223569999999995</v>
      </c>
      <c r="AC12" s="256">
        <v>9.4261990000000004</v>
      </c>
      <c r="AD12" s="256">
        <v>11.092243</v>
      </c>
      <c r="AE12" s="256">
        <v>9.6454360000000001</v>
      </c>
      <c r="AF12" s="256">
        <v>10.137928</v>
      </c>
      <c r="AG12" s="256">
        <v>9.5316050000000008</v>
      </c>
      <c r="AH12" s="256">
        <v>10.052433000000001</v>
      </c>
      <c r="AI12" s="256">
        <v>9.4826630000000005</v>
      </c>
      <c r="AJ12" s="256">
        <v>10.681054</v>
      </c>
      <c r="AK12" s="256">
        <v>8.872007</v>
      </c>
      <c r="AL12" s="256">
        <v>8.9159070000000007</v>
      </c>
      <c r="AM12" s="256">
        <v>9.2852569999999996</v>
      </c>
      <c r="AN12" s="256">
        <v>6.707471</v>
      </c>
      <c r="AO12" s="256">
        <v>9.2172739999999997</v>
      </c>
      <c r="AP12" s="256">
        <v>8.2852060000000005</v>
      </c>
      <c r="AQ12" s="256">
        <v>9.0854660000000003</v>
      </c>
      <c r="AR12" s="256">
        <v>7.9447279999999996</v>
      </c>
      <c r="AS12" s="256">
        <v>6.4892599999999998</v>
      </c>
      <c r="AT12" s="256">
        <v>7.7058210000000003</v>
      </c>
      <c r="AU12" s="256">
        <v>7.7233239999999999</v>
      </c>
      <c r="AV12" s="256">
        <v>6.4261270000000001</v>
      </c>
      <c r="AW12" s="256">
        <v>7.4913429999999996</v>
      </c>
      <c r="AX12" s="256">
        <v>6.4908400000000004</v>
      </c>
      <c r="AY12" s="256">
        <v>6.2343909999999996</v>
      </c>
      <c r="AZ12" s="256">
        <v>6.8286239999999996</v>
      </c>
      <c r="BA12" s="256">
        <v>6.9135150000000003</v>
      </c>
      <c r="BB12" s="256">
        <v>5.479635</v>
      </c>
      <c r="BC12" s="256">
        <v>4.7194960000000004</v>
      </c>
      <c r="BD12" s="256">
        <v>4.5791599999999999</v>
      </c>
      <c r="BE12" s="256">
        <v>3.8342779999999999</v>
      </c>
      <c r="BF12" s="256">
        <v>4.8069100000000002</v>
      </c>
      <c r="BG12" s="342">
        <v>4.7521639999999996</v>
      </c>
      <c r="BH12" s="342">
        <v>4.2769380000000004</v>
      </c>
      <c r="BI12" s="342">
        <v>4.9558790000000004</v>
      </c>
      <c r="BJ12" s="342">
        <v>3.925297</v>
      </c>
      <c r="BK12" s="342">
        <v>7.3645319999999996</v>
      </c>
      <c r="BL12" s="342">
        <v>7.4899500000000003</v>
      </c>
      <c r="BM12" s="342">
        <v>7.6676450000000003</v>
      </c>
      <c r="BN12" s="342">
        <v>5.5884900000000002</v>
      </c>
      <c r="BO12" s="342">
        <v>6.1894600000000004</v>
      </c>
      <c r="BP12" s="342">
        <v>5.2427970000000004</v>
      </c>
      <c r="BQ12" s="342">
        <v>4.1400420000000002</v>
      </c>
      <c r="BR12" s="342">
        <v>5.0609770000000003</v>
      </c>
      <c r="BS12" s="342">
        <v>5.0474860000000001</v>
      </c>
      <c r="BT12" s="342">
        <v>4.191999</v>
      </c>
      <c r="BU12" s="342">
        <v>5.0346120000000001</v>
      </c>
      <c r="BV12" s="342">
        <v>4.2303980000000001</v>
      </c>
    </row>
    <row r="13" spans="1:74" ht="11.1" customHeight="1" x14ac:dyDescent="0.2">
      <c r="A13" s="93" t="s">
        <v>212</v>
      </c>
      <c r="B13" s="200" t="s">
        <v>696</v>
      </c>
      <c r="C13" s="256">
        <v>3.0618609999999999</v>
      </c>
      <c r="D13" s="256">
        <v>3.4954900000000002</v>
      </c>
      <c r="E13" s="256">
        <v>3.5958420000000002</v>
      </c>
      <c r="F13" s="256">
        <v>3.363178</v>
      </c>
      <c r="G13" s="256">
        <v>3.2752659999999998</v>
      </c>
      <c r="H13" s="256">
        <v>3.4229989999999999</v>
      </c>
      <c r="I13" s="256">
        <v>2.4252280000000002</v>
      </c>
      <c r="J13" s="256">
        <v>3.8229060000000001</v>
      </c>
      <c r="K13" s="256">
        <v>2.8277830000000002</v>
      </c>
      <c r="L13" s="256">
        <v>3.1570900000000002</v>
      </c>
      <c r="M13" s="256">
        <v>3.8439380000000001</v>
      </c>
      <c r="N13" s="256">
        <v>4.6386539999999998</v>
      </c>
      <c r="O13" s="256">
        <v>4.315226</v>
      </c>
      <c r="P13" s="256">
        <v>3.7764669999999998</v>
      </c>
      <c r="Q13" s="256">
        <v>4.0792520000000003</v>
      </c>
      <c r="R13" s="256">
        <v>4.6110239999999996</v>
      </c>
      <c r="S13" s="256">
        <v>4.5630990000000002</v>
      </c>
      <c r="T13" s="256">
        <v>4.2766669999999998</v>
      </c>
      <c r="U13" s="256">
        <v>4.2208490000000003</v>
      </c>
      <c r="V13" s="256">
        <v>5.1889710000000004</v>
      </c>
      <c r="W13" s="256">
        <v>5.4347409999999998</v>
      </c>
      <c r="X13" s="256">
        <v>4.6611219999999998</v>
      </c>
      <c r="Y13" s="256">
        <v>5.1046760000000004</v>
      </c>
      <c r="Z13" s="256">
        <v>5.0224719999999996</v>
      </c>
      <c r="AA13" s="256">
        <v>4.5720619999999998</v>
      </c>
      <c r="AB13" s="256">
        <v>5.3322390000000004</v>
      </c>
      <c r="AC13" s="256">
        <v>4.9704449999999998</v>
      </c>
      <c r="AD13" s="256">
        <v>5.8902669999999997</v>
      </c>
      <c r="AE13" s="256">
        <v>5.5745570000000004</v>
      </c>
      <c r="AF13" s="256">
        <v>5.4803030000000001</v>
      </c>
      <c r="AG13" s="256">
        <v>4.762721</v>
      </c>
      <c r="AH13" s="256">
        <v>5.6725070000000004</v>
      </c>
      <c r="AI13" s="256">
        <v>4.0854860000000004</v>
      </c>
      <c r="AJ13" s="256">
        <v>5.8357070000000002</v>
      </c>
      <c r="AK13" s="256">
        <v>4.4231559999999996</v>
      </c>
      <c r="AL13" s="256">
        <v>4.9137240000000002</v>
      </c>
      <c r="AM13" s="256">
        <v>4.7910399999999997</v>
      </c>
      <c r="AN13" s="256">
        <v>3.5839210000000001</v>
      </c>
      <c r="AO13" s="256">
        <v>5.4886010000000001</v>
      </c>
      <c r="AP13" s="256">
        <v>4.6545509999999997</v>
      </c>
      <c r="AQ13" s="256">
        <v>5.2975070000000004</v>
      </c>
      <c r="AR13" s="256">
        <v>5.1891959999999999</v>
      </c>
      <c r="AS13" s="256">
        <v>3.655939</v>
      </c>
      <c r="AT13" s="256">
        <v>5.0218749999999996</v>
      </c>
      <c r="AU13" s="256">
        <v>4.7937649999999996</v>
      </c>
      <c r="AV13" s="256">
        <v>3.8349760000000002</v>
      </c>
      <c r="AW13" s="256">
        <v>4.4904440000000001</v>
      </c>
      <c r="AX13" s="256">
        <v>4.3110889999999999</v>
      </c>
      <c r="AY13" s="256">
        <v>3.8252269999999999</v>
      </c>
      <c r="AZ13" s="256">
        <v>3.560686</v>
      </c>
      <c r="BA13" s="256">
        <v>4.2819269999999996</v>
      </c>
      <c r="BB13" s="256">
        <v>3.445999</v>
      </c>
      <c r="BC13" s="256">
        <v>2.983263</v>
      </c>
      <c r="BD13" s="256">
        <v>2.5754549999999998</v>
      </c>
      <c r="BE13" s="256">
        <v>2.3783080000000001</v>
      </c>
      <c r="BF13" s="256">
        <v>3.128908</v>
      </c>
      <c r="BG13" s="342">
        <v>3.2188940000000001</v>
      </c>
      <c r="BH13" s="342">
        <v>2.921071</v>
      </c>
      <c r="BI13" s="342">
        <v>3.346333</v>
      </c>
      <c r="BJ13" s="342">
        <v>3.0366080000000002</v>
      </c>
      <c r="BK13" s="342">
        <v>4.6917749999999998</v>
      </c>
      <c r="BL13" s="342">
        <v>4.6472220000000002</v>
      </c>
      <c r="BM13" s="342">
        <v>4.8525600000000004</v>
      </c>
      <c r="BN13" s="342">
        <v>3.6427939999999999</v>
      </c>
      <c r="BO13" s="342">
        <v>3.9932080000000001</v>
      </c>
      <c r="BP13" s="342">
        <v>3.4941140000000002</v>
      </c>
      <c r="BQ13" s="342">
        <v>2.8051089999999999</v>
      </c>
      <c r="BR13" s="342">
        <v>3.3467500000000001</v>
      </c>
      <c r="BS13" s="342">
        <v>3.2814139999999998</v>
      </c>
      <c r="BT13" s="342">
        <v>2.8401399999999999</v>
      </c>
      <c r="BU13" s="342">
        <v>3.2939210000000001</v>
      </c>
      <c r="BV13" s="342">
        <v>2.9058830000000002</v>
      </c>
    </row>
    <row r="14" spans="1:74" ht="11.1" customHeight="1" x14ac:dyDescent="0.2">
      <c r="A14" s="93" t="s">
        <v>213</v>
      </c>
      <c r="B14" s="200" t="s">
        <v>697</v>
      </c>
      <c r="C14" s="256">
        <v>1.371391</v>
      </c>
      <c r="D14" s="256">
        <v>1.015873</v>
      </c>
      <c r="E14" s="256">
        <v>1.6125640000000001</v>
      </c>
      <c r="F14" s="256">
        <v>1.220092</v>
      </c>
      <c r="G14" s="256">
        <v>0.93334399999999995</v>
      </c>
      <c r="H14" s="256">
        <v>2.0085259999999998</v>
      </c>
      <c r="I14" s="256">
        <v>0.85066900000000001</v>
      </c>
      <c r="J14" s="256">
        <v>1.18025</v>
      </c>
      <c r="K14" s="256">
        <v>1.445074</v>
      </c>
      <c r="L14" s="256">
        <v>1.705854</v>
      </c>
      <c r="M14" s="256">
        <v>2.7095630000000002</v>
      </c>
      <c r="N14" s="256">
        <v>3.287582</v>
      </c>
      <c r="O14" s="256">
        <v>3.0702389999999999</v>
      </c>
      <c r="P14" s="256">
        <v>3.1318589999999999</v>
      </c>
      <c r="Q14" s="256">
        <v>3.933862</v>
      </c>
      <c r="R14" s="256">
        <v>2.6253920000000002</v>
      </c>
      <c r="S14" s="256">
        <v>2.6797119999999999</v>
      </c>
      <c r="T14" s="256">
        <v>3.0405090000000001</v>
      </c>
      <c r="U14" s="256">
        <v>2.9564020000000002</v>
      </c>
      <c r="V14" s="256">
        <v>3.3841580000000002</v>
      </c>
      <c r="W14" s="256">
        <v>3.458996</v>
      </c>
      <c r="X14" s="256">
        <v>4.497865</v>
      </c>
      <c r="Y14" s="256">
        <v>4.4475210000000001</v>
      </c>
      <c r="Z14" s="256">
        <v>4.4723040000000003</v>
      </c>
      <c r="AA14" s="256">
        <v>4.2001580000000001</v>
      </c>
      <c r="AB14" s="256">
        <v>3.690118</v>
      </c>
      <c r="AC14" s="256">
        <v>4.4557539999999998</v>
      </c>
      <c r="AD14" s="256">
        <v>5.2019760000000002</v>
      </c>
      <c r="AE14" s="256">
        <v>4.0708789999999997</v>
      </c>
      <c r="AF14" s="256">
        <v>4.6576250000000003</v>
      </c>
      <c r="AG14" s="256">
        <v>4.7688839999999999</v>
      </c>
      <c r="AH14" s="256">
        <v>4.3799260000000002</v>
      </c>
      <c r="AI14" s="256">
        <v>5.3971770000000001</v>
      </c>
      <c r="AJ14" s="256">
        <v>4.8453470000000003</v>
      </c>
      <c r="AK14" s="256">
        <v>4.4488510000000003</v>
      </c>
      <c r="AL14" s="256">
        <v>4.0021829999999996</v>
      </c>
      <c r="AM14" s="256">
        <v>4.4942169999999999</v>
      </c>
      <c r="AN14" s="256">
        <v>3.1235499999999998</v>
      </c>
      <c r="AO14" s="256">
        <v>3.7286730000000001</v>
      </c>
      <c r="AP14" s="256">
        <v>3.630655</v>
      </c>
      <c r="AQ14" s="256">
        <v>3.7879589999999999</v>
      </c>
      <c r="AR14" s="256">
        <v>2.7555320000000001</v>
      </c>
      <c r="AS14" s="256">
        <v>2.8333210000000002</v>
      </c>
      <c r="AT14" s="256">
        <v>2.6839460000000002</v>
      </c>
      <c r="AU14" s="256">
        <v>2.9295589999999998</v>
      </c>
      <c r="AV14" s="256">
        <v>2.591151</v>
      </c>
      <c r="AW14" s="256">
        <v>3.000899</v>
      </c>
      <c r="AX14" s="256">
        <v>2.179751</v>
      </c>
      <c r="AY14" s="256">
        <v>2.4091640000000001</v>
      </c>
      <c r="AZ14" s="256">
        <v>3.267938</v>
      </c>
      <c r="BA14" s="256">
        <v>2.6315879999999998</v>
      </c>
      <c r="BB14" s="256">
        <v>2.033636</v>
      </c>
      <c r="BC14" s="256">
        <v>1.7362329999999999</v>
      </c>
      <c r="BD14" s="256">
        <v>2.0037050000000001</v>
      </c>
      <c r="BE14" s="256">
        <v>1.45597</v>
      </c>
      <c r="BF14" s="256">
        <v>1.6780010000000001</v>
      </c>
      <c r="BG14" s="342">
        <v>1.5332699999999999</v>
      </c>
      <c r="BH14" s="342">
        <v>1.3558669999999999</v>
      </c>
      <c r="BI14" s="342">
        <v>1.6095470000000001</v>
      </c>
      <c r="BJ14" s="342">
        <v>0.88868849999999999</v>
      </c>
      <c r="BK14" s="342">
        <v>2.6727560000000001</v>
      </c>
      <c r="BL14" s="342">
        <v>2.8427280000000001</v>
      </c>
      <c r="BM14" s="342">
        <v>2.8150849999999998</v>
      </c>
      <c r="BN14" s="342">
        <v>1.945697</v>
      </c>
      <c r="BO14" s="342">
        <v>2.1962519999999999</v>
      </c>
      <c r="BP14" s="342">
        <v>1.748683</v>
      </c>
      <c r="BQ14" s="342">
        <v>1.334932</v>
      </c>
      <c r="BR14" s="342">
        <v>1.7142269999999999</v>
      </c>
      <c r="BS14" s="342">
        <v>1.7660720000000001</v>
      </c>
      <c r="BT14" s="342">
        <v>1.3518589999999999</v>
      </c>
      <c r="BU14" s="342">
        <v>1.7406919999999999</v>
      </c>
      <c r="BV14" s="342">
        <v>1.3245150000000001</v>
      </c>
    </row>
    <row r="15" spans="1:74" ht="11.1" customHeight="1" x14ac:dyDescent="0.2">
      <c r="A15" s="93" t="s">
        <v>214</v>
      </c>
      <c r="B15" s="199" t="s">
        <v>436</v>
      </c>
      <c r="C15" s="256">
        <v>57.463634999999996</v>
      </c>
      <c r="D15" s="256">
        <v>53.613990999999999</v>
      </c>
      <c r="E15" s="256">
        <v>51.356006000000001</v>
      </c>
      <c r="F15" s="256">
        <v>44.569406999999998</v>
      </c>
      <c r="G15" s="256">
        <v>50.782800000000002</v>
      </c>
      <c r="H15" s="256">
        <v>55.843969000000001</v>
      </c>
      <c r="I15" s="256">
        <v>61.036976000000003</v>
      </c>
      <c r="J15" s="256">
        <v>66.453850000000003</v>
      </c>
      <c r="K15" s="256">
        <v>63.440868999999999</v>
      </c>
      <c r="L15" s="256">
        <v>65.487667999999999</v>
      </c>
      <c r="M15" s="256">
        <v>62.082686000000002</v>
      </c>
      <c r="N15" s="256">
        <v>56.369982</v>
      </c>
      <c r="O15" s="256">
        <v>62.107013000000002</v>
      </c>
      <c r="P15" s="256">
        <v>57.897005999999998</v>
      </c>
      <c r="Q15" s="256">
        <v>56.861595000000001</v>
      </c>
      <c r="R15" s="256">
        <v>52.031170000000003</v>
      </c>
      <c r="S15" s="256">
        <v>56.744723</v>
      </c>
      <c r="T15" s="256">
        <v>60.482877999999999</v>
      </c>
      <c r="U15" s="256">
        <v>54.710386999999997</v>
      </c>
      <c r="V15" s="256">
        <v>64.087086999999997</v>
      </c>
      <c r="W15" s="256">
        <v>55.306553999999998</v>
      </c>
      <c r="X15" s="256">
        <v>57.761211000000003</v>
      </c>
      <c r="Y15" s="256">
        <v>54.914611999999998</v>
      </c>
      <c r="Z15" s="256">
        <v>53.838908000000004</v>
      </c>
      <c r="AA15" s="256">
        <v>52.894089000000001</v>
      </c>
      <c r="AB15" s="256">
        <v>51.393404029999999</v>
      </c>
      <c r="AC15" s="256">
        <v>56.76118949</v>
      </c>
      <c r="AD15" s="256">
        <v>48.752713700000001</v>
      </c>
      <c r="AE15" s="256">
        <v>52.669900060000003</v>
      </c>
      <c r="AF15" s="256">
        <v>51.772518290000001</v>
      </c>
      <c r="AG15" s="256">
        <v>56.077353930000001</v>
      </c>
      <c r="AH15" s="256">
        <v>58.951235959999998</v>
      </c>
      <c r="AI15" s="256">
        <v>52.465942200000001</v>
      </c>
      <c r="AJ15" s="256">
        <v>56.666960039999999</v>
      </c>
      <c r="AK15" s="256">
        <v>53.70412503</v>
      </c>
      <c r="AL15" s="256">
        <v>56.042206270000001</v>
      </c>
      <c r="AM15" s="256">
        <v>57.373260000000002</v>
      </c>
      <c r="AN15" s="256">
        <v>50.21454</v>
      </c>
      <c r="AO15" s="256">
        <v>46.961398000000003</v>
      </c>
      <c r="AP15" s="256">
        <v>55.073687999999997</v>
      </c>
      <c r="AQ15" s="256">
        <v>52.125494000000003</v>
      </c>
      <c r="AR15" s="256">
        <v>49.544863999999997</v>
      </c>
      <c r="AS15" s="256">
        <v>52.957599999999999</v>
      </c>
      <c r="AT15" s="256">
        <v>56.047786000000002</v>
      </c>
      <c r="AU15" s="256">
        <v>50.918259999999997</v>
      </c>
      <c r="AV15" s="256">
        <v>50.319229</v>
      </c>
      <c r="AW15" s="256">
        <v>46.981630000000003</v>
      </c>
      <c r="AX15" s="256">
        <v>47.852308999999998</v>
      </c>
      <c r="AY15" s="256">
        <v>49.851210000000002</v>
      </c>
      <c r="AZ15" s="256">
        <v>40.472287999999999</v>
      </c>
      <c r="BA15" s="256">
        <v>39.582211999999998</v>
      </c>
      <c r="BB15" s="256">
        <v>32.827764000000002</v>
      </c>
      <c r="BC15" s="256">
        <v>31.770962000000001</v>
      </c>
      <c r="BD15" s="256">
        <v>35.723134000000002</v>
      </c>
      <c r="BE15" s="256">
        <v>38.091478899999998</v>
      </c>
      <c r="BF15" s="256">
        <v>42.738378292999997</v>
      </c>
      <c r="BG15" s="342">
        <v>26.478490000000001</v>
      </c>
      <c r="BH15" s="342">
        <v>57.813200000000002</v>
      </c>
      <c r="BI15" s="342">
        <v>35.514530000000001</v>
      </c>
      <c r="BJ15" s="342">
        <v>21.340409999999999</v>
      </c>
      <c r="BK15" s="342">
        <v>67.078779999999995</v>
      </c>
      <c r="BL15" s="342">
        <v>39.16816</v>
      </c>
      <c r="BM15" s="342">
        <v>43.140900000000002</v>
      </c>
      <c r="BN15" s="342">
        <v>32.135219999999997</v>
      </c>
      <c r="BO15" s="342">
        <v>37.114649999999997</v>
      </c>
      <c r="BP15" s="342">
        <v>40.062829999999998</v>
      </c>
      <c r="BQ15" s="342">
        <v>50.410220000000002</v>
      </c>
      <c r="BR15" s="342">
        <v>50.831580000000002</v>
      </c>
      <c r="BS15" s="342">
        <v>42.312980000000003</v>
      </c>
      <c r="BT15" s="342">
        <v>47.236829999999998</v>
      </c>
      <c r="BU15" s="342">
        <v>42.344119999999997</v>
      </c>
      <c r="BV15" s="342">
        <v>47.884740000000001</v>
      </c>
    </row>
    <row r="16" spans="1:74" ht="11.1" customHeight="1" x14ac:dyDescent="0.2">
      <c r="A16" s="90"/>
      <c r="B16" s="94"/>
      <c r="C16" s="265"/>
      <c r="D16" s="265"/>
      <c r="E16" s="265"/>
      <c r="F16" s="265"/>
      <c r="G16" s="265"/>
      <c r="H16" s="265"/>
      <c r="I16" s="265"/>
      <c r="J16" s="265"/>
      <c r="K16" s="265"/>
      <c r="L16" s="265"/>
      <c r="M16" s="265"/>
      <c r="N16" s="265"/>
      <c r="O16" s="265"/>
      <c r="P16" s="265"/>
      <c r="Q16" s="265"/>
      <c r="R16" s="265"/>
      <c r="S16" s="265"/>
      <c r="T16" s="265"/>
      <c r="U16" s="265"/>
      <c r="V16" s="265"/>
      <c r="W16" s="265"/>
      <c r="X16" s="265"/>
      <c r="Y16" s="265"/>
      <c r="Z16" s="265"/>
      <c r="AA16" s="265"/>
      <c r="AB16" s="265"/>
      <c r="AC16" s="265"/>
      <c r="AD16" s="265"/>
      <c r="AE16" s="265"/>
      <c r="AF16" s="265"/>
      <c r="AG16" s="265"/>
      <c r="AH16" s="265"/>
      <c r="AI16" s="265"/>
      <c r="AJ16" s="265"/>
      <c r="AK16" s="265"/>
      <c r="AL16" s="265"/>
      <c r="AM16" s="265"/>
      <c r="AN16" s="265"/>
      <c r="AO16" s="265"/>
      <c r="AP16" s="265"/>
      <c r="AQ16" s="265"/>
      <c r="AR16" s="265"/>
      <c r="AS16" s="265"/>
      <c r="AT16" s="265"/>
      <c r="AU16" s="265"/>
      <c r="AV16" s="265"/>
      <c r="AW16" s="265"/>
      <c r="AX16" s="265"/>
      <c r="AY16" s="265"/>
      <c r="AZ16" s="265"/>
      <c r="BA16" s="265"/>
      <c r="BB16" s="265"/>
      <c r="BC16" s="265"/>
      <c r="BD16" s="265"/>
      <c r="BE16" s="265"/>
      <c r="BF16" s="265"/>
      <c r="BG16" s="375"/>
      <c r="BH16" s="375"/>
      <c r="BI16" s="375"/>
      <c r="BJ16" s="375"/>
      <c r="BK16" s="375"/>
      <c r="BL16" s="375"/>
      <c r="BM16" s="375"/>
      <c r="BN16" s="375"/>
      <c r="BO16" s="375"/>
      <c r="BP16" s="375"/>
      <c r="BQ16" s="375"/>
      <c r="BR16" s="375"/>
      <c r="BS16" s="375"/>
      <c r="BT16" s="375"/>
      <c r="BU16" s="375"/>
      <c r="BV16" s="375"/>
    </row>
    <row r="17" spans="1:74" ht="11.1" customHeight="1" x14ac:dyDescent="0.2">
      <c r="A17" s="95" t="s">
        <v>215</v>
      </c>
      <c r="B17" s="199" t="s">
        <v>460</v>
      </c>
      <c r="C17" s="256">
        <v>8.6150369999999992</v>
      </c>
      <c r="D17" s="256">
        <v>0.40947299999999998</v>
      </c>
      <c r="E17" s="256">
        <v>-4.2190700000000003</v>
      </c>
      <c r="F17" s="256">
        <v>-1.556351</v>
      </c>
      <c r="G17" s="256">
        <v>0.84440899999999997</v>
      </c>
      <c r="H17" s="256">
        <v>10.40658</v>
      </c>
      <c r="I17" s="256">
        <v>14.042128</v>
      </c>
      <c r="J17" s="256">
        <v>9.2846960000000003</v>
      </c>
      <c r="K17" s="256">
        <v>2.4155259999999998</v>
      </c>
      <c r="L17" s="256">
        <v>-4.339054</v>
      </c>
      <c r="M17" s="256">
        <v>-9.3180019999999999</v>
      </c>
      <c r="N17" s="256">
        <v>8.2938410000000005</v>
      </c>
      <c r="O17" s="256">
        <v>6.0325249999999997</v>
      </c>
      <c r="P17" s="256">
        <v>-4.0495729999999996</v>
      </c>
      <c r="Q17" s="256">
        <v>-1.0762670000000001</v>
      </c>
      <c r="R17" s="256">
        <v>-2.218642</v>
      </c>
      <c r="S17" s="256">
        <v>1.2974509999999999</v>
      </c>
      <c r="T17" s="256">
        <v>4.431063</v>
      </c>
      <c r="U17" s="256">
        <v>12.122949999999999</v>
      </c>
      <c r="V17" s="256">
        <v>4.5278970000000003</v>
      </c>
      <c r="W17" s="256">
        <v>1.5533349999999999</v>
      </c>
      <c r="X17" s="256">
        <v>-1.8184549999999999</v>
      </c>
      <c r="Y17" s="256">
        <v>-1.8886540000000001</v>
      </c>
      <c r="Z17" s="256">
        <v>5.8097529999999997</v>
      </c>
      <c r="AA17" s="256">
        <v>14.651358999999999</v>
      </c>
      <c r="AB17" s="256">
        <v>2.9073799999999999</v>
      </c>
      <c r="AC17" s="256">
        <v>-5.2833290000000002</v>
      </c>
      <c r="AD17" s="256">
        <v>-2.5940560000000001</v>
      </c>
      <c r="AE17" s="256">
        <v>0.55760699999999996</v>
      </c>
      <c r="AF17" s="256">
        <v>6.9094559999999996</v>
      </c>
      <c r="AG17" s="256">
        <v>10.584197</v>
      </c>
      <c r="AH17" s="256">
        <v>6.4954850000000004</v>
      </c>
      <c r="AI17" s="256">
        <v>3.2514400000000001</v>
      </c>
      <c r="AJ17" s="256">
        <v>-4.5436709999999998</v>
      </c>
      <c r="AK17" s="256">
        <v>0.70729799999999998</v>
      </c>
      <c r="AL17" s="256">
        <v>1.209754</v>
      </c>
      <c r="AM17" s="256">
        <v>3.4990649999999999</v>
      </c>
      <c r="AN17" s="256">
        <v>0.62766200000000005</v>
      </c>
      <c r="AO17" s="256">
        <v>1.8177319999999999</v>
      </c>
      <c r="AP17" s="256">
        <v>-11.890959000000001</v>
      </c>
      <c r="AQ17" s="256">
        <v>-7.177835</v>
      </c>
      <c r="AR17" s="256">
        <v>-1.9641409999999999</v>
      </c>
      <c r="AS17" s="256">
        <v>6.650703</v>
      </c>
      <c r="AT17" s="256">
        <v>0.24624399999999999</v>
      </c>
      <c r="AU17" s="256">
        <v>-0.51911499999999999</v>
      </c>
      <c r="AV17" s="256">
        <v>-8.0842849999999995</v>
      </c>
      <c r="AW17" s="256">
        <v>-3.9803259999999998</v>
      </c>
      <c r="AX17" s="256">
        <v>-5.4546960000000002</v>
      </c>
      <c r="AY17" s="256">
        <v>-5.7555069999999997</v>
      </c>
      <c r="AZ17" s="256">
        <v>-5.00549</v>
      </c>
      <c r="BA17" s="256">
        <v>-5.743417</v>
      </c>
      <c r="BB17" s="256">
        <v>-6.8340003999999999</v>
      </c>
      <c r="BC17" s="256">
        <v>-2.4550557</v>
      </c>
      <c r="BD17" s="256">
        <v>3.5099664000000002</v>
      </c>
      <c r="BE17" s="256">
        <v>5.0231260000000004</v>
      </c>
      <c r="BF17" s="256">
        <v>3.7763502</v>
      </c>
      <c r="BG17" s="342">
        <v>14.761889999999999</v>
      </c>
      <c r="BH17" s="342">
        <v>-17.258980000000001</v>
      </c>
      <c r="BI17" s="342">
        <v>-4.469938</v>
      </c>
      <c r="BJ17" s="342">
        <v>19.732140000000001</v>
      </c>
      <c r="BK17" s="342">
        <v>-13.09125</v>
      </c>
      <c r="BL17" s="342">
        <v>2.6170360000000001</v>
      </c>
      <c r="BM17" s="342">
        <v>-7.802416</v>
      </c>
      <c r="BN17" s="342">
        <v>-0.20348479999999999</v>
      </c>
      <c r="BO17" s="342">
        <v>-1.19855</v>
      </c>
      <c r="BP17" s="342">
        <v>5.2354409999999998</v>
      </c>
      <c r="BQ17" s="342">
        <v>3.1032839999999999</v>
      </c>
      <c r="BR17" s="342">
        <v>3.281784</v>
      </c>
      <c r="BS17" s="342">
        <v>1.875815</v>
      </c>
      <c r="BT17" s="342">
        <v>-4.4886179999999998</v>
      </c>
      <c r="BU17" s="342">
        <v>-4.8190989999999996</v>
      </c>
      <c r="BV17" s="342">
        <v>1.668064</v>
      </c>
    </row>
    <row r="18" spans="1:74" ht="11.1" customHeight="1" x14ac:dyDescent="0.2">
      <c r="A18" s="95" t="s">
        <v>216</v>
      </c>
      <c r="B18" s="199" t="s">
        <v>138</v>
      </c>
      <c r="C18" s="256">
        <v>1.0772720099999999</v>
      </c>
      <c r="D18" s="256">
        <v>0.93405801300000002</v>
      </c>
      <c r="E18" s="256">
        <v>0.817734988</v>
      </c>
      <c r="F18" s="256">
        <v>0.64196001000000003</v>
      </c>
      <c r="G18" s="256">
        <v>0.70618099199999995</v>
      </c>
      <c r="H18" s="256">
        <v>0.82567299000000005</v>
      </c>
      <c r="I18" s="256">
        <v>1.049962002</v>
      </c>
      <c r="J18" s="256">
        <v>1.06392899</v>
      </c>
      <c r="K18" s="256">
        <v>0.76589001000000001</v>
      </c>
      <c r="L18" s="256">
        <v>0.540818994</v>
      </c>
      <c r="M18" s="256">
        <v>0.70544099999999998</v>
      </c>
      <c r="N18" s="256">
        <v>1.009484</v>
      </c>
      <c r="O18" s="256">
        <v>1.026588002</v>
      </c>
      <c r="P18" s="256">
        <v>0.91623699999999997</v>
      </c>
      <c r="Q18" s="256">
        <v>0.97541500000000003</v>
      </c>
      <c r="R18" s="256">
        <v>0.65110299000000005</v>
      </c>
      <c r="S18" s="256">
        <v>0.69570401500000001</v>
      </c>
      <c r="T18" s="256">
        <v>0.77656499999999995</v>
      </c>
      <c r="U18" s="256">
        <v>0.90704198899999999</v>
      </c>
      <c r="V18" s="256">
        <v>0.90087900300000001</v>
      </c>
      <c r="W18" s="256">
        <v>0.80119598999999997</v>
      </c>
      <c r="X18" s="256">
        <v>0.62979398499999995</v>
      </c>
      <c r="Y18" s="256">
        <v>0.66831600000000002</v>
      </c>
      <c r="Z18" s="256">
        <v>1.0026099980000001</v>
      </c>
      <c r="AA18" s="256">
        <v>1.090351995</v>
      </c>
      <c r="AB18" s="256">
        <v>0.90882901199999999</v>
      </c>
      <c r="AC18" s="256">
        <v>0.99683100899999999</v>
      </c>
      <c r="AD18" s="256">
        <v>0.70439901000000005</v>
      </c>
      <c r="AE18" s="256">
        <v>0.60029599700000003</v>
      </c>
      <c r="AF18" s="256">
        <v>0.81769400999999997</v>
      </c>
      <c r="AG18" s="256">
        <v>0.92842200699999999</v>
      </c>
      <c r="AH18" s="256">
        <v>0.94902101100000003</v>
      </c>
      <c r="AI18" s="256">
        <v>0.81770900999999996</v>
      </c>
      <c r="AJ18" s="256">
        <v>0.72327798799999998</v>
      </c>
      <c r="AK18" s="256">
        <v>0.92314499999999999</v>
      </c>
      <c r="AL18" s="256">
        <v>0.97118201199999998</v>
      </c>
      <c r="AM18" s="256">
        <v>0.77769999999999995</v>
      </c>
      <c r="AN18" s="256">
        <v>0.77769999999999995</v>
      </c>
      <c r="AO18" s="256">
        <v>0.77769999999999995</v>
      </c>
      <c r="AP18" s="256">
        <v>0.77769999999999995</v>
      </c>
      <c r="AQ18" s="256">
        <v>0.77769999999999995</v>
      </c>
      <c r="AR18" s="256">
        <v>0.77769999999999995</v>
      </c>
      <c r="AS18" s="256">
        <v>0.77769999999999995</v>
      </c>
      <c r="AT18" s="256">
        <v>0.77769999999999995</v>
      </c>
      <c r="AU18" s="256">
        <v>0.77769999999999995</v>
      </c>
      <c r="AV18" s="256">
        <v>0.77769999999999995</v>
      </c>
      <c r="AW18" s="256">
        <v>0.77769999999999995</v>
      </c>
      <c r="AX18" s="256">
        <v>0.77769999999999995</v>
      </c>
      <c r="AY18" s="256">
        <v>0.76254999999999995</v>
      </c>
      <c r="AZ18" s="256">
        <v>0.76254999999999995</v>
      </c>
      <c r="BA18" s="256">
        <v>0.76254999999999995</v>
      </c>
      <c r="BB18" s="256">
        <v>0.76254999999999995</v>
      </c>
      <c r="BC18" s="256">
        <v>0.76254999999999995</v>
      </c>
      <c r="BD18" s="256">
        <v>0.76254999999999995</v>
      </c>
      <c r="BE18" s="256">
        <v>0.76254999999999995</v>
      </c>
      <c r="BF18" s="256">
        <v>0.76254999999999995</v>
      </c>
      <c r="BG18" s="342">
        <v>0.76254999999999995</v>
      </c>
      <c r="BH18" s="342">
        <v>0.76254999999999995</v>
      </c>
      <c r="BI18" s="342">
        <v>0.76254999999999995</v>
      </c>
      <c r="BJ18" s="342">
        <v>0.76254999999999995</v>
      </c>
      <c r="BK18" s="342">
        <v>0.66698919999999995</v>
      </c>
      <c r="BL18" s="342">
        <v>0.66698919999999995</v>
      </c>
      <c r="BM18" s="342">
        <v>0.66698919999999995</v>
      </c>
      <c r="BN18" s="342">
        <v>0.66698930000000001</v>
      </c>
      <c r="BO18" s="342">
        <v>0.66698919999999995</v>
      </c>
      <c r="BP18" s="342">
        <v>0.66698930000000001</v>
      </c>
      <c r="BQ18" s="342">
        <v>0.66698919999999995</v>
      </c>
      <c r="BR18" s="342">
        <v>0.66698919999999995</v>
      </c>
      <c r="BS18" s="342">
        <v>0.66698930000000001</v>
      </c>
      <c r="BT18" s="342">
        <v>0.66698919999999995</v>
      </c>
      <c r="BU18" s="342">
        <v>0.66698930000000001</v>
      </c>
      <c r="BV18" s="342">
        <v>0.66698919999999995</v>
      </c>
    </row>
    <row r="19" spans="1:74" ht="11.1" customHeight="1" x14ac:dyDescent="0.2">
      <c r="A19" s="93" t="s">
        <v>217</v>
      </c>
      <c r="B19" s="199" t="s">
        <v>437</v>
      </c>
      <c r="C19" s="256">
        <v>67.155944009999999</v>
      </c>
      <c r="D19" s="256">
        <v>54.957522013000002</v>
      </c>
      <c r="E19" s="256">
        <v>47.954670987999997</v>
      </c>
      <c r="F19" s="256">
        <v>43.655016009999997</v>
      </c>
      <c r="G19" s="256">
        <v>52.333389992000001</v>
      </c>
      <c r="H19" s="256">
        <v>67.076221989999993</v>
      </c>
      <c r="I19" s="256">
        <v>76.129066002000002</v>
      </c>
      <c r="J19" s="256">
        <v>76.802474989999993</v>
      </c>
      <c r="K19" s="256">
        <v>66.622285009999999</v>
      </c>
      <c r="L19" s="256">
        <v>61.689432994000001</v>
      </c>
      <c r="M19" s="256">
        <v>53.470125000000003</v>
      </c>
      <c r="N19" s="256">
        <v>65.673306999999994</v>
      </c>
      <c r="O19" s="256">
        <v>69.166126001999999</v>
      </c>
      <c r="P19" s="256">
        <v>54.763669999999998</v>
      </c>
      <c r="Q19" s="256">
        <v>56.760742999999998</v>
      </c>
      <c r="R19" s="256">
        <v>50.463630989999999</v>
      </c>
      <c r="S19" s="256">
        <v>58.737878015</v>
      </c>
      <c r="T19" s="256">
        <v>65.690505999999999</v>
      </c>
      <c r="U19" s="256">
        <v>67.740378989000007</v>
      </c>
      <c r="V19" s="256">
        <v>69.515863003000007</v>
      </c>
      <c r="W19" s="256">
        <v>57.661084989999999</v>
      </c>
      <c r="X19" s="256">
        <v>56.572549985000002</v>
      </c>
      <c r="Y19" s="256">
        <v>53.694274</v>
      </c>
      <c r="Z19" s="256">
        <v>60.651270998000001</v>
      </c>
      <c r="AA19" s="256">
        <v>68.635799994999999</v>
      </c>
      <c r="AB19" s="256">
        <v>55.209613042000001</v>
      </c>
      <c r="AC19" s="256">
        <v>52.474691499000002</v>
      </c>
      <c r="AD19" s="256">
        <v>46.863056710000002</v>
      </c>
      <c r="AE19" s="256">
        <v>53.827803056999997</v>
      </c>
      <c r="AF19" s="256">
        <v>59.499668300000003</v>
      </c>
      <c r="AG19" s="256">
        <v>67.589972936999999</v>
      </c>
      <c r="AH19" s="256">
        <v>66.395741971000007</v>
      </c>
      <c r="AI19" s="256">
        <v>56.535091209999997</v>
      </c>
      <c r="AJ19" s="256">
        <v>52.846567028000003</v>
      </c>
      <c r="AK19" s="256">
        <v>55.33456803</v>
      </c>
      <c r="AL19" s="256">
        <v>58.223142281999998</v>
      </c>
      <c r="AM19" s="256">
        <v>61.650024999999999</v>
      </c>
      <c r="AN19" s="256">
        <v>51.619902000000003</v>
      </c>
      <c r="AO19" s="256">
        <v>49.556829999999998</v>
      </c>
      <c r="AP19" s="256">
        <v>43.960428999999998</v>
      </c>
      <c r="AQ19" s="256">
        <v>45.725358999999997</v>
      </c>
      <c r="AR19" s="256">
        <v>48.358423000000002</v>
      </c>
      <c r="AS19" s="256">
        <v>60.386003000000002</v>
      </c>
      <c r="AT19" s="256">
        <v>57.071730000000002</v>
      </c>
      <c r="AU19" s="256">
        <v>51.176845</v>
      </c>
      <c r="AV19" s="256">
        <v>43.012644000000002</v>
      </c>
      <c r="AW19" s="256">
        <v>43.779004</v>
      </c>
      <c r="AX19" s="256">
        <v>43.175313000000003</v>
      </c>
      <c r="AY19" s="256">
        <v>44.858252999999998</v>
      </c>
      <c r="AZ19" s="256">
        <v>36.229348000000002</v>
      </c>
      <c r="BA19" s="256">
        <v>34.601345000000002</v>
      </c>
      <c r="BB19" s="256">
        <v>26.756313599999999</v>
      </c>
      <c r="BC19" s="256">
        <v>30.078456299999999</v>
      </c>
      <c r="BD19" s="256">
        <v>39.995650400000002</v>
      </c>
      <c r="BE19" s="256">
        <v>43.877154900000001</v>
      </c>
      <c r="BF19" s="256">
        <v>47.277278492999997</v>
      </c>
      <c r="BG19" s="342">
        <v>42.002929999999999</v>
      </c>
      <c r="BH19" s="342">
        <v>41.316780000000001</v>
      </c>
      <c r="BI19" s="342">
        <v>31.80715</v>
      </c>
      <c r="BJ19" s="342">
        <v>41.835099999999997</v>
      </c>
      <c r="BK19" s="342">
        <v>54.654519999999998</v>
      </c>
      <c r="BL19" s="342">
        <v>42.452179999999998</v>
      </c>
      <c r="BM19" s="342">
        <v>36.005470000000003</v>
      </c>
      <c r="BN19" s="342">
        <v>32.598730000000003</v>
      </c>
      <c r="BO19" s="342">
        <v>36.583089999999999</v>
      </c>
      <c r="BP19" s="342">
        <v>45.965260000000001</v>
      </c>
      <c r="BQ19" s="342">
        <v>54.180500000000002</v>
      </c>
      <c r="BR19" s="342">
        <v>54.780349999999999</v>
      </c>
      <c r="BS19" s="342">
        <v>44.855789999999999</v>
      </c>
      <c r="BT19" s="342">
        <v>43.415199999999999</v>
      </c>
      <c r="BU19" s="342">
        <v>38.192010000000003</v>
      </c>
      <c r="BV19" s="342">
        <v>50.219790000000003</v>
      </c>
    </row>
    <row r="20" spans="1:74" ht="11.1" customHeight="1" x14ac:dyDescent="0.2">
      <c r="A20" s="90"/>
      <c r="B20" s="94"/>
      <c r="C20" s="265"/>
      <c r="D20" s="265"/>
      <c r="E20" s="265"/>
      <c r="F20" s="265"/>
      <c r="G20" s="265"/>
      <c r="H20" s="265"/>
      <c r="I20" s="265"/>
      <c r="J20" s="265"/>
      <c r="K20" s="265"/>
      <c r="L20" s="265"/>
      <c r="M20" s="265"/>
      <c r="N20" s="265"/>
      <c r="O20" s="265"/>
      <c r="P20" s="265"/>
      <c r="Q20" s="265"/>
      <c r="R20" s="265"/>
      <c r="S20" s="265"/>
      <c r="T20" s="265"/>
      <c r="U20" s="265"/>
      <c r="V20" s="265"/>
      <c r="W20" s="265"/>
      <c r="X20" s="265"/>
      <c r="Y20" s="265"/>
      <c r="Z20" s="265"/>
      <c r="AA20" s="265"/>
      <c r="AB20" s="265"/>
      <c r="AC20" s="265"/>
      <c r="AD20" s="265"/>
      <c r="AE20" s="265"/>
      <c r="AF20" s="265"/>
      <c r="AG20" s="265"/>
      <c r="AH20" s="265"/>
      <c r="AI20" s="265"/>
      <c r="AJ20" s="265"/>
      <c r="AK20" s="265"/>
      <c r="AL20" s="265"/>
      <c r="AM20" s="265"/>
      <c r="AN20" s="265"/>
      <c r="AO20" s="265"/>
      <c r="AP20" s="265"/>
      <c r="AQ20" s="265"/>
      <c r="AR20" s="265"/>
      <c r="AS20" s="265"/>
      <c r="AT20" s="265"/>
      <c r="AU20" s="265"/>
      <c r="AV20" s="265"/>
      <c r="AW20" s="265"/>
      <c r="AX20" s="265"/>
      <c r="AY20" s="265"/>
      <c r="AZ20" s="265"/>
      <c r="BA20" s="265"/>
      <c r="BB20" s="265"/>
      <c r="BC20" s="265"/>
      <c r="BD20" s="265"/>
      <c r="BE20" s="265"/>
      <c r="BF20" s="265"/>
      <c r="BG20" s="375"/>
      <c r="BH20" s="375"/>
      <c r="BI20" s="375"/>
      <c r="BJ20" s="375"/>
      <c r="BK20" s="375"/>
      <c r="BL20" s="375"/>
      <c r="BM20" s="375"/>
      <c r="BN20" s="375"/>
      <c r="BO20" s="375"/>
      <c r="BP20" s="375"/>
      <c r="BQ20" s="375"/>
      <c r="BR20" s="375"/>
      <c r="BS20" s="375"/>
      <c r="BT20" s="375"/>
      <c r="BU20" s="375"/>
      <c r="BV20" s="375"/>
    </row>
    <row r="21" spans="1:74" ht="11.1" customHeight="1" x14ac:dyDescent="0.2">
      <c r="A21" s="90"/>
      <c r="B21" s="96" t="s">
        <v>226</v>
      </c>
      <c r="C21" s="265"/>
      <c r="D21" s="265"/>
      <c r="E21" s="265"/>
      <c r="F21" s="265"/>
      <c r="G21" s="265"/>
      <c r="H21" s="265"/>
      <c r="I21" s="265"/>
      <c r="J21" s="265"/>
      <c r="K21" s="265"/>
      <c r="L21" s="265"/>
      <c r="M21" s="265"/>
      <c r="N21" s="265"/>
      <c r="O21" s="265"/>
      <c r="P21" s="265"/>
      <c r="Q21" s="265"/>
      <c r="R21" s="265"/>
      <c r="S21" s="265"/>
      <c r="T21" s="265"/>
      <c r="U21" s="265"/>
      <c r="V21" s="265"/>
      <c r="W21" s="265"/>
      <c r="X21" s="265"/>
      <c r="Y21" s="265"/>
      <c r="Z21" s="265"/>
      <c r="AA21" s="265"/>
      <c r="AB21" s="265"/>
      <c r="AC21" s="265"/>
      <c r="AD21" s="265"/>
      <c r="AE21" s="265"/>
      <c r="AF21" s="265"/>
      <c r="AG21" s="265"/>
      <c r="AH21" s="265"/>
      <c r="AI21" s="265"/>
      <c r="AJ21" s="265"/>
      <c r="AK21" s="265"/>
      <c r="AL21" s="265"/>
      <c r="AM21" s="265"/>
      <c r="AN21" s="265"/>
      <c r="AO21" s="265"/>
      <c r="AP21" s="265"/>
      <c r="AQ21" s="265"/>
      <c r="AR21" s="265"/>
      <c r="AS21" s="265"/>
      <c r="AT21" s="265"/>
      <c r="AU21" s="265"/>
      <c r="AV21" s="265"/>
      <c r="AW21" s="265"/>
      <c r="AX21" s="265"/>
      <c r="AY21" s="265"/>
      <c r="AZ21" s="265"/>
      <c r="BA21" s="265"/>
      <c r="BB21" s="265"/>
      <c r="BC21" s="265"/>
      <c r="BD21" s="265"/>
      <c r="BE21" s="265"/>
      <c r="BF21" s="265"/>
      <c r="BG21" s="375"/>
      <c r="BH21" s="375"/>
      <c r="BI21" s="375"/>
      <c r="BJ21" s="375"/>
      <c r="BK21" s="375"/>
      <c r="BL21" s="375"/>
      <c r="BM21" s="375"/>
      <c r="BN21" s="375"/>
      <c r="BO21" s="375"/>
      <c r="BP21" s="375"/>
      <c r="BQ21" s="375"/>
      <c r="BR21" s="375"/>
      <c r="BS21" s="375"/>
      <c r="BT21" s="375"/>
      <c r="BU21" s="375"/>
      <c r="BV21" s="375"/>
    </row>
    <row r="22" spans="1:74" ht="11.1" customHeight="1" x14ac:dyDescent="0.2">
      <c r="A22" s="93" t="s">
        <v>218</v>
      </c>
      <c r="B22" s="199" t="s">
        <v>461</v>
      </c>
      <c r="C22" s="256">
        <v>1.3284829899999999</v>
      </c>
      <c r="D22" s="256">
        <v>1.3614449909999999</v>
      </c>
      <c r="E22" s="256">
        <v>1.433657</v>
      </c>
      <c r="F22" s="256">
        <v>1.3240310099999999</v>
      </c>
      <c r="G22" s="256">
        <v>1.3668700110000001</v>
      </c>
      <c r="H22" s="256">
        <v>1.4048180100000001</v>
      </c>
      <c r="I22" s="256">
        <v>1.4325400079999999</v>
      </c>
      <c r="J22" s="256">
        <v>1.3946780030000001</v>
      </c>
      <c r="K22" s="256">
        <v>1.33579899</v>
      </c>
      <c r="L22" s="256">
        <v>1.3346700010000001</v>
      </c>
      <c r="M22" s="256">
        <v>1.3259679900000001</v>
      </c>
      <c r="N22" s="256">
        <v>1.441748992</v>
      </c>
      <c r="O22" s="256">
        <v>1.430645009</v>
      </c>
      <c r="P22" s="256">
        <v>1.367727004</v>
      </c>
      <c r="Q22" s="256">
        <v>1.4376689890000001</v>
      </c>
      <c r="R22" s="256">
        <v>1.4408099999999999</v>
      </c>
      <c r="S22" s="256">
        <v>1.4824859990000001</v>
      </c>
      <c r="T22" s="256">
        <v>1.4016639900000001</v>
      </c>
      <c r="U22" s="256">
        <v>1.4944599970000001</v>
      </c>
      <c r="V22" s="256">
        <v>1.528055999</v>
      </c>
      <c r="W22" s="256">
        <v>1.4687669999999999</v>
      </c>
      <c r="X22" s="256">
        <v>1.4695700039999999</v>
      </c>
      <c r="Y22" s="256">
        <v>1.456863</v>
      </c>
      <c r="Z22" s="256">
        <v>1.558946011</v>
      </c>
      <c r="AA22" s="256">
        <v>1.458216006</v>
      </c>
      <c r="AB22" s="256">
        <v>1.2883629919999999</v>
      </c>
      <c r="AC22" s="256">
        <v>1.481761994</v>
      </c>
      <c r="AD22" s="256">
        <v>1.5492090000000001</v>
      </c>
      <c r="AE22" s="256">
        <v>1.5955469980000001</v>
      </c>
      <c r="AF22" s="256">
        <v>1.46502201</v>
      </c>
      <c r="AG22" s="256">
        <v>1.6003989940000001</v>
      </c>
      <c r="AH22" s="256">
        <v>1.576811001</v>
      </c>
      <c r="AI22" s="256">
        <v>1.5847169999999999</v>
      </c>
      <c r="AJ22" s="256">
        <v>1.5485639870000001</v>
      </c>
      <c r="AK22" s="256">
        <v>1.5582680099999999</v>
      </c>
      <c r="AL22" s="256">
        <v>1.6297240019999999</v>
      </c>
      <c r="AM22" s="256">
        <v>1.5147090110000001</v>
      </c>
      <c r="AN22" s="256">
        <v>1.3926020079999999</v>
      </c>
      <c r="AO22" s="256">
        <v>1.555607993</v>
      </c>
      <c r="AP22" s="256">
        <v>1.44957</v>
      </c>
      <c r="AQ22" s="256">
        <v>1.6238929950000001</v>
      </c>
      <c r="AR22" s="256">
        <v>1.586433</v>
      </c>
      <c r="AS22" s="256">
        <v>1.498201015</v>
      </c>
      <c r="AT22" s="256">
        <v>1.4872909990000001</v>
      </c>
      <c r="AU22" s="256">
        <v>1.4693970000000001</v>
      </c>
      <c r="AV22" s="256">
        <v>1.479599992</v>
      </c>
      <c r="AW22" s="256">
        <v>1.37352999</v>
      </c>
      <c r="AX22" s="256">
        <v>1.4930370040000001</v>
      </c>
      <c r="AY22" s="256">
        <v>1.4242539869999999</v>
      </c>
      <c r="AZ22" s="256">
        <v>1.4238500039999999</v>
      </c>
      <c r="BA22" s="256">
        <v>1.397506009</v>
      </c>
      <c r="BB22" s="256">
        <v>1.367847</v>
      </c>
      <c r="BC22" s="256">
        <v>1.52069601</v>
      </c>
      <c r="BD22" s="256">
        <v>1.532662</v>
      </c>
      <c r="BE22" s="256">
        <v>1.6423840000000001</v>
      </c>
      <c r="BF22" s="256">
        <v>1.5725929999999999</v>
      </c>
      <c r="BG22" s="342">
        <v>1.3949849999999999</v>
      </c>
      <c r="BH22" s="342">
        <v>1.3559920000000001</v>
      </c>
      <c r="BI22" s="342">
        <v>0.9087056</v>
      </c>
      <c r="BJ22" s="342">
        <v>1.133065</v>
      </c>
      <c r="BK22" s="342">
        <v>2.5970119999999999</v>
      </c>
      <c r="BL22" s="342">
        <v>1.480807</v>
      </c>
      <c r="BM22" s="342">
        <v>1.536095</v>
      </c>
      <c r="BN22" s="342">
        <v>2.013023</v>
      </c>
      <c r="BO22" s="342">
        <v>1.546923</v>
      </c>
      <c r="BP22" s="342">
        <v>1.2746459999999999</v>
      </c>
      <c r="BQ22" s="342">
        <v>1.4310890000000001</v>
      </c>
      <c r="BR22" s="342">
        <v>1.3223419999999999</v>
      </c>
      <c r="BS22" s="342">
        <v>1.0377209999999999</v>
      </c>
      <c r="BT22" s="342">
        <v>1.4229080000000001</v>
      </c>
      <c r="BU22" s="342">
        <v>0.3760829</v>
      </c>
      <c r="BV22" s="342">
        <v>1.008108</v>
      </c>
    </row>
    <row r="23" spans="1:74" ht="11.1" customHeight="1" x14ac:dyDescent="0.2">
      <c r="A23" s="90" t="s">
        <v>219</v>
      </c>
      <c r="B23" s="199" t="s">
        <v>169</v>
      </c>
      <c r="C23" s="256">
        <v>62.134631450000001</v>
      </c>
      <c r="D23" s="256">
        <v>50.661450471999999</v>
      </c>
      <c r="E23" s="256">
        <v>39.948145443000001</v>
      </c>
      <c r="F23" s="256">
        <v>39.158963249999999</v>
      </c>
      <c r="G23" s="256">
        <v>45.081934760000003</v>
      </c>
      <c r="H23" s="256">
        <v>63.250413960000003</v>
      </c>
      <c r="I23" s="256">
        <v>74.236728084000006</v>
      </c>
      <c r="J23" s="256">
        <v>73.889930495000002</v>
      </c>
      <c r="K23" s="256">
        <v>62.385215789999997</v>
      </c>
      <c r="L23" s="256">
        <v>54.621444820999997</v>
      </c>
      <c r="M23" s="256">
        <v>48.179202689999997</v>
      </c>
      <c r="N23" s="256">
        <v>65.006425105000005</v>
      </c>
      <c r="O23" s="256">
        <v>63.595449379000001</v>
      </c>
      <c r="P23" s="256">
        <v>48.048399840000002</v>
      </c>
      <c r="Q23" s="256">
        <v>48.925143392000003</v>
      </c>
      <c r="R23" s="256">
        <v>44.358069540000002</v>
      </c>
      <c r="S23" s="256">
        <v>50.951903459</v>
      </c>
      <c r="T23" s="256">
        <v>58.919965410000003</v>
      </c>
      <c r="U23" s="256">
        <v>69.881800964000007</v>
      </c>
      <c r="V23" s="256">
        <v>65.882626434000002</v>
      </c>
      <c r="W23" s="256">
        <v>54.780291149999996</v>
      </c>
      <c r="X23" s="256">
        <v>50.098851875999998</v>
      </c>
      <c r="Y23" s="256">
        <v>51.01253526</v>
      </c>
      <c r="Z23" s="256">
        <v>58.538016130999999</v>
      </c>
      <c r="AA23" s="256">
        <v>64.960304049000001</v>
      </c>
      <c r="AB23" s="256">
        <v>45.897340131999997</v>
      </c>
      <c r="AC23" s="256">
        <v>44.562375690000003</v>
      </c>
      <c r="AD23" s="256">
        <v>40.603160699999997</v>
      </c>
      <c r="AE23" s="256">
        <v>47.355588312999998</v>
      </c>
      <c r="AF23" s="256">
        <v>56.153628900000001</v>
      </c>
      <c r="AG23" s="256">
        <v>63.893594049000001</v>
      </c>
      <c r="AH23" s="256">
        <v>63.810033332000003</v>
      </c>
      <c r="AI23" s="256">
        <v>53.98738728</v>
      </c>
      <c r="AJ23" s="256">
        <v>48.473661034999999</v>
      </c>
      <c r="AK23" s="256">
        <v>51.806013120000003</v>
      </c>
      <c r="AL23" s="256">
        <v>55.713783389</v>
      </c>
      <c r="AM23" s="256">
        <v>55.982537082999997</v>
      </c>
      <c r="AN23" s="256">
        <v>45.142031760000002</v>
      </c>
      <c r="AO23" s="256">
        <v>44.166946944000003</v>
      </c>
      <c r="AP23" s="256">
        <v>33.520006109999997</v>
      </c>
      <c r="AQ23" s="256">
        <v>40.110433946000001</v>
      </c>
      <c r="AR23" s="256">
        <v>44.376350309999999</v>
      </c>
      <c r="AS23" s="256">
        <v>56.123227018000001</v>
      </c>
      <c r="AT23" s="256">
        <v>52.584641281000003</v>
      </c>
      <c r="AU23" s="256">
        <v>47.461141320000003</v>
      </c>
      <c r="AV23" s="256">
        <v>37.497057159000001</v>
      </c>
      <c r="AW23" s="256">
        <v>41.961719279999997</v>
      </c>
      <c r="AX23" s="256">
        <v>40.488660760999998</v>
      </c>
      <c r="AY23" s="256">
        <v>36.717413172999997</v>
      </c>
      <c r="AZ23" s="256">
        <v>31.984675157000002</v>
      </c>
      <c r="BA23" s="256">
        <v>28.915715496000001</v>
      </c>
      <c r="BB23" s="256">
        <v>23.608496939999998</v>
      </c>
      <c r="BC23" s="256">
        <v>26.838173957999999</v>
      </c>
      <c r="BD23" s="256">
        <v>36.741266000000003</v>
      </c>
      <c r="BE23" s="256">
        <v>48.460799999999999</v>
      </c>
      <c r="BF23" s="256">
        <v>49.52899</v>
      </c>
      <c r="BG23" s="342">
        <v>39.31109</v>
      </c>
      <c r="BH23" s="342">
        <v>33.53828</v>
      </c>
      <c r="BI23" s="342">
        <v>35.042760000000001</v>
      </c>
      <c r="BJ23" s="342">
        <v>40.930729999999997</v>
      </c>
      <c r="BK23" s="342">
        <v>45.917000000000002</v>
      </c>
      <c r="BL23" s="342">
        <v>36.964939999999999</v>
      </c>
      <c r="BM23" s="342">
        <v>36.088749999999997</v>
      </c>
      <c r="BN23" s="342">
        <v>31.068629999999999</v>
      </c>
      <c r="BO23" s="342">
        <v>37.351300000000002</v>
      </c>
      <c r="BP23" s="342">
        <v>44.836860000000001</v>
      </c>
      <c r="BQ23" s="342">
        <v>54.627510000000001</v>
      </c>
      <c r="BR23" s="342">
        <v>52.033529999999999</v>
      </c>
      <c r="BS23" s="342">
        <v>40.60087</v>
      </c>
      <c r="BT23" s="342">
        <v>36.188389999999998</v>
      </c>
      <c r="BU23" s="342">
        <v>32.45438</v>
      </c>
      <c r="BV23" s="342">
        <v>41.617559999999997</v>
      </c>
    </row>
    <row r="24" spans="1:74" ht="11.1" customHeight="1" x14ac:dyDescent="0.2">
      <c r="A24" s="93" t="s">
        <v>220</v>
      </c>
      <c r="B24" s="199" t="s">
        <v>192</v>
      </c>
      <c r="C24" s="256">
        <v>3.1991100069999998</v>
      </c>
      <c r="D24" s="256">
        <v>3.1878220129999999</v>
      </c>
      <c r="E24" s="256">
        <v>3.192803987</v>
      </c>
      <c r="F24" s="256">
        <v>2.90071002</v>
      </c>
      <c r="G24" s="256">
        <v>2.894128008</v>
      </c>
      <c r="H24" s="256">
        <v>2.8959970199999998</v>
      </c>
      <c r="I24" s="256">
        <v>2.8992710009999998</v>
      </c>
      <c r="J24" s="256">
        <v>2.8899280040000002</v>
      </c>
      <c r="K24" s="256">
        <v>2.8938830100000001</v>
      </c>
      <c r="L24" s="256">
        <v>2.9965879989999999</v>
      </c>
      <c r="M24" s="256">
        <v>3.0280710000000002</v>
      </c>
      <c r="N24" s="256">
        <v>3.053184017</v>
      </c>
      <c r="O24" s="256">
        <v>2.9794999930000001</v>
      </c>
      <c r="P24" s="256">
        <v>2.964796996</v>
      </c>
      <c r="Q24" s="256">
        <v>2.9624249759999999</v>
      </c>
      <c r="R24" s="256">
        <v>2.7665670000000002</v>
      </c>
      <c r="S24" s="256">
        <v>2.7672950109999999</v>
      </c>
      <c r="T24" s="256">
        <v>2.7769179899999998</v>
      </c>
      <c r="U24" s="256">
        <v>2.837523</v>
      </c>
      <c r="V24" s="256">
        <v>2.8184480180000002</v>
      </c>
      <c r="W24" s="256">
        <v>2.7903789899999998</v>
      </c>
      <c r="X24" s="256">
        <v>2.8674199890000001</v>
      </c>
      <c r="Y24" s="256">
        <v>2.88787701</v>
      </c>
      <c r="Z24" s="256">
        <v>2.9058190069999998</v>
      </c>
      <c r="AA24" s="256">
        <v>2.8352539860000001</v>
      </c>
      <c r="AB24" s="256">
        <v>2.839250008</v>
      </c>
      <c r="AC24" s="256">
        <v>2.8257709929999999</v>
      </c>
      <c r="AD24" s="256">
        <v>2.6410720200000002</v>
      </c>
      <c r="AE24" s="256">
        <v>2.6224550130000002</v>
      </c>
      <c r="AF24" s="256">
        <v>2.6213250000000001</v>
      </c>
      <c r="AG24" s="256">
        <v>2.5891580059999999</v>
      </c>
      <c r="AH24" s="256">
        <v>2.5895260069999999</v>
      </c>
      <c r="AI24" s="256">
        <v>2.5873100099999999</v>
      </c>
      <c r="AJ24" s="256">
        <v>2.788981991</v>
      </c>
      <c r="AK24" s="256">
        <v>2.8061680199999999</v>
      </c>
      <c r="AL24" s="256">
        <v>2.80558401</v>
      </c>
      <c r="AM24" s="256">
        <v>2.7217729990000001</v>
      </c>
      <c r="AN24" s="256">
        <v>2.685789008</v>
      </c>
      <c r="AO24" s="256">
        <v>2.6948840019999998</v>
      </c>
      <c r="AP24" s="256">
        <v>2.4020349900000002</v>
      </c>
      <c r="AQ24" s="256">
        <v>2.394683009</v>
      </c>
      <c r="AR24" s="256">
        <v>2.3906949900000001</v>
      </c>
      <c r="AS24" s="256">
        <v>2.376466014</v>
      </c>
      <c r="AT24" s="256">
        <v>2.3956320120000001</v>
      </c>
      <c r="AU24" s="256">
        <v>2.3956400100000002</v>
      </c>
      <c r="AV24" s="256">
        <v>2.4280400009999998</v>
      </c>
      <c r="AW24" s="256">
        <v>2.5482639900000001</v>
      </c>
      <c r="AX24" s="256">
        <v>2.570988007</v>
      </c>
      <c r="AY24" s="256">
        <v>2.4826130210000001</v>
      </c>
      <c r="AZ24" s="256">
        <v>2.4834060099999999</v>
      </c>
      <c r="BA24" s="256">
        <v>2.416006018</v>
      </c>
      <c r="BB24" s="256">
        <v>2.4529248899999998</v>
      </c>
      <c r="BC24" s="256">
        <v>2.0510828220000001</v>
      </c>
      <c r="BD24" s="256">
        <v>2.0471656999999999</v>
      </c>
      <c r="BE24" s="256">
        <v>2.0809518800000002</v>
      </c>
      <c r="BF24" s="256">
        <v>2.10251703</v>
      </c>
      <c r="BG24" s="342">
        <v>2.1432069999999999</v>
      </c>
      <c r="BH24" s="342">
        <v>2.1410879999999999</v>
      </c>
      <c r="BI24" s="342">
        <v>2.2672080000000001</v>
      </c>
      <c r="BJ24" s="342">
        <v>2.1791399999999999</v>
      </c>
      <c r="BK24" s="342">
        <v>2.3206609999999999</v>
      </c>
      <c r="BL24" s="342">
        <v>2.2009750000000001</v>
      </c>
      <c r="BM24" s="342">
        <v>2.1687539999999998</v>
      </c>
      <c r="BN24" s="342">
        <v>2.3290950000000001</v>
      </c>
      <c r="BO24" s="342">
        <v>2.0558640000000001</v>
      </c>
      <c r="BP24" s="342">
        <v>2.1009910000000001</v>
      </c>
      <c r="BQ24" s="342">
        <v>2.1118199999999998</v>
      </c>
      <c r="BR24" s="342">
        <v>2.1521970000000001</v>
      </c>
      <c r="BS24" s="342">
        <v>2.1923979999999998</v>
      </c>
      <c r="BT24" s="342">
        <v>2.2004480000000002</v>
      </c>
      <c r="BU24" s="342">
        <v>2.3216079999999999</v>
      </c>
      <c r="BV24" s="342">
        <v>2.234302</v>
      </c>
    </row>
    <row r="25" spans="1:74" ht="11.1" customHeight="1" x14ac:dyDescent="0.2">
      <c r="A25" s="93" t="s">
        <v>221</v>
      </c>
      <c r="B25" s="200" t="s">
        <v>698</v>
      </c>
      <c r="C25" s="256">
        <v>0.150174013</v>
      </c>
      <c r="D25" s="256">
        <v>0.150423</v>
      </c>
      <c r="E25" s="256">
        <v>0.14766099799999999</v>
      </c>
      <c r="F25" s="256">
        <v>7.4210010000000007E-2</v>
      </c>
      <c r="G25" s="256">
        <v>5.9531004999999998E-2</v>
      </c>
      <c r="H25" s="256">
        <v>7.5209010000000007E-2</v>
      </c>
      <c r="I25" s="256">
        <v>6.3526005999999996E-2</v>
      </c>
      <c r="J25" s="256">
        <v>6.8028011999999999E-2</v>
      </c>
      <c r="K25" s="256">
        <v>6.8294999999999995E-2</v>
      </c>
      <c r="L25" s="256">
        <v>8.7846993999999998E-2</v>
      </c>
      <c r="M25" s="256">
        <v>0.10490600999999999</v>
      </c>
      <c r="N25" s="256">
        <v>0.13289901500000001</v>
      </c>
      <c r="O25" s="256">
        <v>0.13580700100000001</v>
      </c>
      <c r="P25" s="256">
        <v>0.11063698800000001</v>
      </c>
      <c r="Q25" s="256">
        <v>0.126217988</v>
      </c>
      <c r="R25" s="256">
        <v>7.0559010000000005E-2</v>
      </c>
      <c r="S25" s="256">
        <v>6.5743001999999995E-2</v>
      </c>
      <c r="T25" s="256">
        <v>6.7122989999999993E-2</v>
      </c>
      <c r="U25" s="256">
        <v>6.8140014999999998E-2</v>
      </c>
      <c r="V25" s="256">
        <v>6.1712009999999998E-2</v>
      </c>
      <c r="W25" s="256">
        <v>6.5298990000000001E-2</v>
      </c>
      <c r="X25" s="256">
        <v>7.5989989999999993E-2</v>
      </c>
      <c r="Y25" s="256">
        <v>9.4794000000000003E-2</v>
      </c>
      <c r="Z25" s="256">
        <v>0.119121003</v>
      </c>
      <c r="AA25" s="256">
        <v>0.14028399</v>
      </c>
      <c r="AB25" s="256">
        <v>0.10956399999999999</v>
      </c>
      <c r="AC25" s="256">
        <v>0.104556986</v>
      </c>
      <c r="AD25" s="256">
        <v>7.456401E-2</v>
      </c>
      <c r="AE25" s="256">
        <v>6.1864003000000001E-2</v>
      </c>
      <c r="AF25" s="256">
        <v>5.7251009999999998E-2</v>
      </c>
      <c r="AG25" s="256">
        <v>5.5048993999999997E-2</v>
      </c>
      <c r="AH25" s="256">
        <v>5.7900001999999999E-2</v>
      </c>
      <c r="AI25" s="256">
        <v>6.2132010000000001E-2</v>
      </c>
      <c r="AJ25" s="256">
        <v>7.6027003999999995E-2</v>
      </c>
      <c r="AK25" s="256">
        <v>8.6642010000000005E-2</v>
      </c>
      <c r="AL25" s="256">
        <v>8.5741009000000007E-2</v>
      </c>
      <c r="AM25" s="256">
        <v>0.11280298599999999</v>
      </c>
      <c r="AN25" s="256">
        <v>0.101466008</v>
      </c>
      <c r="AO25" s="256">
        <v>0.105466991</v>
      </c>
      <c r="AP25" s="256">
        <v>6.2382E-2</v>
      </c>
      <c r="AQ25" s="256">
        <v>6.4056012999999995E-2</v>
      </c>
      <c r="AR25" s="256">
        <v>4.9529999999999998E-2</v>
      </c>
      <c r="AS25" s="256">
        <v>4.9789999000000001E-2</v>
      </c>
      <c r="AT25" s="256">
        <v>5.1400015E-2</v>
      </c>
      <c r="AU25" s="256">
        <v>5.2340999999999999E-2</v>
      </c>
      <c r="AV25" s="256">
        <v>6.7559013000000001E-2</v>
      </c>
      <c r="AW25" s="256">
        <v>7.8117989999999998E-2</v>
      </c>
      <c r="AX25" s="256">
        <v>8.1026002E-2</v>
      </c>
      <c r="AY25" s="256">
        <v>9.6064009000000006E-2</v>
      </c>
      <c r="AZ25" s="256">
        <v>0.114156006</v>
      </c>
      <c r="BA25" s="256">
        <v>9.5692008999999995E-2</v>
      </c>
      <c r="BB25" s="256">
        <v>4.8615899999999997E-2</v>
      </c>
      <c r="BC25" s="256">
        <v>4.7002820000000001E-2</v>
      </c>
      <c r="BD25" s="256">
        <v>4.7501799999999997E-2</v>
      </c>
      <c r="BE25" s="256">
        <v>6.0740700000000002E-2</v>
      </c>
      <c r="BF25" s="256">
        <v>7.0730600000000005E-2</v>
      </c>
      <c r="BG25" s="342">
        <v>7.0688899999999999E-2</v>
      </c>
      <c r="BH25" s="342">
        <v>7.4106400000000003E-2</v>
      </c>
      <c r="BI25" s="342">
        <v>8.7322200000000003E-2</v>
      </c>
      <c r="BJ25" s="342">
        <v>0.10628509999999999</v>
      </c>
      <c r="BK25" s="342">
        <v>9.0914599999999998E-2</v>
      </c>
      <c r="BL25" s="342">
        <v>7.6106599999999996E-2</v>
      </c>
      <c r="BM25" s="342">
        <v>6.8659700000000004E-2</v>
      </c>
      <c r="BN25" s="342">
        <v>6.4535099999999998E-2</v>
      </c>
      <c r="BO25" s="342">
        <v>5.9987600000000002E-2</v>
      </c>
      <c r="BP25" s="342">
        <v>5.6602699999999999E-2</v>
      </c>
      <c r="BQ25" s="342">
        <v>6.7144899999999993E-2</v>
      </c>
      <c r="BR25" s="342">
        <v>6.7148299999999994E-2</v>
      </c>
      <c r="BS25" s="342">
        <v>6.6630499999999995E-2</v>
      </c>
      <c r="BT25" s="342">
        <v>6.88468E-2</v>
      </c>
      <c r="BU25" s="342">
        <v>7.9743099999999997E-2</v>
      </c>
      <c r="BV25" s="342">
        <v>9.6377099999999993E-2</v>
      </c>
    </row>
    <row r="26" spans="1:74" ht="11.1" customHeight="1" x14ac:dyDescent="0.2">
      <c r="A26" s="93" t="s">
        <v>222</v>
      </c>
      <c r="B26" s="200" t="s">
        <v>699</v>
      </c>
      <c r="C26" s="256">
        <v>3.0489359939999998</v>
      </c>
      <c r="D26" s="256">
        <v>3.0373990129999999</v>
      </c>
      <c r="E26" s="256">
        <v>3.0451429889999999</v>
      </c>
      <c r="F26" s="256">
        <v>2.8265000100000002</v>
      </c>
      <c r="G26" s="256">
        <v>2.8345970029999998</v>
      </c>
      <c r="H26" s="256">
        <v>2.8207880099999998</v>
      </c>
      <c r="I26" s="256">
        <v>2.8357449950000002</v>
      </c>
      <c r="J26" s="256">
        <v>2.8218999920000001</v>
      </c>
      <c r="K26" s="256">
        <v>2.8255880100000001</v>
      </c>
      <c r="L26" s="256">
        <v>2.908741005</v>
      </c>
      <c r="M26" s="256">
        <v>2.9231649900000001</v>
      </c>
      <c r="N26" s="256">
        <v>2.920285002</v>
      </c>
      <c r="O26" s="256">
        <v>2.8436929919999998</v>
      </c>
      <c r="P26" s="256">
        <v>2.854160008</v>
      </c>
      <c r="Q26" s="256">
        <v>2.8362069879999998</v>
      </c>
      <c r="R26" s="256">
        <v>2.69600799</v>
      </c>
      <c r="S26" s="256">
        <v>2.7015520089999998</v>
      </c>
      <c r="T26" s="256">
        <v>2.7097950000000002</v>
      </c>
      <c r="U26" s="256">
        <v>2.769382985</v>
      </c>
      <c r="V26" s="256">
        <v>2.7567360079999998</v>
      </c>
      <c r="W26" s="256">
        <v>2.7250800000000002</v>
      </c>
      <c r="X26" s="256">
        <v>2.791429999</v>
      </c>
      <c r="Y26" s="256">
        <v>2.7930830100000001</v>
      </c>
      <c r="Z26" s="256">
        <v>2.7866980039999998</v>
      </c>
      <c r="AA26" s="256">
        <v>2.6949699960000002</v>
      </c>
      <c r="AB26" s="256">
        <v>2.7296860079999998</v>
      </c>
      <c r="AC26" s="256">
        <v>2.7212140069999999</v>
      </c>
      <c r="AD26" s="256">
        <v>2.5665080100000002</v>
      </c>
      <c r="AE26" s="256">
        <v>2.56059101</v>
      </c>
      <c r="AF26" s="256">
        <v>2.5640739899999998</v>
      </c>
      <c r="AG26" s="256">
        <v>2.534109012</v>
      </c>
      <c r="AH26" s="256">
        <v>2.5316260050000001</v>
      </c>
      <c r="AI26" s="256">
        <v>2.5251779999999999</v>
      </c>
      <c r="AJ26" s="256">
        <v>2.7129549869999998</v>
      </c>
      <c r="AK26" s="256">
        <v>2.71952601</v>
      </c>
      <c r="AL26" s="256">
        <v>2.7198430010000001</v>
      </c>
      <c r="AM26" s="256">
        <v>2.608970013</v>
      </c>
      <c r="AN26" s="256">
        <v>2.5843229999999999</v>
      </c>
      <c r="AO26" s="256">
        <v>2.5894170110000001</v>
      </c>
      <c r="AP26" s="256">
        <v>2.3396529899999998</v>
      </c>
      <c r="AQ26" s="256">
        <v>2.3306269959999999</v>
      </c>
      <c r="AR26" s="256">
        <v>2.3411649899999998</v>
      </c>
      <c r="AS26" s="256">
        <v>2.3266760149999999</v>
      </c>
      <c r="AT26" s="256">
        <v>2.3442319970000001</v>
      </c>
      <c r="AU26" s="256">
        <v>2.34329901</v>
      </c>
      <c r="AV26" s="256">
        <v>2.3604809879999999</v>
      </c>
      <c r="AW26" s="256">
        <v>2.4701460000000002</v>
      </c>
      <c r="AX26" s="256">
        <v>2.4899620050000002</v>
      </c>
      <c r="AY26" s="256">
        <v>2.3865490120000001</v>
      </c>
      <c r="AZ26" s="256">
        <v>2.369250004</v>
      </c>
      <c r="BA26" s="256">
        <v>2.3203140090000001</v>
      </c>
      <c r="BB26" s="256">
        <v>2.4043089900000001</v>
      </c>
      <c r="BC26" s="256">
        <v>2.0040800019999998</v>
      </c>
      <c r="BD26" s="256">
        <v>1.9996640000000001</v>
      </c>
      <c r="BE26" s="256">
        <v>2.0202111</v>
      </c>
      <c r="BF26" s="256">
        <v>2.0317864999999999</v>
      </c>
      <c r="BG26" s="342">
        <v>2.0725180000000001</v>
      </c>
      <c r="BH26" s="342">
        <v>2.0669819999999999</v>
      </c>
      <c r="BI26" s="342">
        <v>2.1798860000000002</v>
      </c>
      <c r="BJ26" s="342">
        <v>2.0728550000000001</v>
      </c>
      <c r="BK26" s="342">
        <v>2.229746</v>
      </c>
      <c r="BL26" s="342">
        <v>2.1248680000000002</v>
      </c>
      <c r="BM26" s="342">
        <v>2.1000939999999999</v>
      </c>
      <c r="BN26" s="342">
        <v>2.2645599999999999</v>
      </c>
      <c r="BO26" s="342">
        <v>1.9958769999999999</v>
      </c>
      <c r="BP26" s="342">
        <v>2.0443880000000001</v>
      </c>
      <c r="BQ26" s="342">
        <v>2.0446749999999998</v>
      </c>
      <c r="BR26" s="342">
        <v>2.0850490000000002</v>
      </c>
      <c r="BS26" s="342">
        <v>2.1257679999999999</v>
      </c>
      <c r="BT26" s="342">
        <v>2.1316009999999999</v>
      </c>
      <c r="BU26" s="342">
        <v>2.2418650000000002</v>
      </c>
      <c r="BV26" s="342">
        <v>2.1379239999999999</v>
      </c>
    </row>
    <row r="27" spans="1:74" ht="11.1" customHeight="1" x14ac:dyDescent="0.2">
      <c r="A27" s="93" t="s">
        <v>223</v>
      </c>
      <c r="B27" s="199" t="s">
        <v>462</v>
      </c>
      <c r="C27" s="256">
        <v>66.662224447</v>
      </c>
      <c r="D27" s="256">
        <v>55.210717475999999</v>
      </c>
      <c r="E27" s="256">
        <v>44.574606430000003</v>
      </c>
      <c r="F27" s="256">
        <v>43.383704280000003</v>
      </c>
      <c r="G27" s="256">
        <v>49.342932779000002</v>
      </c>
      <c r="H27" s="256">
        <v>67.551228989999998</v>
      </c>
      <c r="I27" s="256">
        <v>78.568539092999998</v>
      </c>
      <c r="J27" s="256">
        <v>78.174536501999995</v>
      </c>
      <c r="K27" s="256">
        <v>66.614897790000001</v>
      </c>
      <c r="L27" s="256">
        <v>58.952702821000003</v>
      </c>
      <c r="M27" s="256">
        <v>52.533241680000003</v>
      </c>
      <c r="N27" s="256">
        <v>69.501358113999999</v>
      </c>
      <c r="O27" s="256">
        <v>68.005594380999995</v>
      </c>
      <c r="P27" s="256">
        <v>52.380923840000001</v>
      </c>
      <c r="Q27" s="256">
        <v>53.325237356999999</v>
      </c>
      <c r="R27" s="256">
        <v>48.565446540000003</v>
      </c>
      <c r="S27" s="256">
        <v>55.201684469</v>
      </c>
      <c r="T27" s="256">
        <v>63.09854739</v>
      </c>
      <c r="U27" s="256">
        <v>74.213783961000004</v>
      </c>
      <c r="V27" s="256">
        <v>70.229130451000003</v>
      </c>
      <c r="W27" s="256">
        <v>59.039437139999997</v>
      </c>
      <c r="X27" s="256">
        <v>54.435841869000001</v>
      </c>
      <c r="Y27" s="256">
        <v>55.357275270000002</v>
      </c>
      <c r="Z27" s="256">
        <v>63.002781149</v>
      </c>
      <c r="AA27" s="256">
        <v>69.253774041</v>
      </c>
      <c r="AB27" s="256">
        <v>50.024953132</v>
      </c>
      <c r="AC27" s="256">
        <v>48.869908676999998</v>
      </c>
      <c r="AD27" s="256">
        <v>44.793441719999997</v>
      </c>
      <c r="AE27" s="256">
        <v>51.573590324000001</v>
      </c>
      <c r="AF27" s="256">
        <v>60.239975909999998</v>
      </c>
      <c r="AG27" s="256">
        <v>68.083151048999994</v>
      </c>
      <c r="AH27" s="256">
        <v>67.976370340000003</v>
      </c>
      <c r="AI27" s="256">
        <v>58.159414290000001</v>
      </c>
      <c r="AJ27" s="256">
        <v>52.811207013000001</v>
      </c>
      <c r="AK27" s="256">
        <v>56.170449150000003</v>
      </c>
      <c r="AL27" s="256">
        <v>60.149091401</v>
      </c>
      <c r="AM27" s="256">
        <v>60.219019093</v>
      </c>
      <c r="AN27" s="256">
        <v>49.220422775999999</v>
      </c>
      <c r="AO27" s="256">
        <v>48.417438939</v>
      </c>
      <c r="AP27" s="256">
        <v>37.371611100000003</v>
      </c>
      <c r="AQ27" s="256">
        <v>44.129009949999997</v>
      </c>
      <c r="AR27" s="256">
        <v>48.353478299999999</v>
      </c>
      <c r="AS27" s="256">
        <v>59.997894047000003</v>
      </c>
      <c r="AT27" s="256">
        <v>56.467564291999999</v>
      </c>
      <c r="AU27" s="256">
        <v>51.326178329999998</v>
      </c>
      <c r="AV27" s="256">
        <v>41.404697151999997</v>
      </c>
      <c r="AW27" s="256">
        <v>45.883513260000001</v>
      </c>
      <c r="AX27" s="256">
        <v>44.552685771999997</v>
      </c>
      <c r="AY27" s="256">
        <v>40.624280181000003</v>
      </c>
      <c r="AZ27" s="256">
        <v>35.891931171000003</v>
      </c>
      <c r="BA27" s="256">
        <v>32.729227522999999</v>
      </c>
      <c r="BB27" s="256">
        <v>27.429268830000002</v>
      </c>
      <c r="BC27" s="256">
        <v>30.409952789999998</v>
      </c>
      <c r="BD27" s="256">
        <v>40.321092700000001</v>
      </c>
      <c r="BE27" s="256">
        <v>52.184146980000001</v>
      </c>
      <c r="BF27" s="256">
        <v>53.204088830000003</v>
      </c>
      <c r="BG27" s="342">
        <v>42.84928</v>
      </c>
      <c r="BH27" s="342">
        <v>37.035359999999997</v>
      </c>
      <c r="BI27" s="342">
        <v>38.218679999999999</v>
      </c>
      <c r="BJ27" s="342">
        <v>44.242939999999997</v>
      </c>
      <c r="BK27" s="342">
        <v>50.834670000000003</v>
      </c>
      <c r="BL27" s="342">
        <v>40.646720000000002</v>
      </c>
      <c r="BM27" s="342">
        <v>39.793599999999998</v>
      </c>
      <c r="BN27" s="342">
        <v>35.41075</v>
      </c>
      <c r="BO27" s="342">
        <v>40.954079999999998</v>
      </c>
      <c r="BP27" s="342">
        <v>48.212490000000003</v>
      </c>
      <c r="BQ27" s="342">
        <v>58.17042</v>
      </c>
      <c r="BR27" s="342">
        <v>55.50806</v>
      </c>
      <c r="BS27" s="342">
        <v>43.83099</v>
      </c>
      <c r="BT27" s="342">
        <v>39.811750000000004</v>
      </c>
      <c r="BU27" s="342">
        <v>35.152070000000002</v>
      </c>
      <c r="BV27" s="342">
        <v>44.859969999999997</v>
      </c>
    </row>
    <row r="28" spans="1:74" ht="11.1" customHeight="1" x14ac:dyDescent="0.2">
      <c r="A28" s="90"/>
      <c r="B28" s="94"/>
      <c r="C28" s="265"/>
      <c r="D28" s="265"/>
      <c r="E28" s="265"/>
      <c r="F28" s="265"/>
      <c r="G28" s="265"/>
      <c r="H28" s="265"/>
      <c r="I28" s="265"/>
      <c r="J28" s="265"/>
      <c r="K28" s="265"/>
      <c r="L28" s="265"/>
      <c r="M28" s="265"/>
      <c r="N28" s="265"/>
      <c r="O28" s="265"/>
      <c r="P28" s="265"/>
      <c r="Q28" s="265"/>
      <c r="R28" s="265"/>
      <c r="S28" s="265"/>
      <c r="T28" s="265"/>
      <c r="U28" s="265"/>
      <c r="V28" s="265"/>
      <c r="W28" s="265"/>
      <c r="X28" s="265"/>
      <c r="Y28" s="265"/>
      <c r="Z28" s="265"/>
      <c r="AA28" s="265"/>
      <c r="AB28" s="265"/>
      <c r="AC28" s="265"/>
      <c r="AD28" s="265"/>
      <c r="AE28" s="265"/>
      <c r="AF28" s="265"/>
      <c r="AG28" s="265"/>
      <c r="AH28" s="265"/>
      <c r="AI28" s="265"/>
      <c r="AJ28" s="265"/>
      <c r="AK28" s="265"/>
      <c r="AL28" s="265"/>
      <c r="AM28" s="265"/>
      <c r="AN28" s="265"/>
      <c r="AO28" s="265"/>
      <c r="AP28" s="265"/>
      <c r="AQ28" s="265"/>
      <c r="AR28" s="265"/>
      <c r="AS28" s="265"/>
      <c r="AT28" s="265"/>
      <c r="AU28" s="265"/>
      <c r="AV28" s="265"/>
      <c r="AW28" s="265"/>
      <c r="AX28" s="265"/>
      <c r="AY28" s="265"/>
      <c r="AZ28" s="265"/>
      <c r="BA28" s="265"/>
      <c r="BB28" s="265"/>
      <c r="BC28" s="265"/>
      <c r="BD28" s="265"/>
      <c r="BE28" s="265"/>
      <c r="BF28" s="265"/>
      <c r="BG28" s="375"/>
      <c r="BH28" s="375"/>
      <c r="BI28" s="375"/>
      <c r="BJ28" s="375"/>
      <c r="BK28" s="375"/>
      <c r="BL28" s="375"/>
      <c r="BM28" s="375"/>
      <c r="BN28" s="375"/>
      <c r="BO28" s="375"/>
      <c r="BP28" s="375"/>
      <c r="BQ28" s="375"/>
      <c r="BR28" s="375"/>
      <c r="BS28" s="375"/>
      <c r="BT28" s="375"/>
      <c r="BU28" s="375"/>
      <c r="BV28" s="375"/>
    </row>
    <row r="29" spans="1:74" ht="11.1" customHeight="1" x14ac:dyDescent="0.2">
      <c r="A29" s="93" t="s">
        <v>224</v>
      </c>
      <c r="B29" s="97" t="s">
        <v>170</v>
      </c>
      <c r="C29" s="256">
        <v>0.49371956299999997</v>
      </c>
      <c r="D29" s="256">
        <v>-0.25319546300000001</v>
      </c>
      <c r="E29" s="256">
        <v>3.3800645579999999</v>
      </c>
      <c r="F29" s="256">
        <v>0.27131172999999997</v>
      </c>
      <c r="G29" s="256">
        <v>2.990457213</v>
      </c>
      <c r="H29" s="256">
        <v>-0.47500700000000001</v>
      </c>
      <c r="I29" s="256">
        <v>-2.439473091</v>
      </c>
      <c r="J29" s="256">
        <v>-1.3720615119999999</v>
      </c>
      <c r="K29" s="256">
        <v>7.3872199999999999E-3</v>
      </c>
      <c r="L29" s="256">
        <v>2.7367301730000002</v>
      </c>
      <c r="M29" s="256">
        <v>0.93688331999999996</v>
      </c>
      <c r="N29" s="256">
        <v>-3.828051114</v>
      </c>
      <c r="O29" s="256">
        <v>1.1605316210000001</v>
      </c>
      <c r="P29" s="256">
        <v>2.3827461599999999</v>
      </c>
      <c r="Q29" s="256">
        <v>3.4355056429999999</v>
      </c>
      <c r="R29" s="256">
        <v>1.89818445</v>
      </c>
      <c r="S29" s="256">
        <v>3.5361935459999998</v>
      </c>
      <c r="T29" s="256">
        <v>2.5919586099999998</v>
      </c>
      <c r="U29" s="256">
        <v>-6.473404972</v>
      </c>
      <c r="V29" s="256">
        <v>-0.71326744799999997</v>
      </c>
      <c r="W29" s="256">
        <v>-1.37835215</v>
      </c>
      <c r="X29" s="256">
        <v>2.1367081159999999</v>
      </c>
      <c r="Y29" s="256">
        <v>-1.6630012700000001</v>
      </c>
      <c r="Z29" s="256">
        <v>-2.3515101509999998</v>
      </c>
      <c r="AA29" s="256">
        <v>-0.61797404600000005</v>
      </c>
      <c r="AB29" s="256">
        <v>5.1846599099999997</v>
      </c>
      <c r="AC29" s="256">
        <v>3.6047828220000002</v>
      </c>
      <c r="AD29" s="256">
        <v>2.0696149899999998</v>
      </c>
      <c r="AE29" s="256">
        <v>2.2542127330000001</v>
      </c>
      <c r="AF29" s="256">
        <v>-0.74030761</v>
      </c>
      <c r="AG29" s="256">
        <v>-0.493178112</v>
      </c>
      <c r="AH29" s="256">
        <v>-1.580628369</v>
      </c>
      <c r="AI29" s="256">
        <v>-1.6243230799999999</v>
      </c>
      <c r="AJ29" s="256">
        <v>3.5360015000000002E-2</v>
      </c>
      <c r="AK29" s="256">
        <v>-0.83588112000000003</v>
      </c>
      <c r="AL29" s="256">
        <v>-1.925949119</v>
      </c>
      <c r="AM29" s="256">
        <v>1.4310059070000001</v>
      </c>
      <c r="AN29" s="256">
        <v>2.3994792239999998</v>
      </c>
      <c r="AO29" s="256">
        <v>1.139391061</v>
      </c>
      <c r="AP29" s="256">
        <v>6.5888178999999996</v>
      </c>
      <c r="AQ29" s="256">
        <v>1.5963490499999999</v>
      </c>
      <c r="AR29" s="256">
        <v>4.9446999999999998E-3</v>
      </c>
      <c r="AS29" s="256">
        <v>0.38810895299999998</v>
      </c>
      <c r="AT29" s="256">
        <v>0.60416570800000002</v>
      </c>
      <c r="AU29" s="256">
        <v>-0.14933332999999999</v>
      </c>
      <c r="AV29" s="256">
        <v>1.6079468480000001</v>
      </c>
      <c r="AW29" s="256">
        <v>-2.1045092599999999</v>
      </c>
      <c r="AX29" s="256">
        <v>-1.377372772</v>
      </c>
      <c r="AY29" s="256">
        <v>4.2339728189999999</v>
      </c>
      <c r="AZ29" s="256">
        <v>0.33741682899999997</v>
      </c>
      <c r="BA29" s="256">
        <v>1.872117477</v>
      </c>
      <c r="BB29" s="256">
        <v>-0.67295523000000002</v>
      </c>
      <c r="BC29" s="256">
        <v>-0.33149648997999998</v>
      </c>
      <c r="BD29" s="256">
        <v>-0.32544230000000002</v>
      </c>
      <c r="BE29" s="256">
        <v>-8.3069920800000006</v>
      </c>
      <c r="BF29" s="256">
        <v>-5.9268103371</v>
      </c>
      <c r="BG29" s="342">
        <v>-0.84634969999999998</v>
      </c>
      <c r="BH29" s="342">
        <v>4.2814199999999998</v>
      </c>
      <c r="BI29" s="342">
        <v>-6.41153</v>
      </c>
      <c r="BJ29" s="342">
        <v>-2.4078379999999999</v>
      </c>
      <c r="BK29" s="342">
        <v>3.8198460000000001</v>
      </c>
      <c r="BL29" s="342">
        <v>1.8054650000000001</v>
      </c>
      <c r="BM29" s="342">
        <v>-3.788125</v>
      </c>
      <c r="BN29" s="342">
        <v>-2.8120219999999998</v>
      </c>
      <c r="BO29" s="342">
        <v>-4.3709949999999997</v>
      </c>
      <c r="BP29" s="342">
        <v>-2.2472370000000002</v>
      </c>
      <c r="BQ29" s="342">
        <v>-3.9899239999999998</v>
      </c>
      <c r="BR29" s="342">
        <v>-0.72771260000000004</v>
      </c>
      <c r="BS29" s="342">
        <v>1.0247999999999999</v>
      </c>
      <c r="BT29" s="342">
        <v>3.60345</v>
      </c>
      <c r="BU29" s="342">
        <v>3.0399449999999999</v>
      </c>
      <c r="BV29" s="342">
        <v>5.3598280000000003</v>
      </c>
    </row>
    <row r="30" spans="1:74" ht="11.1" customHeight="1" x14ac:dyDescent="0.2">
      <c r="A30" s="93"/>
      <c r="B30" s="97"/>
      <c r="C30" s="265"/>
      <c r="D30" s="265"/>
      <c r="E30" s="265"/>
      <c r="F30" s="265"/>
      <c r="G30" s="265"/>
      <c r="H30" s="265"/>
      <c r="I30" s="265"/>
      <c r="J30" s="265"/>
      <c r="K30" s="265"/>
      <c r="L30" s="265"/>
      <c r="M30" s="265"/>
      <c r="N30" s="265"/>
      <c r="O30" s="265"/>
      <c r="P30" s="265"/>
      <c r="Q30" s="265"/>
      <c r="R30" s="265"/>
      <c r="S30" s="265"/>
      <c r="T30" s="265"/>
      <c r="U30" s="265"/>
      <c r="V30" s="265"/>
      <c r="W30" s="265"/>
      <c r="X30" s="265"/>
      <c r="Y30" s="265"/>
      <c r="Z30" s="265"/>
      <c r="AA30" s="265"/>
      <c r="AB30" s="265"/>
      <c r="AC30" s="265"/>
      <c r="AD30" s="265"/>
      <c r="AE30" s="265"/>
      <c r="AF30" s="265"/>
      <c r="AG30" s="265"/>
      <c r="AH30" s="265"/>
      <c r="AI30" s="265"/>
      <c r="AJ30" s="265"/>
      <c r="AK30" s="265"/>
      <c r="AL30" s="265"/>
      <c r="AM30" s="265"/>
      <c r="AN30" s="265"/>
      <c r="AO30" s="265"/>
      <c r="AP30" s="265"/>
      <c r="AQ30" s="265"/>
      <c r="AR30" s="265"/>
      <c r="AS30" s="265"/>
      <c r="AT30" s="265"/>
      <c r="AU30" s="265"/>
      <c r="AV30" s="265"/>
      <c r="AW30" s="265"/>
      <c r="AX30" s="265"/>
      <c r="AY30" s="265"/>
      <c r="AZ30" s="265"/>
      <c r="BA30" s="265"/>
      <c r="BB30" s="265"/>
      <c r="BC30" s="265"/>
      <c r="BD30" s="265"/>
      <c r="BE30" s="265"/>
      <c r="BF30" s="265"/>
      <c r="BG30" s="375"/>
      <c r="BH30" s="375"/>
      <c r="BI30" s="375"/>
      <c r="BJ30" s="375"/>
      <c r="BK30" s="375"/>
      <c r="BL30" s="375"/>
      <c r="BM30" s="375"/>
      <c r="BN30" s="375"/>
      <c r="BO30" s="375"/>
      <c r="BP30" s="375"/>
      <c r="BQ30" s="375"/>
      <c r="BR30" s="375"/>
      <c r="BS30" s="375"/>
      <c r="BT30" s="375"/>
      <c r="BU30" s="375"/>
      <c r="BV30" s="375"/>
    </row>
    <row r="31" spans="1:74" ht="11.1" customHeight="1" x14ac:dyDescent="0.2">
      <c r="A31" s="93"/>
      <c r="B31" s="91" t="s">
        <v>694</v>
      </c>
      <c r="C31" s="232"/>
      <c r="D31" s="232"/>
      <c r="E31" s="232"/>
      <c r="F31" s="232"/>
      <c r="G31" s="232"/>
      <c r="H31" s="232"/>
      <c r="I31" s="232"/>
      <c r="J31" s="232"/>
      <c r="K31" s="232"/>
      <c r="L31" s="232"/>
      <c r="M31" s="232"/>
      <c r="N31" s="232"/>
      <c r="O31" s="232"/>
      <c r="P31" s="232"/>
      <c r="Q31" s="232"/>
      <c r="R31" s="232"/>
      <c r="S31" s="232"/>
      <c r="T31" s="232"/>
      <c r="U31" s="232"/>
      <c r="V31" s="232"/>
      <c r="W31" s="232"/>
      <c r="X31" s="232"/>
      <c r="Y31" s="232"/>
      <c r="Z31" s="232"/>
      <c r="AA31" s="232"/>
      <c r="AB31" s="232"/>
      <c r="AC31" s="232"/>
      <c r="AD31" s="232"/>
      <c r="AE31" s="232"/>
      <c r="AF31" s="232"/>
      <c r="AG31" s="232"/>
      <c r="AH31" s="232"/>
      <c r="AI31" s="232"/>
      <c r="AJ31" s="232"/>
      <c r="AK31" s="232"/>
      <c r="AL31" s="232"/>
      <c r="AM31" s="232"/>
      <c r="AN31" s="232"/>
      <c r="AO31" s="232"/>
      <c r="AP31" s="232"/>
      <c r="AQ31" s="232"/>
      <c r="AR31" s="232"/>
      <c r="AS31" s="232"/>
      <c r="AT31" s="232"/>
      <c r="AU31" s="232"/>
      <c r="AV31" s="232"/>
      <c r="AW31" s="232"/>
      <c r="AX31" s="232"/>
      <c r="AY31" s="232"/>
      <c r="AZ31" s="232"/>
      <c r="BA31" s="232"/>
      <c r="BB31" s="232"/>
      <c r="BC31" s="232"/>
      <c r="BD31" s="232"/>
      <c r="BE31" s="232"/>
      <c r="BF31" s="232"/>
      <c r="BG31" s="376"/>
      <c r="BH31" s="376"/>
      <c r="BI31" s="376"/>
      <c r="BJ31" s="376"/>
      <c r="BK31" s="376"/>
      <c r="BL31" s="376"/>
      <c r="BM31" s="376"/>
      <c r="BN31" s="376"/>
      <c r="BO31" s="376"/>
      <c r="BP31" s="376"/>
      <c r="BQ31" s="376"/>
      <c r="BR31" s="376"/>
      <c r="BS31" s="376"/>
      <c r="BT31" s="376"/>
      <c r="BU31" s="376"/>
      <c r="BV31" s="376"/>
    </row>
    <row r="32" spans="1:74" ht="11.1" customHeight="1" x14ac:dyDescent="0.2">
      <c r="A32" s="93" t="s">
        <v>629</v>
      </c>
      <c r="B32" s="199" t="s">
        <v>191</v>
      </c>
      <c r="C32" s="256">
        <v>35.235999999999997</v>
      </c>
      <c r="D32" s="256">
        <v>35.258000000000003</v>
      </c>
      <c r="E32" s="256">
        <v>35.207000000000001</v>
      </c>
      <c r="F32" s="256">
        <v>35.011000000000003</v>
      </c>
      <c r="G32" s="256">
        <v>34.052999999999997</v>
      </c>
      <c r="H32" s="256">
        <v>32.932000000000002</v>
      </c>
      <c r="I32" s="256">
        <v>31.393000000000001</v>
      </c>
      <c r="J32" s="256">
        <v>29.126000000000001</v>
      </c>
      <c r="K32" s="256">
        <v>27.282</v>
      </c>
      <c r="L32" s="256">
        <v>26.425000000000001</v>
      </c>
      <c r="M32" s="256">
        <v>25.645</v>
      </c>
      <c r="N32" s="256">
        <v>25.309000000000001</v>
      </c>
      <c r="O32" s="256">
        <v>24.974</v>
      </c>
      <c r="P32" s="256">
        <v>25.17</v>
      </c>
      <c r="Q32" s="256">
        <v>25.19</v>
      </c>
      <c r="R32" s="256">
        <v>25.169</v>
      </c>
      <c r="S32" s="256">
        <v>24.35</v>
      </c>
      <c r="T32" s="256">
        <v>23.43</v>
      </c>
      <c r="U32" s="256">
        <v>25.465</v>
      </c>
      <c r="V32" s="256">
        <v>24.225999999999999</v>
      </c>
      <c r="W32" s="256">
        <v>23.43</v>
      </c>
      <c r="X32" s="256">
        <v>23.459</v>
      </c>
      <c r="Y32" s="256">
        <v>23.704999999999998</v>
      </c>
      <c r="Z32" s="256">
        <v>23.998999999999999</v>
      </c>
      <c r="AA32" s="256">
        <v>24.768999999999998</v>
      </c>
      <c r="AB32" s="256">
        <v>24.937578970000001</v>
      </c>
      <c r="AC32" s="256">
        <v>24.73547048</v>
      </c>
      <c r="AD32" s="256">
        <v>23.41664278</v>
      </c>
      <c r="AE32" s="256">
        <v>22.84105272</v>
      </c>
      <c r="AF32" s="256">
        <v>22.99659243</v>
      </c>
      <c r="AG32" s="256">
        <v>21.024870499999999</v>
      </c>
      <c r="AH32" s="256">
        <v>21.80629454</v>
      </c>
      <c r="AI32" s="256">
        <v>22.53724734</v>
      </c>
      <c r="AJ32" s="256">
        <v>21.8777683</v>
      </c>
      <c r="AK32" s="256">
        <v>22.419307270000001</v>
      </c>
      <c r="AL32" s="256">
        <v>21.692</v>
      </c>
      <c r="AM32" s="256">
        <v>21.390999999999998</v>
      </c>
      <c r="AN32" s="256">
        <v>23.050999999999998</v>
      </c>
      <c r="AO32" s="256">
        <v>23.158000000000001</v>
      </c>
      <c r="AP32" s="256">
        <v>21.343</v>
      </c>
      <c r="AQ32" s="256">
        <v>22.193000000000001</v>
      </c>
      <c r="AR32" s="256">
        <v>21.878</v>
      </c>
      <c r="AS32" s="256">
        <v>21.977</v>
      </c>
      <c r="AT32" s="256">
        <v>22.5</v>
      </c>
      <c r="AU32" s="256">
        <v>23.073</v>
      </c>
      <c r="AV32" s="256">
        <v>24.213000000000001</v>
      </c>
      <c r="AW32" s="256">
        <v>24.567</v>
      </c>
      <c r="AX32" s="256">
        <v>24.437999999999999</v>
      </c>
      <c r="AY32" s="256">
        <v>24.5</v>
      </c>
      <c r="AZ32" s="256">
        <v>24.920999999999999</v>
      </c>
      <c r="BA32" s="256">
        <v>24.946999999999999</v>
      </c>
      <c r="BB32" s="256">
        <v>25.286000000000001</v>
      </c>
      <c r="BC32" s="256">
        <v>25.64</v>
      </c>
      <c r="BD32" s="256">
        <v>24.128</v>
      </c>
      <c r="BE32" s="256">
        <v>25.66845</v>
      </c>
      <c r="BF32" s="256">
        <v>25.93985</v>
      </c>
      <c r="BG32" s="342">
        <v>25.487729999999999</v>
      </c>
      <c r="BH32" s="342">
        <v>26.93901</v>
      </c>
      <c r="BI32" s="342">
        <v>27.117450000000002</v>
      </c>
      <c r="BJ32" s="342">
        <v>26.883459999999999</v>
      </c>
      <c r="BK32" s="342">
        <v>26.102340000000002</v>
      </c>
      <c r="BL32" s="342">
        <v>26.50601</v>
      </c>
      <c r="BM32" s="342">
        <v>26.221810000000001</v>
      </c>
      <c r="BN32" s="342">
        <v>26.473800000000001</v>
      </c>
      <c r="BO32" s="342">
        <v>26.63776</v>
      </c>
      <c r="BP32" s="342">
        <v>24.72448</v>
      </c>
      <c r="BQ32" s="342">
        <v>22.717079999999999</v>
      </c>
      <c r="BR32" s="342">
        <v>22.989100000000001</v>
      </c>
      <c r="BS32" s="342">
        <v>22.795660000000002</v>
      </c>
      <c r="BT32" s="342">
        <v>23.774069999999998</v>
      </c>
      <c r="BU32" s="342">
        <v>24.025200000000002</v>
      </c>
      <c r="BV32" s="342">
        <v>24.845929999999999</v>
      </c>
    </row>
    <row r="33" spans="1:74" ht="11.1" customHeight="1" x14ac:dyDescent="0.2">
      <c r="A33" s="98" t="s">
        <v>630</v>
      </c>
      <c r="B33" s="200" t="s">
        <v>95</v>
      </c>
      <c r="C33" s="256">
        <v>193.944963</v>
      </c>
      <c r="D33" s="256">
        <v>193.53549000000001</v>
      </c>
      <c r="E33" s="256">
        <v>197.75456</v>
      </c>
      <c r="F33" s="256">
        <v>199.310911</v>
      </c>
      <c r="G33" s="256">
        <v>198.46650199999999</v>
      </c>
      <c r="H33" s="256">
        <v>188.059922</v>
      </c>
      <c r="I33" s="256">
        <v>174.01779400000001</v>
      </c>
      <c r="J33" s="256">
        <v>164.73309800000001</v>
      </c>
      <c r="K33" s="256">
        <v>162.31757200000001</v>
      </c>
      <c r="L33" s="256">
        <v>166.65662599999999</v>
      </c>
      <c r="M33" s="256">
        <v>175.974628</v>
      </c>
      <c r="N33" s="256">
        <v>167.68078700000001</v>
      </c>
      <c r="O33" s="256">
        <v>161.64826199999999</v>
      </c>
      <c r="P33" s="256">
        <v>165.697835</v>
      </c>
      <c r="Q33" s="256">
        <v>166.774102</v>
      </c>
      <c r="R33" s="256">
        <v>168.99274399999999</v>
      </c>
      <c r="S33" s="256">
        <v>167.69529299999999</v>
      </c>
      <c r="T33" s="256">
        <v>163.26423</v>
      </c>
      <c r="U33" s="256">
        <v>151.14127999999999</v>
      </c>
      <c r="V33" s="256">
        <v>146.613383</v>
      </c>
      <c r="W33" s="256">
        <v>145.06004799999999</v>
      </c>
      <c r="X33" s="256">
        <v>146.87850299999999</v>
      </c>
      <c r="Y33" s="256">
        <v>148.767157</v>
      </c>
      <c r="Z33" s="256">
        <v>142.957404</v>
      </c>
      <c r="AA33" s="256">
        <v>128.30604500000001</v>
      </c>
      <c r="AB33" s="256">
        <v>125.39866499999999</v>
      </c>
      <c r="AC33" s="256">
        <v>130.681994</v>
      </c>
      <c r="AD33" s="256">
        <v>133.27605</v>
      </c>
      <c r="AE33" s="256">
        <v>132.71844300000001</v>
      </c>
      <c r="AF33" s="256">
        <v>125.808987</v>
      </c>
      <c r="AG33" s="256">
        <v>115.22479</v>
      </c>
      <c r="AH33" s="256">
        <v>108.729305</v>
      </c>
      <c r="AI33" s="256">
        <v>105.47786499999999</v>
      </c>
      <c r="AJ33" s="256">
        <v>110.021536</v>
      </c>
      <c r="AK33" s="256">
        <v>109.314238</v>
      </c>
      <c r="AL33" s="256">
        <v>108.104484</v>
      </c>
      <c r="AM33" s="256">
        <v>104.605419</v>
      </c>
      <c r="AN33" s="256">
        <v>103.977757</v>
      </c>
      <c r="AO33" s="256">
        <v>102.160025</v>
      </c>
      <c r="AP33" s="256">
        <v>114.050984</v>
      </c>
      <c r="AQ33" s="256">
        <v>121.228819</v>
      </c>
      <c r="AR33" s="256">
        <v>123.19296</v>
      </c>
      <c r="AS33" s="256">
        <v>116.54225700000001</v>
      </c>
      <c r="AT33" s="256">
        <v>116.296013</v>
      </c>
      <c r="AU33" s="256">
        <v>116.815128</v>
      </c>
      <c r="AV33" s="256">
        <v>124.899413</v>
      </c>
      <c r="AW33" s="256">
        <v>128.879739</v>
      </c>
      <c r="AX33" s="256">
        <v>134.33443500000001</v>
      </c>
      <c r="AY33" s="256">
        <v>140.08994200000001</v>
      </c>
      <c r="AZ33" s="256">
        <v>145.09543199999999</v>
      </c>
      <c r="BA33" s="256">
        <v>150.83884900000001</v>
      </c>
      <c r="BB33" s="256">
        <v>157.67284939999999</v>
      </c>
      <c r="BC33" s="256">
        <v>160.12790509999999</v>
      </c>
      <c r="BD33" s="256">
        <v>156.6179387</v>
      </c>
      <c r="BE33" s="256">
        <v>151.59481270000001</v>
      </c>
      <c r="BF33" s="256">
        <v>147.81846250000001</v>
      </c>
      <c r="BG33" s="342">
        <v>133.0566</v>
      </c>
      <c r="BH33" s="342">
        <v>150.31559999999999</v>
      </c>
      <c r="BI33" s="342">
        <v>154.78550000000001</v>
      </c>
      <c r="BJ33" s="342">
        <v>135.05330000000001</v>
      </c>
      <c r="BK33" s="342">
        <v>148.1446</v>
      </c>
      <c r="BL33" s="342">
        <v>145.52760000000001</v>
      </c>
      <c r="BM33" s="342">
        <v>153.33000000000001</v>
      </c>
      <c r="BN33" s="342">
        <v>153.5335</v>
      </c>
      <c r="BO33" s="342">
        <v>154.732</v>
      </c>
      <c r="BP33" s="342">
        <v>149.4966</v>
      </c>
      <c r="BQ33" s="342">
        <v>146.39330000000001</v>
      </c>
      <c r="BR33" s="342">
        <v>143.11150000000001</v>
      </c>
      <c r="BS33" s="342">
        <v>141.23570000000001</v>
      </c>
      <c r="BT33" s="342">
        <v>145.7243</v>
      </c>
      <c r="BU33" s="342">
        <v>150.54339999999999</v>
      </c>
      <c r="BV33" s="342">
        <v>148.87530000000001</v>
      </c>
    </row>
    <row r="34" spans="1:74" ht="11.1" customHeight="1" x14ac:dyDescent="0.2">
      <c r="A34" s="98" t="s">
        <v>63</v>
      </c>
      <c r="B34" s="200" t="s">
        <v>64</v>
      </c>
      <c r="C34" s="256">
        <v>187.203047</v>
      </c>
      <c r="D34" s="256">
        <v>187.06361799999999</v>
      </c>
      <c r="E34" s="256">
        <v>191.55273500000001</v>
      </c>
      <c r="F34" s="256">
        <v>193.18521200000001</v>
      </c>
      <c r="G34" s="256">
        <v>192.41693000000001</v>
      </c>
      <c r="H34" s="256">
        <v>182.086476</v>
      </c>
      <c r="I34" s="256">
        <v>168.11860899999999</v>
      </c>
      <c r="J34" s="256">
        <v>158.908174</v>
      </c>
      <c r="K34" s="256">
        <v>156.56690900000001</v>
      </c>
      <c r="L34" s="256">
        <v>160.93226000000001</v>
      </c>
      <c r="M34" s="256">
        <v>170.27655799999999</v>
      </c>
      <c r="N34" s="256">
        <v>162.00901400000001</v>
      </c>
      <c r="O34" s="256">
        <v>156.21421000000001</v>
      </c>
      <c r="P34" s="256">
        <v>160.50150199999999</v>
      </c>
      <c r="Q34" s="256">
        <v>161.81549000000001</v>
      </c>
      <c r="R34" s="256">
        <v>163.93691200000001</v>
      </c>
      <c r="S34" s="256">
        <v>162.54224199999999</v>
      </c>
      <c r="T34" s="256">
        <v>158.013959</v>
      </c>
      <c r="U34" s="256">
        <v>145.81148300000001</v>
      </c>
      <c r="V34" s="256">
        <v>141.204061</v>
      </c>
      <c r="W34" s="256">
        <v>139.5712</v>
      </c>
      <c r="X34" s="256">
        <v>141.46251899999999</v>
      </c>
      <c r="Y34" s="256">
        <v>143.424037</v>
      </c>
      <c r="Z34" s="256">
        <v>137.68714800000001</v>
      </c>
      <c r="AA34" s="256">
        <v>123.234514</v>
      </c>
      <c r="AB34" s="256">
        <v>120.52585999999999</v>
      </c>
      <c r="AC34" s="256">
        <v>126.007914</v>
      </c>
      <c r="AD34" s="256">
        <v>128.57078799999999</v>
      </c>
      <c r="AE34" s="256">
        <v>127.982</v>
      </c>
      <c r="AF34" s="256">
        <v>121.04136200000001</v>
      </c>
      <c r="AG34" s="256">
        <v>110.348409</v>
      </c>
      <c r="AH34" s="256">
        <v>103.744169</v>
      </c>
      <c r="AI34" s="256">
        <v>100.383973</v>
      </c>
      <c r="AJ34" s="256">
        <v>104.855065</v>
      </c>
      <c r="AK34" s="256">
        <v>104.075187</v>
      </c>
      <c r="AL34" s="256">
        <v>102.79285400000001</v>
      </c>
      <c r="AM34" s="256">
        <v>99.378401999999994</v>
      </c>
      <c r="AN34" s="256">
        <v>98.835352999999998</v>
      </c>
      <c r="AO34" s="256">
        <v>97.102233999999996</v>
      </c>
      <c r="AP34" s="256">
        <v>108.85160399999999</v>
      </c>
      <c r="AQ34" s="256">
        <v>115.88784800000001</v>
      </c>
      <c r="AR34" s="256">
        <v>117.71040000000001</v>
      </c>
      <c r="AS34" s="256">
        <v>110.932793</v>
      </c>
      <c r="AT34" s="256">
        <v>110.55964400000001</v>
      </c>
      <c r="AU34" s="256">
        <v>110.95185499999999</v>
      </c>
      <c r="AV34" s="256">
        <v>119.044652</v>
      </c>
      <c r="AW34" s="256">
        <v>123.033491</v>
      </c>
      <c r="AX34" s="256">
        <v>128.49669900000001</v>
      </c>
      <c r="AY34" s="256">
        <v>134.40232599999999</v>
      </c>
      <c r="AZ34" s="256">
        <v>139.55793700000001</v>
      </c>
      <c r="BA34" s="256">
        <v>145.45147399999999</v>
      </c>
      <c r="BB34" s="256">
        <v>151.99820800000001</v>
      </c>
      <c r="BC34" s="256">
        <v>154.339629</v>
      </c>
      <c r="BD34" s="256">
        <v>150.72757300000001</v>
      </c>
      <c r="BE34" s="256">
        <v>145.6671</v>
      </c>
      <c r="BF34" s="256">
        <v>141.8167</v>
      </c>
      <c r="BG34" s="342">
        <v>126.9867</v>
      </c>
      <c r="BH34" s="342">
        <v>144.34200000000001</v>
      </c>
      <c r="BI34" s="342">
        <v>148.92590000000001</v>
      </c>
      <c r="BJ34" s="342">
        <v>129.29069999999999</v>
      </c>
      <c r="BK34" s="342">
        <v>142.2689</v>
      </c>
      <c r="BL34" s="342">
        <v>140.1189</v>
      </c>
      <c r="BM34" s="342">
        <v>147.66409999999999</v>
      </c>
      <c r="BN34" s="342">
        <v>147.744</v>
      </c>
      <c r="BO34" s="342">
        <v>148.8322</v>
      </c>
      <c r="BP34" s="342">
        <v>143.5112</v>
      </c>
      <c r="BQ34" s="342">
        <v>140.3844</v>
      </c>
      <c r="BR34" s="342">
        <v>137.04329999999999</v>
      </c>
      <c r="BS34" s="342">
        <v>135.11959999999999</v>
      </c>
      <c r="BT34" s="342">
        <v>139.70320000000001</v>
      </c>
      <c r="BU34" s="342">
        <v>144.66470000000001</v>
      </c>
      <c r="BV34" s="342">
        <v>143.10079999999999</v>
      </c>
    </row>
    <row r="35" spans="1:74" ht="11.1" customHeight="1" x14ac:dyDescent="0.2">
      <c r="A35" s="98" t="s">
        <v>61</v>
      </c>
      <c r="B35" s="200" t="s">
        <v>65</v>
      </c>
      <c r="C35" s="256">
        <v>4.2395490000000002</v>
      </c>
      <c r="D35" s="256">
        <v>4.0975729999999997</v>
      </c>
      <c r="E35" s="256">
        <v>3.9555959999999999</v>
      </c>
      <c r="F35" s="256">
        <v>3.9152149999999999</v>
      </c>
      <c r="G35" s="256">
        <v>3.8748339999999999</v>
      </c>
      <c r="H35" s="256">
        <v>3.8344529999999999</v>
      </c>
      <c r="I35" s="256">
        <v>3.796265</v>
      </c>
      <c r="J35" s="256">
        <v>3.7580770000000001</v>
      </c>
      <c r="K35" s="256">
        <v>3.7198889999999998</v>
      </c>
      <c r="L35" s="256">
        <v>3.692218</v>
      </c>
      <c r="M35" s="256">
        <v>3.6645460000000001</v>
      </c>
      <c r="N35" s="256">
        <v>3.6368749999999999</v>
      </c>
      <c r="O35" s="256">
        <v>3.503212</v>
      </c>
      <c r="P35" s="256">
        <v>3.3695499999999998</v>
      </c>
      <c r="Q35" s="256">
        <v>3.235887</v>
      </c>
      <c r="R35" s="256">
        <v>3.25556</v>
      </c>
      <c r="S35" s="256">
        <v>3.2752319999999999</v>
      </c>
      <c r="T35" s="256">
        <v>3.294905</v>
      </c>
      <c r="U35" s="256">
        <v>3.357164</v>
      </c>
      <c r="V35" s="256">
        <v>3.4194230000000001</v>
      </c>
      <c r="W35" s="256">
        <v>3.4816820000000002</v>
      </c>
      <c r="X35" s="256">
        <v>3.4018329999999999</v>
      </c>
      <c r="Y35" s="256">
        <v>3.3219829999999999</v>
      </c>
      <c r="Z35" s="256">
        <v>3.2421340000000001</v>
      </c>
      <c r="AA35" s="256">
        <v>3.1251929999999999</v>
      </c>
      <c r="AB35" s="256">
        <v>3.0082529999999998</v>
      </c>
      <c r="AC35" s="256">
        <v>2.8913120000000001</v>
      </c>
      <c r="AD35" s="256">
        <v>2.8929550000000002</v>
      </c>
      <c r="AE35" s="256">
        <v>2.8945970000000001</v>
      </c>
      <c r="AF35" s="256">
        <v>2.8962400000000001</v>
      </c>
      <c r="AG35" s="256">
        <v>2.9386009999999998</v>
      </c>
      <c r="AH35" s="256">
        <v>2.9809610000000002</v>
      </c>
      <c r="AI35" s="256">
        <v>3.0233219999999998</v>
      </c>
      <c r="AJ35" s="256">
        <v>3.1015000000000001</v>
      </c>
      <c r="AK35" s="256">
        <v>3.1796790000000001</v>
      </c>
      <c r="AL35" s="256">
        <v>3.257857</v>
      </c>
      <c r="AM35" s="256">
        <v>3.1158079999999999</v>
      </c>
      <c r="AN35" s="256">
        <v>2.9737580000000001</v>
      </c>
      <c r="AO35" s="256">
        <v>2.831709</v>
      </c>
      <c r="AP35" s="256">
        <v>2.8828290000000001</v>
      </c>
      <c r="AQ35" s="256">
        <v>2.9339490000000001</v>
      </c>
      <c r="AR35" s="256">
        <v>2.9850690000000002</v>
      </c>
      <c r="AS35" s="256">
        <v>3.0461659999999999</v>
      </c>
      <c r="AT35" s="256">
        <v>3.107262</v>
      </c>
      <c r="AU35" s="256">
        <v>3.1683590000000001</v>
      </c>
      <c r="AV35" s="256">
        <v>3.1983519999999999</v>
      </c>
      <c r="AW35" s="256">
        <v>3.2283439999999999</v>
      </c>
      <c r="AX35" s="256">
        <v>3.258337</v>
      </c>
      <c r="AY35" s="256">
        <v>3.178547</v>
      </c>
      <c r="AZ35" s="256">
        <v>3.0987559999999998</v>
      </c>
      <c r="BA35" s="256">
        <v>3.0189659999999998</v>
      </c>
      <c r="BB35" s="256">
        <v>3.654998</v>
      </c>
      <c r="BC35" s="256">
        <v>3.6307420000000001</v>
      </c>
      <c r="BD35" s="256">
        <v>3.6075370000000002</v>
      </c>
      <c r="BE35" s="256">
        <v>3.6208079999999998</v>
      </c>
      <c r="BF35" s="256">
        <v>3.6355819999999999</v>
      </c>
      <c r="BG35" s="342">
        <v>3.6517710000000001</v>
      </c>
      <c r="BH35" s="342">
        <v>3.6036290000000002</v>
      </c>
      <c r="BI35" s="342">
        <v>3.5573730000000001</v>
      </c>
      <c r="BJ35" s="342">
        <v>3.5114519999999998</v>
      </c>
      <c r="BK35" s="342">
        <v>3.6378789999999999</v>
      </c>
      <c r="BL35" s="342">
        <v>3.3909479999999999</v>
      </c>
      <c r="BM35" s="342">
        <v>3.8065440000000001</v>
      </c>
      <c r="BN35" s="342">
        <v>3.7801079999999998</v>
      </c>
      <c r="BO35" s="342">
        <v>3.752777</v>
      </c>
      <c r="BP35" s="342">
        <v>3.7271359999999998</v>
      </c>
      <c r="BQ35" s="342">
        <v>3.737803</v>
      </c>
      <c r="BR35" s="342">
        <v>3.7503340000000001</v>
      </c>
      <c r="BS35" s="342">
        <v>3.7643520000000001</v>
      </c>
      <c r="BT35" s="342">
        <v>3.7141899999999999</v>
      </c>
      <c r="BU35" s="342">
        <v>3.665956</v>
      </c>
      <c r="BV35" s="342">
        <v>3.618115</v>
      </c>
    </row>
    <row r="36" spans="1:74" ht="11.1" customHeight="1" x14ac:dyDescent="0.2">
      <c r="A36" s="98" t="s">
        <v>62</v>
      </c>
      <c r="B36" s="200" t="s">
        <v>246</v>
      </c>
      <c r="C36" s="256">
        <v>2.1289310000000001</v>
      </c>
      <c r="D36" s="256">
        <v>2.0215879999999999</v>
      </c>
      <c r="E36" s="256">
        <v>1.9142440000000001</v>
      </c>
      <c r="F36" s="256">
        <v>1.8767229999999999</v>
      </c>
      <c r="G36" s="256">
        <v>1.839202</v>
      </c>
      <c r="H36" s="256">
        <v>1.8016810000000001</v>
      </c>
      <c r="I36" s="256">
        <v>1.7545459999999999</v>
      </c>
      <c r="J36" s="256">
        <v>1.707411</v>
      </c>
      <c r="K36" s="256">
        <v>1.6602760000000001</v>
      </c>
      <c r="L36" s="256">
        <v>1.6650879999999999</v>
      </c>
      <c r="M36" s="256">
        <v>1.6699010000000001</v>
      </c>
      <c r="N36" s="256">
        <v>1.6747129999999999</v>
      </c>
      <c r="O36" s="256">
        <v>1.579061</v>
      </c>
      <c r="P36" s="256">
        <v>1.483409</v>
      </c>
      <c r="Q36" s="256">
        <v>1.3877569999999999</v>
      </c>
      <c r="R36" s="256">
        <v>1.4671380000000001</v>
      </c>
      <c r="S36" s="256">
        <v>1.546519</v>
      </c>
      <c r="T36" s="256">
        <v>1.6258999999999999</v>
      </c>
      <c r="U36" s="256">
        <v>1.640547</v>
      </c>
      <c r="V36" s="256">
        <v>1.6551940000000001</v>
      </c>
      <c r="W36" s="256">
        <v>1.6698409999999999</v>
      </c>
      <c r="X36" s="256">
        <v>1.685878</v>
      </c>
      <c r="Y36" s="256">
        <v>1.701916</v>
      </c>
      <c r="Z36" s="256">
        <v>1.7179530000000001</v>
      </c>
      <c r="AA36" s="256">
        <v>1.6479470000000001</v>
      </c>
      <c r="AB36" s="256">
        <v>1.5779399999999999</v>
      </c>
      <c r="AC36" s="256">
        <v>1.5079340000000001</v>
      </c>
      <c r="AD36" s="256">
        <v>1.5438620000000001</v>
      </c>
      <c r="AE36" s="256">
        <v>1.5797909999999999</v>
      </c>
      <c r="AF36" s="256">
        <v>1.6157189999999999</v>
      </c>
      <c r="AG36" s="256">
        <v>1.680688</v>
      </c>
      <c r="AH36" s="256">
        <v>1.745657</v>
      </c>
      <c r="AI36" s="256">
        <v>1.8106260000000001</v>
      </c>
      <c r="AJ36" s="256">
        <v>1.80938</v>
      </c>
      <c r="AK36" s="256">
        <v>1.808135</v>
      </c>
      <c r="AL36" s="256">
        <v>1.806889</v>
      </c>
      <c r="AM36" s="256">
        <v>1.8730880000000001</v>
      </c>
      <c r="AN36" s="256">
        <v>1.939287</v>
      </c>
      <c r="AO36" s="256">
        <v>2.0054859999999999</v>
      </c>
      <c r="AP36" s="256">
        <v>2.1023290000000001</v>
      </c>
      <c r="AQ36" s="256">
        <v>2.199173</v>
      </c>
      <c r="AR36" s="256">
        <v>2.2960159999999998</v>
      </c>
      <c r="AS36" s="256">
        <v>2.35162</v>
      </c>
      <c r="AT36" s="256">
        <v>2.4072249999999999</v>
      </c>
      <c r="AU36" s="256">
        <v>2.4628290000000002</v>
      </c>
      <c r="AV36" s="256">
        <v>2.4195359999999999</v>
      </c>
      <c r="AW36" s="256">
        <v>2.3762439999999998</v>
      </c>
      <c r="AX36" s="256">
        <v>2.332951</v>
      </c>
      <c r="AY36" s="256">
        <v>2.2741609999999999</v>
      </c>
      <c r="AZ36" s="256">
        <v>2.2153710000000002</v>
      </c>
      <c r="BA36" s="256">
        <v>2.1565810000000001</v>
      </c>
      <c r="BB36" s="256">
        <v>1.825013</v>
      </c>
      <c r="BC36" s="256">
        <v>1.9559740000000001</v>
      </c>
      <c r="BD36" s="256">
        <v>2.083742</v>
      </c>
      <c r="BE36" s="256">
        <v>2.1089349999999998</v>
      </c>
      <c r="BF36" s="256">
        <v>2.1699600000000001</v>
      </c>
      <c r="BG36" s="342">
        <v>2.2241399999999998</v>
      </c>
      <c r="BH36" s="342">
        <v>2.175878</v>
      </c>
      <c r="BI36" s="342">
        <v>2.1176430000000002</v>
      </c>
      <c r="BJ36" s="342">
        <v>2.0758529999999999</v>
      </c>
      <c r="BK36" s="342">
        <v>2.0548829999999998</v>
      </c>
      <c r="BL36" s="342">
        <v>1.8495239999999999</v>
      </c>
      <c r="BM36" s="342">
        <v>1.6909259999999999</v>
      </c>
      <c r="BN36" s="342">
        <v>1.84494</v>
      </c>
      <c r="BO36" s="342">
        <v>1.9768250000000001</v>
      </c>
      <c r="BP36" s="342">
        <v>2.091405</v>
      </c>
      <c r="BQ36" s="342">
        <v>2.1062959999999999</v>
      </c>
      <c r="BR36" s="342">
        <v>2.1553179999999998</v>
      </c>
      <c r="BS36" s="342">
        <v>2.1919740000000001</v>
      </c>
      <c r="BT36" s="342">
        <v>2.147478</v>
      </c>
      <c r="BU36" s="342">
        <v>2.0632269999999999</v>
      </c>
      <c r="BV36" s="342">
        <v>2.016343</v>
      </c>
    </row>
    <row r="37" spans="1:74" ht="11.1" customHeight="1" x14ac:dyDescent="0.2">
      <c r="A37" s="98" t="s">
        <v>203</v>
      </c>
      <c r="B37" s="488" t="s">
        <v>204</v>
      </c>
      <c r="C37" s="256">
        <v>0.37343599999999999</v>
      </c>
      <c r="D37" s="256">
        <v>0.352711</v>
      </c>
      <c r="E37" s="256">
        <v>0.33198499999999997</v>
      </c>
      <c r="F37" s="256">
        <v>0.33376099999999997</v>
      </c>
      <c r="G37" s="256">
        <v>0.335536</v>
      </c>
      <c r="H37" s="256">
        <v>0.337312</v>
      </c>
      <c r="I37" s="256">
        <v>0.34837400000000002</v>
      </c>
      <c r="J37" s="256">
        <v>0.35943599999999998</v>
      </c>
      <c r="K37" s="256">
        <v>0.37049799999999999</v>
      </c>
      <c r="L37" s="256">
        <v>0.36706</v>
      </c>
      <c r="M37" s="256">
        <v>0.36362299999999997</v>
      </c>
      <c r="N37" s="256">
        <v>0.36018499999999998</v>
      </c>
      <c r="O37" s="256">
        <v>0.35177900000000001</v>
      </c>
      <c r="P37" s="256">
        <v>0.34337400000000001</v>
      </c>
      <c r="Q37" s="256">
        <v>0.33496799999999999</v>
      </c>
      <c r="R37" s="256">
        <v>0.33313399999999999</v>
      </c>
      <c r="S37" s="256">
        <v>0.33129999999999998</v>
      </c>
      <c r="T37" s="256">
        <v>0.32946599999999998</v>
      </c>
      <c r="U37" s="256">
        <v>0.33208599999999999</v>
      </c>
      <c r="V37" s="256">
        <v>0.33470499999999997</v>
      </c>
      <c r="W37" s="256">
        <v>0.33732499999999999</v>
      </c>
      <c r="X37" s="256">
        <v>0.32827299999999998</v>
      </c>
      <c r="Y37" s="256">
        <v>0.31922099999999998</v>
      </c>
      <c r="Z37" s="256">
        <v>0.31016899999999997</v>
      </c>
      <c r="AA37" s="256">
        <v>0.29839100000000002</v>
      </c>
      <c r="AB37" s="256">
        <v>0.28661199999999998</v>
      </c>
      <c r="AC37" s="256">
        <v>0.27483400000000002</v>
      </c>
      <c r="AD37" s="256">
        <v>0.26844499999999999</v>
      </c>
      <c r="AE37" s="256">
        <v>0.26205499999999998</v>
      </c>
      <c r="AF37" s="256">
        <v>0.255666</v>
      </c>
      <c r="AG37" s="256">
        <v>0.25709199999999999</v>
      </c>
      <c r="AH37" s="256">
        <v>0.25851800000000003</v>
      </c>
      <c r="AI37" s="256">
        <v>0.25994400000000001</v>
      </c>
      <c r="AJ37" s="256">
        <v>0.25559100000000001</v>
      </c>
      <c r="AK37" s="256">
        <v>0.25123699999999999</v>
      </c>
      <c r="AL37" s="256">
        <v>0.24688399999999999</v>
      </c>
      <c r="AM37" s="256">
        <v>0.238121</v>
      </c>
      <c r="AN37" s="256">
        <v>0.22935900000000001</v>
      </c>
      <c r="AO37" s="256">
        <v>0.22059599999999999</v>
      </c>
      <c r="AP37" s="256">
        <v>0.214222</v>
      </c>
      <c r="AQ37" s="256">
        <v>0.20784900000000001</v>
      </c>
      <c r="AR37" s="256">
        <v>0.20147499999999999</v>
      </c>
      <c r="AS37" s="256">
        <v>0.21167800000000001</v>
      </c>
      <c r="AT37" s="256">
        <v>0.221882</v>
      </c>
      <c r="AU37" s="256">
        <v>0.23208500000000001</v>
      </c>
      <c r="AV37" s="256">
        <v>0.236873</v>
      </c>
      <c r="AW37" s="256">
        <v>0.24166000000000001</v>
      </c>
      <c r="AX37" s="256">
        <v>0.246448</v>
      </c>
      <c r="AY37" s="256">
        <v>0.23490800000000001</v>
      </c>
      <c r="AZ37" s="256">
        <v>0.22336800000000001</v>
      </c>
      <c r="BA37" s="256">
        <v>0.21182799999999999</v>
      </c>
      <c r="BB37" s="256">
        <v>0.19463040000000001</v>
      </c>
      <c r="BC37" s="256">
        <v>0.20156009999999999</v>
      </c>
      <c r="BD37" s="256">
        <v>0.19908670000000001</v>
      </c>
      <c r="BE37" s="256">
        <v>0.1979697</v>
      </c>
      <c r="BF37" s="256">
        <v>0.19622049999999999</v>
      </c>
      <c r="BG37" s="342">
        <v>0.19396369999999999</v>
      </c>
      <c r="BH37" s="342">
        <v>0.1940269</v>
      </c>
      <c r="BI37" s="342">
        <v>0.18454329999999999</v>
      </c>
      <c r="BJ37" s="342">
        <v>0.175372</v>
      </c>
      <c r="BK37" s="342">
        <v>0.18289040000000001</v>
      </c>
      <c r="BL37" s="342">
        <v>0.16817570000000001</v>
      </c>
      <c r="BM37" s="342">
        <v>0.16840379999999999</v>
      </c>
      <c r="BN37" s="342">
        <v>0.16443279999999999</v>
      </c>
      <c r="BO37" s="342">
        <v>0.17025760000000001</v>
      </c>
      <c r="BP37" s="342">
        <v>0.1668</v>
      </c>
      <c r="BQ37" s="342">
        <v>0.1647991</v>
      </c>
      <c r="BR37" s="342">
        <v>0.162546</v>
      </c>
      <c r="BS37" s="342">
        <v>0.15979989999999999</v>
      </c>
      <c r="BT37" s="342">
        <v>0.15940660000000001</v>
      </c>
      <c r="BU37" s="342">
        <v>0.14956</v>
      </c>
      <c r="BV37" s="342">
        <v>0.14010120000000001</v>
      </c>
    </row>
    <row r="38" spans="1:74" ht="11.1" customHeight="1" x14ac:dyDescent="0.2">
      <c r="A38" s="98"/>
      <c r="B38" s="97"/>
      <c r="C38" s="99"/>
      <c r="D38" s="99"/>
      <c r="E38" s="99"/>
      <c r="F38" s="99"/>
      <c r="G38" s="99"/>
      <c r="H38" s="99"/>
      <c r="I38" s="99"/>
      <c r="J38" s="99"/>
      <c r="K38" s="99"/>
      <c r="L38" s="99"/>
      <c r="M38" s="99"/>
      <c r="N38" s="99"/>
      <c r="O38" s="99"/>
      <c r="P38" s="99"/>
      <c r="Q38" s="99"/>
      <c r="R38" s="99"/>
      <c r="S38" s="99"/>
      <c r="T38" s="99"/>
      <c r="U38" s="99"/>
      <c r="V38" s="99"/>
      <c r="W38" s="99"/>
      <c r="X38" s="99"/>
      <c r="Y38" s="99"/>
      <c r="Z38" s="99"/>
      <c r="AA38" s="99"/>
      <c r="AB38" s="99"/>
      <c r="AC38" s="99"/>
      <c r="AD38" s="99"/>
      <c r="AE38" s="99"/>
      <c r="AF38" s="99"/>
      <c r="AG38" s="99"/>
      <c r="AH38" s="99"/>
      <c r="AI38" s="99"/>
      <c r="AJ38" s="99"/>
      <c r="AK38" s="99"/>
      <c r="AL38" s="99"/>
      <c r="AM38" s="99"/>
      <c r="AN38" s="99"/>
      <c r="AO38" s="99"/>
      <c r="AP38" s="99"/>
      <c r="AQ38" s="99"/>
      <c r="AR38" s="99"/>
      <c r="AS38" s="99"/>
      <c r="AT38" s="99"/>
      <c r="AU38" s="99"/>
      <c r="AV38" s="99"/>
      <c r="AW38" s="99"/>
      <c r="AX38" s="99"/>
      <c r="AY38" s="99"/>
      <c r="AZ38" s="99"/>
      <c r="BA38" s="99"/>
      <c r="BB38" s="99"/>
      <c r="BC38" s="99"/>
      <c r="BD38" s="99"/>
      <c r="BE38" s="99"/>
      <c r="BF38" s="99"/>
      <c r="BG38" s="377"/>
      <c r="BH38" s="377"/>
      <c r="BI38" s="377"/>
      <c r="BJ38" s="377"/>
      <c r="BK38" s="377"/>
      <c r="BL38" s="377"/>
      <c r="BM38" s="377"/>
      <c r="BN38" s="377"/>
      <c r="BO38" s="377"/>
      <c r="BP38" s="377"/>
      <c r="BQ38" s="377"/>
      <c r="BR38" s="377"/>
      <c r="BS38" s="377"/>
      <c r="BT38" s="377"/>
      <c r="BU38" s="377"/>
      <c r="BV38" s="377"/>
    </row>
    <row r="39" spans="1:74" ht="11.1" customHeight="1" x14ac:dyDescent="0.2">
      <c r="A39" s="98"/>
      <c r="B39" s="91" t="s">
        <v>50</v>
      </c>
      <c r="C39" s="99"/>
      <c r="D39" s="99"/>
      <c r="E39" s="99"/>
      <c r="F39" s="99"/>
      <c r="G39" s="99"/>
      <c r="H39" s="99"/>
      <c r="I39" s="99"/>
      <c r="J39" s="99"/>
      <c r="K39" s="99"/>
      <c r="L39" s="99"/>
      <c r="M39" s="99"/>
      <c r="N39" s="99"/>
      <c r="O39" s="99"/>
      <c r="P39" s="99"/>
      <c r="Q39" s="99"/>
      <c r="R39" s="99"/>
      <c r="S39" s="99"/>
      <c r="T39" s="99"/>
      <c r="U39" s="99"/>
      <c r="V39" s="99"/>
      <c r="W39" s="99"/>
      <c r="X39" s="99"/>
      <c r="Y39" s="99"/>
      <c r="Z39" s="99"/>
      <c r="AA39" s="99"/>
      <c r="AB39" s="99"/>
      <c r="AC39" s="99"/>
      <c r="AD39" s="99"/>
      <c r="AE39" s="99"/>
      <c r="AF39" s="99"/>
      <c r="AG39" s="99"/>
      <c r="AH39" s="99"/>
      <c r="AI39" s="99"/>
      <c r="AJ39" s="99"/>
      <c r="AK39" s="99"/>
      <c r="AL39" s="99"/>
      <c r="AM39" s="99"/>
      <c r="AN39" s="99"/>
      <c r="AO39" s="99"/>
      <c r="AP39" s="99"/>
      <c r="AQ39" s="99"/>
      <c r="AR39" s="99"/>
      <c r="AS39" s="99"/>
      <c r="AT39" s="99"/>
      <c r="AU39" s="99"/>
      <c r="AV39" s="99"/>
      <c r="AW39" s="99"/>
      <c r="AX39" s="99"/>
      <c r="AY39" s="99"/>
      <c r="AZ39" s="99"/>
      <c r="BA39" s="99"/>
      <c r="BB39" s="99"/>
      <c r="BC39" s="99"/>
      <c r="BD39" s="99"/>
      <c r="BE39" s="99"/>
      <c r="BF39" s="99"/>
      <c r="BG39" s="377"/>
      <c r="BH39" s="377"/>
      <c r="BI39" s="377"/>
      <c r="BJ39" s="377"/>
      <c r="BK39" s="377"/>
      <c r="BL39" s="377"/>
      <c r="BM39" s="377"/>
      <c r="BN39" s="377"/>
      <c r="BO39" s="377"/>
      <c r="BP39" s="377"/>
      <c r="BQ39" s="377"/>
      <c r="BR39" s="377"/>
      <c r="BS39" s="377"/>
      <c r="BT39" s="377"/>
      <c r="BU39" s="377"/>
      <c r="BV39" s="377"/>
    </row>
    <row r="40" spans="1:74" ht="11.1" customHeight="1" x14ac:dyDescent="0.2">
      <c r="A40" s="98"/>
      <c r="B40" s="97" t="s">
        <v>51</v>
      </c>
      <c r="C40" s="232"/>
      <c r="D40" s="232"/>
      <c r="E40" s="232"/>
      <c r="F40" s="232"/>
      <c r="G40" s="232"/>
      <c r="H40" s="232"/>
      <c r="I40" s="232"/>
      <c r="J40" s="232"/>
      <c r="K40" s="232"/>
      <c r="L40" s="232"/>
      <c r="M40" s="232"/>
      <c r="N40" s="232"/>
      <c r="O40" s="232"/>
      <c r="P40" s="232"/>
      <c r="Q40" s="232"/>
      <c r="R40" s="232"/>
      <c r="S40" s="232"/>
      <c r="T40" s="232"/>
      <c r="U40" s="232"/>
      <c r="V40" s="232"/>
      <c r="W40" s="232"/>
      <c r="X40" s="232"/>
      <c r="Y40" s="232"/>
      <c r="Z40" s="232"/>
      <c r="AA40" s="232"/>
      <c r="AB40" s="232"/>
      <c r="AC40" s="232"/>
      <c r="AD40" s="232"/>
      <c r="AE40" s="232"/>
      <c r="AF40" s="232"/>
      <c r="AG40" s="232"/>
      <c r="AH40" s="232"/>
      <c r="AI40" s="232"/>
      <c r="AJ40" s="232"/>
      <c r="AK40" s="232"/>
      <c r="AL40" s="232"/>
      <c r="AM40" s="232"/>
      <c r="AN40" s="232"/>
      <c r="AO40" s="232"/>
      <c r="AP40" s="232"/>
      <c r="AQ40" s="232"/>
      <c r="AR40" s="232"/>
      <c r="AS40" s="232"/>
      <c r="AT40" s="232"/>
      <c r="AU40" s="232"/>
      <c r="AV40" s="232"/>
      <c r="AW40" s="232"/>
      <c r="AX40" s="232"/>
      <c r="AY40" s="232"/>
      <c r="AZ40" s="232"/>
      <c r="BA40" s="232"/>
      <c r="BB40" s="232"/>
      <c r="BC40" s="232"/>
      <c r="BD40" s="232"/>
      <c r="BE40" s="232"/>
      <c r="BF40" s="232"/>
      <c r="BG40" s="376"/>
      <c r="BH40" s="376"/>
      <c r="BI40" s="376"/>
      <c r="BJ40" s="376"/>
      <c r="BK40" s="376"/>
      <c r="BL40" s="376"/>
      <c r="BM40" s="376"/>
      <c r="BN40" s="376"/>
      <c r="BO40" s="376"/>
      <c r="BP40" s="376"/>
      <c r="BQ40" s="376"/>
      <c r="BR40" s="376"/>
      <c r="BS40" s="376"/>
      <c r="BT40" s="376"/>
      <c r="BU40" s="376"/>
      <c r="BV40" s="376"/>
    </row>
    <row r="41" spans="1:74" ht="11.1" customHeight="1" x14ac:dyDescent="0.2">
      <c r="A41" s="98" t="s">
        <v>57</v>
      </c>
      <c r="B41" s="200" t="s">
        <v>59</v>
      </c>
      <c r="C41" s="259">
        <v>6.61</v>
      </c>
      <c r="D41" s="259">
        <v>6.61</v>
      </c>
      <c r="E41" s="259">
        <v>6.61</v>
      </c>
      <c r="F41" s="259">
        <v>6.61</v>
      </c>
      <c r="G41" s="259">
        <v>6.61</v>
      </c>
      <c r="H41" s="259">
        <v>6.61</v>
      </c>
      <c r="I41" s="259">
        <v>6.61</v>
      </c>
      <c r="J41" s="259">
        <v>6.61</v>
      </c>
      <c r="K41" s="259">
        <v>6.61</v>
      </c>
      <c r="L41" s="259">
        <v>6.61</v>
      </c>
      <c r="M41" s="259">
        <v>6.61</v>
      </c>
      <c r="N41" s="259">
        <v>6.61</v>
      </c>
      <c r="O41" s="259">
        <v>6.55</v>
      </c>
      <c r="P41" s="259">
        <v>6.55</v>
      </c>
      <c r="Q41" s="259">
        <v>6.55</v>
      </c>
      <c r="R41" s="259">
        <v>6.55</v>
      </c>
      <c r="S41" s="259">
        <v>6.55</v>
      </c>
      <c r="T41" s="259">
        <v>6.55</v>
      </c>
      <c r="U41" s="259">
        <v>6.55</v>
      </c>
      <c r="V41" s="259">
        <v>6.55</v>
      </c>
      <c r="W41" s="259">
        <v>6.55</v>
      </c>
      <c r="X41" s="259">
        <v>6.55</v>
      </c>
      <c r="Y41" s="259">
        <v>6.55</v>
      </c>
      <c r="Z41" s="259">
        <v>6.55</v>
      </c>
      <c r="AA41" s="259">
        <v>6.4547315496</v>
      </c>
      <c r="AB41" s="259">
        <v>6.4547315496</v>
      </c>
      <c r="AC41" s="259">
        <v>6.4547315496</v>
      </c>
      <c r="AD41" s="259">
        <v>6.4547315496</v>
      </c>
      <c r="AE41" s="259">
        <v>6.4547315496</v>
      </c>
      <c r="AF41" s="259">
        <v>6.4547315496</v>
      </c>
      <c r="AG41" s="259">
        <v>6.4547315496</v>
      </c>
      <c r="AH41" s="259">
        <v>6.4547315496</v>
      </c>
      <c r="AI41" s="259">
        <v>6.4547315496</v>
      </c>
      <c r="AJ41" s="259">
        <v>6.4547315496</v>
      </c>
      <c r="AK41" s="259">
        <v>6.4547315496</v>
      </c>
      <c r="AL41" s="259">
        <v>6.4547315496</v>
      </c>
      <c r="AM41" s="259">
        <v>6.3676961752999999</v>
      </c>
      <c r="AN41" s="259">
        <v>6.3676961752999999</v>
      </c>
      <c r="AO41" s="259">
        <v>6.3676961752999999</v>
      </c>
      <c r="AP41" s="259">
        <v>6.3676961752999999</v>
      </c>
      <c r="AQ41" s="259">
        <v>6.3676961752999999</v>
      </c>
      <c r="AR41" s="259">
        <v>6.3676961752999999</v>
      </c>
      <c r="AS41" s="259">
        <v>6.3676961752999999</v>
      </c>
      <c r="AT41" s="259">
        <v>6.3676961752999999</v>
      </c>
      <c r="AU41" s="259">
        <v>6.3676961752999999</v>
      </c>
      <c r="AV41" s="259">
        <v>6.3676961752999999</v>
      </c>
      <c r="AW41" s="259">
        <v>6.3676961752999999</v>
      </c>
      <c r="AX41" s="259">
        <v>6.3676961752999999</v>
      </c>
      <c r="AY41" s="259">
        <v>6.3653438678000001</v>
      </c>
      <c r="AZ41" s="259">
        <v>6.3653438678000001</v>
      </c>
      <c r="BA41" s="259">
        <v>6.3653438678000001</v>
      </c>
      <c r="BB41" s="259">
        <v>6.3653438678000001</v>
      </c>
      <c r="BC41" s="259">
        <v>6.3653438678000001</v>
      </c>
      <c r="BD41" s="259">
        <v>6.3653438678000001</v>
      </c>
      <c r="BE41" s="259">
        <v>6.3653438678000001</v>
      </c>
      <c r="BF41" s="259">
        <v>6.3653438678000001</v>
      </c>
      <c r="BG41" s="378">
        <v>6.3653440000000003</v>
      </c>
      <c r="BH41" s="378">
        <v>6.3653440000000003</v>
      </c>
      <c r="BI41" s="378">
        <v>6.3653440000000003</v>
      </c>
      <c r="BJ41" s="378">
        <v>6.3653440000000003</v>
      </c>
      <c r="BK41" s="378">
        <v>6.3206499999999997</v>
      </c>
      <c r="BL41" s="378">
        <v>6.3206499999999997</v>
      </c>
      <c r="BM41" s="378">
        <v>6.3206499999999997</v>
      </c>
      <c r="BN41" s="378">
        <v>6.3206499999999997</v>
      </c>
      <c r="BO41" s="378">
        <v>6.3206499999999997</v>
      </c>
      <c r="BP41" s="378">
        <v>6.3206499999999997</v>
      </c>
      <c r="BQ41" s="378">
        <v>6.3206499999999997</v>
      </c>
      <c r="BR41" s="378">
        <v>6.3206499999999997</v>
      </c>
      <c r="BS41" s="378">
        <v>6.3206499999999997</v>
      </c>
      <c r="BT41" s="378">
        <v>6.3206499999999997</v>
      </c>
      <c r="BU41" s="378">
        <v>6.3206499999999997</v>
      </c>
      <c r="BV41" s="378">
        <v>6.3206499999999997</v>
      </c>
    </row>
    <row r="42" spans="1:74" ht="11.1" customHeight="1" x14ac:dyDescent="0.2">
      <c r="A42" s="98"/>
      <c r="B42" s="97" t="s">
        <v>55</v>
      </c>
      <c r="C42" s="231"/>
      <c r="D42" s="231"/>
      <c r="E42" s="231"/>
      <c r="F42" s="231"/>
      <c r="G42" s="231"/>
      <c r="H42" s="231"/>
      <c r="I42" s="231"/>
      <c r="J42" s="231"/>
      <c r="K42" s="231"/>
      <c r="L42" s="231"/>
      <c r="M42" s="231"/>
      <c r="N42" s="231"/>
      <c r="O42" s="231"/>
      <c r="P42" s="231"/>
      <c r="Q42" s="231"/>
      <c r="R42" s="231"/>
      <c r="S42" s="231"/>
      <c r="T42" s="231"/>
      <c r="U42" s="231"/>
      <c r="V42" s="231"/>
      <c r="W42" s="231"/>
      <c r="X42" s="231"/>
      <c r="Y42" s="231"/>
      <c r="Z42" s="231"/>
      <c r="AA42" s="231"/>
      <c r="AB42" s="231"/>
      <c r="AC42" s="231"/>
      <c r="AD42" s="231"/>
      <c r="AE42" s="231"/>
      <c r="AF42" s="231"/>
      <c r="AG42" s="231"/>
      <c r="AH42" s="231"/>
      <c r="AI42" s="231"/>
      <c r="AJ42" s="231"/>
      <c r="AK42" s="231"/>
      <c r="AL42" s="231"/>
      <c r="AM42" s="231"/>
      <c r="AN42" s="231"/>
      <c r="AO42" s="231"/>
      <c r="AP42" s="231"/>
      <c r="AQ42" s="231"/>
      <c r="AR42" s="231"/>
      <c r="AS42" s="231"/>
      <c r="AT42" s="231"/>
      <c r="AU42" s="231"/>
      <c r="AV42" s="231"/>
      <c r="AW42" s="231"/>
      <c r="AX42" s="231"/>
      <c r="AY42" s="231"/>
      <c r="AZ42" s="231"/>
      <c r="BA42" s="231"/>
      <c r="BB42" s="231"/>
      <c r="BC42" s="231"/>
      <c r="BD42" s="231"/>
      <c r="BE42" s="231"/>
      <c r="BF42" s="231"/>
      <c r="BG42" s="379"/>
      <c r="BH42" s="379"/>
      <c r="BI42" s="379"/>
      <c r="BJ42" s="379"/>
      <c r="BK42" s="379"/>
      <c r="BL42" s="379"/>
      <c r="BM42" s="379"/>
      <c r="BN42" s="379"/>
      <c r="BO42" s="379"/>
      <c r="BP42" s="379"/>
      <c r="BQ42" s="379"/>
      <c r="BR42" s="379"/>
      <c r="BS42" s="379"/>
      <c r="BT42" s="379"/>
      <c r="BU42" s="379"/>
      <c r="BV42" s="379"/>
    </row>
    <row r="43" spans="1:74" ht="11.1" customHeight="1" x14ac:dyDescent="0.2">
      <c r="A43" s="98" t="s">
        <v>605</v>
      </c>
      <c r="B43" s="200" t="s">
        <v>60</v>
      </c>
      <c r="C43" s="269">
        <v>0.23306912442</v>
      </c>
      <c r="D43" s="269">
        <v>0.2419408867</v>
      </c>
      <c r="E43" s="269">
        <v>0.23995391704999999</v>
      </c>
      <c r="F43" s="269">
        <v>0.24051428571</v>
      </c>
      <c r="G43" s="269">
        <v>0.25033179723999999</v>
      </c>
      <c r="H43" s="269">
        <v>0.25108095238</v>
      </c>
      <c r="I43" s="269">
        <v>0.24453917050999999</v>
      </c>
      <c r="J43" s="269">
        <v>0.23815668203000001</v>
      </c>
      <c r="K43" s="269">
        <v>0.23178571429</v>
      </c>
      <c r="L43" s="269">
        <v>0.22693087558</v>
      </c>
      <c r="M43" s="269">
        <v>0.22875238095</v>
      </c>
      <c r="N43" s="269">
        <v>0.23537788018</v>
      </c>
      <c r="O43" s="269">
        <v>0.24443317972</v>
      </c>
      <c r="P43" s="269">
        <v>0.25045918366999997</v>
      </c>
      <c r="Q43" s="269">
        <v>0.249</v>
      </c>
      <c r="R43" s="269">
        <v>0.2465952381</v>
      </c>
      <c r="S43" s="269">
        <v>0.24871889401</v>
      </c>
      <c r="T43" s="269">
        <v>0.24690952381</v>
      </c>
      <c r="U43" s="269">
        <v>0.25118433179999999</v>
      </c>
      <c r="V43" s="269">
        <v>0.2512718894</v>
      </c>
      <c r="W43" s="269">
        <v>0.24677142857000001</v>
      </c>
      <c r="X43" s="269">
        <v>0.24806451613</v>
      </c>
      <c r="Y43" s="269">
        <v>0.24651904761999999</v>
      </c>
      <c r="Z43" s="269">
        <v>0.24038709677</v>
      </c>
      <c r="AA43" s="269">
        <v>0.24292626728</v>
      </c>
      <c r="AB43" s="269">
        <v>0.25241836735000001</v>
      </c>
      <c r="AC43" s="269">
        <v>0.25819354839000003</v>
      </c>
      <c r="AD43" s="269">
        <v>0.25464285714000001</v>
      </c>
      <c r="AE43" s="269">
        <v>0.25275115206999998</v>
      </c>
      <c r="AF43" s="269">
        <v>0.25158095238</v>
      </c>
      <c r="AG43" s="269">
        <v>0.25836866358999999</v>
      </c>
      <c r="AH43" s="269">
        <v>0.26530414746999997</v>
      </c>
      <c r="AI43" s="269">
        <v>0.26638571429000002</v>
      </c>
      <c r="AJ43" s="269">
        <v>0.26890322580999998</v>
      </c>
      <c r="AK43" s="269">
        <v>0.27294285713999999</v>
      </c>
      <c r="AL43" s="269">
        <v>0.26907373272000001</v>
      </c>
      <c r="AM43" s="269">
        <v>0.27165898618000001</v>
      </c>
      <c r="AN43" s="269">
        <v>0.27174999999999999</v>
      </c>
      <c r="AO43" s="269">
        <v>0.27561290322999998</v>
      </c>
      <c r="AP43" s="269">
        <v>0.27287619048</v>
      </c>
      <c r="AQ43" s="269">
        <v>0.27204147465</v>
      </c>
      <c r="AR43" s="269">
        <v>0.26721658986000002</v>
      </c>
      <c r="AS43" s="269">
        <v>0.26660952381000003</v>
      </c>
      <c r="AT43" s="269">
        <v>0.26590322580999998</v>
      </c>
      <c r="AU43" s="269">
        <v>0.25984761904999998</v>
      </c>
      <c r="AV43" s="269">
        <v>0.26339170506999998</v>
      </c>
      <c r="AW43" s="269">
        <v>0.26578095237999999</v>
      </c>
      <c r="AX43" s="269">
        <v>0.26488479262999998</v>
      </c>
      <c r="AY43" s="269">
        <v>0.27403686636000002</v>
      </c>
      <c r="AZ43" s="269">
        <v>0.27253201970000002</v>
      </c>
      <c r="BA43" s="269">
        <v>0.25678801842999999</v>
      </c>
      <c r="BB43" s="269">
        <v>0.18255714285999999</v>
      </c>
      <c r="BC43" s="269">
        <v>0.16480184332</v>
      </c>
      <c r="BD43" s="269">
        <v>0.17472380952</v>
      </c>
      <c r="BE43" s="269">
        <v>0.18638248848</v>
      </c>
      <c r="BF43" s="269">
        <v>0.19709359605999999</v>
      </c>
      <c r="BG43" s="361">
        <v>0.2017861</v>
      </c>
      <c r="BH43" s="361">
        <v>0.20621030000000001</v>
      </c>
      <c r="BI43" s="361">
        <v>0.21082680000000001</v>
      </c>
      <c r="BJ43" s="361">
        <v>0.2257025</v>
      </c>
      <c r="BK43" s="361">
        <v>0.25486490000000001</v>
      </c>
      <c r="BL43" s="361">
        <v>0.25981189999999998</v>
      </c>
      <c r="BM43" s="361">
        <v>0.25495590000000001</v>
      </c>
      <c r="BN43" s="361">
        <v>0.234571</v>
      </c>
      <c r="BO43" s="361">
        <v>0.2268164</v>
      </c>
      <c r="BP43" s="361">
        <v>0.22297600000000001</v>
      </c>
      <c r="BQ43" s="361">
        <v>0.22364629999999999</v>
      </c>
      <c r="BR43" s="361">
        <v>0.2335826</v>
      </c>
      <c r="BS43" s="361">
        <v>0.24466599999999999</v>
      </c>
      <c r="BT43" s="361">
        <v>0.2578781</v>
      </c>
      <c r="BU43" s="361">
        <v>0.27366970000000002</v>
      </c>
      <c r="BV43" s="361">
        <v>0.29228730000000003</v>
      </c>
    </row>
    <row r="44" spans="1:74" ht="11.1" customHeight="1" x14ac:dyDescent="0.2">
      <c r="A44" s="98"/>
      <c r="B44" s="97" t="s">
        <v>56</v>
      </c>
      <c r="C44" s="231"/>
      <c r="D44" s="231"/>
      <c r="E44" s="231"/>
      <c r="F44" s="231"/>
      <c r="G44" s="231"/>
      <c r="H44" s="231"/>
      <c r="I44" s="231"/>
      <c r="J44" s="231"/>
      <c r="K44" s="231"/>
      <c r="L44" s="231"/>
      <c r="M44" s="231"/>
      <c r="N44" s="231"/>
      <c r="O44" s="231"/>
      <c r="P44" s="231"/>
      <c r="Q44" s="231"/>
      <c r="R44" s="231"/>
      <c r="S44" s="231"/>
      <c r="T44" s="231"/>
      <c r="U44" s="231"/>
      <c r="V44" s="231"/>
      <c r="W44" s="231"/>
      <c r="X44" s="231"/>
      <c r="Y44" s="231"/>
      <c r="Z44" s="231"/>
      <c r="AA44" s="231"/>
      <c r="AB44" s="231"/>
      <c r="AC44" s="231"/>
      <c r="AD44" s="231"/>
      <c r="AE44" s="231"/>
      <c r="AF44" s="231"/>
      <c r="AG44" s="231"/>
      <c r="AH44" s="231"/>
      <c r="AI44" s="231"/>
      <c r="AJ44" s="231"/>
      <c r="AK44" s="231"/>
      <c r="AL44" s="231"/>
      <c r="AM44" s="231"/>
      <c r="AN44" s="231"/>
      <c r="AO44" s="231"/>
      <c r="AP44" s="231"/>
      <c r="AQ44" s="231"/>
      <c r="AR44" s="231"/>
      <c r="AS44" s="231"/>
      <c r="AT44" s="231"/>
      <c r="AU44" s="231"/>
      <c r="AV44" s="231"/>
      <c r="AW44" s="231"/>
      <c r="AX44" s="231"/>
      <c r="AY44" s="231"/>
      <c r="AZ44" s="231"/>
      <c r="BA44" s="231"/>
      <c r="BB44" s="231"/>
      <c r="BC44" s="231"/>
      <c r="BD44" s="231"/>
      <c r="BE44" s="231"/>
      <c r="BF44" s="231"/>
      <c r="BG44" s="379"/>
      <c r="BH44" s="379"/>
      <c r="BI44" s="379"/>
      <c r="BJ44" s="379"/>
      <c r="BK44" s="379"/>
      <c r="BL44" s="379"/>
      <c r="BM44" s="379"/>
      <c r="BN44" s="379"/>
      <c r="BO44" s="379"/>
      <c r="BP44" s="379"/>
      <c r="BQ44" s="379"/>
      <c r="BR44" s="379"/>
      <c r="BS44" s="379"/>
      <c r="BT44" s="379"/>
      <c r="BU44" s="379"/>
      <c r="BV44" s="379"/>
    </row>
    <row r="45" spans="1:74" ht="11.1" customHeight="1" x14ac:dyDescent="0.2">
      <c r="A45" s="98" t="s">
        <v>537</v>
      </c>
      <c r="B45" s="201" t="s">
        <v>58</v>
      </c>
      <c r="C45" s="214">
        <v>2.12</v>
      </c>
      <c r="D45" s="214">
        <v>2.11</v>
      </c>
      <c r="E45" s="214">
        <v>2.17</v>
      </c>
      <c r="F45" s="214">
        <v>2.16</v>
      </c>
      <c r="G45" s="214">
        <v>2.16</v>
      </c>
      <c r="H45" s="214">
        <v>2.1</v>
      </c>
      <c r="I45" s="214">
        <v>2.11</v>
      </c>
      <c r="J45" s="214">
        <v>2.11</v>
      </c>
      <c r="K45" s="214">
        <v>2.12</v>
      </c>
      <c r="L45" s="214">
        <v>2.0699999999999998</v>
      </c>
      <c r="M45" s="214">
        <v>2.08</v>
      </c>
      <c r="N45" s="214">
        <v>2.08</v>
      </c>
      <c r="O45" s="214">
        <v>2.09</v>
      </c>
      <c r="P45" s="214">
        <v>2.06</v>
      </c>
      <c r="Q45" s="214">
        <v>2.0699999999999998</v>
      </c>
      <c r="R45" s="214">
        <v>2.08</v>
      </c>
      <c r="S45" s="214">
        <v>2.09</v>
      </c>
      <c r="T45" s="214">
        <v>2.0699999999999998</v>
      </c>
      <c r="U45" s="214">
        <v>2.06</v>
      </c>
      <c r="V45" s="214">
        <v>2.0499999999999998</v>
      </c>
      <c r="W45" s="214">
        <v>2.02</v>
      </c>
      <c r="X45" s="214">
        <v>2.0299999999999998</v>
      </c>
      <c r="Y45" s="214">
        <v>2.04</v>
      </c>
      <c r="Z45" s="214">
        <v>2.04</v>
      </c>
      <c r="AA45" s="214">
        <v>2.06</v>
      </c>
      <c r="AB45" s="214">
        <v>2.0699999999999998</v>
      </c>
      <c r="AC45" s="214">
        <v>2.04</v>
      </c>
      <c r="AD45" s="214">
        <v>2.0699999999999998</v>
      </c>
      <c r="AE45" s="214">
        <v>2.04</v>
      </c>
      <c r="AF45" s="214">
        <v>2.04</v>
      </c>
      <c r="AG45" s="214">
        <v>2.0499999999999998</v>
      </c>
      <c r="AH45" s="214">
        <v>2.06</v>
      </c>
      <c r="AI45" s="214">
        <v>2.0499999999999998</v>
      </c>
      <c r="AJ45" s="214">
        <v>2.04</v>
      </c>
      <c r="AK45" s="214">
        <v>2.06</v>
      </c>
      <c r="AL45" s="214">
        <v>2.11</v>
      </c>
      <c r="AM45" s="214">
        <v>2.1</v>
      </c>
      <c r="AN45" s="214">
        <v>2.0699999999999998</v>
      </c>
      <c r="AO45" s="214">
        <v>2.08</v>
      </c>
      <c r="AP45" s="214">
        <v>2.0699999999999998</v>
      </c>
      <c r="AQ45" s="214">
        <v>2.06</v>
      </c>
      <c r="AR45" s="214">
        <v>2.0299999999999998</v>
      </c>
      <c r="AS45" s="214">
        <v>2.02</v>
      </c>
      <c r="AT45" s="214">
        <v>2</v>
      </c>
      <c r="AU45" s="214">
        <v>1.96</v>
      </c>
      <c r="AV45" s="214">
        <v>1.96</v>
      </c>
      <c r="AW45" s="214">
        <v>1.97</v>
      </c>
      <c r="AX45" s="214">
        <v>1.92</v>
      </c>
      <c r="AY45" s="214">
        <v>1.94</v>
      </c>
      <c r="AZ45" s="214">
        <v>1.91</v>
      </c>
      <c r="BA45" s="214">
        <v>1.94</v>
      </c>
      <c r="BB45" s="214">
        <v>1.93</v>
      </c>
      <c r="BC45" s="214">
        <v>1.8865349658999999</v>
      </c>
      <c r="BD45" s="214">
        <v>1.9005932907</v>
      </c>
      <c r="BE45" s="214">
        <v>1.991536</v>
      </c>
      <c r="BF45" s="214">
        <v>1.9997819999999999</v>
      </c>
      <c r="BG45" s="380">
        <v>1.9972559999999999</v>
      </c>
      <c r="BH45" s="380">
        <v>2.0172469999999998</v>
      </c>
      <c r="BI45" s="380">
        <v>2.001649</v>
      </c>
      <c r="BJ45" s="380">
        <v>1.994013</v>
      </c>
      <c r="BK45" s="380">
        <v>2.0515379999999999</v>
      </c>
      <c r="BL45" s="380">
        <v>2.038602</v>
      </c>
      <c r="BM45" s="380">
        <v>2.0440719999999999</v>
      </c>
      <c r="BN45" s="380">
        <v>2.0610339999999998</v>
      </c>
      <c r="BO45" s="380">
        <v>2.0553720000000002</v>
      </c>
      <c r="BP45" s="380">
        <v>2.0300199999999999</v>
      </c>
      <c r="BQ45" s="380">
        <v>2.0172880000000002</v>
      </c>
      <c r="BR45" s="380">
        <v>2.0274450000000002</v>
      </c>
      <c r="BS45" s="380">
        <v>2.0334080000000001</v>
      </c>
      <c r="BT45" s="380">
        <v>2.0294919999999999</v>
      </c>
      <c r="BU45" s="380">
        <v>2.0311189999999999</v>
      </c>
      <c r="BV45" s="380">
        <v>2.0370409999999999</v>
      </c>
    </row>
    <row r="46" spans="1:74" s="287" customFormat="1" ht="11.1" customHeight="1" x14ac:dyDescent="0.2">
      <c r="A46" s="93"/>
      <c r="B46" s="285"/>
      <c r="C46" s="286"/>
      <c r="D46" s="286"/>
      <c r="E46" s="286"/>
      <c r="F46" s="286"/>
      <c r="G46" s="286"/>
      <c r="H46" s="286"/>
      <c r="I46" s="286"/>
      <c r="J46" s="286"/>
      <c r="K46" s="286"/>
      <c r="L46" s="286"/>
      <c r="M46" s="286"/>
      <c r="N46" s="286"/>
      <c r="O46" s="286"/>
      <c r="P46" s="286"/>
      <c r="Q46" s="286"/>
      <c r="R46" s="286"/>
      <c r="S46" s="286"/>
      <c r="T46" s="286"/>
      <c r="U46" s="286"/>
      <c r="V46" s="286"/>
      <c r="W46" s="286"/>
      <c r="X46" s="286"/>
      <c r="Y46" s="286"/>
      <c r="Z46" s="286"/>
      <c r="AA46" s="286"/>
      <c r="AB46" s="286"/>
      <c r="AC46" s="286"/>
      <c r="AD46" s="286"/>
      <c r="AE46" s="286"/>
      <c r="AF46" s="286"/>
      <c r="AG46" s="286"/>
      <c r="AH46" s="286"/>
      <c r="AI46" s="286"/>
      <c r="AJ46" s="286"/>
      <c r="AK46" s="286"/>
      <c r="AL46" s="286"/>
      <c r="AM46" s="286"/>
      <c r="AN46" s="286"/>
      <c r="AO46" s="286"/>
      <c r="AP46" s="286"/>
      <c r="AQ46" s="286"/>
      <c r="AR46" s="286"/>
      <c r="AS46" s="286"/>
      <c r="AT46" s="286"/>
      <c r="AU46" s="286"/>
      <c r="AV46" s="286"/>
      <c r="AW46" s="286"/>
      <c r="AX46" s="286"/>
      <c r="AY46" s="381"/>
      <c r="AZ46" s="381"/>
      <c r="BA46" s="381"/>
      <c r="BB46" s="381"/>
      <c r="BC46" s="381"/>
      <c r="BD46" s="286"/>
      <c r="BE46" s="286"/>
      <c r="BF46" s="286"/>
      <c r="BG46" s="381"/>
      <c r="BH46" s="381"/>
      <c r="BI46" s="381"/>
      <c r="BJ46" s="381"/>
      <c r="BK46" s="381"/>
      <c r="BL46" s="381"/>
      <c r="BM46" s="381"/>
      <c r="BN46" s="381"/>
      <c r="BO46" s="381"/>
      <c r="BP46" s="381"/>
      <c r="BQ46" s="381"/>
      <c r="BR46" s="381"/>
      <c r="BS46" s="381"/>
      <c r="BT46" s="381"/>
      <c r="BU46" s="381"/>
      <c r="BV46" s="381"/>
    </row>
    <row r="47" spans="1:74" s="287" customFormat="1" ht="12" customHeight="1" x14ac:dyDescent="0.25">
      <c r="A47" s="93"/>
      <c r="B47" s="808" t="s">
        <v>826</v>
      </c>
      <c r="C47" s="805"/>
      <c r="D47" s="805"/>
      <c r="E47" s="805"/>
      <c r="F47" s="805"/>
      <c r="G47" s="805"/>
      <c r="H47" s="805"/>
      <c r="I47" s="805"/>
      <c r="J47" s="805"/>
      <c r="K47" s="805"/>
      <c r="L47" s="805"/>
      <c r="M47" s="805"/>
      <c r="N47" s="805"/>
      <c r="O47" s="805"/>
      <c r="P47" s="805"/>
      <c r="Q47" s="805"/>
      <c r="AY47" s="513"/>
      <c r="AZ47" s="513"/>
      <c r="BA47" s="513"/>
      <c r="BB47" s="513"/>
      <c r="BC47" s="513"/>
      <c r="BD47" s="657"/>
      <c r="BE47" s="657"/>
      <c r="BF47" s="657"/>
      <c r="BG47" s="513"/>
      <c r="BH47" s="513"/>
      <c r="BI47" s="513"/>
      <c r="BJ47" s="513"/>
    </row>
    <row r="48" spans="1:74" s="449" customFormat="1" ht="12" customHeight="1" x14ac:dyDescent="0.25">
      <c r="A48" s="448"/>
      <c r="B48" s="846" t="s">
        <v>890</v>
      </c>
      <c r="C48" s="795"/>
      <c r="D48" s="795"/>
      <c r="E48" s="795"/>
      <c r="F48" s="795"/>
      <c r="G48" s="795"/>
      <c r="H48" s="795"/>
      <c r="I48" s="795"/>
      <c r="J48" s="795"/>
      <c r="K48" s="795"/>
      <c r="L48" s="795"/>
      <c r="M48" s="795"/>
      <c r="N48" s="795"/>
      <c r="O48" s="795"/>
      <c r="P48" s="795"/>
      <c r="Q48" s="791"/>
      <c r="AY48" s="514"/>
      <c r="AZ48" s="514"/>
      <c r="BA48" s="514"/>
      <c r="BB48" s="514"/>
      <c r="BC48" s="514"/>
      <c r="BD48" s="658"/>
      <c r="BE48" s="658"/>
      <c r="BF48" s="658"/>
      <c r="BG48" s="514"/>
      <c r="BH48" s="514"/>
      <c r="BI48" s="514"/>
      <c r="BJ48" s="514"/>
    </row>
    <row r="49" spans="1:74" s="449" customFormat="1" ht="12" customHeight="1" x14ac:dyDescent="0.25">
      <c r="A49" s="448"/>
      <c r="B49" s="842" t="s">
        <v>891</v>
      </c>
      <c r="C49" s="795"/>
      <c r="D49" s="795"/>
      <c r="E49" s="795"/>
      <c r="F49" s="795"/>
      <c r="G49" s="795"/>
      <c r="H49" s="795"/>
      <c r="I49" s="795"/>
      <c r="J49" s="795"/>
      <c r="K49" s="795"/>
      <c r="L49" s="795"/>
      <c r="M49" s="795"/>
      <c r="N49" s="795"/>
      <c r="O49" s="795"/>
      <c r="P49" s="795"/>
      <c r="Q49" s="791"/>
      <c r="AY49" s="514"/>
      <c r="AZ49" s="514"/>
      <c r="BA49" s="514"/>
      <c r="BB49" s="514"/>
      <c r="BC49" s="514"/>
      <c r="BD49" s="658"/>
      <c r="BE49" s="658"/>
      <c r="BF49" s="658"/>
      <c r="BG49" s="514"/>
      <c r="BH49" s="514"/>
      <c r="BI49" s="514"/>
      <c r="BJ49" s="514"/>
    </row>
    <row r="50" spans="1:74" s="449" customFormat="1" ht="12" customHeight="1" x14ac:dyDescent="0.25">
      <c r="A50" s="448"/>
      <c r="B50" s="846" t="s">
        <v>892</v>
      </c>
      <c r="C50" s="795"/>
      <c r="D50" s="795"/>
      <c r="E50" s="795"/>
      <c r="F50" s="795"/>
      <c r="G50" s="795"/>
      <c r="H50" s="795"/>
      <c r="I50" s="795"/>
      <c r="J50" s="795"/>
      <c r="K50" s="795"/>
      <c r="L50" s="795"/>
      <c r="M50" s="795"/>
      <c r="N50" s="795"/>
      <c r="O50" s="795"/>
      <c r="P50" s="795"/>
      <c r="Q50" s="791"/>
      <c r="AY50" s="514"/>
      <c r="AZ50" s="514"/>
      <c r="BA50" s="514"/>
      <c r="BB50" s="514"/>
      <c r="BC50" s="514"/>
      <c r="BD50" s="658"/>
      <c r="BE50" s="658"/>
      <c r="BF50" s="658"/>
      <c r="BG50" s="514"/>
      <c r="BH50" s="514"/>
      <c r="BI50" s="514"/>
      <c r="BJ50" s="514"/>
    </row>
    <row r="51" spans="1:74" s="449" customFormat="1" ht="12" customHeight="1" x14ac:dyDescent="0.25">
      <c r="A51" s="448"/>
      <c r="B51" s="846" t="s">
        <v>94</v>
      </c>
      <c r="C51" s="795"/>
      <c r="D51" s="795"/>
      <c r="E51" s="795"/>
      <c r="F51" s="795"/>
      <c r="G51" s="795"/>
      <c r="H51" s="795"/>
      <c r="I51" s="795"/>
      <c r="J51" s="795"/>
      <c r="K51" s="795"/>
      <c r="L51" s="795"/>
      <c r="M51" s="795"/>
      <c r="N51" s="795"/>
      <c r="O51" s="795"/>
      <c r="P51" s="795"/>
      <c r="Q51" s="791"/>
      <c r="AY51" s="514"/>
      <c r="AZ51" s="514"/>
      <c r="BA51" s="514"/>
      <c r="BB51" s="514"/>
      <c r="BC51" s="514"/>
      <c r="BD51" s="658"/>
      <c r="BE51" s="658"/>
      <c r="BF51" s="658"/>
      <c r="BG51" s="514"/>
      <c r="BH51" s="514"/>
      <c r="BI51" s="514"/>
      <c r="BJ51" s="514"/>
    </row>
    <row r="52" spans="1:74" s="449" customFormat="1" ht="12" customHeight="1" x14ac:dyDescent="0.25">
      <c r="A52" s="448"/>
      <c r="B52" s="794" t="s">
        <v>851</v>
      </c>
      <c r="C52" s="795"/>
      <c r="D52" s="795"/>
      <c r="E52" s="795"/>
      <c r="F52" s="795"/>
      <c r="G52" s="795"/>
      <c r="H52" s="795"/>
      <c r="I52" s="795"/>
      <c r="J52" s="795"/>
      <c r="K52" s="795"/>
      <c r="L52" s="795"/>
      <c r="M52" s="795"/>
      <c r="N52" s="795"/>
      <c r="O52" s="795"/>
      <c r="P52" s="795"/>
      <c r="Q52" s="791"/>
      <c r="AY52" s="514"/>
      <c r="AZ52" s="514"/>
      <c r="BA52" s="514"/>
      <c r="BB52" s="514"/>
      <c r="BC52" s="514"/>
      <c r="BD52" s="658"/>
      <c r="BE52" s="658"/>
      <c r="BF52" s="658"/>
      <c r="BG52" s="514"/>
      <c r="BH52" s="514"/>
      <c r="BI52" s="514"/>
      <c r="BJ52" s="514"/>
    </row>
    <row r="53" spans="1:74" s="449" customFormat="1" ht="22.35" customHeight="1" x14ac:dyDescent="0.25">
      <c r="A53" s="448"/>
      <c r="B53" s="794" t="s">
        <v>893</v>
      </c>
      <c r="C53" s="795"/>
      <c r="D53" s="795"/>
      <c r="E53" s="795"/>
      <c r="F53" s="795"/>
      <c r="G53" s="795"/>
      <c r="H53" s="795"/>
      <c r="I53" s="795"/>
      <c r="J53" s="795"/>
      <c r="K53" s="795"/>
      <c r="L53" s="795"/>
      <c r="M53" s="795"/>
      <c r="N53" s="795"/>
      <c r="O53" s="795"/>
      <c r="P53" s="795"/>
      <c r="Q53" s="791"/>
      <c r="AY53" s="514"/>
      <c r="AZ53" s="514"/>
      <c r="BA53" s="514"/>
      <c r="BB53" s="514"/>
      <c r="BC53" s="514"/>
      <c r="BD53" s="658"/>
      <c r="BE53" s="658"/>
      <c r="BF53" s="658"/>
      <c r="BG53" s="514"/>
      <c r="BH53" s="514"/>
      <c r="BI53" s="514"/>
      <c r="BJ53" s="514"/>
    </row>
    <row r="54" spans="1:74" s="449" customFormat="1" ht="12" customHeight="1" x14ac:dyDescent="0.25">
      <c r="A54" s="448"/>
      <c r="B54" s="789" t="s">
        <v>855</v>
      </c>
      <c r="C54" s="790"/>
      <c r="D54" s="790"/>
      <c r="E54" s="790"/>
      <c r="F54" s="790"/>
      <c r="G54" s="790"/>
      <c r="H54" s="790"/>
      <c r="I54" s="790"/>
      <c r="J54" s="790"/>
      <c r="K54" s="790"/>
      <c r="L54" s="790"/>
      <c r="M54" s="790"/>
      <c r="N54" s="790"/>
      <c r="O54" s="790"/>
      <c r="P54" s="790"/>
      <c r="Q54" s="791"/>
      <c r="AY54" s="514"/>
      <c r="AZ54" s="514"/>
      <c r="BA54" s="514"/>
      <c r="BB54" s="514"/>
      <c r="BC54" s="514"/>
      <c r="BD54" s="658"/>
      <c r="BE54" s="658"/>
      <c r="BF54" s="658"/>
      <c r="BG54" s="514"/>
      <c r="BH54" s="514"/>
      <c r="BI54" s="514"/>
      <c r="BJ54" s="514"/>
    </row>
    <row r="55" spans="1:74" s="450" customFormat="1" ht="12" customHeight="1" x14ac:dyDescent="0.25">
      <c r="A55" s="429"/>
      <c r="B55" s="811" t="s">
        <v>949</v>
      </c>
      <c r="C55" s="791"/>
      <c r="D55" s="791"/>
      <c r="E55" s="791"/>
      <c r="F55" s="791"/>
      <c r="G55" s="791"/>
      <c r="H55" s="791"/>
      <c r="I55" s="791"/>
      <c r="J55" s="791"/>
      <c r="K55" s="791"/>
      <c r="L55" s="791"/>
      <c r="M55" s="791"/>
      <c r="N55" s="791"/>
      <c r="O55" s="791"/>
      <c r="P55" s="791"/>
      <c r="Q55" s="791"/>
      <c r="AY55" s="515"/>
      <c r="AZ55" s="515"/>
      <c r="BA55" s="515"/>
      <c r="BB55" s="515"/>
      <c r="BC55" s="515"/>
      <c r="BD55" s="659"/>
      <c r="BE55" s="659"/>
      <c r="BF55" s="659"/>
      <c r="BG55" s="515"/>
      <c r="BH55" s="515"/>
      <c r="BI55" s="515"/>
      <c r="BJ55" s="515"/>
    </row>
    <row r="56" spans="1:74" x14ac:dyDescent="0.2">
      <c r="BK56" s="382"/>
      <c r="BL56" s="382"/>
      <c r="BM56" s="382"/>
      <c r="BN56" s="382"/>
      <c r="BO56" s="382"/>
      <c r="BP56" s="382"/>
      <c r="BQ56" s="382"/>
      <c r="BR56" s="382"/>
      <c r="BS56" s="382"/>
      <c r="BT56" s="382"/>
      <c r="BU56" s="382"/>
      <c r="BV56" s="382"/>
    </row>
    <row r="57" spans="1:74" x14ac:dyDescent="0.2">
      <c r="BK57" s="382"/>
      <c r="BL57" s="382"/>
      <c r="BM57" s="382"/>
      <c r="BN57" s="382"/>
      <c r="BO57" s="382"/>
      <c r="BP57" s="382"/>
      <c r="BQ57" s="382"/>
      <c r="BR57" s="382"/>
      <c r="BS57" s="382"/>
      <c r="BT57" s="382"/>
      <c r="BU57" s="382"/>
      <c r="BV57" s="382"/>
    </row>
    <row r="58" spans="1:74" x14ac:dyDescent="0.2">
      <c r="BK58" s="382"/>
      <c r="BL58" s="382"/>
      <c r="BM58" s="382"/>
      <c r="BN58" s="382"/>
      <c r="BO58" s="382"/>
      <c r="BP58" s="382"/>
      <c r="BQ58" s="382"/>
      <c r="BR58" s="382"/>
      <c r="BS58" s="382"/>
      <c r="BT58" s="382"/>
      <c r="BU58" s="382"/>
      <c r="BV58" s="382"/>
    </row>
    <row r="59" spans="1:74" x14ac:dyDescent="0.2">
      <c r="BK59" s="382"/>
      <c r="BL59" s="382"/>
      <c r="BM59" s="382"/>
      <c r="BN59" s="382"/>
      <c r="BO59" s="382"/>
      <c r="BP59" s="382"/>
      <c r="BQ59" s="382"/>
      <c r="BR59" s="382"/>
      <c r="BS59" s="382"/>
      <c r="BT59" s="382"/>
      <c r="BU59" s="382"/>
      <c r="BV59" s="382"/>
    </row>
    <row r="60" spans="1:74" x14ac:dyDescent="0.2">
      <c r="BK60" s="382"/>
      <c r="BL60" s="382"/>
      <c r="BM60" s="382"/>
      <c r="BN60" s="382"/>
      <c r="BO60" s="382"/>
      <c r="BP60" s="382"/>
      <c r="BQ60" s="382"/>
      <c r="BR60" s="382"/>
      <c r="BS60" s="382"/>
      <c r="BT60" s="382"/>
      <c r="BU60" s="382"/>
      <c r="BV60" s="382"/>
    </row>
    <row r="61" spans="1:74" x14ac:dyDescent="0.2">
      <c r="BK61" s="382"/>
      <c r="BL61" s="382"/>
      <c r="BM61" s="382"/>
      <c r="BN61" s="382"/>
      <c r="BO61" s="382"/>
      <c r="BP61" s="382"/>
      <c r="BQ61" s="382"/>
      <c r="BR61" s="382"/>
      <c r="BS61" s="382"/>
      <c r="BT61" s="382"/>
      <c r="BU61" s="382"/>
      <c r="BV61" s="382"/>
    </row>
    <row r="62" spans="1:74" x14ac:dyDescent="0.2">
      <c r="BK62" s="382"/>
      <c r="BL62" s="382"/>
      <c r="BM62" s="382"/>
      <c r="BN62" s="382"/>
      <c r="BO62" s="382"/>
      <c r="BP62" s="382"/>
      <c r="BQ62" s="382"/>
      <c r="BR62" s="382"/>
      <c r="BS62" s="382"/>
      <c r="BT62" s="382"/>
      <c r="BU62" s="382"/>
      <c r="BV62" s="382"/>
    </row>
    <row r="63" spans="1:74" x14ac:dyDescent="0.2">
      <c r="BK63" s="382"/>
      <c r="BL63" s="382"/>
      <c r="BM63" s="382"/>
      <c r="BN63" s="382"/>
      <c r="BO63" s="382"/>
      <c r="BP63" s="382"/>
      <c r="BQ63" s="382"/>
      <c r="BR63" s="382"/>
      <c r="BS63" s="382"/>
      <c r="BT63" s="382"/>
      <c r="BU63" s="382"/>
      <c r="BV63" s="382"/>
    </row>
    <row r="64" spans="1:74" x14ac:dyDescent="0.2">
      <c r="BK64" s="382"/>
      <c r="BL64" s="382"/>
      <c r="BM64" s="382"/>
      <c r="BN64" s="382"/>
      <c r="BO64" s="382"/>
      <c r="BP64" s="382"/>
      <c r="BQ64" s="382"/>
      <c r="BR64" s="382"/>
      <c r="BS64" s="382"/>
      <c r="BT64" s="382"/>
      <c r="BU64" s="382"/>
      <c r="BV64" s="382"/>
    </row>
    <row r="65" spans="63:74" x14ac:dyDescent="0.2">
      <c r="BK65" s="382"/>
      <c r="BL65" s="382"/>
      <c r="BM65" s="382"/>
      <c r="BN65" s="382"/>
      <c r="BO65" s="382"/>
      <c r="BP65" s="382"/>
      <c r="BQ65" s="382"/>
      <c r="BR65" s="382"/>
      <c r="BS65" s="382"/>
      <c r="BT65" s="382"/>
      <c r="BU65" s="382"/>
      <c r="BV65" s="382"/>
    </row>
    <row r="66" spans="63:74" x14ac:dyDescent="0.2">
      <c r="BK66" s="382"/>
      <c r="BL66" s="382"/>
      <c r="BM66" s="382"/>
      <c r="BN66" s="382"/>
      <c r="BO66" s="382"/>
      <c r="BP66" s="382"/>
      <c r="BQ66" s="382"/>
      <c r="BR66" s="382"/>
      <c r="BS66" s="382"/>
      <c r="BT66" s="382"/>
      <c r="BU66" s="382"/>
      <c r="BV66" s="382"/>
    </row>
    <row r="67" spans="63:74" x14ac:dyDescent="0.2">
      <c r="BK67" s="382"/>
      <c r="BL67" s="382"/>
      <c r="BM67" s="382"/>
      <c r="BN67" s="382"/>
      <c r="BO67" s="382"/>
      <c r="BP67" s="382"/>
      <c r="BQ67" s="382"/>
      <c r="BR67" s="382"/>
      <c r="BS67" s="382"/>
      <c r="BT67" s="382"/>
      <c r="BU67" s="382"/>
      <c r="BV67" s="382"/>
    </row>
    <row r="68" spans="63:74" x14ac:dyDescent="0.2">
      <c r="BK68" s="382"/>
      <c r="BL68" s="382"/>
      <c r="BM68" s="382"/>
      <c r="BN68" s="382"/>
      <c r="BO68" s="382"/>
      <c r="BP68" s="382"/>
      <c r="BQ68" s="382"/>
      <c r="BR68" s="382"/>
      <c r="BS68" s="382"/>
      <c r="BT68" s="382"/>
      <c r="BU68" s="382"/>
      <c r="BV68" s="382"/>
    </row>
    <row r="69" spans="63:74" x14ac:dyDescent="0.2">
      <c r="BK69" s="382"/>
      <c r="BL69" s="382"/>
      <c r="BM69" s="382"/>
      <c r="BN69" s="382"/>
      <c r="BO69" s="382"/>
      <c r="BP69" s="382"/>
      <c r="BQ69" s="382"/>
      <c r="BR69" s="382"/>
      <c r="BS69" s="382"/>
      <c r="BT69" s="382"/>
      <c r="BU69" s="382"/>
      <c r="BV69" s="382"/>
    </row>
    <row r="70" spans="63:74" x14ac:dyDescent="0.2">
      <c r="BK70" s="382"/>
      <c r="BL70" s="382"/>
      <c r="BM70" s="382"/>
      <c r="BN70" s="382"/>
      <c r="BO70" s="382"/>
      <c r="BP70" s="382"/>
      <c r="BQ70" s="382"/>
      <c r="BR70" s="382"/>
      <c r="BS70" s="382"/>
      <c r="BT70" s="382"/>
      <c r="BU70" s="382"/>
      <c r="BV70" s="382"/>
    </row>
    <row r="71" spans="63:74" x14ac:dyDescent="0.2">
      <c r="BK71" s="382"/>
      <c r="BL71" s="382"/>
      <c r="BM71" s="382"/>
      <c r="BN71" s="382"/>
      <c r="BO71" s="382"/>
      <c r="BP71" s="382"/>
      <c r="BQ71" s="382"/>
      <c r="BR71" s="382"/>
      <c r="BS71" s="382"/>
      <c r="BT71" s="382"/>
      <c r="BU71" s="382"/>
      <c r="BV71" s="382"/>
    </row>
    <row r="72" spans="63:74" x14ac:dyDescent="0.2">
      <c r="BK72" s="382"/>
      <c r="BL72" s="382"/>
      <c r="BM72" s="382"/>
      <c r="BN72" s="382"/>
      <c r="BO72" s="382"/>
      <c r="BP72" s="382"/>
      <c r="BQ72" s="382"/>
      <c r="BR72" s="382"/>
      <c r="BS72" s="382"/>
      <c r="BT72" s="382"/>
      <c r="BU72" s="382"/>
      <c r="BV72" s="382"/>
    </row>
    <row r="73" spans="63:74" x14ac:dyDescent="0.2">
      <c r="BK73" s="382"/>
      <c r="BL73" s="382"/>
      <c r="BM73" s="382"/>
      <c r="BN73" s="382"/>
      <c r="BO73" s="382"/>
      <c r="BP73" s="382"/>
      <c r="BQ73" s="382"/>
      <c r="BR73" s="382"/>
      <c r="BS73" s="382"/>
      <c r="BT73" s="382"/>
      <c r="BU73" s="382"/>
      <c r="BV73" s="382"/>
    </row>
    <row r="74" spans="63:74" x14ac:dyDescent="0.2">
      <c r="BK74" s="382"/>
      <c r="BL74" s="382"/>
      <c r="BM74" s="382"/>
      <c r="BN74" s="382"/>
      <c r="BO74" s="382"/>
      <c r="BP74" s="382"/>
      <c r="BQ74" s="382"/>
      <c r="BR74" s="382"/>
      <c r="BS74" s="382"/>
      <c r="BT74" s="382"/>
      <c r="BU74" s="382"/>
      <c r="BV74" s="382"/>
    </row>
    <row r="75" spans="63:74" x14ac:dyDescent="0.2">
      <c r="BK75" s="382"/>
      <c r="BL75" s="382"/>
      <c r="BM75" s="382"/>
      <c r="BN75" s="382"/>
      <c r="BO75" s="382"/>
      <c r="BP75" s="382"/>
      <c r="BQ75" s="382"/>
      <c r="BR75" s="382"/>
      <c r="BS75" s="382"/>
      <c r="BT75" s="382"/>
      <c r="BU75" s="382"/>
      <c r="BV75" s="382"/>
    </row>
    <row r="76" spans="63:74" x14ac:dyDescent="0.2">
      <c r="BK76" s="382"/>
      <c r="BL76" s="382"/>
      <c r="BM76" s="382"/>
      <c r="BN76" s="382"/>
      <c r="BO76" s="382"/>
      <c r="BP76" s="382"/>
      <c r="BQ76" s="382"/>
      <c r="BR76" s="382"/>
      <c r="BS76" s="382"/>
      <c r="BT76" s="382"/>
      <c r="BU76" s="382"/>
      <c r="BV76" s="382"/>
    </row>
    <row r="77" spans="63:74" x14ac:dyDescent="0.2">
      <c r="BK77" s="382"/>
      <c r="BL77" s="382"/>
      <c r="BM77" s="382"/>
      <c r="BN77" s="382"/>
      <c r="BO77" s="382"/>
      <c r="BP77" s="382"/>
      <c r="BQ77" s="382"/>
      <c r="BR77" s="382"/>
      <c r="BS77" s="382"/>
      <c r="BT77" s="382"/>
      <c r="BU77" s="382"/>
      <c r="BV77" s="382"/>
    </row>
    <row r="78" spans="63:74" x14ac:dyDescent="0.2">
      <c r="BK78" s="382"/>
      <c r="BL78" s="382"/>
      <c r="BM78" s="382"/>
      <c r="BN78" s="382"/>
      <c r="BO78" s="382"/>
      <c r="BP78" s="382"/>
      <c r="BQ78" s="382"/>
      <c r="BR78" s="382"/>
      <c r="BS78" s="382"/>
      <c r="BT78" s="382"/>
      <c r="BU78" s="382"/>
      <c r="BV78" s="382"/>
    </row>
    <row r="79" spans="63:74" x14ac:dyDescent="0.2">
      <c r="BK79" s="382"/>
      <c r="BL79" s="382"/>
      <c r="BM79" s="382"/>
      <c r="BN79" s="382"/>
      <c r="BO79" s="382"/>
      <c r="BP79" s="382"/>
      <c r="BQ79" s="382"/>
      <c r="BR79" s="382"/>
      <c r="BS79" s="382"/>
      <c r="BT79" s="382"/>
      <c r="BU79" s="382"/>
      <c r="BV79" s="382"/>
    </row>
    <row r="80" spans="63:74" x14ac:dyDescent="0.2">
      <c r="BK80" s="382"/>
      <c r="BL80" s="382"/>
      <c r="BM80" s="382"/>
      <c r="BN80" s="382"/>
      <c r="BO80" s="382"/>
      <c r="BP80" s="382"/>
      <c r="BQ80" s="382"/>
      <c r="BR80" s="382"/>
      <c r="BS80" s="382"/>
      <c r="BT80" s="382"/>
      <c r="BU80" s="382"/>
      <c r="BV80" s="382"/>
    </row>
    <row r="81" spans="63:74" x14ac:dyDescent="0.2">
      <c r="BK81" s="382"/>
      <c r="BL81" s="382"/>
      <c r="BM81" s="382"/>
      <c r="BN81" s="382"/>
      <c r="BO81" s="382"/>
      <c r="BP81" s="382"/>
      <c r="BQ81" s="382"/>
      <c r="BR81" s="382"/>
      <c r="BS81" s="382"/>
      <c r="BT81" s="382"/>
      <c r="BU81" s="382"/>
      <c r="BV81" s="382"/>
    </row>
    <row r="82" spans="63:74" x14ac:dyDescent="0.2">
      <c r="BK82" s="382"/>
      <c r="BL82" s="382"/>
      <c r="BM82" s="382"/>
      <c r="BN82" s="382"/>
      <c r="BO82" s="382"/>
      <c r="BP82" s="382"/>
      <c r="BQ82" s="382"/>
      <c r="BR82" s="382"/>
      <c r="BS82" s="382"/>
      <c r="BT82" s="382"/>
      <c r="BU82" s="382"/>
      <c r="BV82" s="382"/>
    </row>
    <row r="83" spans="63:74" x14ac:dyDescent="0.2">
      <c r="BK83" s="382"/>
      <c r="BL83" s="382"/>
      <c r="BM83" s="382"/>
      <c r="BN83" s="382"/>
      <c r="BO83" s="382"/>
      <c r="BP83" s="382"/>
      <c r="BQ83" s="382"/>
      <c r="BR83" s="382"/>
      <c r="BS83" s="382"/>
      <c r="BT83" s="382"/>
      <c r="BU83" s="382"/>
      <c r="BV83" s="382"/>
    </row>
    <row r="84" spans="63:74" x14ac:dyDescent="0.2">
      <c r="BK84" s="382"/>
      <c r="BL84" s="382"/>
      <c r="BM84" s="382"/>
      <c r="BN84" s="382"/>
      <c r="BO84" s="382"/>
      <c r="BP84" s="382"/>
      <c r="BQ84" s="382"/>
      <c r="BR84" s="382"/>
      <c r="BS84" s="382"/>
      <c r="BT84" s="382"/>
      <c r="BU84" s="382"/>
      <c r="BV84" s="382"/>
    </row>
    <row r="85" spans="63:74" x14ac:dyDescent="0.2">
      <c r="BK85" s="382"/>
      <c r="BL85" s="382"/>
      <c r="BM85" s="382"/>
      <c r="BN85" s="382"/>
      <c r="BO85" s="382"/>
      <c r="BP85" s="382"/>
      <c r="BQ85" s="382"/>
      <c r="BR85" s="382"/>
      <c r="BS85" s="382"/>
      <c r="BT85" s="382"/>
      <c r="BU85" s="382"/>
      <c r="BV85" s="382"/>
    </row>
    <row r="86" spans="63:74" x14ac:dyDescent="0.2">
      <c r="BK86" s="382"/>
      <c r="BL86" s="382"/>
      <c r="BM86" s="382"/>
      <c r="BN86" s="382"/>
      <c r="BO86" s="382"/>
      <c r="BP86" s="382"/>
      <c r="BQ86" s="382"/>
      <c r="BR86" s="382"/>
      <c r="BS86" s="382"/>
      <c r="BT86" s="382"/>
      <c r="BU86" s="382"/>
      <c r="BV86" s="382"/>
    </row>
    <row r="87" spans="63:74" x14ac:dyDescent="0.2">
      <c r="BK87" s="382"/>
      <c r="BL87" s="382"/>
      <c r="BM87" s="382"/>
      <c r="BN87" s="382"/>
      <c r="BO87" s="382"/>
      <c r="BP87" s="382"/>
      <c r="BQ87" s="382"/>
      <c r="BR87" s="382"/>
      <c r="BS87" s="382"/>
      <c r="BT87" s="382"/>
      <c r="BU87" s="382"/>
      <c r="BV87" s="382"/>
    </row>
    <row r="88" spans="63:74" x14ac:dyDescent="0.2">
      <c r="BK88" s="382"/>
      <c r="BL88" s="382"/>
      <c r="BM88" s="382"/>
      <c r="BN88" s="382"/>
      <c r="BO88" s="382"/>
      <c r="BP88" s="382"/>
      <c r="BQ88" s="382"/>
      <c r="BR88" s="382"/>
      <c r="BS88" s="382"/>
      <c r="BT88" s="382"/>
      <c r="BU88" s="382"/>
      <c r="BV88" s="382"/>
    </row>
    <row r="89" spans="63:74" x14ac:dyDescent="0.2">
      <c r="BK89" s="382"/>
      <c r="BL89" s="382"/>
      <c r="BM89" s="382"/>
      <c r="BN89" s="382"/>
      <c r="BO89" s="382"/>
      <c r="BP89" s="382"/>
      <c r="BQ89" s="382"/>
      <c r="BR89" s="382"/>
      <c r="BS89" s="382"/>
      <c r="BT89" s="382"/>
      <c r="BU89" s="382"/>
      <c r="BV89" s="382"/>
    </row>
    <row r="90" spans="63:74" x14ac:dyDescent="0.2">
      <c r="BK90" s="382"/>
      <c r="BL90" s="382"/>
      <c r="BM90" s="382"/>
      <c r="BN90" s="382"/>
      <c r="BO90" s="382"/>
      <c r="BP90" s="382"/>
      <c r="BQ90" s="382"/>
      <c r="BR90" s="382"/>
      <c r="BS90" s="382"/>
      <c r="BT90" s="382"/>
      <c r="BU90" s="382"/>
      <c r="BV90" s="382"/>
    </row>
    <row r="91" spans="63:74" x14ac:dyDescent="0.2">
      <c r="BK91" s="382"/>
      <c r="BL91" s="382"/>
      <c r="BM91" s="382"/>
      <c r="BN91" s="382"/>
      <c r="BO91" s="382"/>
      <c r="BP91" s="382"/>
      <c r="BQ91" s="382"/>
      <c r="BR91" s="382"/>
      <c r="BS91" s="382"/>
      <c r="BT91" s="382"/>
      <c r="BU91" s="382"/>
      <c r="BV91" s="382"/>
    </row>
    <row r="92" spans="63:74" x14ac:dyDescent="0.2">
      <c r="BK92" s="382"/>
      <c r="BL92" s="382"/>
      <c r="BM92" s="382"/>
      <c r="BN92" s="382"/>
      <c r="BO92" s="382"/>
      <c r="BP92" s="382"/>
      <c r="BQ92" s="382"/>
      <c r="BR92" s="382"/>
      <c r="BS92" s="382"/>
      <c r="BT92" s="382"/>
      <c r="BU92" s="382"/>
      <c r="BV92" s="382"/>
    </row>
    <row r="93" spans="63:74" x14ac:dyDescent="0.2">
      <c r="BK93" s="382"/>
      <c r="BL93" s="382"/>
      <c r="BM93" s="382"/>
      <c r="BN93" s="382"/>
      <c r="BO93" s="382"/>
      <c r="BP93" s="382"/>
      <c r="BQ93" s="382"/>
      <c r="BR93" s="382"/>
      <c r="BS93" s="382"/>
      <c r="BT93" s="382"/>
      <c r="BU93" s="382"/>
      <c r="BV93" s="382"/>
    </row>
    <row r="94" spans="63:74" x14ac:dyDescent="0.2">
      <c r="BK94" s="382"/>
      <c r="BL94" s="382"/>
      <c r="BM94" s="382"/>
      <c r="BN94" s="382"/>
      <c r="BO94" s="382"/>
      <c r="BP94" s="382"/>
      <c r="BQ94" s="382"/>
      <c r="BR94" s="382"/>
      <c r="BS94" s="382"/>
      <c r="BT94" s="382"/>
      <c r="BU94" s="382"/>
      <c r="BV94" s="382"/>
    </row>
    <row r="95" spans="63:74" x14ac:dyDescent="0.2">
      <c r="BK95" s="382"/>
      <c r="BL95" s="382"/>
      <c r="BM95" s="382"/>
      <c r="BN95" s="382"/>
      <c r="BO95" s="382"/>
      <c r="BP95" s="382"/>
      <c r="BQ95" s="382"/>
      <c r="BR95" s="382"/>
      <c r="BS95" s="382"/>
      <c r="BT95" s="382"/>
      <c r="BU95" s="382"/>
      <c r="BV95" s="382"/>
    </row>
    <row r="96" spans="63:74" x14ac:dyDescent="0.2">
      <c r="BK96" s="382"/>
      <c r="BL96" s="382"/>
      <c r="BM96" s="382"/>
      <c r="BN96" s="382"/>
      <c r="BO96" s="382"/>
      <c r="BP96" s="382"/>
      <c r="BQ96" s="382"/>
      <c r="BR96" s="382"/>
      <c r="BS96" s="382"/>
      <c r="BT96" s="382"/>
      <c r="BU96" s="382"/>
      <c r="BV96" s="382"/>
    </row>
    <row r="97" spans="63:74" x14ac:dyDescent="0.2">
      <c r="BK97" s="382"/>
      <c r="BL97" s="382"/>
      <c r="BM97" s="382"/>
      <c r="BN97" s="382"/>
      <c r="BO97" s="382"/>
      <c r="BP97" s="382"/>
      <c r="BQ97" s="382"/>
      <c r="BR97" s="382"/>
      <c r="BS97" s="382"/>
      <c r="BT97" s="382"/>
      <c r="BU97" s="382"/>
      <c r="BV97" s="382"/>
    </row>
    <row r="98" spans="63:74" x14ac:dyDescent="0.2">
      <c r="BK98" s="382"/>
      <c r="BL98" s="382"/>
      <c r="BM98" s="382"/>
      <c r="BN98" s="382"/>
      <c r="BO98" s="382"/>
      <c r="BP98" s="382"/>
      <c r="BQ98" s="382"/>
      <c r="BR98" s="382"/>
      <c r="BS98" s="382"/>
      <c r="BT98" s="382"/>
      <c r="BU98" s="382"/>
      <c r="BV98" s="382"/>
    </row>
    <row r="99" spans="63:74" x14ac:dyDescent="0.2">
      <c r="BK99" s="382"/>
      <c r="BL99" s="382"/>
      <c r="BM99" s="382"/>
      <c r="BN99" s="382"/>
      <c r="BO99" s="382"/>
      <c r="BP99" s="382"/>
      <c r="BQ99" s="382"/>
      <c r="BR99" s="382"/>
      <c r="BS99" s="382"/>
      <c r="BT99" s="382"/>
      <c r="BU99" s="382"/>
      <c r="BV99" s="382"/>
    </row>
    <row r="100" spans="63:74" x14ac:dyDescent="0.2">
      <c r="BK100" s="382"/>
      <c r="BL100" s="382"/>
      <c r="BM100" s="382"/>
      <c r="BN100" s="382"/>
      <c r="BO100" s="382"/>
      <c r="BP100" s="382"/>
      <c r="BQ100" s="382"/>
      <c r="BR100" s="382"/>
      <c r="BS100" s="382"/>
      <c r="BT100" s="382"/>
      <c r="BU100" s="382"/>
      <c r="BV100" s="382"/>
    </row>
    <row r="101" spans="63:74" x14ac:dyDescent="0.2">
      <c r="BK101" s="382"/>
      <c r="BL101" s="382"/>
      <c r="BM101" s="382"/>
      <c r="BN101" s="382"/>
      <c r="BO101" s="382"/>
      <c r="BP101" s="382"/>
      <c r="BQ101" s="382"/>
      <c r="BR101" s="382"/>
      <c r="BS101" s="382"/>
      <c r="BT101" s="382"/>
      <c r="BU101" s="382"/>
      <c r="BV101" s="382"/>
    </row>
    <row r="102" spans="63:74" x14ac:dyDescent="0.2">
      <c r="BK102" s="382"/>
      <c r="BL102" s="382"/>
      <c r="BM102" s="382"/>
      <c r="BN102" s="382"/>
      <c r="BO102" s="382"/>
      <c r="BP102" s="382"/>
      <c r="BQ102" s="382"/>
      <c r="BR102" s="382"/>
      <c r="BS102" s="382"/>
      <c r="BT102" s="382"/>
      <c r="BU102" s="382"/>
      <c r="BV102" s="382"/>
    </row>
    <row r="103" spans="63:74" x14ac:dyDescent="0.2">
      <c r="BK103" s="382"/>
      <c r="BL103" s="382"/>
      <c r="BM103" s="382"/>
      <c r="BN103" s="382"/>
      <c r="BO103" s="382"/>
      <c r="BP103" s="382"/>
      <c r="BQ103" s="382"/>
      <c r="BR103" s="382"/>
      <c r="BS103" s="382"/>
      <c r="BT103" s="382"/>
      <c r="BU103" s="382"/>
      <c r="BV103" s="382"/>
    </row>
    <row r="104" spans="63:74" x14ac:dyDescent="0.2">
      <c r="BK104" s="382"/>
      <c r="BL104" s="382"/>
      <c r="BM104" s="382"/>
      <c r="BN104" s="382"/>
      <c r="BO104" s="382"/>
      <c r="BP104" s="382"/>
      <c r="BQ104" s="382"/>
      <c r="BR104" s="382"/>
      <c r="BS104" s="382"/>
      <c r="BT104" s="382"/>
      <c r="BU104" s="382"/>
      <c r="BV104" s="382"/>
    </row>
    <row r="105" spans="63:74" x14ac:dyDescent="0.2">
      <c r="BK105" s="382"/>
      <c r="BL105" s="382"/>
      <c r="BM105" s="382"/>
      <c r="BN105" s="382"/>
      <c r="BO105" s="382"/>
      <c r="BP105" s="382"/>
      <c r="BQ105" s="382"/>
      <c r="BR105" s="382"/>
      <c r="BS105" s="382"/>
      <c r="BT105" s="382"/>
      <c r="BU105" s="382"/>
      <c r="BV105" s="382"/>
    </row>
    <row r="106" spans="63:74" x14ac:dyDescent="0.2">
      <c r="BK106" s="382"/>
      <c r="BL106" s="382"/>
      <c r="BM106" s="382"/>
      <c r="BN106" s="382"/>
      <c r="BO106" s="382"/>
      <c r="BP106" s="382"/>
      <c r="BQ106" s="382"/>
      <c r="BR106" s="382"/>
      <c r="BS106" s="382"/>
      <c r="BT106" s="382"/>
      <c r="BU106" s="382"/>
      <c r="BV106" s="382"/>
    </row>
    <row r="107" spans="63:74" x14ac:dyDescent="0.2">
      <c r="BK107" s="382"/>
      <c r="BL107" s="382"/>
      <c r="BM107" s="382"/>
      <c r="BN107" s="382"/>
      <c r="BO107" s="382"/>
      <c r="BP107" s="382"/>
      <c r="BQ107" s="382"/>
      <c r="BR107" s="382"/>
      <c r="BS107" s="382"/>
      <c r="BT107" s="382"/>
      <c r="BU107" s="382"/>
      <c r="BV107" s="382"/>
    </row>
    <row r="108" spans="63:74" x14ac:dyDescent="0.2">
      <c r="BK108" s="382"/>
      <c r="BL108" s="382"/>
      <c r="BM108" s="382"/>
      <c r="BN108" s="382"/>
      <c r="BO108" s="382"/>
      <c r="BP108" s="382"/>
      <c r="BQ108" s="382"/>
      <c r="BR108" s="382"/>
      <c r="BS108" s="382"/>
      <c r="BT108" s="382"/>
      <c r="BU108" s="382"/>
      <c r="BV108" s="382"/>
    </row>
    <row r="109" spans="63:74" x14ac:dyDescent="0.2">
      <c r="BK109" s="382"/>
      <c r="BL109" s="382"/>
      <c r="BM109" s="382"/>
      <c r="BN109" s="382"/>
      <c r="BO109" s="382"/>
      <c r="BP109" s="382"/>
      <c r="BQ109" s="382"/>
      <c r="BR109" s="382"/>
      <c r="BS109" s="382"/>
      <c r="BT109" s="382"/>
      <c r="BU109" s="382"/>
      <c r="BV109" s="382"/>
    </row>
    <row r="110" spans="63:74" x14ac:dyDescent="0.2">
      <c r="BK110" s="382"/>
      <c r="BL110" s="382"/>
      <c r="BM110" s="382"/>
      <c r="BN110" s="382"/>
      <c r="BO110" s="382"/>
      <c r="BP110" s="382"/>
      <c r="BQ110" s="382"/>
      <c r="BR110" s="382"/>
      <c r="BS110" s="382"/>
      <c r="BT110" s="382"/>
      <c r="BU110" s="382"/>
      <c r="BV110" s="382"/>
    </row>
    <row r="111" spans="63:74" x14ac:dyDescent="0.2">
      <c r="BK111" s="382"/>
      <c r="BL111" s="382"/>
      <c r="BM111" s="382"/>
      <c r="BN111" s="382"/>
      <c r="BO111" s="382"/>
      <c r="BP111" s="382"/>
      <c r="BQ111" s="382"/>
      <c r="BR111" s="382"/>
      <c r="BS111" s="382"/>
      <c r="BT111" s="382"/>
      <c r="BU111" s="382"/>
      <c r="BV111" s="382"/>
    </row>
    <row r="112" spans="63:74" x14ac:dyDescent="0.2">
      <c r="BK112" s="382"/>
      <c r="BL112" s="382"/>
      <c r="BM112" s="382"/>
      <c r="BN112" s="382"/>
      <c r="BO112" s="382"/>
      <c r="BP112" s="382"/>
      <c r="BQ112" s="382"/>
      <c r="BR112" s="382"/>
      <c r="BS112" s="382"/>
      <c r="BT112" s="382"/>
      <c r="BU112" s="382"/>
      <c r="BV112" s="382"/>
    </row>
    <row r="113" spans="63:74" x14ac:dyDescent="0.2">
      <c r="BK113" s="382"/>
      <c r="BL113" s="382"/>
      <c r="BM113" s="382"/>
      <c r="BN113" s="382"/>
      <c r="BO113" s="382"/>
      <c r="BP113" s="382"/>
      <c r="BQ113" s="382"/>
      <c r="BR113" s="382"/>
      <c r="BS113" s="382"/>
      <c r="BT113" s="382"/>
      <c r="BU113" s="382"/>
      <c r="BV113" s="382"/>
    </row>
    <row r="114" spans="63:74" x14ac:dyDescent="0.2">
      <c r="BK114" s="382"/>
      <c r="BL114" s="382"/>
      <c r="BM114" s="382"/>
      <c r="BN114" s="382"/>
      <c r="BO114" s="382"/>
      <c r="BP114" s="382"/>
      <c r="BQ114" s="382"/>
      <c r="BR114" s="382"/>
      <c r="BS114" s="382"/>
      <c r="BT114" s="382"/>
      <c r="BU114" s="382"/>
      <c r="BV114" s="382"/>
    </row>
    <row r="115" spans="63:74" x14ac:dyDescent="0.2">
      <c r="BK115" s="382"/>
      <c r="BL115" s="382"/>
      <c r="BM115" s="382"/>
      <c r="BN115" s="382"/>
      <c r="BO115" s="382"/>
      <c r="BP115" s="382"/>
      <c r="BQ115" s="382"/>
      <c r="BR115" s="382"/>
      <c r="BS115" s="382"/>
      <c r="BT115" s="382"/>
      <c r="BU115" s="382"/>
      <c r="BV115" s="382"/>
    </row>
    <row r="116" spans="63:74" x14ac:dyDescent="0.2">
      <c r="BK116" s="382"/>
      <c r="BL116" s="382"/>
      <c r="BM116" s="382"/>
      <c r="BN116" s="382"/>
      <c r="BO116" s="382"/>
      <c r="BP116" s="382"/>
      <c r="BQ116" s="382"/>
      <c r="BR116" s="382"/>
      <c r="BS116" s="382"/>
      <c r="BT116" s="382"/>
      <c r="BU116" s="382"/>
      <c r="BV116" s="382"/>
    </row>
    <row r="117" spans="63:74" x14ac:dyDescent="0.2">
      <c r="BK117" s="382"/>
      <c r="BL117" s="382"/>
      <c r="BM117" s="382"/>
      <c r="BN117" s="382"/>
      <c r="BO117" s="382"/>
      <c r="BP117" s="382"/>
      <c r="BQ117" s="382"/>
      <c r="BR117" s="382"/>
      <c r="BS117" s="382"/>
      <c r="BT117" s="382"/>
      <c r="BU117" s="382"/>
      <c r="BV117" s="382"/>
    </row>
    <row r="118" spans="63:74" x14ac:dyDescent="0.2">
      <c r="BK118" s="382"/>
      <c r="BL118" s="382"/>
      <c r="BM118" s="382"/>
      <c r="BN118" s="382"/>
      <c r="BO118" s="382"/>
      <c r="BP118" s="382"/>
      <c r="BQ118" s="382"/>
      <c r="BR118" s="382"/>
      <c r="BS118" s="382"/>
      <c r="BT118" s="382"/>
      <c r="BU118" s="382"/>
      <c r="BV118" s="382"/>
    </row>
    <row r="119" spans="63:74" x14ac:dyDescent="0.2">
      <c r="BK119" s="382"/>
      <c r="BL119" s="382"/>
      <c r="BM119" s="382"/>
      <c r="BN119" s="382"/>
      <c r="BO119" s="382"/>
      <c r="BP119" s="382"/>
      <c r="BQ119" s="382"/>
      <c r="BR119" s="382"/>
      <c r="BS119" s="382"/>
      <c r="BT119" s="382"/>
      <c r="BU119" s="382"/>
      <c r="BV119" s="382"/>
    </row>
    <row r="120" spans="63:74" x14ac:dyDescent="0.2">
      <c r="BK120" s="382"/>
      <c r="BL120" s="382"/>
      <c r="BM120" s="382"/>
      <c r="BN120" s="382"/>
      <c r="BO120" s="382"/>
      <c r="BP120" s="382"/>
      <c r="BQ120" s="382"/>
      <c r="BR120" s="382"/>
      <c r="BS120" s="382"/>
      <c r="BT120" s="382"/>
      <c r="BU120" s="382"/>
      <c r="BV120" s="382"/>
    </row>
    <row r="121" spans="63:74" x14ac:dyDescent="0.2">
      <c r="BK121" s="382"/>
      <c r="BL121" s="382"/>
      <c r="BM121" s="382"/>
      <c r="BN121" s="382"/>
      <c r="BO121" s="382"/>
      <c r="BP121" s="382"/>
      <c r="BQ121" s="382"/>
      <c r="BR121" s="382"/>
      <c r="BS121" s="382"/>
      <c r="BT121" s="382"/>
      <c r="BU121" s="382"/>
      <c r="BV121" s="382"/>
    </row>
    <row r="122" spans="63:74" x14ac:dyDescent="0.2">
      <c r="BK122" s="382"/>
      <c r="BL122" s="382"/>
      <c r="BM122" s="382"/>
      <c r="BN122" s="382"/>
      <c r="BO122" s="382"/>
      <c r="BP122" s="382"/>
      <c r="BQ122" s="382"/>
      <c r="BR122" s="382"/>
      <c r="BS122" s="382"/>
      <c r="BT122" s="382"/>
      <c r="BU122" s="382"/>
      <c r="BV122" s="382"/>
    </row>
    <row r="123" spans="63:74" x14ac:dyDescent="0.2">
      <c r="BK123" s="382"/>
      <c r="BL123" s="382"/>
      <c r="BM123" s="382"/>
      <c r="BN123" s="382"/>
      <c r="BO123" s="382"/>
      <c r="BP123" s="382"/>
      <c r="BQ123" s="382"/>
      <c r="BR123" s="382"/>
      <c r="BS123" s="382"/>
      <c r="BT123" s="382"/>
      <c r="BU123" s="382"/>
      <c r="BV123" s="382"/>
    </row>
    <row r="124" spans="63:74" x14ac:dyDescent="0.2">
      <c r="BK124" s="382"/>
      <c r="BL124" s="382"/>
      <c r="BM124" s="382"/>
      <c r="BN124" s="382"/>
      <c r="BO124" s="382"/>
      <c r="BP124" s="382"/>
      <c r="BQ124" s="382"/>
      <c r="BR124" s="382"/>
      <c r="BS124" s="382"/>
      <c r="BT124" s="382"/>
      <c r="BU124" s="382"/>
      <c r="BV124" s="382"/>
    </row>
    <row r="125" spans="63:74" x14ac:dyDescent="0.2">
      <c r="BK125" s="382"/>
      <c r="BL125" s="382"/>
      <c r="BM125" s="382"/>
      <c r="BN125" s="382"/>
      <c r="BO125" s="382"/>
      <c r="BP125" s="382"/>
      <c r="BQ125" s="382"/>
      <c r="BR125" s="382"/>
      <c r="BS125" s="382"/>
      <c r="BT125" s="382"/>
      <c r="BU125" s="382"/>
      <c r="BV125" s="382"/>
    </row>
    <row r="126" spans="63:74" x14ac:dyDescent="0.2">
      <c r="BK126" s="382"/>
      <c r="BL126" s="382"/>
      <c r="BM126" s="382"/>
      <c r="BN126" s="382"/>
      <c r="BO126" s="382"/>
      <c r="BP126" s="382"/>
      <c r="BQ126" s="382"/>
      <c r="BR126" s="382"/>
      <c r="BS126" s="382"/>
      <c r="BT126" s="382"/>
      <c r="BU126" s="382"/>
      <c r="BV126" s="382"/>
    </row>
    <row r="127" spans="63:74" x14ac:dyDescent="0.2">
      <c r="BK127" s="382"/>
      <c r="BL127" s="382"/>
      <c r="BM127" s="382"/>
      <c r="BN127" s="382"/>
      <c r="BO127" s="382"/>
      <c r="BP127" s="382"/>
      <c r="BQ127" s="382"/>
      <c r="BR127" s="382"/>
      <c r="BS127" s="382"/>
      <c r="BT127" s="382"/>
      <c r="BU127" s="382"/>
      <c r="BV127" s="382"/>
    </row>
    <row r="128" spans="63:74" x14ac:dyDescent="0.2">
      <c r="BK128" s="382"/>
      <c r="BL128" s="382"/>
      <c r="BM128" s="382"/>
      <c r="BN128" s="382"/>
      <c r="BO128" s="382"/>
      <c r="BP128" s="382"/>
      <c r="BQ128" s="382"/>
      <c r="BR128" s="382"/>
      <c r="BS128" s="382"/>
      <c r="BT128" s="382"/>
      <c r="BU128" s="382"/>
      <c r="BV128" s="382"/>
    </row>
    <row r="129" spans="63:74" x14ac:dyDescent="0.2">
      <c r="BK129" s="382"/>
      <c r="BL129" s="382"/>
      <c r="BM129" s="382"/>
      <c r="BN129" s="382"/>
      <c r="BO129" s="382"/>
      <c r="BP129" s="382"/>
      <c r="BQ129" s="382"/>
      <c r="BR129" s="382"/>
      <c r="BS129" s="382"/>
      <c r="BT129" s="382"/>
      <c r="BU129" s="382"/>
      <c r="BV129" s="382"/>
    </row>
    <row r="130" spans="63:74" x14ac:dyDescent="0.2">
      <c r="BK130" s="382"/>
      <c r="BL130" s="382"/>
      <c r="BM130" s="382"/>
      <c r="BN130" s="382"/>
      <c r="BO130" s="382"/>
      <c r="BP130" s="382"/>
      <c r="BQ130" s="382"/>
      <c r="BR130" s="382"/>
      <c r="BS130" s="382"/>
      <c r="BT130" s="382"/>
      <c r="BU130" s="382"/>
      <c r="BV130" s="382"/>
    </row>
    <row r="131" spans="63:74" x14ac:dyDescent="0.2">
      <c r="BK131" s="382"/>
      <c r="BL131" s="382"/>
      <c r="BM131" s="382"/>
      <c r="BN131" s="382"/>
      <c r="BO131" s="382"/>
      <c r="BP131" s="382"/>
      <c r="BQ131" s="382"/>
      <c r="BR131" s="382"/>
      <c r="BS131" s="382"/>
      <c r="BT131" s="382"/>
      <c r="BU131" s="382"/>
      <c r="BV131" s="382"/>
    </row>
    <row r="132" spans="63:74" x14ac:dyDescent="0.2">
      <c r="BK132" s="382"/>
      <c r="BL132" s="382"/>
      <c r="BM132" s="382"/>
      <c r="BN132" s="382"/>
      <c r="BO132" s="382"/>
      <c r="BP132" s="382"/>
      <c r="BQ132" s="382"/>
      <c r="BR132" s="382"/>
      <c r="BS132" s="382"/>
      <c r="BT132" s="382"/>
      <c r="BU132" s="382"/>
      <c r="BV132" s="382"/>
    </row>
    <row r="133" spans="63:74" x14ac:dyDescent="0.2">
      <c r="BK133" s="382"/>
      <c r="BL133" s="382"/>
      <c r="BM133" s="382"/>
      <c r="BN133" s="382"/>
      <c r="BO133" s="382"/>
      <c r="BP133" s="382"/>
      <c r="BQ133" s="382"/>
      <c r="BR133" s="382"/>
      <c r="BS133" s="382"/>
      <c r="BT133" s="382"/>
      <c r="BU133" s="382"/>
      <c r="BV133" s="382"/>
    </row>
    <row r="134" spans="63:74" x14ac:dyDescent="0.2">
      <c r="BK134" s="382"/>
      <c r="BL134" s="382"/>
      <c r="BM134" s="382"/>
      <c r="BN134" s="382"/>
      <c r="BO134" s="382"/>
      <c r="BP134" s="382"/>
      <c r="BQ134" s="382"/>
      <c r="BR134" s="382"/>
      <c r="BS134" s="382"/>
      <c r="BT134" s="382"/>
      <c r="BU134" s="382"/>
      <c r="BV134" s="382"/>
    </row>
    <row r="135" spans="63:74" x14ac:dyDescent="0.2">
      <c r="BK135" s="382"/>
      <c r="BL135" s="382"/>
      <c r="BM135" s="382"/>
      <c r="BN135" s="382"/>
      <c r="BO135" s="382"/>
      <c r="BP135" s="382"/>
      <c r="BQ135" s="382"/>
      <c r="BR135" s="382"/>
      <c r="BS135" s="382"/>
      <c r="BT135" s="382"/>
      <c r="BU135" s="382"/>
      <c r="BV135" s="382"/>
    </row>
    <row r="136" spans="63:74" x14ac:dyDescent="0.2">
      <c r="BK136" s="382"/>
      <c r="BL136" s="382"/>
      <c r="BM136" s="382"/>
      <c r="BN136" s="382"/>
      <c r="BO136" s="382"/>
      <c r="BP136" s="382"/>
      <c r="BQ136" s="382"/>
      <c r="BR136" s="382"/>
      <c r="BS136" s="382"/>
      <c r="BT136" s="382"/>
      <c r="BU136" s="382"/>
      <c r="BV136" s="382"/>
    </row>
    <row r="137" spans="63:74" x14ac:dyDescent="0.2">
      <c r="BK137" s="382"/>
      <c r="BL137" s="382"/>
      <c r="BM137" s="382"/>
      <c r="BN137" s="382"/>
      <c r="BO137" s="382"/>
      <c r="BP137" s="382"/>
      <c r="BQ137" s="382"/>
      <c r="BR137" s="382"/>
      <c r="BS137" s="382"/>
      <c r="BT137" s="382"/>
      <c r="BU137" s="382"/>
      <c r="BV137" s="382"/>
    </row>
    <row r="138" spans="63:74" x14ac:dyDescent="0.2">
      <c r="BK138" s="382"/>
      <c r="BL138" s="382"/>
      <c r="BM138" s="382"/>
      <c r="BN138" s="382"/>
      <c r="BO138" s="382"/>
      <c r="BP138" s="382"/>
      <c r="BQ138" s="382"/>
      <c r="BR138" s="382"/>
      <c r="BS138" s="382"/>
      <c r="BT138" s="382"/>
      <c r="BU138" s="382"/>
      <c r="BV138" s="382"/>
    </row>
    <row r="139" spans="63:74" x14ac:dyDescent="0.2">
      <c r="BK139" s="382"/>
      <c r="BL139" s="382"/>
      <c r="BM139" s="382"/>
      <c r="BN139" s="382"/>
      <c r="BO139" s="382"/>
      <c r="BP139" s="382"/>
      <c r="BQ139" s="382"/>
      <c r="BR139" s="382"/>
      <c r="BS139" s="382"/>
      <c r="BT139" s="382"/>
      <c r="BU139" s="382"/>
      <c r="BV139" s="382"/>
    </row>
    <row r="140" spans="63:74" x14ac:dyDescent="0.2">
      <c r="BK140" s="382"/>
      <c r="BL140" s="382"/>
      <c r="BM140" s="382"/>
      <c r="BN140" s="382"/>
      <c r="BO140" s="382"/>
      <c r="BP140" s="382"/>
      <c r="BQ140" s="382"/>
      <c r="BR140" s="382"/>
      <c r="BS140" s="382"/>
      <c r="BT140" s="382"/>
      <c r="BU140" s="382"/>
      <c r="BV140" s="382"/>
    </row>
    <row r="141" spans="63:74" x14ac:dyDescent="0.2">
      <c r="BK141" s="382"/>
      <c r="BL141" s="382"/>
      <c r="BM141" s="382"/>
      <c r="BN141" s="382"/>
      <c r="BO141" s="382"/>
      <c r="BP141" s="382"/>
      <c r="BQ141" s="382"/>
      <c r="BR141" s="382"/>
      <c r="BS141" s="382"/>
      <c r="BT141" s="382"/>
      <c r="BU141" s="382"/>
      <c r="BV141" s="382"/>
    </row>
    <row r="142" spans="63:74" x14ac:dyDescent="0.2">
      <c r="BK142" s="382"/>
      <c r="BL142" s="382"/>
      <c r="BM142" s="382"/>
      <c r="BN142" s="382"/>
      <c r="BO142" s="382"/>
      <c r="BP142" s="382"/>
      <c r="BQ142" s="382"/>
      <c r="BR142" s="382"/>
      <c r="BS142" s="382"/>
      <c r="BT142" s="382"/>
      <c r="BU142" s="382"/>
      <c r="BV142" s="382"/>
    </row>
    <row r="143" spans="63:74" x14ac:dyDescent="0.2">
      <c r="BK143" s="382"/>
      <c r="BL143" s="382"/>
      <c r="BM143" s="382"/>
      <c r="BN143" s="382"/>
      <c r="BO143" s="382"/>
      <c r="BP143" s="382"/>
      <c r="BQ143" s="382"/>
      <c r="BR143" s="382"/>
      <c r="BS143" s="382"/>
      <c r="BT143" s="382"/>
      <c r="BU143" s="382"/>
      <c r="BV143" s="382"/>
    </row>
  </sheetData>
  <mergeCells count="17">
    <mergeCell ref="AM3:AX3"/>
    <mergeCell ref="AY3:BJ3"/>
    <mergeCell ref="BK3:BV3"/>
    <mergeCell ref="B1:AL1"/>
    <mergeCell ref="C3:N3"/>
    <mergeCell ref="O3:Z3"/>
    <mergeCell ref="AA3:AL3"/>
    <mergeCell ref="B55:Q55"/>
    <mergeCell ref="B51:Q51"/>
    <mergeCell ref="B52:Q52"/>
    <mergeCell ref="B53:Q53"/>
    <mergeCell ref="A1:A2"/>
    <mergeCell ref="B47:Q47"/>
    <mergeCell ref="B48:Q48"/>
    <mergeCell ref="B49:Q49"/>
    <mergeCell ref="B50:Q50"/>
    <mergeCell ref="B54:Q54"/>
  </mergeCells>
  <phoneticPr fontId="6" type="noConversion"/>
  <hyperlinks>
    <hyperlink ref="A1:A2" location="Contents!A1" display="Table of Contents"/>
  </hyperlinks>
  <pageMargins left="0.25" right="0.25" top="0.25" bottom="0.25" header="0.5" footer="0.5"/>
  <pageSetup scale="80" orientation="portrait" horizontalDpi="300" verticalDpi="3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5">
    <pageSetUpPr fitToPage="1"/>
  </sheetPr>
  <dimension ref="A1:BV159"/>
  <sheetViews>
    <sheetView showGridLines="0" workbookViewId="0">
      <pane xSplit="2" ySplit="4" topLeftCell="AX5" activePane="bottomRight" state="frozen"/>
      <selection activeCell="BF63" sqref="BF63"/>
      <selection pane="topRight" activeCell="BF63" sqref="BF63"/>
      <selection pane="bottomLeft" activeCell="BF63" sqref="BF63"/>
      <selection pane="bottomRight" activeCell="B1" sqref="B1:AL1"/>
    </sheetView>
  </sheetViews>
  <sheetFormatPr defaultColWidth="11" defaultRowHeight="10.199999999999999" x14ac:dyDescent="0.2"/>
  <cols>
    <col min="1" max="1" width="11.5546875" style="100" customWidth="1"/>
    <col min="2" max="2" width="26.77734375" style="100" customWidth="1"/>
    <col min="3" max="50" width="6.5546875" style="100" customWidth="1"/>
    <col min="51" max="55" width="6.5546875" style="374" customWidth="1"/>
    <col min="56" max="58" width="6.5546875" style="660" customWidth="1"/>
    <col min="59" max="62" width="6.5546875" style="374" customWidth="1"/>
    <col min="63" max="74" width="6.5546875" style="100" customWidth="1"/>
    <col min="75" max="16384" width="11" style="100"/>
  </cols>
  <sheetData>
    <row r="1" spans="1:74" ht="15.6" customHeight="1" x14ac:dyDescent="0.25">
      <c r="A1" s="797" t="s">
        <v>809</v>
      </c>
      <c r="B1" s="849" t="s">
        <v>823</v>
      </c>
      <c r="C1" s="805"/>
      <c r="D1" s="805"/>
      <c r="E1" s="805"/>
      <c r="F1" s="805"/>
      <c r="G1" s="805"/>
      <c r="H1" s="805"/>
      <c r="I1" s="805"/>
      <c r="J1" s="805"/>
      <c r="K1" s="805"/>
      <c r="L1" s="805"/>
      <c r="M1" s="805"/>
      <c r="N1" s="805"/>
      <c r="O1" s="805"/>
      <c r="P1" s="805"/>
      <c r="Q1" s="805"/>
      <c r="R1" s="805"/>
      <c r="S1" s="805"/>
      <c r="T1" s="805"/>
      <c r="U1" s="805"/>
      <c r="V1" s="805"/>
      <c r="W1" s="805"/>
      <c r="X1" s="805"/>
      <c r="Y1" s="805"/>
      <c r="Z1" s="805"/>
      <c r="AA1" s="805"/>
      <c r="AB1" s="805"/>
      <c r="AC1" s="805"/>
      <c r="AD1" s="805"/>
      <c r="AE1" s="805"/>
      <c r="AF1" s="805"/>
      <c r="AG1" s="805"/>
      <c r="AH1" s="805"/>
      <c r="AI1" s="805"/>
      <c r="AJ1" s="805"/>
      <c r="AK1" s="805"/>
      <c r="AL1" s="805"/>
      <c r="AM1" s="299"/>
    </row>
    <row r="2" spans="1:74" ht="14.1" customHeight="1" x14ac:dyDescent="0.25">
      <c r="A2" s="798"/>
      <c r="B2" s="532" t="str">
        <f>"U.S. Energy Information Administration  |  Short-Term Energy Outlook  - "&amp;Dates!D1</f>
        <v>U.S. Energy Information Administration  |  Short-Term Energy Outlook  - September 2020</v>
      </c>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c r="AK2" s="533"/>
      <c r="AL2" s="533"/>
      <c r="AM2" s="299"/>
    </row>
    <row r="3" spans="1:74" s="12" customFormat="1" ht="13.2" x14ac:dyDescent="0.25">
      <c r="A3" s="14"/>
      <c r="B3" s="15"/>
      <c r="C3" s="806">
        <f>Dates!D3</f>
        <v>2016</v>
      </c>
      <c r="D3" s="802"/>
      <c r="E3" s="802"/>
      <c r="F3" s="802"/>
      <c r="G3" s="802"/>
      <c r="H3" s="802"/>
      <c r="I3" s="802"/>
      <c r="J3" s="802"/>
      <c r="K3" s="802"/>
      <c r="L3" s="802"/>
      <c r="M3" s="802"/>
      <c r="N3" s="803"/>
      <c r="O3" s="806">
        <f>C3+1</f>
        <v>2017</v>
      </c>
      <c r="P3" s="807"/>
      <c r="Q3" s="807"/>
      <c r="R3" s="807"/>
      <c r="S3" s="807"/>
      <c r="T3" s="807"/>
      <c r="U3" s="807"/>
      <c r="V3" s="807"/>
      <c r="W3" s="807"/>
      <c r="X3" s="802"/>
      <c r="Y3" s="802"/>
      <c r="Z3" s="803"/>
      <c r="AA3" s="799">
        <f>O3+1</f>
        <v>2018</v>
      </c>
      <c r="AB3" s="802"/>
      <c r="AC3" s="802"/>
      <c r="AD3" s="802"/>
      <c r="AE3" s="802"/>
      <c r="AF3" s="802"/>
      <c r="AG3" s="802"/>
      <c r="AH3" s="802"/>
      <c r="AI3" s="802"/>
      <c r="AJ3" s="802"/>
      <c r="AK3" s="802"/>
      <c r="AL3" s="803"/>
      <c r="AM3" s="799">
        <f>AA3+1</f>
        <v>2019</v>
      </c>
      <c r="AN3" s="802"/>
      <c r="AO3" s="802"/>
      <c r="AP3" s="802"/>
      <c r="AQ3" s="802"/>
      <c r="AR3" s="802"/>
      <c r="AS3" s="802"/>
      <c r="AT3" s="802"/>
      <c r="AU3" s="802"/>
      <c r="AV3" s="802"/>
      <c r="AW3" s="802"/>
      <c r="AX3" s="803"/>
      <c r="AY3" s="799">
        <f>AM3+1</f>
        <v>2020</v>
      </c>
      <c r="AZ3" s="800"/>
      <c r="BA3" s="800"/>
      <c r="BB3" s="800"/>
      <c r="BC3" s="800"/>
      <c r="BD3" s="800"/>
      <c r="BE3" s="800"/>
      <c r="BF3" s="800"/>
      <c r="BG3" s="800"/>
      <c r="BH3" s="800"/>
      <c r="BI3" s="800"/>
      <c r="BJ3" s="801"/>
      <c r="BK3" s="799">
        <f>AY3+1</f>
        <v>2021</v>
      </c>
      <c r="BL3" s="802"/>
      <c r="BM3" s="802"/>
      <c r="BN3" s="802"/>
      <c r="BO3" s="802"/>
      <c r="BP3" s="802"/>
      <c r="BQ3" s="802"/>
      <c r="BR3" s="802"/>
      <c r="BS3" s="802"/>
      <c r="BT3" s="802"/>
      <c r="BU3" s="802"/>
      <c r="BV3" s="803"/>
    </row>
    <row r="4" spans="1:74" s="12" customFormat="1" x14ac:dyDescent="0.2">
      <c r="A4" s="16"/>
      <c r="B4" s="17"/>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A5" s="101"/>
      <c r="B5" s="102" t="s">
        <v>1167</v>
      </c>
      <c r="C5" s="103"/>
      <c r="D5" s="103"/>
      <c r="E5" s="103"/>
      <c r="F5" s="103"/>
      <c r="G5" s="103"/>
      <c r="H5" s="103"/>
      <c r="I5" s="103"/>
      <c r="J5" s="103"/>
      <c r="K5" s="103"/>
      <c r="L5" s="103"/>
      <c r="M5" s="103"/>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3"/>
      <c r="AT5" s="103"/>
      <c r="AU5" s="103"/>
      <c r="AV5" s="103"/>
      <c r="AW5" s="103"/>
      <c r="AX5" s="103"/>
      <c r="AY5" s="410"/>
      <c r="AZ5" s="410"/>
      <c r="BA5" s="410"/>
      <c r="BB5" s="410"/>
      <c r="BC5" s="410"/>
      <c r="BD5" s="103"/>
      <c r="BE5" s="103"/>
      <c r="BF5" s="103"/>
      <c r="BG5" s="103"/>
      <c r="BH5" s="103"/>
      <c r="BI5" s="103"/>
      <c r="BJ5" s="410"/>
      <c r="BK5" s="410"/>
      <c r="BL5" s="410"/>
      <c r="BM5" s="410"/>
      <c r="BN5" s="410"/>
      <c r="BO5" s="410"/>
      <c r="BP5" s="410"/>
      <c r="BQ5" s="410"/>
      <c r="BR5" s="410"/>
      <c r="BS5" s="410"/>
      <c r="BT5" s="410"/>
      <c r="BU5" s="410"/>
      <c r="BV5" s="410"/>
    </row>
    <row r="6" spans="1:74" ht="11.1" customHeight="1" x14ac:dyDescent="0.2">
      <c r="A6" s="101" t="s">
        <v>1161</v>
      </c>
      <c r="B6" s="202" t="s">
        <v>463</v>
      </c>
      <c r="C6" s="273">
        <v>352.71906594000001</v>
      </c>
      <c r="D6" s="273">
        <v>313.68540066999998</v>
      </c>
      <c r="E6" s="273">
        <v>304.38958091000001</v>
      </c>
      <c r="F6" s="273">
        <v>292.89355019999999</v>
      </c>
      <c r="G6" s="273">
        <v>316.78445670000002</v>
      </c>
      <c r="H6" s="273">
        <v>367.78119572999998</v>
      </c>
      <c r="I6" s="273">
        <v>411.88694217</v>
      </c>
      <c r="J6" s="273">
        <v>409.70081176000002</v>
      </c>
      <c r="K6" s="273">
        <v>351.48446798999998</v>
      </c>
      <c r="L6" s="273">
        <v>312.94516379999999</v>
      </c>
      <c r="M6" s="273">
        <v>297.06177158999998</v>
      </c>
      <c r="N6" s="273">
        <v>345.34257681000003</v>
      </c>
      <c r="O6" s="273">
        <v>344.33203391000001</v>
      </c>
      <c r="P6" s="273">
        <v>291.04967181000001</v>
      </c>
      <c r="Q6" s="273">
        <v>319.33575506</v>
      </c>
      <c r="R6" s="273">
        <v>295.36059060000002</v>
      </c>
      <c r="S6" s="273">
        <v>323.44673778999999</v>
      </c>
      <c r="T6" s="273">
        <v>358.52200715999999</v>
      </c>
      <c r="U6" s="273">
        <v>404.43247348</v>
      </c>
      <c r="V6" s="273">
        <v>384.73857992000001</v>
      </c>
      <c r="W6" s="273">
        <v>335.91491022000002</v>
      </c>
      <c r="X6" s="273">
        <v>318.66964922</v>
      </c>
      <c r="Y6" s="273">
        <v>308.05234230000002</v>
      </c>
      <c r="Z6" s="273">
        <v>350.41580813000002</v>
      </c>
      <c r="AA6" s="273">
        <v>373.23027963999999</v>
      </c>
      <c r="AB6" s="273">
        <v>306.89421347000001</v>
      </c>
      <c r="AC6" s="273">
        <v>321.54695369000001</v>
      </c>
      <c r="AD6" s="273">
        <v>300.75644039999997</v>
      </c>
      <c r="AE6" s="273">
        <v>338.94760568999999</v>
      </c>
      <c r="AF6" s="273">
        <v>371.88576146999998</v>
      </c>
      <c r="AG6" s="273">
        <v>411.29031986000001</v>
      </c>
      <c r="AH6" s="273">
        <v>408.02775681999998</v>
      </c>
      <c r="AI6" s="273">
        <v>356.25830163000001</v>
      </c>
      <c r="AJ6" s="273">
        <v>324.93194313999999</v>
      </c>
      <c r="AK6" s="273">
        <v>322.36865697000002</v>
      </c>
      <c r="AL6" s="273">
        <v>342.13911161999999</v>
      </c>
      <c r="AM6" s="273">
        <v>357.75365220999998</v>
      </c>
      <c r="AN6" s="273">
        <v>313.68041557999999</v>
      </c>
      <c r="AO6" s="273">
        <v>323.78238920000001</v>
      </c>
      <c r="AP6" s="273">
        <v>294.57676692000001</v>
      </c>
      <c r="AQ6" s="273">
        <v>328.26850844000001</v>
      </c>
      <c r="AR6" s="273">
        <v>351.36268860000001</v>
      </c>
      <c r="AS6" s="273">
        <v>411.61614322000003</v>
      </c>
      <c r="AT6" s="273">
        <v>401.66494265</v>
      </c>
      <c r="AU6" s="273">
        <v>359.54511344999997</v>
      </c>
      <c r="AV6" s="273">
        <v>321.87496382</v>
      </c>
      <c r="AW6" s="273">
        <v>316.67189694000001</v>
      </c>
      <c r="AX6" s="273">
        <v>337.25309442000002</v>
      </c>
      <c r="AY6" s="273">
        <v>339.32035861999998</v>
      </c>
      <c r="AZ6" s="273">
        <v>316.93415938999999</v>
      </c>
      <c r="BA6" s="273">
        <v>305.77863990999998</v>
      </c>
      <c r="BB6" s="273">
        <v>274.87565286</v>
      </c>
      <c r="BC6" s="273">
        <v>303.43441927999999</v>
      </c>
      <c r="BD6" s="273">
        <v>352.93635221</v>
      </c>
      <c r="BE6" s="273">
        <v>411.16460000000001</v>
      </c>
      <c r="BF6" s="273">
        <v>397.7002</v>
      </c>
      <c r="BG6" s="334">
        <v>340.7251</v>
      </c>
      <c r="BH6" s="334">
        <v>310.46129999999999</v>
      </c>
      <c r="BI6" s="334">
        <v>299.96449999999999</v>
      </c>
      <c r="BJ6" s="334">
        <v>332.21609999999998</v>
      </c>
      <c r="BK6" s="334">
        <v>336.70580000000001</v>
      </c>
      <c r="BL6" s="334">
        <v>294.98540000000003</v>
      </c>
      <c r="BM6" s="334">
        <v>306.77620000000002</v>
      </c>
      <c r="BN6" s="334">
        <v>283.82679999999999</v>
      </c>
      <c r="BO6" s="334">
        <v>312.77699999999999</v>
      </c>
      <c r="BP6" s="334">
        <v>356.64229999999998</v>
      </c>
      <c r="BQ6" s="334">
        <v>398.92970000000003</v>
      </c>
      <c r="BR6" s="334">
        <v>391.90839999999997</v>
      </c>
      <c r="BS6" s="334">
        <v>336.03579999999999</v>
      </c>
      <c r="BT6" s="334">
        <v>315.12450000000001</v>
      </c>
      <c r="BU6" s="334">
        <v>303.21359999999999</v>
      </c>
      <c r="BV6" s="334">
        <v>335.96519999999998</v>
      </c>
    </row>
    <row r="7" spans="1:74" ht="11.1" customHeight="1" x14ac:dyDescent="0.2">
      <c r="A7" s="101" t="s">
        <v>1162</v>
      </c>
      <c r="B7" s="130" t="s">
        <v>1383</v>
      </c>
      <c r="C7" s="273">
        <v>339.20005320000001</v>
      </c>
      <c r="D7" s="273">
        <v>301.12160526999998</v>
      </c>
      <c r="E7" s="273">
        <v>291.26168795000001</v>
      </c>
      <c r="F7" s="273">
        <v>280.54750811999997</v>
      </c>
      <c r="G7" s="273">
        <v>303.87926582</v>
      </c>
      <c r="H7" s="273">
        <v>354.44498069999997</v>
      </c>
      <c r="I7" s="273">
        <v>397.63470692999999</v>
      </c>
      <c r="J7" s="273">
        <v>395.32849757999998</v>
      </c>
      <c r="K7" s="273">
        <v>338.25987989999999</v>
      </c>
      <c r="L7" s="273">
        <v>300.07336966000003</v>
      </c>
      <c r="M7" s="273">
        <v>284.28245021999999</v>
      </c>
      <c r="N7" s="273">
        <v>332.04439511999999</v>
      </c>
      <c r="O7" s="273">
        <v>330.85866775</v>
      </c>
      <c r="P7" s="273">
        <v>278.90430788999998</v>
      </c>
      <c r="Q7" s="273">
        <v>306.38182124000002</v>
      </c>
      <c r="R7" s="273">
        <v>282.89862764999998</v>
      </c>
      <c r="S7" s="273">
        <v>310.70322972999998</v>
      </c>
      <c r="T7" s="273">
        <v>345.2405493</v>
      </c>
      <c r="U7" s="273">
        <v>390.29400489</v>
      </c>
      <c r="V7" s="273">
        <v>370.79442302000001</v>
      </c>
      <c r="W7" s="273">
        <v>323.47218779999997</v>
      </c>
      <c r="X7" s="273">
        <v>306.08493284000002</v>
      </c>
      <c r="Y7" s="273">
        <v>295.31466129</v>
      </c>
      <c r="Z7" s="273">
        <v>336.50531651</v>
      </c>
      <c r="AA7" s="273">
        <v>359.44877487000002</v>
      </c>
      <c r="AB7" s="273">
        <v>294.63336643999997</v>
      </c>
      <c r="AC7" s="273">
        <v>308.74664582000003</v>
      </c>
      <c r="AD7" s="273">
        <v>288.50948796</v>
      </c>
      <c r="AE7" s="273">
        <v>325.90462192000001</v>
      </c>
      <c r="AF7" s="273">
        <v>358.5232671</v>
      </c>
      <c r="AG7" s="273">
        <v>396.85401657</v>
      </c>
      <c r="AH7" s="273">
        <v>393.49724791</v>
      </c>
      <c r="AI7" s="273">
        <v>342.91691279999998</v>
      </c>
      <c r="AJ7" s="273">
        <v>311.74973299999999</v>
      </c>
      <c r="AK7" s="273">
        <v>309.0624588</v>
      </c>
      <c r="AL7" s="273">
        <v>328.32004396000002</v>
      </c>
      <c r="AM7" s="273">
        <v>343.56359831999998</v>
      </c>
      <c r="AN7" s="273">
        <v>301.17312204000001</v>
      </c>
      <c r="AO7" s="273">
        <v>310.42133525999998</v>
      </c>
      <c r="AP7" s="273">
        <v>281.88617052000001</v>
      </c>
      <c r="AQ7" s="273">
        <v>315.31014499999998</v>
      </c>
      <c r="AR7" s="273">
        <v>338.27180069999997</v>
      </c>
      <c r="AS7" s="273">
        <v>397.30071881999999</v>
      </c>
      <c r="AT7" s="273">
        <v>387.31513553000002</v>
      </c>
      <c r="AU7" s="273">
        <v>346.09166249999998</v>
      </c>
      <c r="AV7" s="273">
        <v>308.59937477</v>
      </c>
      <c r="AW7" s="273">
        <v>302.8451814</v>
      </c>
      <c r="AX7" s="273">
        <v>323.00280461</v>
      </c>
      <c r="AY7" s="273">
        <v>324.83890206000001</v>
      </c>
      <c r="AZ7" s="273">
        <v>303.64117167000001</v>
      </c>
      <c r="BA7" s="273">
        <v>292.39801896</v>
      </c>
      <c r="BB7" s="273">
        <v>262.70618360999998</v>
      </c>
      <c r="BC7" s="273">
        <v>291.06110425000003</v>
      </c>
      <c r="BD7" s="273">
        <v>340.12675281999998</v>
      </c>
      <c r="BE7" s="273">
        <v>397.65210000000002</v>
      </c>
      <c r="BF7" s="273">
        <v>385.2312</v>
      </c>
      <c r="BG7" s="334">
        <v>329.51780000000002</v>
      </c>
      <c r="BH7" s="334">
        <v>299.39210000000003</v>
      </c>
      <c r="BI7" s="334">
        <v>288.5847</v>
      </c>
      <c r="BJ7" s="334">
        <v>320.15109999999999</v>
      </c>
      <c r="BK7" s="334">
        <v>324.43650000000002</v>
      </c>
      <c r="BL7" s="334">
        <v>283.88729999999998</v>
      </c>
      <c r="BM7" s="334">
        <v>294.87529999999998</v>
      </c>
      <c r="BN7" s="334">
        <v>272.37810000000002</v>
      </c>
      <c r="BO7" s="334">
        <v>301.02359999999999</v>
      </c>
      <c r="BP7" s="334">
        <v>344.7851</v>
      </c>
      <c r="BQ7" s="334">
        <v>385.92790000000002</v>
      </c>
      <c r="BR7" s="334">
        <v>379.04180000000002</v>
      </c>
      <c r="BS7" s="334">
        <v>323.99180000000001</v>
      </c>
      <c r="BT7" s="334">
        <v>303.2176</v>
      </c>
      <c r="BU7" s="334">
        <v>291.0401</v>
      </c>
      <c r="BV7" s="334">
        <v>323.07729999999998</v>
      </c>
    </row>
    <row r="8" spans="1:74" ht="11.1" customHeight="1" x14ac:dyDescent="0.2">
      <c r="A8" s="101" t="s">
        <v>1384</v>
      </c>
      <c r="B8" s="130" t="s">
        <v>1385</v>
      </c>
      <c r="C8" s="273">
        <v>12.496719163</v>
      </c>
      <c r="D8" s="273">
        <v>11.5966592</v>
      </c>
      <c r="E8" s="273">
        <v>12.116862833000001</v>
      </c>
      <c r="F8" s="273">
        <v>11.38551504</v>
      </c>
      <c r="G8" s="273">
        <v>11.886486643</v>
      </c>
      <c r="H8" s="273">
        <v>12.247643910000001</v>
      </c>
      <c r="I8" s="273">
        <v>12.989266879000001</v>
      </c>
      <c r="J8" s="273">
        <v>13.074737289</v>
      </c>
      <c r="K8" s="273">
        <v>12.11053482</v>
      </c>
      <c r="L8" s="273">
        <v>11.850716022</v>
      </c>
      <c r="M8" s="273">
        <v>11.85238434</v>
      </c>
      <c r="N8" s="273">
        <v>12.282707005000001</v>
      </c>
      <c r="O8" s="273">
        <v>12.370320940999999</v>
      </c>
      <c r="P8" s="273">
        <v>11.165080836</v>
      </c>
      <c r="Q8" s="273">
        <v>11.866643140000001</v>
      </c>
      <c r="R8" s="273">
        <v>11.47611468</v>
      </c>
      <c r="S8" s="273">
        <v>11.669611293999999</v>
      </c>
      <c r="T8" s="273">
        <v>12.14311665</v>
      </c>
      <c r="U8" s="273">
        <v>12.911672143000001</v>
      </c>
      <c r="V8" s="273">
        <v>12.742698861999999</v>
      </c>
      <c r="W8" s="273">
        <v>11.34465801</v>
      </c>
      <c r="X8" s="273">
        <v>11.531131999999999</v>
      </c>
      <c r="Y8" s="273">
        <v>11.7312177</v>
      </c>
      <c r="Z8" s="273">
        <v>12.805809902</v>
      </c>
      <c r="AA8" s="273">
        <v>12.667554149000001</v>
      </c>
      <c r="AB8" s="273">
        <v>11.265465792000001</v>
      </c>
      <c r="AC8" s="273">
        <v>11.74227548</v>
      </c>
      <c r="AD8" s="273">
        <v>11.257603530000001</v>
      </c>
      <c r="AE8" s="273">
        <v>11.966830459000001</v>
      </c>
      <c r="AF8" s="273">
        <v>12.19919556</v>
      </c>
      <c r="AG8" s="273">
        <v>13.137917583</v>
      </c>
      <c r="AH8" s="273">
        <v>13.212371306</v>
      </c>
      <c r="AI8" s="273">
        <v>12.18536055</v>
      </c>
      <c r="AJ8" s="273">
        <v>12.126958603</v>
      </c>
      <c r="AK8" s="273">
        <v>12.31289967</v>
      </c>
      <c r="AL8" s="273">
        <v>12.723948139999999</v>
      </c>
      <c r="AM8" s="273">
        <v>13.022859347000001</v>
      </c>
      <c r="AN8" s="273">
        <v>11.443426792</v>
      </c>
      <c r="AO8" s="273">
        <v>12.204342725</v>
      </c>
      <c r="AP8" s="273">
        <v>11.64499191</v>
      </c>
      <c r="AQ8" s="273">
        <v>11.873916980000001</v>
      </c>
      <c r="AR8" s="273">
        <v>11.98463244</v>
      </c>
      <c r="AS8" s="273">
        <v>13.068406159</v>
      </c>
      <c r="AT8" s="273">
        <v>13.081698401000001</v>
      </c>
      <c r="AU8" s="273">
        <v>12.31279119</v>
      </c>
      <c r="AV8" s="273">
        <v>12.176255764</v>
      </c>
      <c r="AW8" s="273">
        <v>12.72724485</v>
      </c>
      <c r="AX8" s="273">
        <v>13.104863523000001</v>
      </c>
      <c r="AY8" s="273">
        <v>13.324250987999999</v>
      </c>
      <c r="AZ8" s="273">
        <v>12.218039619000001</v>
      </c>
      <c r="BA8" s="273">
        <v>12.304996470000001</v>
      </c>
      <c r="BB8" s="273">
        <v>11.201045880000001</v>
      </c>
      <c r="BC8" s="273">
        <v>11.339242215000001</v>
      </c>
      <c r="BD8" s="273">
        <v>11.705977860999999</v>
      </c>
      <c r="BE8" s="273">
        <v>12.26141</v>
      </c>
      <c r="BF8" s="273">
        <v>11.220359999999999</v>
      </c>
      <c r="BG8" s="334">
        <v>10.06541</v>
      </c>
      <c r="BH8" s="334">
        <v>9.9884419999999992</v>
      </c>
      <c r="BI8" s="334">
        <v>10.34854</v>
      </c>
      <c r="BJ8" s="334">
        <v>10.959809999999999</v>
      </c>
      <c r="BK8" s="334">
        <v>11.15067</v>
      </c>
      <c r="BL8" s="334">
        <v>10.076779999999999</v>
      </c>
      <c r="BM8" s="334">
        <v>10.803710000000001</v>
      </c>
      <c r="BN8" s="334">
        <v>10.433920000000001</v>
      </c>
      <c r="BO8" s="334">
        <v>10.669980000000001</v>
      </c>
      <c r="BP8" s="334">
        <v>10.73807</v>
      </c>
      <c r="BQ8" s="334">
        <v>11.74381</v>
      </c>
      <c r="BR8" s="334">
        <v>11.62092</v>
      </c>
      <c r="BS8" s="334">
        <v>10.90892</v>
      </c>
      <c r="BT8" s="334">
        <v>10.832140000000001</v>
      </c>
      <c r="BU8" s="334">
        <v>11.146929999999999</v>
      </c>
      <c r="BV8" s="334">
        <v>11.78518</v>
      </c>
    </row>
    <row r="9" spans="1:74" ht="11.1" customHeight="1" x14ac:dyDescent="0.2">
      <c r="A9" s="101" t="s">
        <v>1386</v>
      </c>
      <c r="B9" s="130" t="s">
        <v>1387</v>
      </c>
      <c r="C9" s="273">
        <v>1.0222935719999999</v>
      </c>
      <c r="D9" s="273">
        <v>0.967136196</v>
      </c>
      <c r="E9" s="273">
        <v>1.011030125</v>
      </c>
      <c r="F9" s="273">
        <v>0.96052704</v>
      </c>
      <c r="G9" s="273">
        <v>1.0187042369999999</v>
      </c>
      <c r="H9" s="273">
        <v>1.0885711199999999</v>
      </c>
      <c r="I9" s="273">
        <v>1.2629683650000001</v>
      </c>
      <c r="J9" s="273">
        <v>1.2975768889999999</v>
      </c>
      <c r="K9" s="273">
        <v>1.1140532700000001</v>
      </c>
      <c r="L9" s="273">
        <v>1.021078124</v>
      </c>
      <c r="M9" s="273">
        <v>0.92693703000000005</v>
      </c>
      <c r="N9" s="273">
        <v>1.0154746880000001</v>
      </c>
      <c r="O9" s="273">
        <v>1.1030452239999999</v>
      </c>
      <c r="P9" s="273">
        <v>0.98028307999999997</v>
      </c>
      <c r="Q9" s="273">
        <v>1.087290683</v>
      </c>
      <c r="R9" s="273">
        <v>0.98584826999999997</v>
      </c>
      <c r="S9" s="273">
        <v>1.0738967610000001</v>
      </c>
      <c r="T9" s="273">
        <v>1.1383412100000001</v>
      </c>
      <c r="U9" s="273">
        <v>1.2267964490000001</v>
      </c>
      <c r="V9" s="273">
        <v>1.201458041</v>
      </c>
      <c r="W9" s="273">
        <v>1.0980644100000001</v>
      </c>
      <c r="X9" s="273">
        <v>1.053584383</v>
      </c>
      <c r="Y9" s="273">
        <v>1.00646331</v>
      </c>
      <c r="Z9" s="273">
        <v>1.104681714</v>
      </c>
      <c r="AA9" s="273">
        <v>1.1139506210000001</v>
      </c>
      <c r="AB9" s="273">
        <v>0.99538123999999994</v>
      </c>
      <c r="AC9" s="273">
        <v>1.0580323869999999</v>
      </c>
      <c r="AD9" s="273">
        <v>0.98934891000000003</v>
      </c>
      <c r="AE9" s="273">
        <v>1.0761533130000001</v>
      </c>
      <c r="AF9" s="273">
        <v>1.1632988099999999</v>
      </c>
      <c r="AG9" s="273">
        <v>1.29838571</v>
      </c>
      <c r="AH9" s="273">
        <v>1.318137608</v>
      </c>
      <c r="AI9" s="273">
        <v>1.1560282799999999</v>
      </c>
      <c r="AJ9" s="273">
        <v>1.055251532</v>
      </c>
      <c r="AK9" s="273">
        <v>0.99329849999999997</v>
      </c>
      <c r="AL9" s="273">
        <v>1.095119516</v>
      </c>
      <c r="AM9" s="273">
        <v>1.167194547</v>
      </c>
      <c r="AN9" s="273">
        <v>1.0638667479999999</v>
      </c>
      <c r="AO9" s="273">
        <v>1.1567112150000001</v>
      </c>
      <c r="AP9" s="273">
        <v>1.0456044900000001</v>
      </c>
      <c r="AQ9" s="273">
        <v>1.084446464</v>
      </c>
      <c r="AR9" s="273">
        <v>1.1062554600000001</v>
      </c>
      <c r="AS9" s="273">
        <v>1.247018245</v>
      </c>
      <c r="AT9" s="273">
        <v>1.2681087230000001</v>
      </c>
      <c r="AU9" s="273">
        <v>1.1406597599999999</v>
      </c>
      <c r="AV9" s="273">
        <v>1.0993332840000001</v>
      </c>
      <c r="AW9" s="273">
        <v>1.09947069</v>
      </c>
      <c r="AX9" s="273">
        <v>1.1454262850000001</v>
      </c>
      <c r="AY9" s="273">
        <v>1.1572055720000001</v>
      </c>
      <c r="AZ9" s="273">
        <v>1.074948104</v>
      </c>
      <c r="BA9" s="273">
        <v>1.075624484</v>
      </c>
      <c r="BB9" s="273">
        <v>0.96842337000000001</v>
      </c>
      <c r="BC9" s="273">
        <v>1.0340728130000001</v>
      </c>
      <c r="BD9" s="273">
        <v>1.103621521</v>
      </c>
      <c r="BE9" s="273">
        <v>1.2511140000000001</v>
      </c>
      <c r="BF9" s="273">
        <v>1.2487090000000001</v>
      </c>
      <c r="BG9" s="334">
        <v>1.141893</v>
      </c>
      <c r="BH9" s="334">
        <v>1.0807899999999999</v>
      </c>
      <c r="BI9" s="334">
        <v>1.0312539999999999</v>
      </c>
      <c r="BJ9" s="334">
        <v>1.10511</v>
      </c>
      <c r="BK9" s="334">
        <v>1.1185780000000001</v>
      </c>
      <c r="BL9" s="334">
        <v>1.0212760000000001</v>
      </c>
      <c r="BM9" s="334">
        <v>1.097113</v>
      </c>
      <c r="BN9" s="334">
        <v>1.0147679999999999</v>
      </c>
      <c r="BO9" s="334">
        <v>1.083421</v>
      </c>
      <c r="BP9" s="334">
        <v>1.1190739999999999</v>
      </c>
      <c r="BQ9" s="334">
        <v>1.258043</v>
      </c>
      <c r="BR9" s="334">
        <v>1.2456780000000001</v>
      </c>
      <c r="BS9" s="334">
        <v>1.1350690000000001</v>
      </c>
      <c r="BT9" s="334">
        <v>1.074749</v>
      </c>
      <c r="BU9" s="334">
        <v>1.026648</v>
      </c>
      <c r="BV9" s="334">
        <v>1.1026629999999999</v>
      </c>
    </row>
    <row r="10" spans="1:74" ht="11.1" customHeight="1" x14ac:dyDescent="0.2">
      <c r="A10" s="104" t="s">
        <v>1163</v>
      </c>
      <c r="B10" s="130" t="s">
        <v>464</v>
      </c>
      <c r="C10" s="273">
        <v>6.1344340080000004</v>
      </c>
      <c r="D10" s="273">
        <v>4.8807040019999999</v>
      </c>
      <c r="E10" s="273">
        <v>5.1380149890000002</v>
      </c>
      <c r="F10" s="273">
        <v>4.2520869899999996</v>
      </c>
      <c r="G10" s="273">
        <v>5.1911280020000001</v>
      </c>
      <c r="H10" s="273">
        <v>6.1379739899999999</v>
      </c>
      <c r="I10" s="273">
        <v>7.0992690180000002</v>
      </c>
      <c r="J10" s="273">
        <v>6.7621760100000001</v>
      </c>
      <c r="K10" s="273">
        <v>4.7105979900000001</v>
      </c>
      <c r="L10" s="273">
        <v>5.3185119930000004</v>
      </c>
      <c r="M10" s="273">
        <v>6.0039290100000002</v>
      </c>
      <c r="N10" s="273">
        <v>4.873420007</v>
      </c>
      <c r="O10" s="273">
        <v>6.5348150040000004</v>
      </c>
      <c r="P10" s="273">
        <v>4.9823870039999996</v>
      </c>
      <c r="Q10" s="273">
        <v>5.0248839920000004</v>
      </c>
      <c r="R10" s="273">
        <v>4.4557850099999996</v>
      </c>
      <c r="S10" s="273">
        <v>4.2524480020000004</v>
      </c>
      <c r="T10" s="273">
        <v>5.1815790000000002</v>
      </c>
      <c r="U10" s="273">
        <v>5.2049829870000002</v>
      </c>
      <c r="V10" s="273">
        <v>5.7363849870000001</v>
      </c>
      <c r="W10" s="273">
        <v>4.5362460000000002</v>
      </c>
      <c r="X10" s="273">
        <v>3.242437002</v>
      </c>
      <c r="Y10" s="273">
        <v>3.1071029999999999</v>
      </c>
      <c r="Z10" s="273">
        <v>4.0550619809999997</v>
      </c>
      <c r="AA10" s="273">
        <v>4.0852609720000004</v>
      </c>
      <c r="AB10" s="273">
        <v>3.520158012</v>
      </c>
      <c r="AC10" s="273">
        <v>4.4031460080000002</v>
      </c>
      <c r="AD10" s="273">
        <v>2.9071250100000001</v>
      </c>
      <c r="AE10" s="273">
        <v>4.0977549949999998</v>
      </c>
      <c r="AF10" s="273">
        <v>4.2785660099999996</v>
      </c>
      <c r="AG10" s="273">
        <v>4.4353599990000001</v>
      </c>
      <c r="AH10" s="273">
        <v>5.0017699889999996</v>
      </c>
      <c r="AI10" s="273">
        <v>3.1896599999999999</v>
      </c>
      <c r="AJ10" s="273">
        <v>2.834574001</v>
      </c>
      <c r="AK10" s="273">
        <v>2.52829602</v>
      </c>
      <c r="AL10" s="273">
        <v>3.1744389979999998</v>
      </c>
      <c r="AM10" s="273">
        <v>3.3410119800000002</v>
      </c>
      <c r="AN10" s="273">
        <v>3.1338530160000002</v>
      </c>
      <c r="AO10" s="273">
        <v>2.4007799959999998</v>
      </c>
      <c r="AP10" s="273">
        <v>2.3863760100000002</v>
      </c>
      <c r="AQ10" s="273">
        <v>3.041396019</v>
      </c>
      <c r="AR10" s="273">
        <v>3.63049599</v>
      </c>
      <c r="AS10" s="273">
        <v>3.685152993</v>
      </c>
      <c r="AT10" s="273">
        <v>4.0799139990000004</v>
      </c>
      <c r="AU10" s="273">
        <v>3.5169769799999999</v>
      </c>
      <c r="AV10" s="273">
        <v>2.1962630139999999</v>
      </c>
      <c r="AW10" s="273">
        <v>3.5953349999999999</v>
      </c>
      <c r="AX10" s="273">
        <v>4.0368740020000002</v>
      </c>
      <c r="AY10" s="273">
        <v>3.1822139840000001</v>
      </c>
      <c r="AZ10" s="273">
        <v>2.8315100040000001</v>
      </c>
      <c r="BA10" s="273">
        <v>3.7776139959999999</v>
      </c>
      <c r="BB10" s="273">
        <v>3.2121900000000001</v>
      </c>
      <c r="BC10" s="273">
        <v>3.6605509999999999</v>
      </c>
      <c r="BD10" s="273">
        <v>3.90002</v>
      </c>
      <c r="BE10" s="273">
        <v>4.7453079999999996</v>
      </c>
      <c r="BF10" s="273">
        <v>4.7888210000000004</v>
      </c>
      <c r="BG10" s="334">
        <v>3.6138409999999999</v>
      </c>
      <c r="BH10" s="334">
        <v>3.171637</v>
      </c>
      <c r="BI10" s="334">
        <v>3.3490129999999998</v>
      </c>
      <c r="BJ10" s="334">
        <v>3.5306289999999998</v>
      </c>
      <c r="BK10" s="334">
        <v>4.2546730000000004</v>
      </c>
      <c r="BL10" s="334">
        <v>3.4549210000000001</v>
      </c>
      <c r="BM10" s="334">
        <v>3.8505560000000001</v>
      </c>
      <c r="BN10" s="334">
        <v>3.5494690000000002</v>
      </c>
      <c r="BO10" s="334">
        <v>4.1299409999999996</v>
      </c>
      <c r="BP10" s="334">
        <v>4.5115449999999999</v>
      </c>
      <c r="BQ10" s="334">
        <v>5.179405</v>
      </c>
      <c r="BR10" s="334">
        <v>5.2102149999999998</v>
      </c>
      <c r="BS10" s="334">
        <v>3.9109790000000002</v>
      </c>
      <c r="BT10" s="334">
        <v>3.4161130000000002</v>
      </c>
      <c r="BU10" s="334">
        <v>3.6187079999999998</v>
      </c>
      <c r="BV10" s="334">
        <v>3.833418</v>
      </c>
    </row>
    <row r="11" spans="1:74" ht="11.1" customHeight="1" x14ac:dyDescent="0.2">
      <c r="A11" s="104" t="s">
        <v>1164</v>
      </c>
      <c r="B11" s="130" t="s">
        <v>405</v>
      </c>
      <c r="C11" s="273">
        <v>358.85349994000001</v>
      </c>
      <c r="D11" s="273">
        <v>318.56610467000002</v>
      </c>
      <c r="E11" s="273">
        <v>309.52759589999999</v>
      </c>
      <c r="F11" s="273">
        <v>297.14563719</v>
      </c>
      <c r="G11" s="273">
        <v>321.97558470000001</v>
      </c>
      <c r="H11" s="273">
        <v>373.91916972000001</v>
      </c>
      <c r="I11" s="273">
        <v>418.98621119000001</v>
      </c>
      <c r="J11" s="273">
        <v>416.46298776999998</v>
      </c>
      <c r="K11" s="273">
        <v>356.19506597999998</v>
      </c>
      <c r="L11" s="273">
        <v>318.26367579999999</v>
      </c>
      <c r="M11" s="273">
        <v>303.06570060000001</v>
      </c>
      <c r="N11" s="273">
        <v>350.21599681999999</v>
      </c>
      <c r="O11" s="273">
        <v>350.86684892</v>
      </c>
      <c r="P11" s="273">
        <v>296.03205881000002</v>
      </c>
      <c r="Q11" s="273">
        <v>324.36063904999997</v>
      </c>
      <c r="R11" s="273">
        <v>299.81637561000002</v>
      </c>
      <c r="S11" s="273">
        <v>327.69918579</v>
      </c>
      <c r="T11" s="273">
        <v>363.70358615999999</v>
      </c>
      <c r="U11" s="273">
        <v>409.63745647000002</v>
      </c>
      <c r="V11" s="273">
        <v>390.47496490999998</v>
      </c>
      <c r="W11" s="273">
        <v>340.45115621999997</v>
      </c>
      <c r="X11" s="273">
        <v>321.91208623</v>
      </c>
      <c r="Y11" s="273">
        <v>311.15944530000002</v>
      </c>
      <c r="Z11" s="273">
        <v>354.47087011000002</v>
      </c>
      <c r="AA11" s="273">
        <v>377.31554061000003</v>
      </c>
      <c r="AB11" s="273">
        <v>310.41437148</v>
      </c>
      <c r="AC11" s="273">
        <v>325.95009970000001</v>
      </c>
      <c r="AD11" s="273">
        <v>303.66356540999999</v>
      </c>
      <c r="AE11" s="273">
        <v>343.04536069</v>
      </c>
      <c r="AF11" s="273">
        <v>376.16432748</v>
      </c>
      <c r="AG11" s="273">
        <v>415.72567986000001</v>
      </c>
      <c r="AH11" s="273">
        <v>413.02952680999999</v>
      </c>
      <c r="AI11" s="273">
        <v>359.44796163000001</v>
      </c>
      <c r="AJ11" s="273">
        <v>327.76651714000002</v>
      </c>
      <c r="AK11" s="273">
        <v>324.89695298999999</v>
      </c>
      <c r="AL11" s="273">
        <v>345.31355060999999</v>
      </c>
      <c r="AM11" s="273">
        <v>361.09466419</v>
      </c>
      <c r="AN11" s="273">
        <v>316.81426859999999</v>
      </c>
      <c r="AO11" s="273">
        <v>326.18316920000001</v>
      </c>
      <c r="AP11" s="273">
        <v>296.96314293</v>
      </c>
      <c r="AQ11" s="273">
        <v>331.30990445999998</v>
      </c>
      <c r="AR11" s="273">
        <v>354.99318459</v>
      </c>
      <c r="AS11" s="273">
        <v>415.30129621999998</v>
      </c>
      <c r="AT11" s="273">
        <v>405.74485664999997</v>
      </c>
      <c r="AU11" s="273">
        <v>363.06209043000001</v>
      </c>
      <c r="AV11" s="273">
        <v>324.07122683</v>
      </c>
      <c r="AW11" s="273">
        <v>320.26723193999999</v>
      </c>
      <c r="AX11" s="273">
        <v>341.28996841999998</v>
      </c>
      <c r="AY11" s="273">
        <v>342.50257260000001</v>
      </c>
      <c r="AZ11" s="273">
        <v>319.76566939999998</v>
      </c>
      <c r="BA11" s="273">
        <v>309.55625391000001</v>
      </c>
      <c r="BB11" s="273">
        <v>278.08784286000002</v>
      </c>
      <c r="BC11" s="273">
        <v>307.09497027999998</v>
      </c>
      <c r="BD11" s="273">
        <v>356.83637220999998</v>
      </c>
      <c r="BE11" s="273">
        <v>415.90989999999999</v>
      </c>
      <c r="BF11" s="273">
        <v>402.48910000000001</v>
      </c>
      <c r="BG11" s="334">
        <v>344.339</v>
      </c>
      <c r="BH11" s="334">
        <v>313.63290000000001</v>
      </c>
      <c r="BI11" s="334">
        <v>303.31349999999998</v>
      </c>
      <c r="BJ11" s="334">
        <v>335.74669999999998</v>
      </c>
      <c r="BK11" s="334">
        <v>340.96039999999999</v>
      </c>
      <c r="BL11" s="334">
        <v>298.44029999999998</v>
      </c>
      <c r="BM11" s="334">
        <v>310.62670000000003</v>
      </c>
      <c r="BN11" s="334">
        <v>287.37630000000001</v>
      </c>
      <c r="BO11" s="334">
        <v>316.90690000000001</v>
      </c>
      <c r="BP11" s="334">
        <v>361.15379999999999</v>
      </c>
      <c r="BQ11" s="334">
        <v>404.10910000000001</v>
      </c>
      <c r="BR11" s="334">
        <v>397.11869999999999</v>
      </c>
      <c r="BS11" s="334">
        <v>339.94670000000002</v>
      </c>
      <c r="BT11" s="334">
        <v>318.54059999999998</v>
      </c>
      <c r="BU11" s="334">
        <v>306.83229999999998</v>
      </c>
      <c r="BV11" s="334">
        <v>339.79860000000002</v>
      </c>
    </row>
    <row r="12" spans="1:74" ht="11.1" customHeight="1" x14ac:dyDescent="0.2">
      <c r="A12" s="104" t="s">
        <v>1165</v>
      </c>
      <c r="B12" s="130" t="s">
        <v>354</v>
      </c>
      <c r="C12" s="273">
        <v>26.042787334</v>
      </c>
      <c r="D12" s="273">
        <v>10.682067553</v>
      </c>
      <c r="E12" s="273">
        <v>12.13956342</v>
      </c>
      <c r="F12" s="273">
        <v>16.72813257</v>
      </c>
      <c r="G12" s="273">
        <v>25.888639864999998</v>
      </c>
      <c r="H12" s="273">
        <v>32.281900530000001</v>
      </c>
      <c r="I12" s="273">
        <v>34.246867553000001</v>
      </c>
      <c r="J12" s="273">
        <v>22.597702959999999</v>
      </c>
      <c r="K12" s="273">
        <v>7.7820443700000004</v>
      </c>
      <c r="L12" s="273">
        <v>10.233149879000001</v>
      </c>
      <c r="M12" s="273">
        <v>14.48040378</v>
      </c>
      <c r="N12" s="273">
        <v>27.767943317</v>
      </c>
      <c r="O12" s="273">
        <v>20.565512747</v>
      </c>
      <c r="P12" s="273">
        <v>9.3257837119999998</v>
      </c>
      <c r="Q12" s="273">
        <v>21.260261806999999</v>
      </c>
      <c r="R12" s="273">
        <v>15.80118309</v>
      </c>
      <c r="S12" s="273">
        <v>24.361261990999999</v>
      </c>
      <c r="T12" s="273">
        <v>23.169505139999998</v>
      </c>
      <c r="U12" s="273">
        <v>29.301778057</v>
      </c>
      <c r="V12" s="273">
        <v>17.664542325999999</v>
      </c>
      <c r="W12" s="273">
        <v>7.5286250399999997</v>
      </c>
      <c r="X12" s="273">
        <v>11.048111421</v>
      </c>
      <c r="Y12" s="273">
        <v>16.350302039999999</v>
      </c>
      <c r="Z12" s="273">
        <v>29.737578785</v>
      </c>
      <c r="AA12" s="273">
        <v>20.433283858999999</v>
      </c>
      <c r="AB12" s="273">
        <v>6.646242344</v>
      </c>
      <c r="AC12" s="273">
        <v>17.429389563000001</v>
      </c>
      <c r="AD12" s="273">
        <v>14.17224057</v>
      </c>
      <c r="AE12" s="273">
        <v>28.057517571999998</v>
      </c>
      <c r="AF12" s="273">
        <v>26.053918679999999</v>
      </c>
      <c r="AG12" s="273">
        <v>27.708306632999999</v>
      </c>
      <c r="AH12" s="273">
        <v>18.820158124999999</v>
      </c>
      <c r="AI12" s="273">
        <v>10.176986640000001</v>
      </c>
      <c r="AJ12" s="273">
        <v>6.7877787239999998</v>
      </c>
      <c r="AK12" s="273">
        <v>22.41310146</v>
      </c>
      <c r="AL12" s="273">
        <v>20.735460265</v>
      </c>
      <c r="AM12" s="273">
        <v>24.815407651000001</v>
      </c>
      <c r="AN12" s="273">
        <v>14.490777616000001</v>
      </c>
      <c r="AO12" s="273">
        <v>17.240694143999999</v>
      </c>
      <c r="AP12" s="273">
        <v>16.689604559999999</v>
      </c>
      <c r="AQ12" s="273">
        <v>27.678959986999999</v>
      </c>
      <c r="AR12" s="273">
        <v>27.12323829</v>
      </c>
      <c r="AS12" s="273">
        <v>32.143850833999998</v>
      </c>
      <c r="AT12" s="273">
        <v>26.177438531</v>
      </c>
      <c r="AU12" s="273">
        <v>16.06287537</v>
      </c>
      <c r="AV12" s="273">
        <v>9.6290886530000002</v>
      </c>
      <c r="AW12" s="273">
        <v>26.358325019999999</v>
      </c>
      <c r="AX12" s="273">
        <v>23.090143261000001</v>
      </c>
      <c r="AY12" s="273">
        <v>19.924340212000001</v>
      </c>
      <c r="AZ12" s="273">
        <v>17.552904153</v>
      </c>
      <c r="BA12" s="273">
        <v>12.493579917</v>
      </c>
      <c r="BB12" s="273">
        <v>9.1761325199999995</v>
      </c>
      <c r="BC12" s="273">
        <v>25.633148050999999</v>
      </c>
      <c r="BD12" s="273">
        <v>29.698809430000001</v>
      </c>
      <c r="BE12" s="273">
        <v>27.80716</v>
      </c>
      <c r="BF12" s="273">
        <v>19.150939999999999</v>
      </c>
      <c r="BG12" s="334">
        <v>12.17783</v>
      </c>
      <c r="BH12" s="334">
        <v>10.61764</v>
      </c>
      <c r="BI12" s="334">
        <v>17.684920000000002</v>
      </c>
      <c r="BJ12" s="334">
        <v>25.275939999999999</v>
      </c>
      <c r="BK12" s="334">
        <v>18.60652</v>
      </c>
      <c r="BL12" s="334">
        <v>9.3655410000000003</v>
      </c>
      <c r="BM12" s="334">
        <v>15.6135</v>
      </c>
      <c r="BN12" s="334">
        <v>13.46664</v>
      </c>
      <c r="BO12" s="334">
        <v>26.43234</v>
      </c>
      <c r="BP12" s="334">
        <v>26.05189</v>
      </c>
      <c r="BQ12" s="334">
        <v>29.785329999999998</v>
      </c>
      <c r="BR12" s="334">
        <v>22.576910000000002</v>
      </c>
      <c r="BS12" s="334">
        <v>4.9413369999999999</v>
      </c>
      <c r="BT12" s="334">
        <v>10.48075</v>
      </c>
      <c r="BU12" s="334">
        <v>17.613209999999999</v>
      </c>
      <c r="BV12" s="334">
        <v>25.7532</v>
      </c>
    </row>
    <row r="13" spans="1:74" ht="11.1" customHeight="1" x14ac:dyDescent="0.2">
      <c r="A13" s="101"/>
      <c r="B13" s="105"/>
      <c r="C13" s="233"/>
      <c r="D13" s="233"/>
      <c r="E13" s="233"/>
      <c r="F13" s="233"/>
      <c r="G13" s="233"/>
      <c r="H13" s="233"/>
      <c r="I13" s="233"/>
      <c r="J13" s="233"/>
      <c r="K13" s="233"/>
      <c r="L13" s="233"/>
      <c r="M13" s="233"/>
      <c r="N13" s="233"/>
      <c r="O13" s="233"/>
      <c r="P13" s="233"/>
      <c r="Q13" s="233"/>
      <c r="R13" s="233"/>
      <c r="S13" s="233"/>
      <c r="T13" s="233"/>
      <c r="U13" s="233"/>
      <c r="V13" s="233"/>
      <c r="W13" s="233"/>
      <c r="X13" s="233"/>
      <c r="Y13" s="233"/>
      <c r="Z13" s="233"/>
      <c r="AA13" s="233"/>
      <c r="AB13" s="233"/>
      <c r="AC13" s="233"/>
      <c r="AD13" s="233"/>
      <c r="AE13" s="233"/>
      <c r="AF13" s="233"/>
      <c r="AG13" s="233"/>
      <c r="AH13" s="233"/>
      <c r="AI13" s="233"/>
      <c r="AJ13" s="233"/>
      <c r="AK13" s="233"/>
      <c r="AL13" s="233"/>
      <c r="AM13" s="233"/>
      <c r="AN13" s="233"/>
      <c r="AO13" s="233"/>
      <c r="AP13" s="233"/>
      <c r="AQ13" s="233"/>
      <c r="AR13" s="233"/>
      <c r="AS13" s="233"/>
      <c r="AT13" s="233"/>
      <c r="AU13" s="233"/>
      <c r="AV13" s="233"/>
      <c r="AW13" s="233"/>
      <c r="AX13" s="233"/>
      <c r="AY13" s="233"/>
      <c r="AZ13" s="233"/>
      <c r="BA13" s="233"/>
      <c r="BB13" s="233"/>
      <c r="BC13" s="233"/>
      <c r="BD13" s="233"/>
      <c r="BE13" s="233"/>
      <c r="BF13" s="233"/>
      <c r="BG13" s="371"/>
      <c r="BH13" s="371"/>
      <c r="BI13" s="371"/>
      <c r="BJ13" s="371"/>
      <c r="BK13" s="371"/>
      <c r="BL13" s="371"/>
      <c r="BM13" s="371"/>
      <c r="BN13" s="371"/>
      <c r="BO13" s="371"/>
      <c r="BP13" s="371"/>
      <c r="BQ13" s="371"/>
      <c r="BR13" s="371"/>
      <c r="BS13" s="371"/>
      <c r="BT13" s="371"/>
      <c r="BU13" s="371"/>
      <c r="BV13" s="371"/>
    </row>
    <row r="14" spans="1:74" ht="11.1" customHeight="1" x14ac:dyDescent="0.2">
      <c r="A14" s="101"/>
      <c r="B14" s="106" t="s">
        <v>1166</v>
      </c>
      <c r="C14" s="233"/>
      <c r="D14" s="233"/>
      <c r="E14" s="233"/>
      <c r="F14" s="233"/>
      <c r="G14" s="233"/>
      <c r="H14" s="233"/>
      <c r="I14" s="233"/>
      <c r="J14" s="233"/>
      <c r="K14" s="233"/>
      <c r="L14" s="233"/>
      <c r="M14" s="233"/>
      <c r="N14" s="233"/>
      <c r="O14" s="233"/>
      <c r="P14" s="233"/>
      <c r="Q14" s="233"/>
      <c r="R14" s="233"/>
      <c r="S14" s="233"/>
      <c r="T14" s="233"/>
      <c r="U14" s="233"/>
      <c r="V14" s="233"/>
      <c r="W14" s="233"/>
      <c r="X14" s="233"/>
      <c r="Y14" s="233"/>
      <c r="Z14" s="233"/>
      <c r="AA14" s="233"/>
      <c r="AB14" s="233"/>
      <c r="AC14" s="233"/>
      <c r="AD14" s="233"/>
      <c r="AE14" s="233"/>
      <c r="AF14" s="233"/>
      <c r="AG14" s="233"/>
      <c r="AH14" s="233"/>
      <c r="AI14" s="233"/>
      <c r="AJ14" s="233"/>
      <c r="AK14" s="233"/>
      <c r="AL14" s="233"/>
      <c r="AM14" s="233"/>
      <c r="AN14" s="233"/>
      <c r="AO14" s="233"/>
      <c r="AP14" s="233"/>
      <c r="AQ14" s="233"/>
      <c r="AR14" s="233"/>
      <c r="AS14" s="233"/>
      <c r="AT14" s="233"/>
      <c r="AU14" s="233"/>
      <c r="AV14" s="233"/>
      <c r="AW14" s="233"/>
      <c r="AX14" s="233"/>
      <c r="AY14" s="233"/>
      <c r="AZ14" s="233"/>
      <c r="BA14" s="233"/>
      <c r="BB14" s="233"/>
      <c r="BC14" s="233"/>
      <c r="BD14" s="233"/>
      <c r="BE14" s="233"/>
      <c r="BF14" s="233"/>
      <c r="BG14" s="371"/>
      <c r="BH14" s="371"/>
      <c r="BI14" s="371"/>
      <c r="BJ14" s="371"/>
      <c r="BK14" s="371"/>
      <c r="BL14" s="371"/>
      <c r="BM14" s="371"/>
      <c r="BN14" s="371"/>
      <c r="BO14" s="371"/>
      <c r="BP14" s="371"/>
      <c r="BQ14" s="371"/>
      <c r="BR14" s="371"/>
      <c r="BS14" s="371"/>
      <c r="BT14" s="371"/>
      <c r="BU14" s="371"/>
      <c r="BV14" s="371"/>
    </row>
    <row r="15" spans="1:74" ht="11.1" customHeight="1" x14ac:dyDescent="0.2">
      <c r="A15" s="104" t="s">
        <v>1168</v>
      </c>
      <c r="B15" s="130" t="s">
        <v>465</v>
      </c>
      <c r="C15" s="273">
        <v>320.89016289</v>
      </c>
      <c r="D15" s="273">
        <v>296.80576473999997</v>
      </c>
      <c r="E15" s="273">
        <v>285.81236021000001</v>
      </c>
      <c r="F15" s="273">
        <v>269.53123889</v>
      </c>
      <c r="G15" s="273">
        <v>284.70764095999999</v>
      </c>
      <c r="H15" s="273">
        <v>329.87790533999998</v>
      </c>
      <c r="I15" s="273">
        <v>372.17227167999999</v>
      </c>
      <c r="J15" s="273">
        <v>381.19232786999999</v>
      </c>
      <c r="K15" s="273">
        <v>336.75208588999999</v>
      </c>
      <c r="L15" s="273">
        <v>296.68067066999998</v>
      </c>
      <c r="M15" s="273">
        <v>277.31697881999997</v>
      </c>
      <c r="N15" s="273">
        <v>310.72222674</v>
      </c>
      <c r="O15" s="273">
        <v>318.17717861</v>
      </c>
      <c r="P15" s="273">
        <v>275.77713528999999</v>
      </c>
      <c r="Q15" s="273">
        <v>291.44363643999998</v>
      </c>
      <c r="R15" s="273">
        <v>272.80115833000002</v>
      </c>
      <c r="S15" s="273">
        <v>291.87053995000002</v>
      </c>
      <c r="T15" s="273">
        <v>328.58261573999999</v>
      </c>
      <c r="U15" s="273">
        <v>367.61302477999999</v>
      </c>
      <c r="V15" s="273">
        <v>360.26261635999998</v>
      </c>
      <c r="W15" s="273">
        <v>321.72580771000003</v>
      </c>
      <c r="X15" s="273">
        <v>299.53948041000001</v>
      </c>
      <c r="Y15" s="273">
        <v>283.34700346</v>
      </c>
      <c r="Z15" s="273">
        <v>312.21578289000001</v>
      </c>
      <c r="AA15" s="273">
        <v>344.47768812999999</v>
      </c>
      <c r="AB15" s="273">
        <v>292.73228481000001</v>
      </c>
      <c r="AC15" s="273">
        <v>296.99930554000002</v>
      </c>
      <c r="AD15" s="273">
        <v>278.46798732000002</v>
      </c>
      <c r="AE15" s="273">
        <v>303.24800969</v>
      </c>
      <c r="AF15" s="273">
        <v>338.08298767999997</v>
      </c>
      <c r="AG15" s="273">
        <v>375.02342897</v>
      </c>
      <c r="AH15" s="273">
        <v>381.13063082999997</v>
      </c>
      <c r="AI15" s="273">
        <v>337.26254918000001</v>
      </c>
      <c r="AJ15" s="273">
        <v>309.11358574000002</v>
      </c>
      <c r="AK15" s="273">
        <v>290.5071001</v>
      </c>
      <c r="AL15" s="273">
        <v>312.13970977999998</v>
      </c>
      <c r="AM15" s="273">
        <v>323.50695809000001</v>
      </c>
      <c r="AN15" s="273">
        <v>291.06582318</v>
      </c>
      <c r="AO15" s="273">
        <v>296.91634722999999</v>
      </c>
      <c r="AP15" s="273">
        <v>268.85088302999998</v>
      </c>
      <c r="AQ15" s="273">
        <v>291.96727272999999</v>
      </c>
      <c r="AR15" s="273">
        <v>316.08699494000001</v>
      </c>
      <c r="AS15" s="273">
        <v>370.27230230999999</v>
      </c>
      <c r="AT15" s="273">
        <v>366.65132639000001</v>
      </c>
      <c r="AU15" s="273">
        <v>334.88992443000001</v>
      </c>
      <c r="AV15" s="273">
        <v>302.49293998000002</v>
      </c>
      <c r="AW15" s="273">
        <v>281.46364326999998</v>
      </c>
      <c r="AX15" s="273">
        <v>305.37330974999998</v>
      </c>
      <c r="AY15" s="273">
        <v>309.54364246</v>
      </c>
      <c r="AZ15" s="273">
        <v>290.24790494000001</v>
      </c>
      <c r="BA15" s="273">
        <v>285.01893503999997</v>
      </c>
      <c r="BB15" s="273">
        <v>257.95811533</v>
      </c>
      <c r="BC15" s="273">
        <v>270.32474490999999</v>
      </c>
      <c r="BD15" s="273">
        <v>315.60779696999998</v>
      </c>
      <c r="BE15" s="273">
        <v>368.84126344999999</v>
      </c>
      <c r="BF15" s="273">
        <v>367.79511783999999</v>
      </c>
      <c r="BG15" s="334">
        <v>322.0736</v>
      </c>
      <c r="BH15" s="334">
        <v>293.05200000000002</v>
      </c>
      <c r="BI15" s="334">
        <v>275.38569999999999</v>
      </c>
      <c r="BJ15" s="334">
        <v>299.61130000000003</v>
      </c>
      <c r="BK15" s="334">
        <v>311.31049999999999</v>
      </c>
      <c r="BL15" s="334">
        <v>279.08550000000002</v>
      </c>
      <c r="BM15" s="334">
        <v>284.3014</v>
      </c>
      <c r="BN15" s="334">
        <v>263.60480000000001</v>
      </c>
      <c r="BO15" s="334">
        <v>279.89550000000003</v>
      </c>
      <c r="BP15" s="334">
        <v>324.42939999999999</v>
      </c>
      <c r="BQ15" s="334">
        <v>362.62099999999998</v>
      </c>
      <c r="BR15" s="334">
        <v>362.96069999999997</v>
      </c>
      <c r="BS15" s="334">
        <v>324.16480000000001</v>
      </c>
      <c r="BT15" s="334">
        <v>297.34269999999998</v>
      </c>
      <c r="BU15" s="334">
        <v>278.26179999999999</v>
      </c>
      <c r="BV15" s="334">
        <v>302.4452</v>
      </c>
    </row>
    <row r="16" spans="1:74" ht="11.1" customHeight="1" x14ac:dyDescent="0.2">
      <c r="A16" s="104" t="s">
        <v>1169</v>
      </c>
      <c r="B16" s="130" t="s">
        <v>399</v>
      </c>
      <c r="C16" s="273">
        <v>130.97184831999999</v>
      </c>
      <c r="D16" s="273">
        <v>115.95942503000001</v>
      </c>
      <c r="E16" s="273">
        <v>100.22657547</v>
      </c>
      <c r="F16" s="273">
        <v>88.244340370000003</v>
      </c>
      <c r="G16" s="273">
        <v>94.198029730000002</v>
      </c>
      <c r="H16" s="273">
        <v>125.21123946</v>
      </c>
      <c r="I16" s="273">
        <v>154.40932699000001</v>
      </c>
      <c r="J16" s="273">
        <v>156.44152359</v>
      </c>
      <c r="K16" s="273">
        <v>129.36293162000001</v>
      </c>
      <c r="L16" s="273">
        <v>101.50796584</v>
      </c>
      <c r="M16" s="273">
        <v>93.244091310000002</v>
      </c>
      <c r="N16" s="273">
        <v>121.28085552</v>
      </c>
      <c r="O16" s="273">
        <v>129.21249867</v>
      </c>
      <c r="P16" s="273">
        <v>100.96823572</v>
      </c>
      <c r="Q16" s="273">
        <v>103.09552026999999</v>
      </c>
      <c r="R16" s="273">
        <v>90.724503889999994</v>
      </c>
      <c r="S16" s="273">
        <v>98.281158820000002</v>
      </c>
      <c r="T16" s="273">
        <v>122.54316910999999</v>
      </c>
      <c r="U16" s="273">
        <v>149.90048182000001</v>
      </c>
      <c r="V16" s="273">
        <v>142.00716657000001</v>
      </c>
      <c r="W16" s="273">
        <v>118.77878235999999</v>
      </c>
      <c r="X16" s="273">
        <v>102.81104302999999</v>
      </c>
      <c r="Y16" s="273">
        <v>98.320565540000004</v>
      </c>
      <c r="Z16" s="273">
        <v>122.00461661</v>
      </c>
      <c r="AA16" s="273">
        <v>148.91738377999999</v>
      </c>
      <c r="AB16" s="273">
        <v>113.75128017999999</v>
      </c>
      <c r="AC16" s="273">
        <v>107.218431</v>
      </c>
      <c r="AD16" s="273">
        <v>95.453615799999994</v>
      </c>
      <c r="AE16" s="273">
        <v>103.84799901</v>
      </c>
      <c r="AF16" s="273">
        <v>129.91289918999999</v>
      </c>
      <c r="AG16" s="273">
        <v>153.56605024000001</v>
      </c>
      <c r="AH16" s="273">
        <v>153.49649427</v>
      </c>
      <c r="AI16" s="273">
        <v>128.90979259</v>
      </c>
      <c r="AJ16" s="273">
        <v>107.0487529</v>
      </c>
      <c r="AK16" s="273">
        <v>103.78995653</v>
      </c>
      <c r="AL16" s="273">
        <v>123.18040376</v>
      </c>
      <c r="AM16" s="273">
        <v>133.01118431</v>
      </c>
      <c r="AN16" s="273">
        <v>116.24920246000001</v>
      </c>
      <c r="AO16" s="273">
        <v>112.13951462</v>
      </c>
      <c r="AP16" s="273">
        <v>89.864353120000004</v>
      </c>
      <c r="AQ16" s="273">
        <v>99.810154030000007</v>
      </c>
      <c r="AR16" s="273">
        <v>119.51889115</v>
      </c>
      <c r="AS16" s="273">
        <v>153.14090583000001</v>
      </c>
      <c r="AT16" s="273">
        <v>149.54884629</v>
      </c>
      <c r="AU16" s="273">
        <v>131.12289641000001</v>
      </c>
      <c r="AV16" s="273">
        <v>107.63613441</v>
      </c>
      <c r="AW16" s="273">
        <v>102.16681398</v>
      </c>
      <c r="AX16" s="273">
        <v>120.93829985000001</v>
      </c>
      <c r="AY16" s="273">
        <v>123.73063204</v>
      </c>
      <c r="AZ16" s="273">
        <v>111.96276399</v>
      </c>
      <c r="BA16" s="273">
        <v>103.97316859</v>
      </c>
      <c r="BB16" s="273">
        <v>97.44006478</v>
      </c>
      <c r="BC16" s="273">
        <v>105.34523160000001</v>
      </c>
      <c r="BD16" s="273">
        <v>131.24758392999999</v>
      </c>
      <c r="BE16" s="273">
        <v>168.00414388999999</v>
      </c>
      <c r="BF16" s="273">
        <v>165.61218084000001</v>
      </c>
      <c r="BG16" s="334">
        <v>135.09719999999999</v>
      </c>
      <c r="BH16" s="334">
        <v>111.5303</v>
      </c>
      <c r="BI16" s="334">
        <v>107.04040000000001</v>
      </c>
      <c r="BJ16" s="334">
        <v>123.9995</v>
      </c>
      <c r="BK16" s="334">
        <v>133.9135</v>
      </c>
      <c r="BL16" s="334">
        <v>113.8991</v>
      </c>
      <c r="BM16" s="334">
        <v>107.2954</v>
      </c>
      <c r="BN16" s="334">
        <v>97.671000000000006</v>
      </c>
      <c r="BO16" s="334">
        <v>106.8224</v>
      </c>
      <c r="BP16" s="334">
        <v>133.48429999999999</v>
      </c>
      <c r="BQ16" s="334">
        <v>161.32660000000001</v>
      </c>
      <c r="BR16" s="334">
        <v>159.12110000000001</v>
      </c>
      <c r="BS16" s="334">
        <v>134.61920000000001</v>
      </c>
      <c r="BT16" s="334">
        <v>112.8518</v>
      </c>
      <c r="BU16" s="334">
        <v>107.515</v>
      </c>
      <c r="BV16" s="334">
        <v>124.51909999999999</v>
      </c>
    </row>
    <row r="17" spans="1:74" ht="11.1" customHeight="1" x14ac:dyDescent="0.2">
      <c r="A17" s="104" t="s">
        <v>1170</v>
      </c>
      <c r="B17" s="130" t="s">
        <v>398</v>
      </c>
      <c r="C17" s="273">
        <v>110.41047644</v>
      </c>
      <c r="D17" s="273">
        <v>103.45168962</v>
      </c>
      <c r="E17" s="273">
        <v>105.73917845</v>
      </c>
      <c r="F17" s="273">
        <v>102.04512867</v>
      </c>
      <c r="G17" s="273">
        <v>108.4368922</v>
      </c>
      <c r="H17" s="273">
        <v>120.36327305</v>
      </c>
      <c r="I17" s="273">
        <v>130.03831815999999</v>
      </c>
      <c r="J17" s="273">
        <v>135.01884086000001</v>
      </c>
      <c r="K17" s="273">
        <v>123.4928238</v>
      </c>
      <c r="L17" s="273">
        <v>112.96281664999999</v>
      </c>
      <c r="M17" s="273">
        <v>105.05986756</v>
      </c>
      <c r="N17" s="273">
        <v>110.17208073</v>
      </c>
      <c r="O17" s="273">
        <v>109.48838655</v>
      </c>
      <c r="P17" s="273">
        <v>99.639935519999995</v>
      </c>
      <c r="Q17" s="273">
        <v>107.17286437</v>
      </c>
      <c r="R17" s="273">
        <v>102.58904968</v>
      </c>
      <c r="S17" s="273">
        <v>109.87209982</v>
      </c>
      <c r="T17" s="273">
        <v>120.01315532</v>
      </c>
      <c r="U17" s="273">
        <v>129.27662307</v>
      </c>
      <c r="V17" s="273">
        <v>128.48100787999999</v>
      </c>
      <c r="W17" s="273">
        <v>118.78875909</v>
      </c>
      <c r="X17" s="273">
        <v>113.28719169999999</v>
      </c>
      <c r="Y17" s="273">
        <v>104.97310007</v>
      </c>
      <c r="Z17" s="273">
        <v>109.30552114</v>
      </c>
      <c r="AA17" s="273">
        <v>114.92525915</v>
      </c>
      <c r="AB17" s="273">
        <v>102.68544876999999</v>
      </c>
      <c r="AC17" s="273">
        <v>108.10834278</v>
      </c>
      <c r="AD17" s="273">
        <v>103.33147963</v>
      </c>
      <c r="AE17" s="273">
        <v>113.17548257999999</v>
      </c>
      <c r="AF17" s="273">
        <v>122.01117547</v>
      </c>
      <c r="AG17" s="273">
        <v>131.52157206000001</v>
      </c>
      <c r="AH17" s="273">
        <v>134.84807015999999</v>
      </c>
      <c r="AI17" s="273">
        <v>122.03347847000001</v>
      </c>
      <c r="AJ17" s="273">
        <v>116.13334136</v>
      </c>
      <c r="AK17" s="273">
        <v>104.98311214</v>
      </c>
      <c r="AL17" s="273">
        <v>107.99808272</v>
      </c>
      <c r="AM17" s="273">
        <v>111.43295869000001</v>
      </c>
      <c r="AN17" s="273">
        <v>101.54686918</v>
      </c>
      <c r="AO17" s="273">
        <v>106.88913761000001</v>
      </c>
      <c r="AP17" s="273">
        <v>101.95974332999999</v>
      </c>
      <c r="AQ17" s="273">
        <v>110.88937773000001</v>
      </c>
      <c r="AR17" s="273">
        <v>115.33808587999999</v>
      </c>
      <c r="AS17" s="273">
        <v>130.42916013000001</v>
      </c>
      <c r="AT17" s="273">
        <v>130.10067307</v>
      </c>
      <c r="AU17" s="273">
        <v>121.31829052000001</v>
      </c>
      <c r="AV17" s="273">
        <v>114.37209412999999</v>
      </c>
      <c r="AW17" s="273">
        <v>102.81005857</v>
      </c>
      <c r="AX17" s="273">
        <v>107.45853314999999</v>
      </c>
      <c r="AY17" s="273">
        <v>107.7146063</v>
      </c>
      <c r="AZ17" s="273">
        <v>102.03777678</v>
      </c>
      <c r="BA17" s="273">
        <v>102.93334960999999</v>
      </c>
      <c r="BB17" s="273">
        <v>90.587432949999993</v>
      </c>
      <c r="BC17" s="273">
        <v>93.332474520000005</v>
      </c>
      <c r="BD17" s="273">
        <v>108.65399191</v>
      </c>
      <c r="BE17" s="273">
        <v>120.46193273999999</v>
      </c>
      <c r="BF17" s="273">
        <v>123.28864204</v>
      </c>
      <c r="BG17" s="334">
        <v>111.0878</v>
      </c>
      <c r="BH17" s="334">
        <v>106.7225</v>
      </c>
      <c r="BI17" s="334">
        <v>97.223950000000002</v>
      </c>
      <c r="BJ17" s="334">
        <v>103.985</v>
      </c>
      <c r="BK17" s="334">
        <v>104.5431</v>
      </c>
      <c r="BL17" s="334">
        <v>96.033450000000002</v>
      </c>
      <c r="BM17" s="334">
        <v>102.08920000000001</v>
      </c>
      <c r="BN17" s="334">
        <v>93.43253</v>
      </c>
      <c r="BO17" s="334">
        <v>99.269350000000003</v>
      </c>
      <c r="BP17" s="334">
        <v>115.0258</v>
      </c>
      <c r="BQ17" s="334">
        <v>121.22620000000001</v>
      </c>
      <c r="BR17" s="334">
        <v>123.7722</v>
      </c>
      <c r="BS17" s="334">
        <v>112.64279999999999</v>
      </c>
      <c r="BT17" s="334">
        <v>108.5403</v>
      </c>
      <c r="BU17" s="334">
        <v>98.515439999999998</v>
      </c>
      <c r="BV17" s="334">
        <v>105.2466</v>
      </c>
    </row>
    <row r="18" spans="1:74" ht="11.1" customHeight="1" x14ac:dyDescent="0.2">
      <c r="A18" s="104" t="s">
        <v>1171</v>
      </c>
      <c r="B18" s="130" t="s">
        <v>397</v>
      </c>
      <c r="C18" s="273">
        <v>78.847863129999993</v>
      </c>
      <c r="D18" s="273">
        <v>76.748459089999997</v>
      </c>
      <c r="E18" s="273">
        <v>79.237361289999996</v>
      </c>
      <c r="F18" s="273">
        <v>78.646726849999993</v>
      </c>
      <c r="G18" s="273">
        <v>81.491456029999995</v>
      </c>
      <c r="H18" s="273">
        <v>83.672033830000004</v>
      </c>
      <c r="I18" s="273">
        <v>87.076398530000006</v>
      </c>
      <c r="J18" s="273">
        <v>89.100538420000007</v>
      </c>
      <c r="K18" s="273">
        <v>83.259307469999996</v>
      </c>
      <c r="L18" s="273">
        <v>81.597272180000004</v>
      </c>
      <c r="M18" s="273">
        <v>78.421431949999999</v>
      </c>
      <c r="N18" s="273">
        <v>78.616332490000005</v>
      </c>
      <c r="O18" s="273">
        <v>78.809113389999993</v>
      </c>
      <c r="P18" s="273">
        <v>74.533794049999997</v>
      </c>
      <c r="Q18" s="273">
        <v>80.530224799999999</v>
      </c>
      <c r="R18" s="273">
        <v>78.898557760000003</v>
      </c>
      <c r="S18" s="273">
        <v>83.134470309999998</v>
      </c>
      <c r="T18" s="273">
        <v>85.398538310000006</v>
      </c>
      <c r="U18" s="273">
        <v>87.806131890000003</v>
      </c>
      <c r="V18" s="273">
        <v>89.134442910000004</v>
      </c>
      <c r="W18" s="273">
        <v>83.540140260000001</v>
      </c>
      <c r="X18" s="273">
        <v>82.815130679999996</v>
      </c>
      <c r="Y18" s="273">
        <v>79.455591850000005</v>
      </c>
      <c r="Z18" s="273">
        <v>80.241809140000001</v>
      </c>
      <c r="AA18" s="273">
        <v>79.889791200000005</v>
      </c>
      <c r="AB18" s="273">
        <v>75.661188859999996</v>
      </c>
      <c r="AC18" s="273">
        <v>81.052926760000005</v>
      </c>
      <c r="AD18" s="273">
        <v>79.083418890000004</v>
      </c>
      <c r="AE18" s="273">
        <v>85.637647099999995</v>
      </c>
      <c r="AF18" s="273">
        <v>85.536241020000006</v>
      </c>
      <c r="AG18" s="273">
        <v>89.301356670000004</v>
      </c>
      <c r="AH18" s="273">
        <v>92.105751400000003</v>
      </c>
      <c r="AI18" s="273">
        <v>85.678994119999999</v>
      </c>
      <c r="AJ18" s="273">
        <v>85.300743479999994</v>
      </c>
      <c r="AK18" s="273">
        <v>81.118357430000003</v>
      </c>
      <c r="AL18" s="273">
        <v>80.306136300000006</v>
      </c>
      <c r="AM18" s="273">
        <v>78.389833089999996</v>
      </c>
      <c r="AN18" s="273">
        <v>72.567760539999995</v>
      </c>
      <c r="AO18" s="273">
        <v>77.198317000000003</v>
      </c>
      <c r="AP18" s="273">
        <v>76.413163580000003</v>
      </c>
      <c r="AQ18" s="273">
        <v>80.65694397</v>
      </c>
      <c r="AR18" s="273">
        <v>80.618426909999997</v>
      </c>
      <c r="AS18" s="273">
        <v>86.056501350000005</v>
      </c>
      <c r="AT18" s="273">
        <v>86.345165030000004</v>
      </c>
      <c r="AU18" s="273">
        <v>81.767481500000002</v>
      </c>
      <c r="AV18" s="273">
        <v>79.938902440000007</v>
      </c>
      <c r="AW18" s="273">
        <v>75.869114719999999</v>
      </c>
      <c r="AX18" s="273">
        <v>76.326964750000002</v>
      </c>
      <c r="AY18" s="273">
        <v>77.383926119999998</v>
      </c>
      <c r="AZ18" s="273">
        <v>75.62630317</v>
      </c>
      <c r="BA18" s="273">
        <v>77.508773840000003</v>
      </c>
      <c r="BB18" s="273">
        <v>69.479697599999994</v>
      </c>
      <c r="BC18" s="273">
        <v>71.194808789999996</v>
      </c>
      <c r="BD18" s="273">
        <v>75.224863130000003</v>
      </c>
      <c r="BE18" s="273">
        <v>79.733467279999999</v>
      </c>
      <c r="BF18" s="273">
        <v>78.247586417999997</v>
      </c>
      <c r="BG18" s="334">
        <v>75.240790000000004</v>
      </c>
      <c r="BH18" s="334">
        <v>74.164760000000001</v>
      </c>
      <c r="BI18" s="334">
        <v>70.503500000000003</v>
      </c>
      <c r="BJ18" s="334">
        <v>70.953829999999996</v>
      </c>
      <c r="BK18" s="334">
        <v>72.152940000000001</v>
      </c>
      <c r="BL18" s="334">
        <v>68.485330000000005</v>
      </c>
      <c r="BM18" s="334">
        <v>74.259500000000003</v>
      </c>
      <c r="BN18" s="334">
        <v>71.877650000000003</v>
      </c>
      <c r="BO18" s="334">
        <v>73.186509999999998</v>
      </c>
      <c r="BP18" s="334">
        <v>75.284369999999996</v>
      </c>
      <c r="BQ18" s="334">
        <v>79.409800000000004</v>
      </c>
      <c r="BR18" s="334">
        <v>79.414510000000007</v>
      </c>
      <c r="BS18" s="334">
        <v>76.263270000000006</v>
      </c>
      <c r="BT18" s="334">
        <v>75.325090000000003</v>
      </c>
      <c r="BU18" s="334">
        <v>71.621570000000006</v>
      </c>
      <c r="BV18" s="334">
        <v>72.014589999999998</v>
      </c>
    </row>
    <row r="19" spans="1:74" ht="11.1" customHeight="1" x14ac:dyDescent="0.2">
      <c r="A19" s="104" t="s">
        <v>1172</v>
      </c>
      <c r="B19" s="130" t="s">
        <v>822</v>
      </c>
      <c r="C19" s="273">
        <v>0.65997499999999998</v>
      </c>
      <c r="D19" s="273">
        <v>0.64619099999999996</v>
      </c>
      <c r="E19" s="273">
        <v>0.60924500000000004</v>
      </c>
      <c r="F19" s="273">
        <v>0.59504299999999999</v>
      </c>
      <c r="G19" s="273">
        <v>0.58126299999999997</v>
      </c>
      <c r="H19" s="273">
        <v>0.631359</v>
      </c>
      <c r="I19" s="273">
        <v>0.64822800000000003</v>
      </c>
      <c r="J19" s="273">
        <v>0.63142500000000001</v>
      </c>
      <c r="K19" s="273">
        <v>0.63702300000000001</v>
      </c>
      <c r="L19" s="273">
        <v>0.61261600000000005</v>
      </c>
      <c r="M19" s="273">
        <v>0.591588</v>
      </c>
      <c r="N19" s="273">
        <v>0.65295800000000004</v>
      </c>
      <c r="O19" s="273">
        <v>0.66718</v>
      </c>
      <c r="P19" s="273">
        <v>0.63517000000000001</v>
      </c>
      <c r="Q19" s="273">
        <v>0.64502700000000002</v>
      </c>
      <c r="R19" s="273">
        <v>0.58904699999999999</v>
      </c>
      <c r="S19" s="273">
        <v>0.58281099999999997</v>
      </c>
      <c r="T19" s="273">
        <v>0.62775300000000001</v>
      </c>
      <c r="U19" s="273">
        <v>0.62978800000000001</v>
      </c>
      <c r="V19" s="273">
        <v>0.63999899999999998</v>
      </c>
      <c r="W19" s="273">
        <v>0.61812599999999995</v>
      </c>
      <c r="X19" s="273">
        <v>0.62611499999999998</v>
      </c>
      <c r="Y19" s="273">
        <v>0.597746</v>
      </c>
      <c r="Z19" s="273">
        <v>0.66383599999999998</v>
      </c>
      <c r="AA19" s="273">
        <v>0.74525399999999997</v>
      </c>
      <c r="AB19" s="273">
        <v>0.63436700000000001</v>
      </c>
      <c r="AC19" s="273">
        <v>0.61960499999999996</v>
      </c>
      <c r="AD19" s="273">
        <v>0.59947300000000003</v>
      </c>
      <c r="AE19" s="273">
        <v>0.58688099999999999</v>
      </c>
      <c r="AF19" s="273">
        <v>0.622672</v>
      </c>
      <c r="AG19" s="273">
        <v>0.63444999999999996</v>
      </c>
      <c r="AH19" s="273">
        <v>0.680315</v>
      </c>
      <c r="AI19" s="273">
        <v>0.64028399999999996</v>
      </c>
      <c r="AJ19" s="273">
        <v>0.63074799999999998</v>
      </c>
      <c r="AK19" s="273">
        <v>0.61567400000000005</v>
      </c>
      <c r="AL19" s="273">
        <v>0.65508699999999997</v>
      </c>
      <c r="AM19" s="273">
        <v>0.67298199999999997</v>
      </c>
      <c r="AN19" s="273">
        <v>0.70199100000000003</v>
      </c>
      <c r="AO19" s="273">
        <v>0.68937800000000005</v>
      </c>
      <c r="AP19" s="273">
        <v>0.61362300000000003</v>
      </c>
      <c r="AQ19" s="273">
        <v>0.61079700000000003</v>
      </c>
      <c r="AR19" s="273">
        <v>0.611591</v>
      </c>
      <c r="AS19" s="273">
        <v>0.64573499999999995</v>
      </c>
      <c r="AT19" s="273">
        <v>0.65664199999999995</v>
      </c>
      <c r="AU19" s="273">
        <v>0.68125599999999997</v>
      </c>
      <c r="AV19" s="273">
        <v>0.54580899999999999</v>
      </c>
      <c r="AW19" s="273">
        <v>0.61765599999999998</v>
      </c>
      <c r="AX19" s="273">
        <v>0.64951199999999998</v>
      </c>
      <c r="AY19" s="273">
        <v>0.71447799999999995</v>
      </c>
      <c r="AZ19" s="273">
        <v>0.62106099999999997</v>
      </c>
      <c r="BA19" s="273">
        <v>0.60364300000000004</v>
      </c>
      <c r="BB19" s="273">
        <v>0.45091999999999999</v>
      </c>
      <c r="BC19" s="273">
        <v>0.45223000000000002</v>
      </c>
      <c r="BD19" s="273">
        <v>0.48135800000000001</v>
      </c>
      <c r="BE19" s="273">
        <v>0.64171953927000003</v>
      </c>
      <c r="BF19" s="273">
        <v>0.64670853905000003</v>
      </c>
      <c r="BG19" s="334">
        <v>0.64777229999999997</v>
      </c>
      <c r="BH19" s="334">
        <v>0.63438779999999995</v>
      </c>
      <c r="BI19" s="334">
        <v>0.61792670000000005</v>
      </c>
      <c r="BJ19" s="334">
        <v>0.67288049999999999</v>
      </c>
      <c r="BK19" s="334">
        <v>0.70091110000000001</v>
      </c>
      <c r="BL19" s="334">
        <v>0.66768079999999996</v>
      </c>
      <c r="BM19" s="334">
        <v>0.65737319999999999</v>
      </c>
      <c r="BN19" s="334">
        <v>0.62365740000000003</v>
      </c>
      <c r="BO19" s="334">
        <v>0.61724970000000001</v>
      </c>
      <c r="BP19" s="334">
        <v>0.63495900000000005</v>
      </c>
      <c r="BQ19" s="334">
        <v>0.65833280000000005</v>
      </c>
      <c r="BR19" s="334">
        <v>0.65283919999999995</v>
      </c>
      <c r="BS19" s="334">
        <v>0.63943209999999995</v>
      </c>
      <c r="BT19" s="334">
        <v>0.62546020000000002</v>
      </c>
      <c r="BU19" s="334">
        <v>0.60978659999999996</v>
      </c>
      <c r="BV19" s="334">
        <v>0.66489929999999997</v>
      </c>
    </row>
    <row r="20" spans="1:74" ht="11.1" customHeight="1" x14ac:dyDescent="0.2">
      <c r="A20" s="104" t="s">
        <v>1173</v>
      </c>
      <c r="B20" s="130" t="s">
        <v>355</v>
      </c>
      <c r="C20" s="273">
        <v>11.920549749999999</v>
      </c>
      <c r="D20" s="273">
        <v>11.07827223</v>
      </c>
      <c r="E20" s="273">
        <v>11.575672268</v>
      </c>
      <c r="F20" s="273">
        <v>10.88626573</v>
      </c>
      <c r="G20" s="273">
        <v>11.379303879</v>
      </c>
      <c r="H20" s="273">
        <v>11.759363759999999</v>
      </c>
      <c r="I20" s="273">
        <v>12.567071990000001</v>
      </c>
      <c r="J20" s="273">
        <v>12.672956689999999</v>
      </c>
      <c r="K20" s="273">
        <v>11.66093581</v>
      </c>
      <c r="L20" s="273">
        <v>11.349855217</v>
      </c>
      <c r="M20" s="273">
        <v>11.268318000000001</v>
      </c>
      <c r="N20" s="273">
        <v>11.72582667</v>
      </c>
      <c r="O20" s="273">
        <v>12.124157500000001</v>
      </c>
      <c r="P20" s="273">
        <v>10.92913967</v>
      </c>
      <c r="Q20" s="273">
        <v>11.656740804</v>
      </c>
      <c r="R20" s="273">
        <v>11.21403419</v>
      </c>
      <c r="S20" s="273">
        <v>11.467383908</v>
      </c>
      <c r="T20" s="273">
        <v>11.95146516</v>
      </c>
      <c r="U20" s="273">
        <v>12.72265357</v>
      </c>
      <c r="V20" s="273">
        <v>12.547806100000001</v>
      </c>
      <c r="W20" s="273">
        <v>11.19672359</v>
      </c>
      <c r="X20" s="273">
        <v>11.324494550000001</v>
      </c>
      <c r="Y20" s="273">
        <v>11.462139799999999</v>
      </c>
      <c r="Z20" s="273">
        <v>12.51750837</v>
      </c>
      <c r="AA20" s="273">
        <v>12.40456884</v>
      </c>
      <c r="AB20" s="273">
        <v>11.035844470000001</v>
      </c>
      <c r="AC20" s="273">
        <v>11.521404592</v>
      </c>
      <c r="AD20" s="273">
        <v>11.023337550000001</v>
      </c>
      <c r="AE20" s="273">
        <v>11.73983327</v>
      </c>
      <c r="AF20" s="273">
        <v>12.02742112</v>
      </c>
      <c r="AG20" s="273">
        <v>12.993943979999999</v>
      </c>
      <c r="AH20" s="273">
        <v>13.07873792</v>
      </c>
      <c r="AI20" s="273">
        <v>12.00842602</v>
      </c>
      <c r="AJ20" s="273">
        <v>11.865152610000001</v>
      </c>
      <c r="AK20" s="273">
        <v>11.976751399999999</v>
      </c>
      <c r="AL20" s="273">
        <v>12.4383806</v>
      </c>
      <c r="AM20" s="273">
        <v>12.77229867</v>
      </c>
      <c r="AN20" s="273">
        <v>11.257667939999999</v>
      </c>
      <c r="AO20" s="273">
        <v>12.02612776</v>
      </c>
      <c r="AP20" s="273">
        <v>11.422655369999999</v>
      </c>
      <c r="AQ20" s="273">
        <v>11.663671591</v>
      </c>
      <c r="AR20" s="273">
        <v>11.78295136</v>
      </c>
      <c r="AS20" s="273">
        <v>12.885142979999999</v>
      </c>
      <c r="AT20" s="273">
        <v>12.916091979999999</v>
      </c>
      <c r="AU20" s="273">
        <v>12.109290570000001</v>
      </c>
      <c r="AV20" s="273">
        <v>11.9491982</v>
      </c>
      <c r="AW20" s="273">
        <v>12.44526374</v>
      </c>
      <c r="AX20" s="273">
        <v>12.82651544</v>
      </c>
      <c r="AY20" s="273">
        <v>13.03458987</v>
      </c>
      <c r="AZ20" s="273">
        <v>11.964860420000001</v>
      </c>
      <c r="BA20" s="273">
        <v>12.043738921999999</v>
      </c>
      <c r="BB20" s="273">
        <v>10.953595010000001</v>
      </c>
      <c r="BC20" s="273">
        <v>11.137077315000001</v>
      </c>
      <c r="BD20" s="273">
        <v>11.529765805</v>
      </c>
      <c r="BE20" s="273">
        <v>12.162459999999999</v>
      </c>
      <c r="BF20" s="273">
        <v>11.22326</v>
      </c>
      <c r="BG20" s="334">
        <v>10.08756</v>
      </c>
      <c r="BH20" s="334">
        <v>9.9632830000000006</v>
      </c>
      <c r="BI20" s="334">
        <v>10.24282</v>
      </c>
      <c r="BJ20" s="334">
        <v>10.859489999999999</v>
      </c>
      <c r="BK20" s="334">
        <v>11.0434</v>
      </c>
      <c r="BL20" s="334">
        <v>9.9892289999999999</v>
      </c>
      <c r="BM20" s="334">
        <v>10.711790000000001</v>
      </c>
      <c r="BN20" s="334">
        <v>10.304830000000001</v>
      </c>
      <c r="BO20" s="334">
        <v>10.5791</v>
      </c>
      <c r="BP20" s="334">
        <v>10.672470000000001</v>
      </c>
      <c r="BQ20" s="334">
        <v>11.702809999999999</v>
      </c>
      <c r="BR20" s="334">
        <v>11.58107</v>
      </c>
      <c r="BS20" s="334">
        <v>10.84065</v>
      </c>
      <c r="BT20" s="334">
        <v>10.71724</v>
      </c>
      <c r="BU20" s="334">
        <v>10.95729</v>
      </c>
      <c r="BV20" s="334">
        <v>11.60019</v>
      </c>
    </row>
    <row r="21" spans="1:74" ht="11.1" customHeight="1" x14ac:dyDescent="0.2">
      <c r="A21" s="107" t="s">
        <v>1174</v>
      </c>
      <c r="B21" s="203" t="s">
        <v>466</v>
      </c>
      <c r="C21" s="273">
        <v>332.81071264000002</v>
      </c>
      <c r="D21" s="273">
        <v>307.88403697000001</v>
      </c>
      <c r="E21" s="273">
        <v>297.38803247999999</v>
      </c>
      <c r="F21" s="273">
        <v>280.41750461999999</v>
      </c>
      <c r="G21" s="273">
        <v>296.08694484</v>
      </c>
      <c r="H21" s="273">
        <v>341.63726910000003</v>
      </c>
      <c r="I21" s="273">
        <v>384.73934366999998</v>
      </c>
      <c r="J21" s="273">
        <v>393.86528456000002</v>
      </c>
      <c r="K21" s="273">
        <v>348.4130217</v>
      </c>
      <c r="L21" s="273">
        <v>308.03052588999998</v>
      </c>
      <c r="M21" s="273">
        <v>288.58529682</v>
      </c>
      <c r="N21" s="273">
        <v>322.44805341</v>
      </c>
      <c r="O21" s="273">
        <v>330.30133611000002</v>
      </c>
      <c r="P21" s="273">
        <v>286.70627495999997</v>
      </c>
      <c r="Q21" s="273">
        <v>303.10037724</v>
      </c>
      <c r="R21" s="273">
        <v>284.01519252000003</v>
      </c>
      <c r="S21" s="273">
        <v>303.33792385999999</v>
      </c>
      <c r="T21" s="273">
        <v>340.53408089999999</v>
      </c>
      <c r="U21" s="273">
        <v>380.33567835000002</v>
      </c>
      <c r="V21" s="273">
        <v>372.81042245999998</v>
      </c>
      <c r="W21" s="273">
        <v>332.9225313</v>
      </c>
      <c r="X21" s="273">
        <v>310.86397496000001</v>
      </c>
      <c r="Y21" s="273">
        <v>294.80914325999998</v>
      </c>
      <c r="Z21" s="273">
        <v>324.73329125999999</v>
      </c>
      <c r="AA21" s="273">
        <v>356.88225697000001</v>
      </c>
      <c r="AB21" s="273">
        <v>303.76812927999998</v>
      </c>
      <c r="AC21" s="273">
        <v>308.52071013</v>
      </c>
      <c r="AD21" s="273">
        <v>289.49132487000003</v>
      </c>
      <c r="AE21" s="273">
        <v>314.98784296000002</v>
      </c>
      <c r="AF21" s="273">
        <v>350.11040880000002</v>
      </c>
      <c r="AG21" s="273">
        <v>388.01737294999998</v>
      </c>
      <c r="AH21" s="273">
        <v>394.20936875000001</v>
      </c>
      <c r="AI21" s="273">
        <v>349.27097520000001</v>
      </c>
      <c r="AJ21" s="273">
        <v>320.97873835000001</v>
      </c>
      <c r="AK21" s="273">
        <v>302.48385150000001</v>
      </c>
      <c r="AL21" s="273">
        <v>324.57809037999999</v>
      </c>
      <c r="AM21" s="273">
        <v>336.27925676000001</v>
      </c>
      <c r="AN21" s="273">
        <v>302.32349112000003</v>
      </c>
      <c r="AO21" s="273">
        <v>308.94247498999999</v>
      </c>
      <c r="AP21" s="273">
        <v>280.27353840000001</v>
      </c>
      <c r="AQ21" s="273">
        <v>303.63094432000003</v>
      </c>
      <c r="AR21" s="273">
        <v>327.86994629999998</v>
      </c>
      <c r="AS21" s="273">
        <v>383.15744529</v>
      </c>
      <c r="AT21" s="273">
        <v>379.56741836999998</v>
      </c>
      <c r="AU21" s="273">
        <v>346.99921499999999</v>
      </c>
      <c r="AV21" s="273">
        <v>314.44213817999997</v>
      </c>
      <c r="AW21" s="273">
        <v>293.90890701000001</v>
      </c>
      <c r="AX21" s="273">
        <v>318.19982519000001</v>
      </c>
      <c r="AY21" s="273">
        <v>322.57823232999999</v>
      </c>
      <c r="AZ21" s="273">
        <v>302.21276535999999</v>
      </c>
      <c r="BA21" s="273">
        <v>297.06267395999998</v>
      </c>
      <c r="BB21" s="273">
        <v>268.91171034000001</v>
      </c>
      <c r="BC21" s="273">
        <v>281.46182221999999</v>
      </c>
      <c r="BD21" s="273">
        <v>327.13756276999999</v>
      </c>
      <c r="BE21" s="273">
        <v>388.1028</v>
      </c>
      <c r="BF21" s="273">
        <v>383.3381</v>
      </c>
      <c r="BG21" s="334">
        <v>332.16109999999998</v>
      </c>
      <c r="BH21" s="334">
        <v>303.01530000000002</v>
      </c>
      <c r="BI21" s="334">
        <v>285.62849999999997</v>
      </c>
      <c r="BJ21" s="334">
        <v>310.47070000000002</v>
      </c>
      <c r="BK21" s="334">
        <v>322.35390000000001</v>
      </c>
      <c r="BL21" s="334">
        <v>289.07470000000001</v>
      </c>
      <c r="BM21" s="334">
        <v>295.01319999999998</v>
      </c>
      <c r="BN21" s="334">
        <v>273.90969999999999</v>
      </c>
      <c r="BO21" s="334">
        <v>290.47460000000001</v>
      </c>
      <c r="BP21" s="334">
        <v>335.1019</v>
      </c>
      <c r="BQ21" s="334">
        <v>374.32380000000001</v>
      </c>
      <c r="BR21" s="334">
        <v>374.54169999999999</v>
      </c>
      <c r="BS21" s="334">
        <v>335.00540000000001</v>
      </c>
      <c r="BT21" s="334">
        <v>308.05990000000003</v>
      </c>
      <c r="BU21" s="334">
        <v>289.21910000000003</v>
      </c>
      <c r="BV21" s="334">
        <v>314.04539999999997</v>
      </c>
    </row>
    <row r="22" spans="1:74" ht="11.1" customHeight="1" x14ac:dyDescent="0.2">
      <c r="A22" s="107"/>
      <c r="B22" s="108" t="s">
        <v>187</v>
      </c>
      <c r="C22" s="213"/>
      <c r="D22" s="213"/>
      <c r="E22" s="213"/>
      <c r="F22" s="213"/>
      <c r="G22" s="213"/>
      <c r="H22" s="213"/>
      <c r="I22" s="213"/>
      <c r="J22" s="213"/>
      <c r="K22" s="213"/>
      <c r="L22" s="213"/>
      <c r="M22" s="213"/>
      <c r="N22" s="213"/>
      <c r="O22" s="213"/>
      <c r="P22" s="213"/>
      <c r="Q22" s="213"/>
      <c r="R22" s="213"/>
      <c r="S22" s="213"/>
      <c r="T22" s="213"/>
      <c r="U22" s="213"/>
      <c r="V22" s="213"/>
      <c r="W22" s="213"/>
      <c r="X22" s="213"/>
      <c r="Y22" s="213"/>
      <c r="Z22" s="213"/>
      <c r="AA22" s="213"/>
      <c r="AB22" s="213"/>
      <c r="AC22" s="213"/>
      <c r="AD22" s="213"/>
      <c r="AE22" s="213"/>
      <c r="AF22" s="213"/>
      <c r="AG22" s="213"/>
      <c r="AH22" s="213"/>
      <c r="AI22" s="213"/>
      <c r="AJ22" s="213"/>
      <c r="AK22" s="213"/>
      <c r="AL22" s="213"/>
      <c r="AM22" s="213"/>
      <c r="AN22" s="213"/>
      <c r="AO22" s="213"/>
      <c r="AP22" s="213"/>
      <c r="AQ22" s="213"/>
      <c r="AR22" s="213"/>
      <c r="AS22" s="213"/>
      <c r="AT22" s="213"/>
      <c r="AU22" s="213"/>
      <c r="AV22" s="213"/>
      <c r="AW22" s="213"/>
      <c r="AX22" s="213"/>
      <c r="AY22" s="213"/>
      <c r="AZ22" s="213"/>
      <c r="BA22" s="213"/>
      <c r="BB22" s="213"/>
      <c r="BC22" s="213"/>
      <c r="BD22" s="213"/>
      <c r="BE22" s="213"/>
      <c r="BF22" s="213"/>
      <c r="BG22" s="351"/>
      <c r="BH22" s="351"/>
      <c r="BI22" s="351"/>
      <c r="BJ22" s="351"/>
      <c r="BK22" s="351"/>
      <c r="BL22" s="351"/>
      <c r="BM22" s="351"/>
      <c r="BN22" s="351"/>
      <c r="BO22" s="351"/>
      <c r="BP22" s="351"/>
      <c r="BQ22" s="351"/>
      <c r="BR22" s="351"/>
      <c r="BS22" s="351"/>
      <c r="BT22" s="351"/>
      <c r="BU22" s="351"/>
      <c r="BV22" s="351"/>
    </row>
    <row r="23" spans="1:74" ht="11.1" customHeight="1" x14ac:dyDescent="0.2">
      <c r="A23" s="107" t="s">
        <v>188</v>
      </c>
      <c r="B23" s="203" t="s">
        <v>189</v>
      </c>
      <c r="C23" s="273">
        <v>999.26060428000005</v>
      </c>
      <c r="D23" s="273">
        <v>884.72207283</v>
      </c>
      <c r="E23" s="273">
        <v>764.68698926000002</v>
      </c>
      <c r="F23" s="273">
        <v>673.26753049000001</v>
      </c>
      <c r="G23" s="273">
        <v>718.69169839000006</v>
      </c>
      <c r="H23" s="273">
        <v>955.30956011000001</v>
      </c>
      <c r="I23" s="273">
        <v>1178.0787961000001</v>
      </c>
      <c r="J23" s="273">
        <v>1193.583609</v>
      </c>
      <c r="K23" s="273">
        <v>986.98524056999997</v>
      </c>
      <c r="L23" s="273">
        <v>774.46346359999995</v>
      </c>
      <c r="M23" s="273">
        <v>711.41354591000004</v>
      </c>
      <c r="N23" s="273">
        <v>925.32236910999995</v>
      </c>
      <c r="O23" s="273">
        <v>974.60209114999998</v>
      </c>
      <c r="P23" s="273">
        <v>761.56606122000005</v>
      </c>
      <c r="Q23" s="273">
        <v>777.61138185000004</v>
      </c>
      <c r="R23" s="273">
        <v>684.30138044</v>
      </c>
      <c r="S23" s="273">
        <v>741.29843391999998</v>
      </c>
      <c r="T23" s="273">
        <v>924.29780477999998</v>
      </c>
      <c r="U23" s="273">
        <v>1130.6438971</v>
      </c>
      <c r="V23" s="273">
        <v>1071.1075393000001</v>
      </c>
      <c r="W23" s="273">
        <v>895.90442770000004</v>
      </c>
      <c r="X23" s="273">
        <v>775.46567524</v>
      </c>
      <c r="Y23" s="273">
        <v>741.59566423000001</v>
      </c>
      <c r="Z23" s="273">
        <v>920.23570243999995</v>
      </c>
      <c r="AA23" s="273">
        <v>1112.2092026</v>
      </c>
      <c r="AB23" s="273">
        <v>849.56650062999995</v>
      </c>
      <c r="AC23" s="273">
        <v>800.77505136000002</v>
      </c>
      <c r="AD23" s="273">
        <v>712.90797096999995</v>
      </c>
      <c r="AE23" s="273">
        <v>775.60253367999996</v>
      </c>
      <c r="AF23" s="273">
        <v>970.27169257000003</v>
      </c>
      <c r="AG23" s="273">
        <v>1146.9283837</v>
      </c>
      <c r="AH23" s="273">
        <v>1146.4088956999999</v>
      </c>
      <c r="AI23" s="273">
        <v>962.77985808000005</v>
      </c>
      <c r="AJ23" s="273">
        <v>799.50778799</v>
      </c>
      <c r="AK23" s="273">
        <v>775.16903573000002</v>
      </c>
      <c r="AL23" s="273">
        <v>919.98915882999995</v>
      </c>
      <c r="AM23" s="273">
        <v>984.88659553000002</v>
      </c>
      <c r="AN23" s="273">
        <v>860.77183537999997</v>
      </c>
      <c r="AO23" s="273">
        <v>830.34148859000004</v>
      </c>
      <c r="AP23" s="273">
        <v>665.40417080999998</v>
      </c>
      <c r="AQ23" s="273">
        <v>739.04824855000004</v>
      </c>
      <c r="AR23" s="273">
        <v>884.98237511000002</v>
      </c>
      <c r="AS23" s="273">
        <v>1133.9379177999999</v>
      </c>
      <c r="AT23" s="273">
        <v>1107.3403702999999</v>
      </c>
      <c r="AU23" s="273">
        <v>970.90469280000002</v>
      </c>
      <c r="AV23" s="273">
        <v>796.99603101000002</v>
      </c>
      <c r="AW23" s="273">
        <v>756.49823072000004</v>
      </c>
      <c r="AX23" s="273">
        <v>895.49244318000001</v>
      </c>
      <c r="AY23" s="273">
        <v>909.18717719999995</v>
      </c>
      <c r="AZ23" s="273">
        <v>822.71550435999995</v>
      </c>
      <c r="BA23" s="273">
        <v>764.00702151999997</v>
      </c>
      <c r="BB23" s="273">
        <v>716.00100947999999</v>
      </c>
      <c r="BC23" s="273">
        <v>774.08910122999998</v>
      </c>
      <c r="BD23" s="273">
        <v>964.42261996000002</v>
      </c>
      <c r="BE23" s="273">
        <v>1258.0239999999999</v>
      </c>
      <c r="BF23" s="273">
        <v>1231.1679999999999</v>
      </c>
      <c r="BG23" s="334">
        <v>992.71010000000001</v>
      </c>
      <c r="BH23" s="334">
        <v>819.53769999999997</v>
      </c>
      <c r="BI23" s="334">
        <v>786.54510000000005</v>
      </c>
      <c r="BJ23" s="334">
        <v>911.16309999999999</v>
      </c>
      <c r="BK23" s="334">
        <v>979.6413</v>
      </c>
      <c r="BL23" s="334">
        <v>833.226</v>
      </c>
      <c r="BM23" s="334">
        <v>784.91700000000003</v>
      </c>
      <c r="BN23" s="334">
        <v>714.51</v>
      </c>
      <c r="BO23" s="334">
        <v>781.45669999999996</v>
      </c>
      <c r="BP23" s="334">
        <v>976.50120000000004</v>
      </c>
      <c r="BQ23" s="334">
        <v>1180.181</v>
      </c>
      <c r="BR23" s="334">
        <v>1164.047</v>
      </c>
      <c r="BS23" s="334">
        <v>984.80399999999997</v>
      </c>
      <c r="BT23" s="334">
        <v>825.56510000000003</v>
      </c>
      <c r="BU23" s="334">
        <v>786.52390000000003</v>
      </c>
      <c r="BV23" s="334">
        <v>910.91660000000002</v>
      </c>
    </row>
    <row r="24" spans="1:74" ht="11.1" customHeight="1" x14ac:dyDescent="0.2">
      <c r="A24" s="107"/>
      <c r="B24" s="108"/>
      <c r="C24" s="234"/>
      <c r="D24" s="234"/>
      <c r="E24" s="234"/>
      <c r="F24" s="234"/>
      <c r="G24" s="234"/>
      <c r="H24" s="234"/>
      <c r="I24" s="234"/>
      <c r="J24" s="234"/>
      <c r="K24" s="234"/>
      <c r="L24" s="234"/>
      <c r="M24" s="234"/>
      <c r="N24" s="234"/>
      <c r="O24" s="234"/>
      <c r="P24" s="234"/>
      <c r="Q24" s="234"/>
      <c r="R24" s="234"/>
      <c r="S24" s="234"/>
      <c r="T24" s="234"/>
      <c r="U24" s="234"/>
      <c r="V24" s="234"/>
      <c r="W24" s="234"/>
      <c r="X24" s="234"/>
      <c r="Y24" s="234"/>
      <c r="Z24" s="234"/>
      <c r="AA24" s="234"/>
      <c r="AB24" s="234"/>
      <c r="AC24" s="234"/>
      <c r="AD24" s="234"/>
      <c r="AE24" s="234"/>
      <c r="AF24" s="234"/>
      <c r="AG24" s="234"/>
      <c r="AH24" s="234"/>
      <c r="AI24" s="234"/>
      <c r="AJ24" s="234"/>
      <c r="AK24" s="234"/>
      <c r="AL24" s="234"/>
      <c r="AM24" s="234"/>
      <c r="AN24" s="234"/>
      <c r="AO24" s="234"/>
      <c r="AP24" s="234"/>
      <c r="AQ24" s="234"/>
      <c r="AR24" s="234"/>
      <c r="AS24" s="234"/>
      <c r="AT24" s="234"/>
      <c r="AU24" s="234"/>
      <c r="AV24" s="234"/>
      <c r="AW24" s="234"/>
      <c r="AX24" s="234"/>
      <c r="AY24" s="234"/>
      <c r="AZ24" s="234"/>
      <c r="BA24" s="234"/>
      <c r="BB24" s="234"/>
      <c r="BC24" s="234"/>
      <c r="BD24" s="234"/>
      <c r="BE24" s="234"/>
      <c r="BF24" s="234"/>
      <c r="BG24" s="372"/>
      <c r="BH24" s="372"/>
      <c r="BI24" s="372"/>
      <c r="BJ24" s="372"/>
      <c r="BK24" s="372"/>
      <c r="BL24" s="372"/>
      <c r="BM24" s="372"/>
      <c r="BN24" s="372"/>
      <c r="BO24" s="372"/>
      <c r="BP24" s="372"/>
      <c r="BQ24" s="372"/>
      <c r="BR24" s="372"/>
      <c r="BS24" s="372"/>
      <c r="BT24" s="372"/>
      <c r="BU24" s="372"/>
      <c r="BV24" s="372"/>
    </row>
    <row r="25" spans="1:74" ht="11.1" customHeight="1" x14ac:dyDescent="0.2">
      <c r="A25" s="107"/>
      <c r="B25" s="109" t="s">
        <v>93</v>
      </c>
      <c r="C25" s="234"/>
      <c r="D25" s="234"/>
      <c r="E25" s="234"/>
      <c r="F25" s="234"/>
      <c r="G25" s="234"/>
      <c r="H25" s="234"/>
      <c r="I25" s="234"/>
      <c r="J25" s="234"/>
      <c r="K25" s="234"/>
      <c r="L25" s="234"/>
      <c r="M25" s="234"/>
      <c r="N25" s="234"/>
      <c r="O25" s="234"/>
      <c r="P25" s="234"/>
      <c r="Q25" s="234"/>
      <c r="R25" s="234"/>
      <c r="S25" s="234"/>
      <c r="T25" s="234"/>
      <c r="U25" s="234"/>
      <c r="V25" s="234"/>
      <c r="W25" s="234"/>
      <c r="X25" s="234"/>
      <c r="Y25" s="234"/>
      <c r="Z25" s="234"/>
      <c r="AA25" s="234"/>
      <c r="AB25" s="234"/>
      <c r="AC25" s="234"/>
      <c r="AD25" s="234"/>
      <c r="AE25" s="234"/>
      <c r="AF25" s="234"/>
      <c r="AG25" s="234"/>
      <c r="AH25" s="234"/>
      <c r="AI25" s="234"/>
      <c r="AJ25" s="234"/>
      <c r="AK25" s="234"/>
      <c r="AL25" s="234"/>
      <c r="AM25" s="234"/>
      <c r="AN25" s="234"/>
      <c r="AO25" s="234"/>
      <c r="AP25" s="234"/>
      <c r="AQ25" s="234"/>
      <c r="AR25" s="234"/>
      <c r="AS25" s="234"/>
      <c r="AT25" s="234"/>
      <c r="AU25" s="234"/>
      <c r="AV25" s="234"/>
      <c r="AW25" s="234"/>
      <c r="AX25" s="234"/>
      <c r="AY25" s="234"/>
      <c r="AZ25" s="234"/>
      <c r="BA25" s="234"/>
      <c r="BB25" s="234"/>
      <c r="BC25" s="234"/>
      <c r="BD25" s="234"/>
      <c r="BE25" s="234"/>
      <c r="BF25" s="234"/>
      <c r="BG25" s="372"/>
      <c r="BH25" s="372"/>
      <c r="BI25" s="372"/>
      <c r="BJ25" s="372"/>
      <c r="BK25" s="372"/>
      <c r="BL25" s="372"/>
      <c r="BM25" s="372"/>
      <c r="BN25" s="372"/>
      <c r="BO25" s="372"/>
      <c r="BP25" s="372"/>
      <c r="BQ25" s="372"/>
      <c r="BR25" s="372"/>
      <c r="BS25" s="372"/>
      <c r="BT25" s="372"/>
      <c r="BU25" s="372"/>
      <c r="BV25" s="372"/>
    </row>
    <row r="26" spans="1:74" ht="11.1" customHeight="1" x14ac:dyDescent="0.2">
      <c r="A26" s="107" t="s">
        <v>63</v>
      </c>
      <c r="B26" s="203" t="s">
        <v>81</v>
      </c>
      <c r="C26" s="256">
        <v>187.203047</v>
      </c>
      <c r="D26" s="256">
        <v>187.06361799999999</v>
      </c>
      <c r="E26" s="256">
        <v>191.55273500000001</v>
      </c>
      <c r="F26" s="256">
        <v>193.18521200000001</v>
      </c>
      <c r="G26" s="256">
        <v>192.41693000000001</v>
      </c>
      <c r="H26" s="256">
        <v>182.086476</v>
      </c>
      <c r="I26" s="256">
        <v>168.11860899999999</v>
      </c>
      <c r="J26" s="256">
        <v>158.908174</v>
      </c>
      <c r="K26" s="256">
        <v>156.56690900000001</v>
      </c>
      <c r="L26" s="256">
        <v>160.93226000000001</v>
      </c>
      <c r="M26" s="256">
        <v>170.27655799999999</v>
      </c>
      <c r="N26" s="256">
        <v>162.00901400000001</v>
      </c>
      <c r="O26" s="256">
        <v>156.21421000000001</v>
      </c>
      <c r="P26" s="256">
        <v>160.50150199999999</v>
      </c>
      <c r="Q26" s="256">
        <v>161.81549000000001</v>
      </c>
      <c r="R26" s="256">
        <v>163.93691200000001</v>
      </c>
      <c r="S26" s="256">
        <v>162.54224199999999</v>
      </c>
      <c r="T26" s="256">
        <v>158.013959</v>
      </c>
      <c r="U26" s="256">
        <v>145.81148300000001</v>
      </c>
      <c r="V26" s="256">
        <v>141.204061</v>
      </c>
      <c r="W26" s="256">
        <v>139.5712</v>
      </c>
      <c r="X26" s="256">
        <v>141.46251899999999</v>
      </c>
      <c r="Y26" s="256">
        <v>143.424037</v>
      </c>
      <c r="Z26" s="256">
        <v>137.68714800000001</v>
      </c>
      <c r="AA26" s="256">
        <v>123.234514</v>
      </c>
      <c r="AB26" s="256">
        <v>120.52585999999999</v>
      </c>
      <c r="AC26" s="256">
        <v>126.007914</v>
      </c>
      <c r="AD26" s="256">
        <v>128.57078799999999</v>
      </c>
      <c r="AE26" s="256">
        <v>127.982</v>
      </c>
      <c r="AF26" s="256">
        <v>121.04136200000001</v>
      </c>
      <c r="AG26" s="256">
        <v>110.348409</v>
      </c>
      <c r="AH26" s="256">
        <v>103.744169</v>
      </c>
      <c r="AI26" s="256">
        <v>100.383973</v>
      </c>
      <c r="AJ26" s="256">
        <v>104.855065</v>
      </c>
      <c r="AK26" s="256">
        <v>104.075187</v>
      </c>
      <c r="AL26" s="256">
        <v>102.79285400000001</v>
      </c>
      <c r="AM26" s="256">
        <v>99.378401999999994</v>
      </c>
      <c r="AN26" s="256">
        <v>98.835352999999998</v>
      </c>
      <c r="AO26" s="256">
        <v>97.102233999999996</v>
      </c>
      <c r="AP26" s="256">
        <v>108.85160399999999</v>
      </c>
      <c r="AQ26" s="256">
        <v>115.88784800000001</v>
      </c>
      <c r="AR26" s="256">
        <v>117.71040000000001</v>
      </c>
      <c r="AS26" s="256">
        <v>110.932793</v>
      </c>
      <c r="AT26" s="256">
        <v>110.55964400000001</v>
      </c>
      <c r="AU26" s="256">
        <v>110.95185499999999</v>
      </c>
      <c r="AV26" s="256">
        <v>119.044652</v>
      </c>
      <c r="AW26" s="256">
        <v>123.033491</v>
      </c>
      <c r="AX26" s="256">
        <v>128.49669900000001</v>
      </c>
      <c r="AY26" s="256">
        <v>134.40232599999999</v>
      </c>
      <c r="AZ26" s="256">
        <v>139.55793700000001</v>
      </c>
      <c r="BA26" s="256">
        <v>145.45147399999999</v>
      </c>
      <c r="BB26" s="256">
        <v>151.99820800000001</v>
      </c>
      <c r="BC26" s="256">
        <v>154.339629</v>
      </c>
      <c r="BD26" s="256">
        <v>150.72757300000001</v>
      </c>
      <c r="BE26" s="256">
        <v>145.6671</v>
      </c>
      <c r="BF26" s="256">
        <v>141.8167</v>
      </c>
      <c r="BG26" s="342">
        <v>126.9867</v>
      </c>
      <c r="BH26" s="342">
        <v>144.34200000000001</v>
      </c>
      <c r="BI26" s="342">
        <v>148.92590000000001</v>
      </c>
      <c r="BJ26" s="342">
        <v>129.29069999999999</v>
      </c>
      <c r="BK26" s="342">
        <v>142.2689</v>
      </c>
      <c r="BL26" s="342">
        <v>140.1189</v>
      </c>
      <c r="BM26" s="342">
        <v>147.66409999999999</v>
      </c>
      <c r="BN26" s="342">
        <v>147.744</v>
      </c>
      <c r="BO26" s="342">
        <v>148.8322</v>
      </c>
      <c r="BP26" s="342">
        <v>143.5112</v>
      </c>
      <c r="BQ26" s="342">
        <v>140.3844</v>
      </c>
      <c r="BR26" s="342">
        <v>137.04329999999999</v>
      </c>
      <c r="BS26" s="342">
        <v>135.11959999999999</v>
      </c>
      <c r="BT26" s="342">
        <v>139.70320000000001</v>
      </c>
      <c r="BU26" s="342">
        <v>144.66470000000001</v>
      </c>
      <c r="BV26" s="342">
        <v>143.10079999999999</v>
      </c>
    </row>
    <row r="27" spans="1:74" ht="11.1" customHeight="1" x14ac:dyDescent="0.2">
      <c r="A27" s="107" t="s">
        <v>77</v>
      </c>
      <c r="B27" s="203" t="s">
        <v>79</v>
      </c>
      <c r="C27" s="256">
        <v>12.020158</v>
      </c>
      <c r="D27" s="256">
        <v>11.645473000000001</v>
      </c>
      <c r="E27" s="256">
        <v>11.732889999999999</v>
      </c>
      <c r="F27" s="256">
        <v>11.982028</v>
      </c>
      <c r="G27" s="256">
        <v>12.093938</v>
      </c>
      <c r="H27" s="256">
        <v>11.935582</v>
      </c>
      <c r="I27" s="256">
        <v>11.696489</v>
      </c>
      <c r="J27" s="256">
        <v>11.595335</v>
      </c>
      <c r="K27" s="256">
        <v>11.639842</v>
      </c>
      <c r="L27" s="256">
        <v>11.630210999999999</v>
      </c>
      <c r="M27" s="256">
        <v>11.952718000000001</v>
      </c>
      <c r="N27" s="256">
        <v>11.78941</v>
      </c>
      <c r="O27" s="256">
        <v>11.857519</v>
      </c>
      <c r="P27" s="256">
        <v>11.743665</v>
      </c>
      <c r="Q27" s="256">
        <v>12.68052</v>
      </c>
      <c r="R27" s="256">
        <v>12.439018000000001</v>
      </c>
      <c r="S27" s="256">
        <v>12.169980000000001</v>
      </c>
      <c r="T27" s="256">
        <v>11.993369</v>
      </c>
      <c r="U27" s="256">
        <v>11.739884999999999</v>
      </c>
      <c r="V27" s="256">
        <v>11.530931000000001</v>
      </c>
      <c r="W27" s="256">
        <v>11.382107</v>
      </c>
      <c r="X27" s="256">
        <v>11.292009999999999</v>
      </c>
      <c r="Y27" s="256">
        <v>11.380966000000001</v>
      </c>
      <c r="Z27" s="256">
        <v>10.929873000000001</v>
      </c>
      <c r="AA27" s="256">
        <v>9.7631739999999994</v>
      </c>
      <c r="AB27" s="256">
        <v>10.320309999999999</v>
      </c>
      <c r="AC27" s="256">
        <v>10.285992</v>
      </c>
      <c r="AD27" s="256">
        <v>10.193705</v>
      </c>
      <c r="AE27" s="256">
        <v>10.127477000000001</v>
      </c>
      <c r="AF27" s="256">
        <v>10.146236</v>
      </c>
      <c r="AG27" s="256">
        <v>9.5829280000000008</v>
      </c>
      <c r="AH27" s="256">
        <v>8.9233879999999992</v>
      </c>
      <c r="AI27" s="256">
        <v>8.6707649999999994</v>
      </c>
      <c r="AJ27" s="256">
        <v>8.6648540000000001</v>
      </c>
      <c r="AK27" s="256">
        <v>8.4994289999999992</v>
      </c>
      <c r="AL27" s="256">
        <v>8.7846790000000006</v>
      </c>
      <c r="AM27" s="256">
        <v>8.6374619999999993</v>
      </c>
      <c r="AN27" s="256">
        <v>8.9551960000000008</v>
      </c>
      <c r="AO27" s="256">
        <v>8.9910910000000008</v>
      </c>
      <c r="AP27" s="256">
        <v>8.9834890000000005</v>
      </c>
      <c r="AQ27" s="256">
        <v>8.9900110000000009</v>
      </c>
      <c r="AR27" s="256">
        <v>8.8659140000000001</v>
      </c>
      <c r="AS27" s="256">
        <v>8.6140120000000007</v>
      </c>
      <c r="AT27" s="256">
        <v>8.1618720000000007</v>
      </c>
      <c r="AU27" s="256">
        <v>8.3497260000000004</v>
      </c>
      <c r="AV27" s="256">
        <v>8.2463130000000007</v>
      </c>
      <c r="AW27" s="256">
        <v>8.6549230000000001</v>
      </c>
      <c r="AX27" s="256">
        <v>8.6572250000000004</v>
      </c>
      <c r="AY27" s="256">
        <v>8.2188250000000007</v>
      </c>
      <c r="AZ27" s="256">
        <v>8.261495</v>
      </c>
      <c r="BA27" s="256">
        <v>8.3903829999999999</v>
      </c>
      <c r="BB27" s="256">
        <v>8.5866489999999995</v>
      </c>
      <c r="BC27" s="256">
        <v>8.5533640000000002</v>
      </c>
      <c r="BD27" s="256">
        <v>8.6515269999999997</v>
      </c>
      <c r="BE27" s="256">
        <v>8.5698109999999996</v>
      </c>
      <c r="BF27" s="256">
        <v>8.8444859999999998</v>
      </c>
      <c r="BG27" s="342">
        <v>9.2690739999999998</v>
      </c>
      <c r="BH27" s="342">
        <v>9.6227409999999995</v>
      </c>
      <c r="BI27" s="342">
        <v>10.01052</v>
      </c>
      <c r="BJ27" s="342">
        <v>10.03065</v>
      </c>
      <c r="BK27" s="342">
        <v>9.5505849999999999</v>
      </c>
      <c r="BL27" s="342">
        <v>9.5714710000000007</v>
      </c>
      <c r="BM27" s="342">
        <v>9.9806950000000008</v>
      </c>
      <c r="BN27" s="342">
        <v>9.8839210000000008</v>
      </c>
      <c r="BO27" s="342">
        <v>9.8481400000000008</v>
      </c>
      <c r="BP27" s="342">
        <v>9.8929170000000006</v>
      </c>
      <c r="BQ27" s="342">
        <v>9.5226019999999991</v>
      </c>
      <c r="BR27" s="342">
        <v>9.5385249999999999</v>
      </c>
      <c r="BS27" s="342">
        <v>9.7865769999999994</v>
      </c>
      <c r="BT27" s="342">
        <v>10.02844</v>
      </c>
      <c r="BU27" s="342">
        <v>10.34803</v>
      </c>
      <c r="BV27" s="342">
        <v>10.256</v>
      </c>
    </row>
    <row r="28" spans="1:74" ht="11.1" customHeight="1" x14ac:dyDescent="0.2">
      <c r="A28" s="107" t="s">
        <v>78</v>
      </c>
      <c r="B28" s="203" t="s">
        <v>80</v>
      </c>
      <c r="C28" s="256">
        <v>17.929735999999998</v>
      </c>
      <c r="D28" s="256">
        <v>17.661663000000001</v>
      </c>
      <c r="E28" s="256">
        <v>17.501256000000001</v>
      </c>
      <c r="F28" s="256">
        <v>17.637352</v>
      </c>
      <c r="G28" s="256">
        <v>17.855595000000001</v>
      </c>
      <c r="H28" s="256">
        <v>17.859297000000002</v>
      </c>
      <c r="I28" s="256">
        <v>17.726261999999998</v>
      </c>
      <c r="J28" s="256">
        <v>17.819545999999999</v>
      </c>
      <c r="K28" s="256">
        <v>17.852170999999998</v>
      </c>
      <c r="L28" s="256">
        <v>18.016973</v>
      </c>
      <c r="M28" s="256">
        <v>18.324117999999999</v>
      </c>
      <c r="N28" s="256">
        <v>17.854973000000001</v>
      </c>
      <c r="O28" s="256">
        <v>17.738306999999999</v>
      </c>
      <c r="P28" s="256">
        <v>17.609500000000001</v>
      </c>
      <c r="Q28" s="256">
        <v>17.343235</v>
      </c>
      <c r="R28" s="256">
        <v>17.349148</v>
      </c>
      <c r="S28" s="256">
        <v>17.257390000000001</v>
      </c>
      <c r="T28" s="256">
        <v>17.091805000000001</v>
      </c>
      <c r="U28" s="256">
        <v>17.155162000000001</v>
      </c>
      <c r="V28" s="256">
        <v>17.100694000000001</v>
      </c>
      <c r="W28" s="256">
        <v>16.849118000000001</v>
      </c>
      <c r="X28" s="256">
        <v>16.789831</v>
      </c>
      <c r="Y28" s="256">
        <v>16.945611</v>
      </c>
      <c r="Z28" s="256">
        <v>16.342396000000001</v>
      </c>
      <c r="AA28" s="256">
        <v>15.488706000000001</v>
      </c>
      <c r="AB28" s="256">
        <v>15.843723000000001</v>
      </c>
      <c r="AC28" s="256">
        <v>15.809364</v>
      </c>
      <c r="AD28" s="256">
        <v>15.742279</v>
      </c>
      <c r="AE28" s="256">
        <v>15.91067</v>
      </c>
      <c r="AF28" s="256">
        <v>15.663663</v>
      </c>
      <c r="AG28" s="256">
        <v>15.649735</v>
      </c>
      <c r="AH28" s="256">
        <v>15.209607</v>
      </c>
      <c r="AI28" s="256">
        <v>15.238472</v>
      </c>
      <c r="AJ28" s="256">
        <v>15.296760000000001</v>
      </c>
      <c r="AK28" s="256">
        <v>15.58127</v>
      </c>
      <c r="AL28" s="256">
        <v>16.436447999999999</v>
      </c>
      <c r="AM28" s="256">
        <v>16.570525</v>
      </c>
      <c r="AN28" s="256">
        <v>16.518815</v>
      </c>
      <c r="AO28" s="256">
        <v>16.502348000000001</v>
      </c>
      <c r="AP28" s="256">
        <v>16.639633</v>
      </c>
      <c r="AQ28" s="256">
        <v>16.711628999999999</v>
      </c>
      <c r="AR28" s="256">
        <v>16.609382</v>
      </c>
      <c r="AS28" s="256">
        <v>16.503692000000001</v>
      </c>
      <c r="AT28" s="256">
        <v>16.283723999999999</v>
      </c>
      <c r="AU28" s="256">
        <v>16.318049999999999</v>
      </c>
      <c r="AV28" s="256">
        <v>16.363530999999998</v>
      </c>
      <c r="AW28" s="256">
        <v>16.202311000000002</v>
      </c>
      <c r="AX28" s="256">
        <v>16.628129000000001</v>
      </c>
      <c r="AY28" s="256">
        <v>16.462295000000001</v>
      </c>
      <c r="AZ28" s="256">
        <v>16.296955000000001</v>
      </c>
      <c r="BA28" s="256">
        <v>16.509356</v>
      </c>
      <c r="BB28" s="256">
        <v>16.274892000000001</v>
      </c>
      <c r="BC28" s="256">
        <v>16.724764</v>
      </c>
      <c r="BD28" s="256">
        <v>16.709617000000001</v>
      </c>
      <c r="BE28" s="256">
        <v>16.658100000000001</v>
      </c>
      <c r="BF28" s="256">
        <v>16.652450000000002</v>
      </c>
      <c r="BG28" s="342">
        <v>16.672779999999999</v>
      </c>
      <c r="BH28" s="342">
        <v>16.74849</v>
      </c>
      <c r="BI28" s="342">
        <v>16.929549999999999</v>
      </c>
      <c r="BJ28" s="342">
        <v>16.956710000000001</v>
      </c>
      <c r="BK28" s="342">
        <v>17.01022</v>
      </c>
      <c r="BL28" s="342">
        <v>17.141359999999999</v>
      </c>
      <c r="BM28" s="342">
        <v>17.071259999999999</v>
      </c>
      <c r="BN28" s="342">
        <v>16.972999999999999</v>
      </c>
      <c r="BO28" s="342">
        <v>16.886659999999999</v>
      </c>
      <c r="BP28" s="342">
        <v>16.950579999999999</v>
      </c>
      <c r="BQ28" s="342">
        <v>16.87931</v>
      </c>
      <c r="BR28" s="342">
        <v>16.85059</v>
      </c>
      <c r="BS28" s="342">
        <v>16.852830000000001</v>
      </c>
      <c r="BT28" s="342">
        <v>16.91553</v>
      </c>
      <c r="BU28" s="342">
        <v>17.08653</v>
      </c>
      <c r="BV28" s="342">
        <v>17.09919</v>
      </c>
    </row>
    <row r="29" spans="1:74" ht="11.1" customHeight="1" x14ac:dyDescent="0.2">
      <c r="A29" s="107"/>
      <c r="B29" s="108"/>
      <c r="C29" s="234"/>
      <c r="D29" s="234"/>
      <c r="E29" s="234"/>
      <c r="F29" s="234"/>
      <c r="G29" s="234"/>
      <c r="H29" s="234"/>
      <c r="I29" s="234"/>
      <c r="J29" s="234"/>
      <c r="K29" s="234"/>
      <c r="L29" s="234"/>
      <c r="M29" s="234"/>
      <c r="N29" s="234"/>
      <c r="O29" s="234"/>
      <c r="P29" s="234"/>
      <c r="Q29" s="234"/>
      <c r="R29" s="234"/>
      <c r="S29" s="234"/>
      <c r="T29" s="234"/>
      <c r="U29" s="234"/>
      <c r="V29" s="234"/>
      <c r="W29" s="234"/>
      <c r="X29" s="234"/>
      <c r="Y29" s="234"/>
      <c r="Z29" s="234"/>
      <c r="AA29" s="234"/>
      <c r="AB29" s="234"/>
      <c r="AC29" s="234"/>
      <c r="AD29" s="234"/>
      <c r="AE29" s="234"/>
      <c r="AF29" s="234"/>
      <c r="AG29" s="234"/>
      <c r="AH29" s="234"/>
      <c r="AI29" s="234"/>
      <c r="AJ29" s="234"/>
      <c r="AK29" s="234"/>
      <c r="AL29" s="234"/>
      <c r="AM29" s="234"/>
      <c r="AN29" s="234"/>
      <c r="AO29" s="234"/>
      <c r="AP29" s="234"/>
      <c r="AQ29" s="234"/>
      <c r="AR29" s="234"/>
      <c r="AS29" s="234"/>
      <c r="AT29" s="234"/>
      <c r="AU29" s="234"/>
      <c r="AV29" s="234"/>
      <c r="AW29" s="234"/>
      <c r="AX29" s="234"/>
      <c r="AY29" s="234"/>
      <c r="AZ29" s="234"/>
      <c r="BA29" s="234"/>
      <c r="BB29" s="234"/>
      <c r="BC29" s="234"/>
      <c r="BD29" s="234"/>
      <c r="BE29" s="234"/>
      <c r="BF29" s="234"/>
      <c r="BG29" s="372"/>
      <c r="BH29" s="372"/>
      <c r="BI29" s="372"/>
      <c r="BJ29" s="372"/>
      <c r="BK29" s="372"/>
      <c r="BL29" s="372"/>
      <c r="BM29" s="372"/>
      <c r="BN29" s="372"/>
      <c r="BO29" s="372"/>
      <c r="BP29" s="372"/>
      <c r="BQ29" s="372"/>
      <c r="BR29" s="372"/>
      <c r="BS29" s="372"/>
      <c r="BT29" s="372"/>
      <c r="BU29" s="372"/>
      <c r="BV29" s="372"/>
    </row>
    <row r="30" spans="1:74" ht="11.1" customHeight="1" x14ac:dyDescent="0.2">
      <c r="A30" s="107"/>
      <c r="B30" s="55" t="s">
        <v>132</v>
      </c>
      <c r="C30" s="234"/>
      <c r="D30" s="234"/>
      <c r="E30" s="234"/>
      <c r="F30" s="234"/>
      <c r="G30" s="234"/>
      <c r="H30" s="234"/>
      <c r="I30" s="234"/>
      <c r="J30" s="234"/>
      <c r="K30" s="234"/>
      <c r="L30" s="234"/>
      <c r="M30" s="234"/>
      <c r="N30" s="234"/>
      <c r="O30" s="234"/>
      <c r="P30" s="234"/>
      <c r="Q30" s="234"/>
      <c r="R30" s="234"/>
      <c r="S30" s="234"/>
      <c r="T30" s="234"/>
      <c r="U30" s="234"/>
      <c r="V30" s="234"/>
      <c r="W30" s="234"/>
      <c r="X30" s="234"/>
      <c r="Y30" s="234"/>
      <c r="Z30" s="234"/>
      <c r="AA30" s="234"/>
      <c r="AB30" s="234"/>
      <c r="AC30" s="234"/>
      <c r="AD30" s="234"/>
      <c r="AE30" s="234"/>
      <c r="AF30" s="234"/>
      <c r="AG30" s="234"/>
      <c r="AH30" s="234"/>
      <c r="AI30" s="234"/>
      <c r="AJ30" s="234"/>
      <c r="AK30" s="234"/>
      <c r="AL30" s="234"/>
      <c r="AM30" s="234"/>
      <c r="AN30" s="234"/>
      <c r="AO30" s="234"/>
      <c r="AP30" s="234"/>
      <c r="AQ30" s="234"/>
      <c r="AR30" s="234"/>
      <c r="AS30" s="234"/>
      <c r="AT30" s="234"/>
      <c r="AU30" s="234"/>
      <c r="AV30" s="234"/>
      <c r="AW30" s="234"/>
      <c r="AX30" s="234"/>
      <c r="AY30" s="234"/>
      <c r="AZ30" s="234"/>
      <c r="BA30" s="234"/>
      <c r="BB30" s="234"/>
      <c r="BC30" s="234"/>
      <c r="BD30" s="234"/>
      <c r="BE30" s="234"/>
      <c r="BF30" s="234"/>
      <c r="BG30" s="372"/>
      <c r="BH30" s="372"/>
      <c r="BI30" s="372"/>
      <c r="BJ30" s="372"/>
      <c r="BK30" s="372"/>
      <c r="BL30" s="372"/>
      <c r="BM30" s="372"/>
      <c r="BN30" s="372"/>
      <c r="BO30" s="372"/>
      <c r="BP30" s="372"/>
      <c r="BQ30" s="372"/>
      <c r="BR30" s="372"/>
      <c r="BS30" s="372"/>
      <c r="BT30" s="372"/>
      <c r="BU30" s="372"/>
      <c r="BV30" s="372"/>
    </row>
    <row r="31" spans="1:74" ht="11.1" customHeight="1" x14ac:dyDescent="0.2">
      <c r="A31" s="107"/>
      <c r="B31" s="55" t="s">
        <v>35</v>
      </c>
      <c r="C31" s="234"/>
      <c r="D31" s="234"/>
      <c r="E31" s="234"/>
      <c r="F31" s="234"/>
      <c r="G31" s="234"/>
      <c r="H31" s="234"/>
      <c r="I31" s="234"/>
      <c r="J31" s="234"/>
      <c r="K31" s="234"/>
      <c r="L31" s="234"/>
      <c r="M31" s="234"/>
      <c r="N31" s="234"/>
      <c r="O31" s="234"/>
      <c r="P31" s="234"/>
      <c r="Q31" s="234"/>
      <c r="R31" s="234"/>
      <c r="S31" s="234"/>
      <c r="T31" s="234"/>
      <c r="U31" s="234"/>
      <c r="V31" s="234"/>
      <c r="W31" s="234"/>
      <c r="X31" s="234"/>
      <c r="Y31" s="234"/>
      <c r="Z31" s="234"/>
      <c r="AA31" s="234"/>
      <c r="AB31" s="234"/>
      <c r="AC31" s="234"/>
      <c r="AD31" s="234"/>
      <c r="AE31" s="234"/>
      <c r="AF31" s="234"/>
      <c r="AG31" s="234"/>
      <c r="AH31" s="234"/>
      <c r="AI31" s="234"/>
      <c r="AJ31" s="234"/>
      <c r="AK31" s="234"/>
      <c r="AL31" s="234"/>
      <c r="AM31" s="234"/>
      <c r="AN31" s="234"/>
      <c r="AO31" s="234"/>
      <c r="AP31" s="234"/>
      <c r="AQ31" s="234"/>
      <c r="AR31" s="234"/>
      <c r="AS31" s="234"/>
      <c r="AT31" s="234"/>
      <c r="AU31" s="234"/>
      <c r="AV31" s="234"/>
      <c r="AW31" s="234"/>
      <c r="AX31" s="234"/>
      <c r="AY31" s="234"/>
      <c r="AZ31" s="234"/>
      <c r="BA31" s="234"/>
      <c r="BB31" s="234"/>
      <c r="BC31" s="234"/>
      <c r="BD31" s="234"/>
      <c r="BE31" s="234"/>
      <c r="BF31" s="234"/>
      <c r="BG31" s="372"/>
      <c r="BH31" s="372"/>
      <c r="BI31" s="372"/>
      <c r="BJ31" s="372"/>
      <c r="BK31" s="372"/>
      <c r="BL31" s="372"/>
      <c r="BM31" s="372"/>
      <c r="BN31" s="372"/>
      <c r="BO31" s="372"/>
      <c r="BP31" s="372"/>
      <c r="BQ31" s="372"/>
      <c r="BR31" s="372"/>
      <c r="BS31" s="372"/>
      <c r="BT31" s="372"/>
      <c r="BU31" s="372"/>
      <c r="BV31" s="372"/>
    </row>
    <row r="32" spans="1:74" ht="11.1" customHeight="1" x14ac:dyDescent="0.2">
      <c r="A32" s="52" t="s">
        <v>537</v>
      </c>
      <c r="B32" s="203" t="s">
        <v>400</v>
      </c>
      <c r="C32" s="213">
        <v>2.12</v>
      </c>
      <c r="D32" s="213">
        <v>2.11</v>
      </c>
      <c r="E32" s="213">
        <v>2.17</v>
      </c>
      <c r="F32" s="213">
        <v>2.16</v>
      </c>
      <c r="G32" s="213">
        <v>2.16</v>
      </c>
      <c r="H32" s="213">
        <v>2.1</v>
      </c>
      <c r="I32" s="213">
        <v>2.11</v>
      </c>
      <c r="J32" s="213">
        <v>2.11</v>
      </c>
      <c r="K32" s="213">
        <v>2.12</v>
      </c>
      <c r="L32" s="213">
        <v>2.0699999999999998</v>
      </c>
      <c r="M32" s="213">
        <v>2.08</v>
      </c>
      <c r="N32" s="213">
        <v>2.08</v>
      </c>
      <c r="O32" s="213">
        <v>2.09</v>
      </c>
      <c r="P32" s="213">
        <v>2.06</v>
      </c>
      <c r="Q32" s="213">
        <v>2.0699999999999998</v>
      </c>
      <c r="R32" s="213">
        <v>2.08</v>
      </c>
      <c r="S32" s="213">
        <v>2.09</v>
      </c>
      <c r="T32" s="213">
        <v>2.0699999999999998</v>
      </c>
      <c r="U32" s="213">
        <v>2.06</v>
      </c>
      <c r="V32" s="213">
        <v>2.0499999999999998</v>
      </c>
      <c r="W32" s="213">
        <v>2.02</v>
      </c>
      <c r="X32" s="213">
        <v>2.0299999999999998</v>
      </c>
      <c r="Y32" s="213">
        <v>2.04</v>
      </c>
      <c r="Z32" s="213">
        <v>2.04</v>
      </c>
      <c r="AA32" s="213">
        <v>2.06</v>
      </c>
      <c r="AB32" s="213">
        <v>2.0699999999999998</v>
      </c>
      <c r="AC32" s="213">
        <v>2.04</v>
      </c>
      <c r="AD32" s="213">
        <v>2.0699999999999998</v>
      </c>
      <c r="AE32" s="213">
        <v>2.04</v>
      </c>
      <c r="AF32" s="213">
        <v>2.04</v>
      </c>
      <c r="AG32" s="213">
        <v>2.0499999999999998</v>
      </c>
      <c r="AH32" s="213">
        <v>2.06</v>
      </c>
      <c r="AI32" s="213">
        <v>2.0499999999999998</v>
      </c>
      <c r="AJ32" s="213">
        <v>2.04</v>
      </c>
      <c r="AK32" s="213">
        <v>2.06</v>
      </c>
      <c r="AL32" s="213">
        <v>2.11</v>
      </c>
      <c r="AM32" s="213">
        <v>2.1</v>
      </c>
      <c r="AN32" s="213">
        <v>2.0699999999999998</v>
      </c>
      <c r="AO32" s="213">
        <v>2.08</v>
      </c>
      <c r="AP32" s="213">
        <v>2.0699999999999998</v>
      </c>
      <c r="AQ32" s="213">
        <v>2.06</v>
      </c>
      <c r="AR32" s="213">
        <v>2.0299999999999998</v>
      </c>
      <c r="AS32" s="213">
        <v>2.02</v>
      </c>
      <c r="AT32" s="213">
        <v>2</v>
      </c>
      <c r="AU32" s="213">
        <v>1.96</v>
      </c>
      <c r="AV32" s="213">
        <v>1.96</v>
      </c>
      <c r="AW32" s="213">
        <v>1.97</v>
      </c>
      <c r="AX32" s="213">
        <v>1.92</v>
      </c>
      <c r="AY32" s="213">
        <v>1.94</v>
      </c>
      <c r="AZ32" s="213">
        <v>1.91</v>
      </c>
      <c r="BA32" s="213">
        <v>1.94</v>
      </c>
      <c r="BB32" s="213">
        <v>1.93</v>
      </c>
      <c r="BC32" s="213">
        <v>1.8865349658999999</v>
      </c>
      <c r="BD32" s="213">
        <v>1.9005932907</v>
      </c>
      <c r="BE32" s="213">
        <v>1.991536</v>
      </c>
      <c r="BF32" s="213">
        <v>1.9997819999999999</v>
      </c>
      <c r="BG32" s="351">
        <v>1.9972559999999999</v>
      </c>
      <c r="BH32" s="351">
        <v>2.0172469999999998</v>
      </c>
      <c r="BI32" s="351">
        <v>2.001649</v>
      </c>
      <c r="BJ32" s="351">
        <v>1.994013</v>
      </c>
      <c r="BK32" s="351">
        <v>2.0515379999999999</v>
      </c>
      <c r="BL32" s="351">
        <v>2.038602</v>
      </c>
      <c r="BM32" s="351">
        <v>2.0440719999999999</v>
      </c>
      <c r="BN32" s="351">
        <v>2.0610339999999998</v>
      </c>
      <c r="BO32" s="351">
        <v>2.0553720000000002</v>
      </c>
      <c r="BP32" s="351">
        <v>2.0300199999999999</v>
      </c>
      <c r="BQ32" s="351">
        <v>2.0172880000000002</v>
      </c>
      <c r="BR32" s="351">
        <v>2.0274450000000002</v>
      </c>
      <c r="BS32" s="351">
        <v>2.0334080000000001</v>
      </c>
      <c r="BT32" s="351">
        <v>2.0294919999999999</v>
      </c>
      <c r="BU32" s="351">
        <v>2.0311189999999999</v>
      </c>
      <c r="BV32" s="351">
        <v>2.0370409999999999</v>
      </c>
    </row>
    <row r="33" spans="1:74" ht="11.1" customHeight="1" x14ac:dyDescent="0.2">
      <c r="A33" s="107" t="s">
        <v>539</v>
      </c>
      <c r="B33" s="203" t="s">
        <v>467</v>
      </c>
      <c r="C33" s="213">
        <v>3.02</v>
      </c>
      <c r="D33" s="213">
        <v>2.7</v>
      </c>
      <c r="E33" s="213">
        <v>2.23</v>
      </c>
      <c r="F33" s="213">
        <v>2.42</v>
      </c>
      <c r="G33" s="213">
        <v>2.39</v>
      </c>
      <c r="H33" s="213">
        <v>2.67</v>
      </c>
      <c r="I33" s="213">
        <v>2.97</v>
      </c>
      <c r="J33" s="213">
        <v>2.95</v>
      </c>
      <c r="K33" s="213">
        <v>3.07</v>
      </c>
      <c r="L33" s="213">
        <v>3.13</v>
      </c>
      <c r="M33" s="213">
        <v>3.02</v>
      </c>
      <c r="N33" s="213">
        <v>3.96</v>
      </c>
      <c r="O33" s="213">
        <v>4.1100000000000003</v>
      </c>
      <c r="P33" s="213">
        <v>3.56</v>
      </c>
      <c r="Q33" s="213">
        <v>3.35</v>
      </c>
      <c r="R33" s="213">
        <v>3.38</v>
      </c>
      <c r="S33" s="213">
        <v>3.48</v>
      </c>
      <c r="T33" s="213">
        <v>3.29</v>
      </c>
      <c r="U33" s="213">
        <v>3.21</v>
      </c>
      <c r="V33" s="213">
        <v>3.13</v>
      </c>
      <c r="W33" s="213">
        <v>3.16</v>
      </c>
      <c r="X33" s="213">
        <v>3.13</v>
      </c>
      <c r="Y33" s="213">
        <v>3.35</v>
      </c>
      <c r="Z33" s="213">
        <v>3.63</v>
      </c>
      <c r="AA33" s="213">
        <v>5.0599999999999996</v>
      </c>
      <c r="AB33" s="213">
        <v>3.61</v>
      </c>
      <c r="AC33" s="213">
        <v>3.18</v>
      </c>
      <c r="AD33" s="213">
        <v>3.14</v>
      </c>
      <c r="AE33" s="213">
        <v>3.06</v>
      </c>
      <c r="AF33" s="213">
        <v>3.13</v>
      </c>
      <c r="AG33" s="213">
        <v>3.23</v>
      </c>
      <c r="AH33" s="213">
        <v>3.28</v>
      </c>
      <c r="AI33" s="213">
        <v>3.12</v>
      </c>
      <c r="AJ33" s="213">
        <v>3.43</v>
      </c>
      <c r="AK33" s="213">
        <v>4.18</v>
      </c>
      <c r="AL33" s="213">
        <v>4.72</v>
      </c>
      <c r="AM33" s="213">
        <v>4.01</v>
      </c>
      <c r="AN33" s="213">
        <v>3.64</v>
      </c>
      <c r="AO33" s="213">
        <v>3.45</v>
      </c>
      <c r="AP33" s="213">
        <v>2.89</v>
      </c>
      <c r="AQ33" s="213">
        <v>2.77</v>
      </c>
      <c r="AR33" s="213">
        <v>2.59</v>
      </c>
      <c r="AS33" s="213">
        <v>2.5299999999999998</v>
      </c>
      <c r="AT33" s="213">
        <v>2.41</v>
      </c>
      <c r="AU33" s="213">
        <v>2.59</v>
      </c>
      <c r="AV33" s="213">
        <v>2.4900000000000002</v>
      </c>
      <c r="AW33" s="213">
        <v>2.96</v>
      </c>
      <c r="AX33" s="213">
        <v>2.92</v>
      </c>
      <c r="AY33" s="213">
        <v>2.62</v>
      </c>
      <c r="AZ33" s="213">
        <v>2.4</v>
      </c>
      <c r="BA33" s="213">
        <v>2.14</v>
      </c>
      <c r="BB33" s="213">
        <v>2.1</v>
      </c>
      <c r="BC33" s="213">
        <v>2.1840616414</v>
      </c>
      <c r="BD33" s="213">
        <v>2.0236667554999999</v>
      </c>
      <c r="BE33" s="213">
        <v>2.020019</v>
      </c>
      <c r="BF33" s="213">
        <v>2.5646140000000002</v>
      </c>
      <c r="BG33" s="351">
        <v>2.5342199999999999</v>
      </c>
      <c r="BH33" s="351">
        <v>2.7554280000000002</v>
      </c>
      <c r="BI33" s="351">
        <v>3.2571859999999999</v>
      </c>
      <c r="BJ33" s="351">
        <v>3.839623</v>
      </c>
      <c r="BK33" s="351">
        <v>4.1511440000000004</v>
      </c>
      <c r="BL33" s="351">
        <v>4.0240619999999998</v>
      </c>
      <c r="BM33" s="351">
        <v>3.7287539999999999</v>
      </c>
      <c r="BN33" s="351">
        <v>3.382997</v>
      </c>
      <c r="BO33" s="351">
        <v>3.312859</v>
      </c>
      <c r="BP33" s="351">
        <v>3.3004739999999999</v>
      </c>
      <c r="BQ33" s="351">
        <v>3.309526</v>
      </c>
      <c r="BR33" s="351">
        <v>3.3708499999999999</v>
      </c>
      <c r="BS33" s="351">
        <v>3.3795989999999998</v>
      </c>
      <c r="BT33" s="351">
        <v>3.467066</v>
      </c>
      <c r="BU33" s="351">
        <v>3.5652509999999999</v>
      </c>
      <c r="BV33" s="351">
        <v>3.8425690000000001</v>
      </c>
    </row>
    <row r="34" spans="1:74" ht="11.1" customHeight="1" x14ac:dyDescent="0.2">
      <c r="A34" s="52" t="s">
        <v>538</v>
      </c>
      <c r="B34" s="203" t="s">
        <v>409</v>
      </c>
      <c r="C34" s="213">
        <v>7.08</v>
      </c>
      <c r="D34" s="213">
        <v>5.77</v>
      </c>
      <c r="E34" s="213">
        <v>5.63</v>
      </c>
      <c r="F34" s="213">
        <v>7.53</v>
      </c>
      <c r="G34" s="213">
        <v>9.07</v>
      </c>
      <c r="H34" s="213">
        <v>8.93</v>
      </c>
      <c r="I34" s="213">
        <v>11.72</v>
      </c>
      <c r="J34" s="213">
        <v>8.5500000000000007</v>
      </c>
      <c r="K34" s="213">
        <v>8.42</v>
      </c>
      <c r="L34" s="213">
        <v>8.75</v>
      </c>
      <c r="M34" s="213">
        <v>9.0299999999999994</v>
      </c>
      <c r="N34" s="213">
        <v>9.65</v>
      </c>
      <c r="O34" s="213">
        <v>11.25</v>
      </c>
      <c r="P34" s="213">
        <v>10.77</v>
      </c>
      <c r="Q34" s="213">
        <v>11.42</v>
      </c>
      <c r="R34" s="213">
        <v>10.64</v>
      </c>
      <c r="S34" s="213">
        <v>10.69</v>
      </c>
      <c r="T34" s="213">
        <v>10.48</v>
      </c>
      <c r="U34" s="213">
        <v>9.99</v>
      </c>
      <c r="V34" s="213">
        <v>10.029999999999999</v>
      </c>
      <c r="W34" s="213">
        <v>10.06</v>
      </c>
      <c r="X34" s="213">
        <v>10.61</v>
      </c>
      <c r="Y34" s="213">
        <v>10.28</v>
      </c>
      <c r="Z34" s="213">
        <v>13.6</v>
      </c>
      <c r="AA34" s="213">
        <v>11.45</v>
      </c>
      <c r="AB34" s="213">
        <v>11.46</v>
      </c>
      <c r="AC34" s="213">
        <v>12.1</v>
      </c>
      <c r="AD34" s="213">
        <v>12.2</v>
      </c>
      <c r="AE34" s="213">
        <v>12.83</v>
      </c>
      <c r="AF34" s="213">
        <v>13.81</v>
      </c>
      <c r="AG34" s="213">
        <v>13.76</v>
      </c>
      <c r="AH34" s="213">
        <v>14.38</v>
      </c>
      <c r="AI34" s="213">
        <v>13.91</v>
      </c>
      <c r="AJ34" s="213">
        <v>14.52</v>
      </c>
      <c r="AK34" s="213">
        <v>15.25</v>
      </c>
      <c r="AL34" s="213">
        <v>13.56</v>
      </c>
      <c r="AM34" s="213">
        <v>11.29</v>
      </c>
      <c r="AN34" s="213">
        <v>12.27</v>
      </c>
      <c r="AO34" s="213">
        <v>13.68</v>
      </c>
      <c r="AP34" s="213">
        <v>13.89</v>
      </c>
      <c r="AQ34" s="213">
        <v>13.47</v>
      </c>
      <c r="AR34" s="213">
        <v>12.92</v>
      </c>
      <c r="AS34" s="213">
        <v>12.93</v>
      </c>
      <c r="AT34" s="213">
        <v>13.72</v>
      </c>
      <c r="AU34" s="213">
        <v>11.53</v>
      </c>
      <c r="AV34" s="213">
        <v>12.65</v>
      </c>
      <c r="AW34" s="213">
        <v>12.04</v>
      </c>
      <c r="AX34" s="213">
        <v>12.84</v>
      </c>
      <c r="AY34" s="213">
        <v>13.15</v>
      </c>
      <c r="AZ34" s="213">
        <v>12.68</v>
      </c>
      <c r="BA34" s="213">
        <v>10.29</v>
      </c>
      <c r="BB34" s="213">
        <v>8.19</v>
      </c>
      <c r="BC34" s="213">
        <v>5.69</v>
      </c>
      <c r="BD34" s="213">
        <v>6.5164730000000004</v>
      </c>
      <c r="BE34" s="213">
        <v>7.2273019999999999</v>
      </c>
      <c r="BF34" s="213">
        <v>7.5365679999999999</v>
      </c>
      <c r="BG34" s="351">
        <v>7.7576749999999999</v>
      </c>
      <c r="BH34" s="351">
        <v>7.8172290000000002</v>
      </c>
      <c r="BI34" s="351">
        <v>7.9343659999999998</v>
      </c>
      <c r="BJ34" s="351">
        <v>8.5009709999999998</v>
      </c>
      <c r="BK34" s="351">
        <v>8.6648289999999992</v>
      </c>
      <c r="BL34" s="351">
        <v>8.4863549999999996</v>
      </c>
      <c r="BM34" s="351">
        <v>9.0363369999999996</v>
      </c>
      <c r="BN34" s="351">
        <v>9.8839349999999992</v>
      </c>
      <c r="BO34" s="351">
        <v>9.6416909999999998</v>
      </c>
      <c r="BP34" s="351">
        <v>10.20923</v>
      </c>
      <c r="BQ34" s="351">
        <v>9.900563</v>
      </c>
      <c r="BR34" s="351">
        <v>9.6080570000000005</v>
      </c>
      <c r="BS34" s="351">
        <v>9.4146280000000004</v>
      </c>
      <c r="BT34" s="351">
        <v>9.3689099999999996</v>
      </c>
      <c r="BU34" s="351">
        <v>9.451193</v>
      </c>
      <c r="BV34" s="351">
        <v>9.9093579999999992</v>
      </c>
    </row>
    <row r="35" spans="1:74" ht="11.1" customHeight="1" x14ac:dyDescent="0.2">
      <c r="A35" s="56" t="s">
        <v>18</v>
      </c>
      <c r="B35" s="203" t="s">
        <v>408</v>
      </c>
      <c r="C35" s="213">
        <v>8.9</v>
      </c>
      <c r="D35" s="213">
        <v>8.7799999999999994</v>
      </c>
      <c r="E35" s="213">
        <v>9.4600000000000009</v>
      </c>
      <c r="F35" s="213">
        <v>9.9700000000000006</v>
      </c>
      <c r="G35" s="213">
        <v>10.76</v>
      </c>
      <c r="H35" s="213">
        <v>12.22</v>
      </c>
      <c r="I35" s="213">
        <v>12.08</v>
      </c>
      <c r="J35" s="213">
        <v>11.41</v>
      </c>
      <c r="K35" s="213">
        <v>11.29</v>
      </c>
      <c r="L35" s="213">
        <v>12.04</v>
      </c>
      <c r="M35" s="213">
        <v>12.01</v>
      </c>
      <c r="N35" s="213">
        <v>12.22</v>
      </c>
      <c r="O35" s="213">
        <v>13.02</v>
      </c>
      <c r="P35" s="213">
        <v>12.98</v>
      </c>
      <c r="Q35" s="213">
        <v>12.35</v>
      </c>
      <c r="R35" s="213">
        <v>13</v>
      </c>
      <c r="S35" s="213">
        <v>12.22</v>
      </c>
      <c r="T35" s="213">
        <v>11.56</v>
      </c>
      <c r="U35" s="213">
        <v>11.82</v>
      </c>
      <c r="V35" s="213">
        <v>12.95</v>
      </c>
      <c r="W35" s="213">
        <v>14.52</v>
      </c>
      <c r="X35" s="213">
        <v>14.11</v>
      </c>
      <c r="Y35" s="213">
        <v>14.61</v>
      </c>
      <c r="Z35" s="213">
        <v>14.63</v>
      </c>
      <c r="AA35" s="213">
        <v>16.07</v>
      </c>
      <c r="AB35" s="213">
        <v>15.19</v>
      </c>
      <c r="AC35" s="213">
        <v>15.02</v>
      </c>
      <c r="AD35" s="213">
        <v>16.190000000000001</v>
      </c>
      <c r="AE35" s="213">
        <v>16.73</v>
      </c>
      <c r="AF35" s="213">
        <v>16.59</v>
      </c>
      <c r="AG35" s="213">
        <v>16.21</v>
      </c>
      <c r="AH35" s="213">
        <v>16.93</v>
      </c>
      <c r="AI35" s="213">
        <v>17.39</v>
      </c>
      <c r="AJ35" s="213">
        <v>17.760000000000002</v>
      </c>
      <c r="AK35" s="213">
        <v>16.39</v>
      </c>
      <c r="AL35" s="213">
        <v>14.54</v>
      </c>
      <c r="AM35" s="213">
        <v>14.12</v>
      </c>
      <c r="AN35" s="213">
        <v>15.12</v>
      </c>
      <c r="AO35" s="213">
        <v>15.7</v>
      </c>
      <c r="AP35" s="213">
        <v>16.38</v>
      </c>
      <c r="AQ35" s="213">
        <v>16.18</v>
      </c>
      <c r="AR35" s="213">
        <v>14.87</v>
      </c>
      <c r="AS35" s="213">
        <v>15.1</v>
      </c>
      <c r="AT35" s="213">
        <v>14.83</v>
      </c>
      <c r="AU35" s="213">
        <v>15.11</v>
      </c>
      <c r="AV35" s="213">
        <v>15.38</v>
      </c>
      <c r="AW35" s="213">
        <v>15.29</v>
      </c>
      <c r="AX35" s="213">
        <v>14.63</v>
      </c>
      <c r="AY35" s="213">
        <v>14.57</v>
      </c>
      <c r="AZ35" s="213">
        <v>13.81</v>
      </c>
      <c r="BA35" s="213">
        <v>10.81</v>
      </c>
      <c r="BB35" s="213">
        <v>8.86</v>
      </c>
      <c r="BC35" s="213">
        <v>7.38</v>
      </c>
      <c r="BD35" s="213">
        <v>8.8415789999999994</v>
      </c>
      <c r="BE35" s="213">
        <v>9.9759200000000003</v>
      </c>
      <c r="BF35" s="213">
        <v>10.02393</v>
      </c>
      <c r="BG35" s="351">
        <v>10.068910000000001</v>
      </c>
      <c r="BH35" s="351">
        <v>10.292160000000001</v>
      </c>
      <c r="BI35" s="351">
        <v>10.85788</v>
      </c>
      <c r="BJ35" s="351">
        <v>10.80814</v>
      </c>
      <c r="BK35" s="351">
        <v>10.61384</v>
      </c>
      <c r="BL35" s="351">
        <v>10.98766</v>
      </c>
      <c r="BM35" s="351">
        <v>11.7483</v>
      </c>
      <c r="BN35" s="351">
        <v>11.848240000000001</v>
      </c>
      <c r="BO35" s="351">
        <v>11.88585</v>
      </c>
      <c r="BP35" s="351">
        <v>12.406180000000001</v>
      </c>
      <c r="BQ35" s="351">
        <v>12.555770000000001</v>
      </c>
      <c r="BR35" s="351">
        <v>12.503360000000001</v>
      </c>
      <c r="BS35" s="351">
        <v>12.381919999999999</v>
      </c>
      <c r="BT35" s="351">
        <v>12.6899</v>
      </c>
      <c r="BU35" s="351">
        <v>13.09456</v>
      </c>
      <c r="BV35" s="351">
        <v>12.67188</v>
      </c>
    </row>
    <row r="36" spans="1:74" ht="11.1" customHeight="1" x14ac:dyDescent="0.2">
      <c r="A36" s="56"/>
      <c r="B36" s="55" t="s">
        <v>1044</v>
      </c>
      <c r="C36" s="213"/>
      <c r="D36" s="213"/>
      <c r="E36" s="213"/>
      <c r="F36" s="213"/>
      <c r="G36" s="213"/>
      <c r="H36" s="213"/>
      <c r="I36" s="213"/>
      <c r="J36" s="213"/>
      <c r="K36" s="213"/>
      <c r="L36" s="213"/>
      <c r="M36" s="213"/>
      <c r="N36" s="213"/>
      <c r="O36" s="213"/>
      <c r="P36" s="213"/>
      <c r="Q36" s="213"/>
      <c r="R36" s="213"/>
      <c r="S36" s="213"/>
      <c r="T36" s="213"/>
      <c r="U36" s="213"/>
      <c r="V36" s="213"/>
      <c r="W36" s="213"/>
      <c r="X36" s="213"/>
      <c r="Y36" s="213"/>
      <c r="Z36" s="213"/>
      <c r="AA36" s="213"/>
      <c r="AB36" s="213"/>
      <c r="AC36" s="213"/>
      <c r="AD36" s="213"/>
      <c r="AE36" s="213"/>
      <c r="AF36" s="213"/>
      <c r="AG36" s="213"/>
      <c r="AH36" s="213"/>
      <c r="AI36" s="213"/>
      <c r="AJ36" s="213"/>
      <c r="AK36" s="213"/>
      <c r="AL36" s="213"/>
      <c r="AM36" s="213"/>
      <c r="AN36" s="213"/>
      <c r="AO36" s="213"/>
      <c r="AP36" s="213"/>
      <c r="AQ36" s="213"/>
      <c r="AR36" s="213"/>
      <c r="AS36" s="213"/>
      <c r="AT36" s="213"/>
      <c r="AU36" s="213"/>
      <c r="AV36" s="213"/>
      <c r="AW36" s="213"/>
      <c r="AX36" s="213"/>
      <c r="AY36" s="213"/>
      <c r="AZ36" s="213"/>
      <c r="BA36" s="213"/>
      <c r="BB36" s="213"/>
      <c r="BC36" s="213"/>
      <c r="BD36" s="213"/>
      <c r="BE36" s="213"/>
      <c r="BF36" s="213"/>
      <c r="BG36" s="351"/>
      <c r="BH36" s="351"/>
      <c r="BI36" s="351"/>
      <c r="BJ36" s="351"/>
      <c r="BK36" s="351"/>
      <c r="BL36" s="351"/>
      <c r="BM36" s="351"/>
      <c r="BN36" s="351"/>
      <c r="BO36" s="351"/>
      <c r="BP36" s="351"/>
      <c r="BQ36" s="351"/>
      <c r="BR36" s="351"/>
      <c r="BS36" s="351"/>
      <c r="BT36" s="351"/>
      <c r="BU36" s="351"/>
      <c r="BV36" s="351"/>
    </row>
    <row r="37" spans="1:74" ht="11.1" customHeight="1" x14ac:dyDescent="0.2">
      <c r="A37" s="56" t="s">
        <v>541</v>
      </c>
      <c r="B37" s="203" t="s">
        <v>399</v>
      </c>
      <c r="C37" s="213">
        <v>11.99</v>
      </c>
      <c r="D37" s="213">
        <v>12.14</v>
      </c>
      <c r="E37" s="213">
        <v>12.56</v>
      </c>
      <c r="F37" s="213">
        <v>12.43</v>
      </c>
      <c r="G37" s="213">
        <v>12.79</v>
      </c>
      <c r="H37" s="213">
        <v>12.73</v>
      </c>
      <c r="I37" s="213">
        <v>12.68</v>
      </c>
      <c r="J37" s="213">
        <v>12.88</v>
      </c>
      <c r="K37" s="213">
        <v>12.87</v>
      </c>
      <c r="L37" s="213">
        <v>12.46</v>
      </c>
      <c r="M37" s="213">
        <v>12.75</v>
      </c>
      <c r="N37" s="213">
        <v>12.23</v>
      </c>
      <c r="O37" s="213">
        <v>12.21</v>
      </c>
      <c r="P37" s="213">
        <v>12.79</v>
      </c>
      <c r="Q37" s="213">
        <v>12.89</v>
      </c>
      <c r="R37" s="213">
        <v>12.72</v>
      </c>
      <c r="S37" s="213">
        <v>13.07</v>
      </c>
      <c r="T37" s="213">
        <v>13.2</v>
      </c>
      <c r="U37" s="213">
        <v>13.08</v>
      </c>
      <c r="V37" s="213">
        <v>13.15</v>
      </c>
      <c r="W37" s="213">
        <v>13.28</v>
      </c>
      <c r="X37" s="213">
        <v>12.8</v>
      </c>
      <c r="Y37" s="213">
        <v>12.94</v>
      </c>
      <c r="Z37" s="213">
        <v>12.45</v>
      </c>
      <c r="AA37" s="213">
        <v>12.22</v>
      </c>
      <c r="AB37" s="213">
        <v>12.63</v>
      </c>
      <c r="AC37" s="213">
        <v>12.97</v>
      </c>
      <c r="AD37" s="213">
        <v>12.88</v>
      </c>
      <c r="AE37" s="213">
        <v>13.12</v>
      </c>
      <c r="AF37" s="213">
        <v>13.03</v>
      </c>
      <c r="AG37" s="213">
        <v>13.13</v>
      </c>
      <c r="AH37" s="213">
        <v>13.26</v>
      </c>
      <c r="AI37" s="213">
        <v>13.01</v>
      </c>
      <c r="AJ37" s="213">
        <v>12.85</v>
      </c>
      <c r="AK37" s="213">
        <v>12.9</v>
      </c>
      <c r="AL37" s="213">
        <v>12.43</v>
      </c>
      <c r="AM37" s="213">
        <v>12.48</v>
      </c>
      <c r="AN37" s="213">
        <v>12.73</v>
      </c>
      <c r="AO37" s="213">
        <v>12.86</v>
      </c>
      <c r="AP37" s="213">
        <v>13.29</v>
      </c>
      <c r="AQ37" s="213">
        <v>13.34</v>
      </c>
      <c r="AR37" s="213">
        <v>13.36</v>
      </c>
      <c r="AS37" s="213">
        <v>13.29</v>
      </c>
      <c r="AT37" s="213">
        <v>13.33</v>
      </c>
      <c r="AU37" s="213">
        <v>13.18</v>
      </c>
      <c r="AV37" s="213">
        <v>12.84</v>
      </c>
      <c r="AW37" s="213">
        <v>13.04</v>
      </c>
      <c r="AX37" s="213">
        <v>12.69</v>
      </c>
      <c r="AY37" s="213">
        <v>12.79</v>
      </c>
      <c r="AZ37" s="213">
        <v>12.85</v>
      </c>
      <c r="BA37" s="213">
        <v>13.08</v>
      </c>
      <c r="BB37" s="213">
        <v>13.28</v>
      </c>
      <c r="BC37" s="213">
        <v>13.14</v>
      </c>
      <c r="BD37" s="213">
        <v>13.28</v>
      </c>
      <c r="BE37" s="213">
        <v>13.18318</v>
      </c>
      <c r="BF37" s="213">
        <v>13.26825</v>
      </c>
      <c r="BG37" s="351">
        <v>13.363340000000001</v>
      </c>
      <c r="BH37" s="351">
        <v>12.818809999999999</v>
      </c>
      <c r="BI37" s="351">
        <v>13.07624</v>
      </c>
      <c r="BJ37" s="351">
        <v>12.66483</v>
      </c>
      <c r="BK37" s="351">
        <v>12.66208</v>
      </c>
      <c r="BL37" s="351">
        <v>12.810890000000001</v>
      </c>
      <c r="BM37" s="351">
        <v>13.11731</v>
      </c>
      <c r="BN37" s="351">
        <v>13.478820000000001</v>
      </c>
      <c r="BO37" s="351">
        <v>13.245089999999999</v>
      </c>
      <c r="BP37" s="351">
        <v>13.36896</v>
      </c>
      <c r="BQ37" s="351">
        <v>13.391489999999999</v>
      </c>
      <c r="BR37" s="351">
        <v>13.492649999999999</v>
      </c>
      <c r="BS37" s="351">
        <v>13.61229</v>
      </c>
      <c r="BT37" s="351">
        <v>13.06284</v>
      </c>
      <c r="BU37" s="351">
        <v>13.409319999999999</v>
      </c>
      <c r="BV37" s="351">
        <v>12.98724</v>
      </c>
    </row>
    <row r="38" spans="1:74" ht="11.1" customHeight="1" x14ac:dyDescent="0.2">
      <c r="A38" s="56" t="s">
        <v>7</v>
      </c>
      <c r="B38" s="203" t="s">
        <v>398</v>
      </c>
      <c r="C38" s="213">
        <v>10.08</v>
      </c>
      <c r="D38" s="213">
        <v>10.25</v>
      </c>
      <c r="E38" s="213">
        <v>10.23</v>
      </c>
      <c r="F38" s="213">
        <v>10.19</v>
      </c>
      <c r="G38" s="213">
        <v>10.31</v>
      </c>
      <c r="H38" s="213">
        <v>10.66</v>
      </c>
      <c r="I38" s="213">
        <v>10.68</v>
      </c>
      <c r="J38" s="213">
        <v>10.76</v>
      </c>
      <c r="K38" s="213">
        <v>10.77</v>
      </c>
      <c r="L38" s="213">
        <v>10.55</v>
      </c>
      <c r="M38" s="213">
        <v>10.32</v>
      </c>
      <c r="N38" s="213">
        <v>10.17</v>
      </c>
      <c r="O38" s="213">
        <v>10.210000000000001</v>
      </c>
      <c r="P38" s="213">
        <v>10.48</v>
      </c>
      <c r="Q38" s="213">
        <v>10.46</v>
      </c>
      <c r="R38" s="213">
        <v>10.4</v>
      </c>
      <c r="S38" s="213">
        <v>10.59</v>
      </c>
      <c r="T38" s="213">
        <v>11.01</v>
      </c>
      <c r="U38" s="213">
        <v>10.97</v>
      </c>
      <c r="V38" s="213">
        <v>11.01</v>
      </c>
      <c r="W38" s="213">
        <v>11.03</v>
      </c>
      <c r="X38" s="213">
        <v>10.78</v>
      </c>
      <c r="Y38" s="213">
        <v>10.49</v>
      </c>
      <c r="Z38" s="213">
        <v>10.28</v>
      </c>
      <c r="AA38" s="213">
        <v>10.49</v>
      </c>
      <c r="AB38" s="213">
        <v>10.65</v>
      </c>
      <c r="AC38" s="213">
        <v>10.51</v>
      </c>
      <c r="AD38" s="213">
        <v>10.46</v>
      </c>
      <c r="AE38" s="213">
        <v>10.51</v>
      </c>
      <c r="AF38" s="213">
        <v>10.84</v>
      </c>
      <c r="AG38" s="213">
        <v>11</v>
      </c>
      <c r="AH38" s="213">
        <v>11.03</v>
      </c>
      <c r="AI38" s="213">
        <v>10.72</v>
      </c>
      <c r="AJ38" s="213">
        <v>10.77</v>
      </c>
      <c r="AK38" s="213">
        <v>10.54</v>
      </c>
      <c r="AL38" s="213">
        <v>10.33</v>
      </c>
      <c r="AM38" s="213">
        <v>10.3</v>
      </c>
      <c r="AN38" s="213">
        <v>10.54</v>
      </c>
      <c r="AO38" s="213">
        <v>10.45</v>
      </c>
      <c r="AP38" s="213">
        <v>10.51</v>
      </c>
      <c r="AQ38" s="213">
        <v>10.51</v>
      </c>
      <c r="AR38" s="213">
        <v>10.88</v>
      </c>
      <c r="AS38" s="213">
        <v>11.01</v>
      </c>
      <c r="AT38" s="213">
        <v>11.01</v>
      </c>
      <c r="AU38" s="213">
        <v>10.97</v>
      </c>
      <c r="AV38" s="213">
        <v>10.74</v>
      </c>
      <c r="AW38" s="213">
        <v>10.52</v>
      </c>
      <c r="AX38" s="213">
        <v>10.31</v>
      </c>
      <c r="AY38" s="213">
        <v>10.28</v>
      </c>
      <c r="AZ38" s="213">
        <v>10.36</v>
      </c>
      <c r="BA38" s="213">
        <v>10.41</v>
      </c>
      <c r="BB38" s="213">
        <v>10.42</v>
      </c>
      <c r="BC38" s="213">
        <v>10.44</v>
      </c>
      <c r="BD38" s="213">
        <v>10.96</v>
      </c>
      <c r="BE38" s="213">
        <v>10.803050000000001</v>
      </c>
      <c r="BF38" s="213">
        <v>10.761380000000001</v>
      </c>
      <c r="BG38" s="351">
        <v>10.80964</v>
      </c>
      <c r="BH38" s="351">
        <v>10.5908</v>
      </c>
      <c r="BI38" s="351">
        <v>10.38025</v>
      </c>
      <c r="BJ38" s="351">
        <v>10.178879999999999</v>
      </c>
      <c r="BK38" s="351">
        <v>10.1845</v>
      </c>
      <c r="BL38" s="351">
        <v>10.3124</v>
      </c>
      <c r="BM38" s="351">
        <v>10.415760000000001</v>
      </c>
      <c r="BN38" s="351">
        <v>10.5344</v>
      </c>
      <c r="BO38" s="351">
        <v>10.574249999999999</v>
      </c>
      <c r="BP38" s="351">
        <v>11.13115</v>
      </c>
      <c r="BQ38" s="351">
        <v>11.02619</v>
      </c>
      <c r="BR38" s="351">
        <v>10.99741</v>
      </c>
      <c r="BS38" s="351">
        <v>11.037750000000001</v>
      </c>
      <c r="BT38" s="351">
        <v>10.802149999999999</v>
      </c>
      <c r="BU38" s="351">
        <v>10.571210000000001</v>
      </c>
      <c r="BV38" s="351">
        <v>10.33799</v>
      </c>
    </row>
    <row r="39" spans="1:74" ht="11.1" customHeight="1" x14ac:dyDescent="0.2">
      <c r="A39" s="56" t="s">
        <v>6</v>
      </c>
      <c r="B39" s="203" t="s">
        <v>397</v>
      </c>
      <c r="C39" s="213">
        <v>6.44</v>
      </c>
      <c r="D39" s="213">
        <v>6.42</v>
      </c>
      <c r="E39" s="213">
        <v>6.46</v>
      </c>
      <c r="F39" s="213">
        <v>6.44</v>
      </c>
      <c r="G39" s="213">
        <v>6.57</v>
      </c>
      <c r="H39" s="213">
        <v>7.03</v>
      </c>
      <c r="I39" s="213">
        <v>7.23</v>
      </c>
      <c r="J39" s="213">
        <v>7.23</v>
      </c>
      <c r="K39" s="213">
        <v>7.14</v>
      </c>
      <c r="L39" s="213">
        <v>6.73</v>
      </c>
      <c r="M39" s="213">
        <v>6.66</v>
      </c>
      <c r="N39" s="213">
        <v>6.67</v>
      </c>
      <c r="O39" s="213">
        <v>6.59</v>
      </c>
      <c r="P39" s="213">
        <v>6.63</v>
      </c>
      <c r="Q39" s="213">
        <v>6.71</v>
      </c>
      <c r="R39" s="213">
        <v>6.6</v>
      </c>
      <c r="S39" s="213">
        <v>6.78</v>
      </c>
      <c r="T39" s="213">
        <v>7.19</v>
      </c>
      <c r="U39" s="213">
        <v>7.31</v>
      </c>
      <c r="V39" s="213">
        <v>7.22</v>
      </c>
      <c r="W39" s="213">
        <v>7.17</v>
      </c>
      <c r="X39" s="213">
        <v>6.91</v>
      </c>
      <c r="Y39" s="213">
        <v>6.73</v>
      </c>
      <c r="Z39" s="213">
        <v>6.54</v>
      </c>
      <c r="AA39" s="213">
        <v>6.94</v>
      </c>
      <c r="AB39" s="213">
        <v>6.78</v>
      </c>
      <c r="AC39" s="213">
        <v>6.63</v>
      </c>
      <c r="AD39" s="213">
        <v>6.57</v>
      </c>
      <c r="AE39" s="213">
        <v>6.79</v>
      </c>
      <c r="AF39" s="213">
        <v>7.17</v>
      </c>
      <c r="AG39" s="213">
        <v>7.32</v>
      </c>
      <c r="AH39" s="213">
        <v>7.25</v>
      </c>
      <c r="AI39" s="213">
        <v>7.05</v>
      </c>
      <c r="AJ39" s="213">
        <v>6.87</v>
      </c>
      <c r="AK39" s="213">
        <v>6.85</v>
      </c>
      <c r="AL39" s="213">
        <v>6.67</v>
      </c>
      <c r="AM39" s="213">
        <v>6.58</v>
      </c>
      <c r="AN39" s="213">
        <v>6.69</v>
      </c>
      <c r="AO39" s="213">
        <v>6.72</v>
      </c>
      <c r="AP39" s="213">
        <v>6.52</v>
      </c>
      <c r="AQ39" s="213">
        <v>6.7</v>
      </c>
      <c r="AR39" s="213">
        <v>6.91</v>
      </c>
      <c r="AS39" s="213">
        <v>7.19</v>
      </c>
      <c r="AT39" s="213">
        <v>7.45</v>
      </c>
      <c r="AU39" s="213">
        <v>7.1</v>
      </c>
      <c r="AV39" s="213">
        <v>6.86</v>
      </c>
      <c r="AW39" s="213">
        <v>6.73</v>
      </c>
      <c r="AX39" s="213">
        <v>6.37</v>
      </c>
      <c r="AY39" s="213">
        <v>6.33</v>
      </c>
      <c r="AZ39" s="213">
        <v>6.42</v>
      </c>
      <c r="BA39" s="213">
        <v>6.4</v>
      </c>
      <c r="BB39" s="213">
        <v>6.41</v>
      </c>
      <c r="BC39" s="213">
        <v>6.48</v>
      </c>
      <c r="BD39" s="213">
        <v>6.95</v>
      </c>
      <c r="BE39" s="213">
        <v>7.2121120000000003</v>
      </c>
      <c r="BF39" s="213">
        <v>7.482901</v>
      </c>
      <c r="BG39" s="351">
        <v>7.0373830000000002</v>
      </c>
      <c r="BH39" s="351">
        <v>6.884271</v>
      </c>
      <c r="BI39" s="351">
        <v>6.7493020000000001</v>
      </c>
      <c r="BJ39" s="351">
        <v>6.4317840000000004</v>
      </c>
      <c r="BK39" s="351">
        <v>6.4288970000000001</v>
      </c>
      <c r="BL39" s="351">
        <v>6.5308799999999998</v>
      </c>
      <c r="BM39" s="351">
        <v>6.5051310000000004</v>
      </c>
      <c r="BN39" s="351">
        <v>6.5065119999999999</v>
      </c>
      <c r="BO39" s="351">
        <v>6.6021599999999996</v>
      </c>
      <c r="BP39" s="351">
        <v>7.078125</v>
      </c>
      <c r="BQ39" s="351">
        <v>7.2805689999999998</v>
      </c>
      <c r="BR39" s="351">
        <v>7.4260710000000003</v>
      </c>
      <c r="BS39" s="351">
        <v>7.0710470000000001</v>
      </c>
      <c r="BT39" s="351">
        <v>6.9030149999999999</v>
      </c>
      <c r="BU39" s="351">
        <v>6.744802</v>
      </c>
      <c r="BV39" s="351">
        <v>6.4430800000000001</v>
      </c>
    </row>
    <row r="40" spans="1:74" ht="11.1" customHeight="1" x14ac:dyDescent="0.2">
      <c r="A40" s="56"/>
      <c r="B40" s="754" t="s">
        <v>1175</v>
      </c>
      <c r="C40" s="213"/>
      <c r="D40" s="213"/>
      <c r="E40" s="213"/>
      <c r="F40" s="213"/>
      <c r="G40" s="213"/>
      <c r="H40" s="213"/>
      <c r="I40" s="213"/>
      <c r="J40" s="213"/>
      <c r="K40" s="213"/>
      <c r="L40" s="213"/>
      <c r="M40" s="213"/>
      <c r="N40" s="213"/>
      <c r="O40" s="213"/>
      <c r="P40" s="213"/>
      <c r="Q40" s="213"/>
      <c r="R40" s="213"/>
      <c r="S40" s="213"/>
      <c r="T40" s="213"/>
      <c r="U40" s="213"/>
      <c r="V40" s="213"/>
      <c r="W40" s="213"/>
      <c r="X40" s="213"/>
      <c r="Y40" s="213"/>
      <c r="Z40" s="213"/>
      <c r="AA40" s="213"/>
      <c r="AB40" s="213"/>
      <c r="AC40" s="213"/>
      <c r="AD40" s="213"/>
      <c r="AE40" s="213"/>
      <c r="AF40" s="213"/>
      <c r="AG40" s="213"/>
      <c r="AH40" s="213"/>
      <c r="AI40" s="213"/>
      <c r="AJ40" s="213"/>
      <c r="AK40" s="213"/>
      <c r="AL40" s="213"/>
      <c r="AM40" s="213"/>
      <c r="AN40" s="213"/>
      <c r="AO40" s="213"/>
      <c r="AP40" s="213"/>
      <c r="AQ40" s="213"/>
      <c r="AR40" s="213"/>
      <c r="AS40" s="213"/>
      <c r="AT40" s="213"/>
      <c r="AU40" s="213"/>
      <c r="AV40" s="213"/>
      <c r="AW40" s="213"/>
      <c r="AX40" s="213"/>
      <c r="AY40" s="213"/>
      <c r="AZ40" s="213"/>
      <c r="BA40" s="213"/>
      <c r="BB40" s="213"/>
      <c r="BC40" s="213"/>
      <c r="BD40" s="213"/>
      <c r="BE40" s="213"/>
      <c r="BF40" s="213"/>
      <c r="BG40" s="351"/>
      <c r="BH40" s="351"/>
      <c r="BI40" s="351"/>
      <c r="BJ40" s="351"/>
      <c r="BK40" s="351"/>
      <c r="BL40" s="351"/>
      <c r="BM40" s="351"/>
      <c r="BN40" s="351"/>
      <c r="BO40" s="351"/>
      <c r="BP40" s="351"/>
      <c r="BQ40" s="351"/>
      <c r="BR40" s="351"/>
      <c r="BS40" s="351"/>
      <c r="BT40" s="351"/>
      <c r="BU40" s="351"/>
      <c r="BV40" s="351"/>
    </row>
    <row r="41" spans="1:74" ht="11.1" customHeight="1" x14ac:dyDescent="0.2">
      <c r="A41" s="56" t="s">
        <v>1176</v>
      </c>
      <c r="B41" s="567" t="s">
        <v>1187</v>
      </c>
      <c r="C41" s="259">
        <v>21.379375</v>
      </c>
      <c r="D41" s="259">
        <v>17.977708332999999</v>
      </c>
      <c r="E41" s="259">
        <v>19.640407609</v>
      </c>
      <c r="F41" s="259">
        <v>23.423541666999999</v>
      </c>
      <c r="G41" s="259">
        <v>21.700654761999999</v>
      </c>
      <c r="H41" s="259">
        <v>27.514090909</v>
      </c>
      <c r="I41" s="259">
        <v>31.366656249999998</v>
      </c>
      <c r="J41" s="259">
        <v>36.464429348000003</v>
      </c>
      <c r="K41" s="259">
        <v>31.285863095</v>
      </c>
      <c r="L41" s="259">
        <v>29.247738094999999</v>
      </c>
      <c r="M41" s="259">
        <v>21.860714286</v>
      </c>
      <c r="N41" s="259">
        <v>29.634583332999998</v>
      </c>
      <c r="O41" s="259">
        <v>24.844914772999999</v>
      </c>
      <c r="P41" s="259">
        <v>21.93884375</v>
      </c>
      <c r="Q41" s="259">
        <v>23.807527174000001</v>
      </c>
      <c r="R41" s="259">
        <v>24.520062500000002</v>
      </c>
      <c r="S41" s="259">
        <v>26.122215909000001</v>
      </c>
      <c r="T41" s="259">
        <v>29.632073863999999</v>
      </c>
      <c r="U41" s="259">
        <v>36.524843750000002</v>
      </c>
      <c r="V41" s="259">
        <v>31.051521738999998</v>
      </c>
      <c r="W41" s="259">
        <v>26.055406250000001</v>
      </c>
      <c r="X41" s="259">
        <v>23.987102273000001</v>
      </c>
      <c r="Y41" s="259">
        <v>25.441160713999999</v>
      </c>
      <c r="Z41" s="259">
        <v>23.415500000000002</v>
      </c>
      <c r="AA41" s="259">
        <v>49.059857954999998</v>
      </c>
      <c r="AB41" s="259">
        <v>24.707875000000001</v>
      </c>
      <c r="AC41" s="259">
        <v>26.023892045</v>
      </c>
      <c r="AD41" s="259">
        <v>26.954970238000001</v>
      </c>
      <c r="AE41" s="259">
        <v>47.089687499999997</v>
      </c>
      <c r="AF41" s="259">
        <v>36.993988094999999</v>
      </c>
      <c r="AG41" s="259">
        <v>112.15372024</v>
      </c>
      <c r="AH41" s="259">
        <v>38.983940216999997</v>
      </c>
      <c r="AI41" s="259">
        <v>31.974046052999999</v>
      </c>
      <c r="AJ41" s="259">
        <v>33.686331522000003</v>
      </c>
      <c r="AK41" s="259">
        <v>36.620267857000002</v>
      </c>
      <c r="AL41" s="259">
        <v>32.864281249999998</v>
      </c>
      <c r="AM41" s="259">
        <v>26.792130682</v>
      </c>
      <c r="AN41" s="259">
        <v>23.64725</v>
      </c>
      <c r="AO41" s="259">
        <v>34.789345238000003</v>
      </c>
      <c r="AP41" s="259">
        <v>28.277045455</v>
      </c>
      <c r="AQ41" s="259">
        <v>27.556107955000002</v>
      </c>
      <c r="AR41" s="259">
        <v>29.188500000000001</v>
      </c>
      <c r="AS41" s="259">
        <v>38.172613636000001</v>
      </c>
      <c r="AT41" s="259">
        <v>230.71971590999999</v>
      </c>
      <c r="AU41" s="259">
        <v>150.53678124999999</v>
      </c>
      <c r="AV41" s="259">
        <v>35.184592391000002</v>
      </c>
      <c r="AW41" s="259">
        <v>28.548124999999999</v>
      </c>
      <c r="AX41" s="259">
        <v>21.474821428999999</v>
      </c>
      <c r="AY41" s="259">
        <v>19.109886364000001</v>
      </c>
      <c r="AZ41" s="259">
        <v>21.413187499999999</v>
      </c>
      <c r="BA41" s="259">
        <v>29.710823864000002</v>
      </c>
      <c r="BB41" s="259">
        <v>26.042613635999999</v>
      </c>
      <c r="BC41" s="259">
        <v>22.068312500000001</v>
      </c>
      <c r="BD41" s="259">
        <v>23.898380681999999</v>
      </c>
      <c r="BE41" s="259">
        <v>27.313152173999999</v>
      </c>
      <c r="BF41" s="259">
        <v>53.057619047999999</v>
      </c>
      <c r="BG41" s="378">
        <v>27.82404</v>
      </c>
      <c r="BH41" s="378">
        <v>28.034829999999999</v>
      </c>
      <c r="BI41" s="378">
        <v>31.216010000000001</v>
      </c>
      <c r="BJ41" s="378">
        <v>29.551279999999998</v>
      </c>
      <c r="BK41" s="378">
        <v>31.50883</v>
      </c>
      <c r="BL41" s="378">
        <v>28.416060000000002</v>
      </c>
      <c r="BM41" s="378">
        <v>27.21762</v>
      </c>
      <c r="BN41" s="378">
        <v>27.433949999999999</v>
      </c>
      <c r="BO41" s="378">
        <v>30.469619999999999</v>
      </c>
      <c r="BP41" s="378">
        <v>32.341659999999997</v>
      </c>
      <c r="BQ41" s="378">
        <v>33.382359999999998</v>
      </c>
      <c r="BR41" s="378">
        <v>34.894080000000002</v>
      </c>
      <c r="BS41" s="378">
        <v>32.574680000000001</v>
      </c>
      <c r="BT41" s="378">
        <v>29.963059999999999</v>
      </c>
      <c r="BU41" s="378">
        <v>29.53923</v>
      </c>
      <c r="BV41" s="378">
        <v>30.101980000000001</v>
      </c>
    </row>
    <row r="42" spans="1:74" ht="11.1" customHeight="1" x14ac:dyDescent="0.2">
      <c r="A42" s="56" t="s">
        <v>1177</v>
      </c>
      <c r="B42" s="567" t="s">
        <v>1188</v>
      </c>
      <c r="C42" s="259">
        <v>30.137355775</v>
      </c>
      <c r="D42" s="259">
        <v>24.469601399999998</v>
      </c>
      <c r="E42" s="259">
        <v>19.606868241000001</v>
      </c>
      <c r="F42" s="259">
        <v>18.924073173</v>
      </c>
      <c r="G42" s="259">
        <v>23.0655584</v>
      </c>
      <c r="H42" s="259">
        <v>33.413180648999997</v>
      </c>
      <c r="I42" s="259">
        <v>39.026688825000001</v>
      </c>
      <c r="J42" s="259">
        <v>38.574794259000001</v>
      </c>
      <c r="K42" s="259">
        <v>35.548484625</v>
      </c>
      <c r="L42" s="259">
        <v>35.445508797999999</v>
      </c>
      <c r="M42" s="259">
        <v>30.666991199999998</v>
      </c>
      <c r="N42" s="259">
        <v>36.397802235999997</v>
      </c>
      <c r="O42" s="259">
        <v>36.269641851000003</v>
      </c>
      <c r="P42" s="259">
        <v>28.521619583</v>
      </c>
      <c r="Q42" s="259">
        <v>23.966937823999999</v>
      </c>
      <c r="R42" s="259">
        <v>26.710481274999999</v>
      </c>
      <c r="S42" s="259">
        <v>32.078168101000003</v>
      </c>
      <c r="T42" s="259">
        <v>38.141154207</v>
      </c>
      <c r="U42" s="259">
        <v>41.486057625000001</v>
      </c>
      <c r="V42" s="259">
        <v>54.957107477000001</v>
      </c>
      <c r="W42" s="259">
        <v>43.1825914</v>
      </c>
      <c r="X42" s="259">
        <v>47.860684519000003</v>
      </c>
      <c r="Y42" s="259">
        <v>44.822954475000003</v>
      </c>
      <c r="Z42" s="259">
        <v>44.207965774999998</v>
      </c>
      <c r="AA42" s="259">
        <v>37.085246466000001</v>
      </c>
      <c r="AB42" s="259">
        <v>36.842470910999999</v>
      </c>
      <c r="AC42" s="259">
        <v>32.387819583000002</v>
      </c>
      <c r="AD42" s="259">
        <v>27.694415475</v>
      </c>
      <c r="AE42" s="259">
        <v>24.118882909</v>
      </c>
      <c r="AF42" s="259">
        <v>31.446635576999999</v>
      </c>
      <c r="AG42" s="259">
        <v>101.0353087</v>
      </c>
      <c r="AH42" s="259">
        <v>85.215712361000001</v>
      </c>
      <c r="AI42" s="259">
        <v>38.320563073000002</v>
      </c>
      <c r="AJ42" s="259">
        <v>41.093450949000001</v>
      </c>
      <c r="AK42" s="259">
        <v>55.504792649999999</v>
      </c>
      <c r="AL42" s="259">
        <v>57.260470699999999</v>
      </c>
      <c r="AM42" s="259">
        <v>42.563868677999999</v>
      </c>
      <c r="AN42" s="259">
        <v>72.725849999999994</v>
      </c>
      <c r="AO42" s="259">
        <v>35.975619856000002</v>
      </c>
      <c r="AP42" s="259">
        <v>24.829938340999998</v>
      </c>
      <c r="AQ42" s="259">
        <v>20.247661803</v>
      </c>
      <c r="AR42" s="259">
        <v>24.811784775</v>
      </c>
      <c r="AS42" s="259">
        <v>35.23677988</v>
      </c>
      <c r="AT42" s="259">
        <v>36.391629236</v>
      </c>
      <c r="AU42" s="259">
        <v>40.345273306999999</v>
      </c>
      <c r="AV42" s="259">
        <v>36.414090045999998</v>
      </c>
      <c r="AW42" s="259">
        <v>45.174564400000001</v>
      </c>
      <c r="AX42" s="259">
        <v>43.133999950000003</v>
      </c>
      <c r="AY42" s="259">
        <v>33.598353606000003</v>
      </c>
      <c r="AZ42" s="259">
        <v>26.848522774999999</v>
      </c>
      <c r="BA42" s="259">
        <v>25.487610624999999</v>
      </c>
      <c r="BB42" s="259">
        <v>17.106287981000001</v>
      </c>
      <c r="BC42" s="259">
        <v>16.811286450000001</v>
      </c>
      <c r="BD42" s="259">
        <v>23.720671682999999</v>
      </c>
      <c r="BE42" s="259">
        <v>31.633505336999999</v>
      </c>
      <c r="BF42" s="259">
        <v>108.05121209000001</v>
      </c>
      <c r="BG42" s="378">
        <v>32.507219999999997</v>
      </c>
      <c r="BH42" s="378">
        <v>35.774389999999997</v>
      </c>
      <c r="BI42" s="378">
        <v>39.857140000000001</v>
      </c>
      <c r="BJ42" s="378">
        <v>41.703229999999998</v>
      </c>
      <c r="BK42" s="378">
        <v>38.245440000000002</v>
      </c>
      <c r="BL42" s="378">
        <v>36.39752</v>
      </c>
      <c r="BM42" s="378">
        <v>33.846040000000002</v>
      </c>
      <c r="BN42" s="378">
        <v>35.807119999999998</v>
      </c>
      <c r="BO42" s="378">
        <v>34.29318</v>
      </c>
      <c r="BP42" s="378">
        <v>34.392989999999998</v>
      </c>
      <c r="BQ42" s="378">
        <v>35.488660000000003</v>
      </c>
      <c r="BR42" s="378">
        <v>36.745260000000002</v>
      </c>
      <c r="BS42" s="378">
        <v>35.19415</v>
      </c>
      <c r="BT42" s="378">
        <v>36.084180000000003</v>
      </c>
      <c r="BU42" s="378">
        <v>37.422629999999998</v>
      </c>
      <c r="BV42" s="378">
        <v>41.329700000000003</v>
      </c>
    </row>
    <row r="43" spans="1:74" ht="11.1" customHeight="1" x14ac:dyDescent="0.2">
      <c r="A43" s="56" t="s">
        <v>1178</v>
      </c>
      <c r="B43" s="567" t="s">
        <v>1189</v>
      </c>
      <c r="C43" s="259">
        <v>45.415500000000002</v>
      </c>
      <c r="D43" s="259">
        <v>33.036577381000001</v>
      </c>
      <c r="E43" s="259">
        <v>23.102146738999998</v>
      </c>
      <c r="F43" s="259">
        <v>32.734821429</v>
      </c>
      <c r="G43" s="259">
        <v>24.888333332999999</v>
      </c>
      <c r="H43" s="259">
        <v>26.891363636000001</v>
      </c>
      <c r="I43" s="259">
        <v>42.610937499999999</v>
      </c>
      <c r="J43" s="259">
        <v>43.878260869999998</v>
      </c>
      <c r="K43" s="259">
        <v>37.435892856999999</v>
      </c>
      <c r="L43" s="259">
        <v>27.247708332999999</v>
      </c>
      <c r="M43" s="259">
        <v>28.473363095</v>
      </c>
      <c r="N43" s="259">
        <v>60.510773810000003</v>
      </c>
      <c r="O43" s="259">
        <v>42.890170455000003</v>
      </c>
      <c r="P43" s="259">
        <v>32.918437500000003</v>
      </c>
      <c r="Q43" s="259">
        <v>37.809184782999999</v>
      </c>
      <c r="R43" s="259">
        <v>33.054250000000003</v>
      </c>
      <c r="S43" s="259">
        <v>33.286193181999998</v>
      </c>
      <c r="T43" s="259">
        <v>30.229687500000001</v>
      </c>
      <c r="U43" s="259">
        <v>34.638406250000003</v>
      </c>
      <c r="V43" s="259">
        <v>30.159782609000001</v>
      </c>
      <c r="W43" s="259">
        <v>31.03228125</v>
      </c>
      <c r="X43" s="259">
        <v>35.315369318000002</v>
      </c>
      <c r="Y43" s="259">
        <v>37.946309524</v>
      </c>
      <c r="Z43" s="259">
        <v>74.972875000000002</v>
      </c>
      <c r="AA43" s="259">
        <v>115.63914773</v>
      </c>
      <c r="AB43" s="259">
        <v>42.974031250000003</v>
      </c>
      <c r="AC43" s="259">
        <v>38.979062499999998</v>
      </c>
      <c r="AD43" s="259">
        <v>50.647321429000002</v>
      </c>
      <c r="AE43" s="259">
        <v>27.697784090999999</v>
      </c>
      <c r="AF43" s="259">
        <v>30.498184523999999</v>
      </c>
      <c r="AG43" s="259">
        <v>40.011875000000003</v>
      </c>
      <c r="AH43" s="259">
        <v>49.629538042999997</v>
      </c>
      <c r="AI43" s="259">
        <v>40.934342104999999</v>
      </c>
      <c r="AJ43" s="259">
        <v>43.018179347999997</v>
      </c>
      <c r="AK43" s="259">
        <v>63.505416666999999</v>
      </c>
      <c r="AL43" s="259">
        <v>56.02225</v>
      </c>
      <c r="AM43" s="259">
        <v>63.145909091</v>
      </c>
      <c r="AN43" s="259">
        <v>38.393406249999998</v>
      </c>
      <c r="AO43" s="259">
        <v>40.665178570999998</v>
      </c>
      <c r="AP43" s="259">
        <v>29.498750000000001</v>
      </c>
      <c r="AQ43" s="259">
        <v>26.757187500000001</v>
      </c>
      <c r="AR43" s="259">
        <v>25.189843750000001</v>
      </c>
      <c r="AS43" s="259">
        <v>33.969005682000002</v>
      </c>
      <c r="AT43" s="259">
        <v>30.534460227</v>
      </c>
      <c r="AU43" s="259">
        <v>24.044343749999999</v>
      </c>
      <c r="AV43" s="259">
        <v>23.620788043000001</v>
      </c>
      <c r="AW43" s="259">
        <v>36.634656249999999</v>
      </c>
      <c r="AX43" s="259">
        <v>46.180535714000001</v>
      </c>
      <c r="AY43" s="259">
        <v>29.598238636000001</v>
      </c>
      <c r="AZ43" s="259">
        <v>25.054625000000001</v>
      </c>
      <c r="BA43" s="259">
        <v>19.167073863999999</v>
      </c>
      <c r="BB43" s="259">
        <v>20.129573864000001</v>
      </c>
      <c r="BC43" s="259">
        <v>18.226781249999998</v>
      </c>
      <c r="BD43" s="259">
        <v>22.403835226999998</v>
      </c>
      <c r="BE43" s="259">
        <v>27.871304347999999</v>
      </c>
      <c r="BF43" s="259">
        <v>28.923898810000001</v>
      </c>
      <c r="BG43" s="378">
        <v>24.167069999999999</v>
      </c>
      <c r="BH43" s="378">
        <v>26.765360000000001</v>
      </c>
      <c r="BI43" s="378">
        <v>27.40035</v>
      </c>
      <c r="BJ43" s="378">
        <v>46.218290000000003</v>
      </c>
      <c r="BK43" s="378">
        <v>52.034120000000001</v>
      </c>
      <c r="BL43" s="378">
        <v>45.481670000000001</v>
      </c>
      <c r="BM43" s="378">
        <v>40.037860000000002</v>
      </c>
      <c r="BN43" s="378">
        <v>26.354700000000001</v>
      </c>
      <c r="BO43" s="378">
        <v>29.26557</v>
      </c>
      <c r="BP43" s="378">
        <v>28.471229999999998</v>
      </c>
      <c r="BQ43" s="378">
        <v>27.164429999999999</v>
      </c>
      <c r="BR43" s="378">
        <v>29.747</v>
      </c>
      <c r="BS43" s="378">
        <v>27.94304</v>
      </c>
      <c r="BT43" s="378">
        <v>29.394069999999999</v>
      </c>
      <c r="BU43" s="378">
        <v>27.237010000000001</v>
      </c>
      <c r="BV43" s="378">
        <v>45.563249999999996</v>
      </c>
    </row>
    <row r="44" spans="1:74" ht="11.1" customHeight="1" x14ac:dyDescent="0.2">
      <c r="A44" s="56" t="s">
        <v>1179</v>
      </c>
      <c r="B44" s="567" t="s">
        <v>1190</v>
      </c>
      <c r="C44" s="259">
        <v>43.062750000000001</v>
      </c>
      <c r="D44" s="259">
        <v>31.249285713999999</v>
      </c>
      <c r="E44" s="259">
        <v>23.444293477999999</v>
      </c>
      <c r="F44" s="259">
        <v>31.470744048</v>
      </c>
      <c r="G44" s="259">
        <v>25.861160714</v>
      </c>
      <c r="H44" s="259">
        <v>28.896278409000001</v>
      </c>
      <c r="I44" s="259">
        <v>44.287999999999997</v>
      </c>
      <c r="J44" s="259">
        <v>40.624483695999999</v>
      </c>
      <c r="K44" s="259">
        <v>32.407797619</v>
      </c>
      <c r="L44" s="259">
        <v>25.783303571000001</v>
      </c>
      <c r="M44" s="259">
        <v>29.540089286000001</v>
      </c>
      <c r="N44" s="259">
        <v>51.874940475999999</v>
      </c>
      <c r="O44" s="259">
        <v>42.986221591000003</v>
      </c>
      <c r="P44" s="259">
        <v>34.031593749999999</v>
      </c>
      <c r="Q44" s="259">
        <v>39.069157609000001</v>
      </c>
      <c r="R44" s="259">
        <v>35.698093749999998</v>
      </c>
      <c r="S44" s="259">
        <v>33.440426135999999</v>
      </c>
      <c r="T44" s="259">
        <v>34.124403409000003</v>
      </c>
      <c r="U44" s="259">
        <v>36.547593749999997</v>
      </c>
      <c r="V44" s="259">
        <v>32.427173912999997</v>
      </c>
      <c r="W44" s="259">
        <v>31.782624999999999</v>
      </c>
      <c r="X44" s="259">
        <v>29.924034090999999</v>
      </c>
      <c r="Y44" s="259">
        <v>33.936309524000002</v>
      </c>
      <c r="Z44" s="259">
        <v>52.746218749999997</v>
      </c>
      <c r="AA44" s="259">
        <v>92.125426136000002</v>
      </c>
      <c r="AB44" s="259">
        <v>32.459781249999999</v>
      </c>
      <c r="AC44" s="259">
        <v>29.977471591</v>
      </c>
      <c r="AD44" s="259">
        <v>38.154047619000004</v>
      </c>
      <c r="AE44" s="259">
        <v>31.689403409000001</v>
      </c>
      <c r="AF44" s="259">
        <v>32.883839285999997</v>
      </c>
      <c r="AG44" s="259">
        <v>41.755000000000003</v>
      </c>
      <c r="AH44" s="259">
        <v>43.828206522000002</v>
      </c>
      <c r="AI44" s="259">
        <v>40.005263157999998</v>
      </c>
      <c r="AJ44" s="259">
        <v>39.091005435</v>
      </c>
      <c r="AK44" s="259">
        <v>43.328333333000003</v>
      </c>
      <c r="AL44" s="259">
        <v>43.42728125</v>
      </c>
      <c r="AM44" s="259">
        <v>53.682528409</v>
      </c>
      <c r="AN44" s="259">
        <v>34.270906250000003</v>
      </c>
      <c r="AO44" s="259">
        <v>37.354077381000003</v>
      </c>
      <c r="AP44" s="259">
        <v>29.756704545000002</v>
      </c>
      <c r="AQ44" s="259">
        <v>23.157329545</v>
      </c>
      <c r="AR44" s="259">
        <v>24.11209375</v>
      </c>
      <c r="AS44" s="259">
        <v>31.286789772999999</v>
      </c>
      <c r="AT44" s="259">
        <v>29.070909091000001</v>
      </c>
      <c r="AU44" s="259">
        <v>22.916125000000001</v>
      </c>
      <c r="AV44" s="259">
        <v>21.676440217</v>
      </c>
      <c r="AW44" s="259">
        <v>29.001437500000002</v>
      </c>
      <c r="AX44" s="259">
        <v>30.447976189999999</v>
      </c>
      <c r="AY44" s="259">
        <v>26.000823864000001</v>
      </c>
      <c r="AZ44" s="259">
        <v>21.2898125</v>
      </c>
      <c r="BA44" s="259">
        <v>18.174204544999998</v>
      </c>
      <c r="BB44" s="259">
        <v>16.589943181999999</v>
      </c>
      <c r="BC44" s="259">
        <v>16.49428125</v>
      </c>
      <c r="BD44" s="259">
        <v>21.297130681999999</v>
      </c>
      <c r="BE44" s="259">
        <v>26.884891304</v>
      </c>
      <c r="BF44" s="259">
        <v>25.236547619</v>
      </c>
      <c r="BG44" s="378">
        <v>23.23338</v>
      </c>
      <c r="BH44" s="378">
        <v>23.224060000000001</v>
      </c>
      <c r="BI44" s="378">
        <v>24.784590000000001</v>
      </c>
      <c r="BJ44" s="378">
        <v>26.323640000000001</v>
      </c>
      <c r="BK44" s="378">
        <v>28.350470000000001</v>
      </c>
      <c r="BL44" s="378">
        <v>26.971219999999999</v>
      </c>
      <c r="BM44" s="378">
        <v>26.119990000000001</v>
      </c>
      <c r="BN44" s="378">
        <v>24.450530000000001</v>
      </c>
      <c r="BO44" s="378">
        <v>26.177990000000001</v>
      </c>
      <c r="BP44" s="378">
        <v>26.182099999999998</v>
      </c>
      <c r="BQ44" s="378">
        <v>26.209440000000001</v>
      </c>
      <c r="BR44" s="378">
        <v>28.357130000000002</v>
      </c>
      <c r="BS44" s="378">
        <v>26.348109999999998</v>
      </c>
      <c r="BT44" s="378">
        <v>26.41084</v>
      </c>
      <c r="BU44" s="378">
        <v>25.7117</v>
      </c>
      <c r="BV44" s="378">
        <v>29.100930000000002</v>
      </c>
    </row>
    <row r="45" spans="1:74" ht="11.1" customHeight="1" x14ac:dyDescent="0.2">
      <c r="A45" s="56" t="s">
        <v>1180</v>
      </c>
      <c r="B45" s="567" t="s">
        <v>1191</v>
      </c>
      <c r="C45" s="259">
        <v>35.594270938000001</v>
      </c>
      <c r="D45" s="259">
        <v>30.548824256</v>
      </c>
      <c r="E45" s="259">
        <v>28.340957635999999</v>
      </c>
      <c r="F45" s="259">
        <v>34.332097320999999</v>
      </c>
      <c r="G45" s="259">
        <v>30.036680119</v>
      </c>
      <c r="H45" s="259">
        <v>31.831184034</v>
      </c>
      <c r="I45" s="259">
        <v>43.165364281000002</v>
      </c>
      <c r="J45" s="259">
        <v>40.041507011</v>
      </c>
      <c r="K45" s="259">
        <v>39.023187618999998</v>
      </c>
      <c r="L45" s="259">
        <v>35.841072292</v>
      </c>
      <c r="M45" s="259">
        <v>29.988161606999999</v>
      </c>
      <c r="N45" s="259">
        <v>37.093420803999997</v>
      </c>
      <c r="O45" s="259">
        <v>33.652942330000002</v>
      </c>
      <c r="P45" s="259">
        <v>29.039217280999999</v>
      </c>
      <c r="Q45" s="259">
        <v>34.674774321000001</v>
      </c>
      <c r="R45" s="259">
        <v>34.398394125000003</v>
      </c>
      <c r="S45" s="259">
        <v>35.360233067999999</v>
      </c>
      <c r="T45" s="259">
        <v>29.95249858</v>
      </c>
      <c r="U45" s="259">
        <v>35.616748063000003</v>
      </c>
      <c r="V45" s="259">
        <v>32.154279619999997</v>
      </c>
      <c r="W45" s="259">
        <v>37.517318875000001</v>
      </c>
      <c r="X45" s="259">
        <v>33.598029034</v>
      </c>
      <c r="Y45" s="259">
        <v>35.000318958000001</v>
      </c>
      <c r="Z45" s="259">
        <v>41.365689688000003</v>
      </c>
      <c r="AA45" s="259">
        <v>73.369733152999999</v>
      </c>
      <c r="AB45" s="259">
        <v>31.167148906000001</v>
      </c>
      <c r="AC45" s="259">
        <v>37.765500568</v>
      </c>
      <c r="AD45" s="259">
        <v>39.310800475999997</v>
      </c>
      <c r="AE45" s="259">
        <v>44.487758239000001</v>
      </c>
      <c r="AF45" s="259">
        <v>35.396447500000001</v>
      </c>
      <c r="AG45" s="259">
        <v>40.104854582999998</v>
      </c>
      <c r="AH45" s="259">
        <v>38.726088505</v>
      </c>
      <c r="AI45" s="259">
        <v>41.351170920999998</v>
      </c>
      <c r="AJ45" s="259">
        <v>38.334911890999997</v>
      </c>
      <c r="AK45" s="259">
        <v>42.0370025</v>
      </c>
      <c r="AL45" s="259">
        <v>37.835433063000004</v>
      </c>
      <c r="AM45" s="259">
        <v>38.700897756000003</v>
      </c>
      <c r="AN45" s="259">
        <v>29.440715405999999</v>
      </c>
      <c r="AO45" s="259">
        <v>33.233683601000003</v>
      </c>
      <c r="AP45" s="259">
        <v>29.513949574000002</v>
      </c>
      <c r="AQ45" s="259">
        <v>29.328377869000001</v>
      </c>
      <c r="AR45" s="259">
        <v>26.781477905999999</v>
      </c>
      <c r="AS45" s="259">
        <v>32.827892273000003</v>
      </c>
      <c r="AT45" s="259">
        <v>29.330724403000001</v>
      </c>
      <c r="AU45" s="259">
        <v>31.361443999999999</v>
      </c>
      <c r="AV45" s="259">
        <v>29.732951277000002</v>
      </c>
      <c r="AW45" s="259">
        <v>33.294376094</v>
      </c>
      <c r="AX45" s="259">
        <v>26.65051747</v>
      </c>
      <c r="AY45" s="259">
        <v>24.53741767</v>
      </c>
      <c r="AZ45" s="259">
        <v>21.65219325</v>
      </c>
      <c r="BA45" s="259">
        <v>21.231371136</v>
      </c>
      <c r="BB45" s="259">
        <v>19.294396902999999</v>
      </c>
      <c r="BC45" s="259">
        <v>20.381221531000001</v>
      </c>
      <c r="BD45" s="259">
        <v>22.697961505999999</v>
      </c>
      <c r="BE45" s="259">
        <v>31.805144755000001</v>
      </c>
      <c r="BF45" s="259">
        <v>29.039054106999998</v>
      </c>
      <c r="BG45" s="378">
        <v>28.321560000000002</v>
      </c>
      <c r="BH45" s="378">
        <v>26.6328</v>
      </c>
      <c r="BI45" s="378">
        <v>26.370329999999999</v>
      </c>
      <c r="BJ45" s="378">
        <v>27.15024</v>
      </c>
      <c r="BK45" s="378">
        <v>28.77</v>
      </c>
      <c r="BL45" s="378">
        <v>28.858560000000001</v>
      </c>
      <c r="BM45" s="378">
        <v>27.653479999999998</v>
      </c>
      <c r="BN45" s="378">
        <v>26.44387</v>
      </c>
      <c r="BO45" s="378">
        <v>26.727399999999999</v>
      </c>
      <c r="BP45" s="378">
        <v>28.776260000000001</v>
      </c>
      <c r="BQ45" s="378">
        <v>31.459769999999999</v>
      </c>
      <c r="BR45" s="378">
        <v>32.262770000000003</v>
      </c>
      <c r="BS45" s="378">
        <v>30.200530000000001</v>
      </c>
      <c r="BT45" s="378">
        <v>28.619859999999999</v>
      </c>
      <c r="BU45" s="378">
        <v>28.47634</v>
      </c>
      <c r="BV45" s="378">
        <v>29.711410000000001</v>
      </c>
    </row>
    <row r="46" spans="1:74" ht="11.1" customHeight="1" x14ac:dyDescent="0.2">
      <c r="A46" s="56" t="s">
        <v>1181</v>
      </c>
      <c r="B46" s="567" t="s">
        <v>1192</v>
      </c>
      <c r="C46" s="259">
        <v>25.25721875</v>
      </c>
      <c r="D46" s="259">
        <v>25.035089286000002</v>
      </c>
      <c r="E46" s="259">
        <v>24.640597826</v>
      </c>
      <c r="F46" s="259">
        <v>26.801607142999998</v>
      </c>
      <c r="G46" s="259">
        <v>30.620625</v>
      </c>
      <c r="H46" s="259">
        <v>31.253153408999999</v>
      </c>
      <c r="I46" s="259">
        <v>39.364593749999997</v>
      </c>
      <c r="J46" s="259">
        <v>39.827228261000002</v>
      </c>
      <c r="K46" s="259">
        <v>36.345654762000002</v>
      </c>
      <c r="L46" s="259">
        <v>34.379523810000002</v>
      </c>
      <c r="M46" s="259">
        <v>27.464404762000001</v>
      </c>
      <c r="N46" s="259">
        <v>35.203363095</v>
      </c>
      <c r="O46" s="259">
        <v>31.273267045000001</v>
      </c>
      <c r="P46" s="259">
        <v>26.670437499999998</v>
      </c>
      <c r="Q46" s="259">
        <v>28.353858696</v>
      </c>
      <c r="R46" s="259">
        <v>30.201812499999999</v>
      </c>
      <c r="S46" s="259">
        <v>35.087329545000003</v>
      </c>
      <c r="T46" s="259">
        <v>34.569886363999998</v>
      </c>
      <c r="U46" s="259">
        <v>36.909687499999997</v>
      </c>
      <c r="V46" s="259">
        <v>31.370625</v>
      </c>
      <c r="W46" s="259">
        <v>36.386843749999997</v>
      </c>
      <c r="X46" s="259">
        <v>30.211931818</v>
      </c>
      <c r="Y46" s="259">
        <v>28.870267857000002</v>
      </c>
      <c r="Z46" s="259">
        <v>27.568562499999999</v>
      </c>
      <c r="AA46" s="259">
        <v>40.638323864</v>
      </c>
      <c r="AB46" s="259">
        <v>26.479156249999999</v>
      </c>
      <c r="AC46" s="259">
        <v>26.556505682000001</v>
      </c>
      <c r="AD46" s="259">
        <v>34.451934524000002</v>
      </c>
      <c r="AE46" s="259">
        <v>38.105511364000002</v>
      </c>
      <c r="AF46" s="259">
        <v>35.071994048000001</v>
      </c>
      <c r="AG46" s="259">
        <v>37.157589285999997</v>
      </c>
      <c r="AH46" s="259">
        <v>36.634999999999998</v>
      </c>
      <c r="AI46" s="259">
        <v>37.886546053000004</v>
      </c>
      <c r="AJ46" s="259">
        <v>38.906304347999999</v>
      </c>
      <c r="AK46" s="259">
        <v>39.586428570999999</v>
      </c>
      <c r="AL46" s="259">
        <v>36.419812499999999</v>
      </c>
      <c r="AM46" s="259">
        <v>35.084886363999999</v>
      </c>
      <c r="AN46" s="259">
        <v>28.597906250000001</v>
      </c>
      <c r="AO46" s="259">
        <v>30.642976189999999</v>
      </c>
      <c r="AP46" s="259">
        <v>28.999147727</v>
      </c>
      <c r="AQ46" s="259">
        <v>27.970681817999999</v>
      </c>
      <c r="AR46" s="259">
        <v>26.453968750000001</v>
      </c>
      <c r="AS46" s="259">
        <v>32.740397727000001</v>
      </c>
      <c r="AT46" s="259">
        <v>28.651221590999999</v>
      </c>
      <c r="AU46" s="259">
        <v>30.73153125</v>
      </c>
      <c r="AV46" s="259">
        <v>27.428451086999999</v>
      </c>
      <c r="AW46" s="259">
        <v>29.948656249999999</v>
      </c>
      <c r="AX46" s="259">
        <v>26.890357142999999</v>
      </c>
      <c r="AY46" s="259">
        <v>26.436022727000001</v>
      </c>
      <c r="AZ46" s="259">
        <v>24.917156250000001</v>
      </c>
      <c r="BA46" s="259">
        <v>21.923409091</v>
      </c>
      <c r="BB46" s="259">
        <v>20.644659091000001</v>
      </c>
      <c r="BC46" s="259">
        <v>22.585125000000001</v>
      </c>
      <c r="BD46" s="259">
        <v>25.776534090999998</v>
      </c>
      <c r="BE46" s="259">
        <v>32.504646739000002</v>
      </c>
      <c r="BF46" s="259">
        <v>31.488482142999999</v>
      </c>
      <c r="BG46" s="378">
        <v>29.723469999999999</v>
      </c>
      <c r="BH46" s="378">
        <v>29.236910000000002</v>
      </c>
      <c r="BI46" s="378">
        <v>29.37604</v>
      </c>
      <c r="BJ46" s="378">
        <v>28.30725</v>
      </c>
      <c r="BK46" s="378">
        <v>29.251429999999999</v>
      </c>
      <c r="BL46" s="378">
        <v>29.199649999999998</v>
      </c>
      <c r="BM46" s="378">
        <v>28.171199999999999</v>
      </c>
      <c r="BN46" s="378">
        <v>27.774560000000001</v>
      </c>
      <c r="BO46" s="378">
        <v>28.113669999999999</v>
      </c>
      <c r="BP46" s="378">
        <v>30.709679999999999</v>
      </c>
      <c r="BQ46" s="378">
        <v>33.17895</v>
      </c>
      <c r="BR46" s="378">
        <v>33.902059999999999</v>
      </c>
      <c r="BS46" s="378">
        <v>31.337330000000001</v>
      </c>
      <c r="BT46" s="378">
        <v>30.574940000000002</v>
      </c>
      <c r="BU46" s="378">
        <v>30.320709999999998</v>
      </c>
      <c r="BV46" s="378">
        <v>30.391110000000001</v>
      </c>
    </row>
    <row r="47" spans="1:74" ht="11.1" customHeight="1" x14ac:dyDescent="0.2">
      <c r="A47" s="56" t="s">
        <v>1182</v>
      </c>
      <c r="B47" s="567" t="s">
        <v>1193</v>
      </c>
      <c r="C47" s="259">
        <v>23.801805938000001</v>
      </c>
      <c r="D47" s="259">
        <v>20.558873810000001</v>
      </c>
      <c r="E47" s="259">
        <v>18.770275271999999</v>
      </c>
      <c r="F47" s="259">
        <v>23.908863988</v>
      </c>
      <c r="G47" s="259">
        <v>23.115482143000001</v>
      </c>
      <c r="H47" s="259">
        <v>31.256289489</v>
      </c>
      <c r="I47" s="259">
        <v>33.607924687999997</v>
      </c>
      <c r="J47" s="259">
        <v>32.593408695999997</v>
      </c>
      <c r="K47" s="259">
        <v>36.782417559999999</v>
      </c>
      <c r="L47" s="259">
        <v>36.333016667000003</v>
      </c>
      <c r="M47" s="259">
        <v>26.716611607000001</v>
      </c>
      <c r="N47" s="259">
        <v>35.836062202000001</v>
      </c>
      <c r="O47" s="259">
        <v>31.286221307000002</v>
      </c>
      <c r="P47" s="259">
        <v>25.573871563000001</v>
      </c>
      <c r="Q47" s="259">
        <v>29.293053261000001</v>
      </c>
      <c r="R47" s="259">
        <v>38.000240937999997</v>
      </c>
      <c r="S47" s="259">
        <v>35.139747442999997</v>
      </c>
      <c r="T47" s="259">
        <v>32.034503692999998</v>
      </c>
      <c r="U47" s="259">
        <v>35.998700624999998</v>
      </c>
      <c r="V47" s="259">
        <v>30.472764674</v>
      </c>
      <c r="W47" s="259">
        <v>28.750007188000001</v>
      </c>
      <c r="X47" s="259">
        <v>26.762923579999999</v>
      </c>
      <c r="Y47" s="259">
        <v>24.852670238000002</v>
      </c>
      <c r="Z47" s="259">
        <v>28.743617188000002</v>
      </c>
      <c r="AA47" s="259">
        <v>33.108419601999998</v>
      </c>
      <c r="AB47" s="259">
        <v>24.315900312</v>
      </c>
      <c r="AC47" s="259">
        <v>22.188074147999998</v>
      </c>
      <c r="AD47" s="259">
        <v>24.397300595000001</v>
      </c>
      <c r="AE47" s="259">
        <v>30.6437375</v>
      </c>
      <c r="AF47" s="259">
        <v>30.435057440000001</v>
      </c>
      <c r="AG47" s="259">
        <v>34.149397917000002</v>
      </c>
      <c r="AH47" s="259">
        <v>29.550833151999999</v>
      </c>
      <c r="AI47" s="259">
        <v>26.212023354999999</v>
      </c>
      <c r="AJ47" s="259">
        <v>35.369316032999997</v>
      </c>
      <c r="AK47" s="259">
        <v>42.616371428999997</v>
      </c>
      <c r="AL47" s="259">
        <v>31.352083125</v>
      </c>
      <c r="AM47" s="259">
        <v>28.552306818000002</v>
      </c>
      <c r="AN47" s="259">
        <v>27.485459687999999</v>
      </c>
      <c r="AO47" s="259">
        <v>31.418118452000002</v>
      </c>
      <c r="AP47" s="259">
        <v>24.783113067999999</v>
      </c>
      <c r="AQ47" s="259">
        <v>28.997365340999998</v>
      </c>
      <c r="AR47" s="259">
        <v>27.625429688000001</v>
      </c>
      <c r="AS47" s="259">
        <v>33.675886079999998</v>
      </c>
      <c r="AT47" s="259">
        <v>30.744647443000002</v>
      </c>
      <c r="AU47" s="259">
        <v>30.098027188</v>
      </c>
      <c r="AV47" s="259">
        <v>23.221609238999999</v>
      </c>
      <c r="AW47" s="259">
        <v>25.25366</v>
      </c>
      <c r="AX47" s="259">
        <v>22.442256844999999</v>
      </c>
      <c r="AY47" s="259">
        <v>20.043210511000002</v>
      </c>
      <c r="AZ47" s="259">
        <v>21.695782813000001</v>
      </c>
      <c r="BA47" s="259">
        <v>18.448979545</v>
      </c>
      <c r="BB47" s="259">
        <v>17.372336648000001</v>
      </c>
      <c r="BC47" s="259">
        <v>19.445364999999999</v>
      </c>
      <c r="BD47" s="259">
        <v>21.798782385999999</v>
      </c>
      <c r="BE47" s="259">
        <v>26.448556522000001</v>
      </c>
      <c r="BF47" s="259">
        <v>28.598483333000001</v>
      </c>
      <c r="BG47" s="378">
        <v>25.055140000000002</v>
      </c>
      <c r="BH47" s="378">
        <v>24.048490000000001</v>
      </c>
      <c r="BI47" s="378">
        <v>24.594470000000001</v>
      </c>
      <c r="BJ47" s="378">
        <v>22.97391</v>
      </c>
      <c r="BK47" s="378">
        <v>22.898630000000001</v>
      </c>
      <c r="BL47" s="378">
        <v>22.55875</v>
      </c>
      <c r="BM47" s="378">
        <v>21.887609999999999</v>
      </c>
      <c r="BN47" s="378">
        <v>21.94633</v>
      </c>
      <c r="BO47" s="378">
        <v>22.6007</v>
      </c>
      <c r="BP47" s="378">
        <v>25.120999999999999</v>
      </c>
      <c r="BQ47" s="378">
        <v>28.89151</v>
      </c>
      <c r="BR47" s="378">
        <v>31.947130000000001</v>
      </c>
      <c r="BS47" s="378">
        <v>25.925709999999999</v>
      </c>
      <c r="BT47" s="378">
        <v>24.989100000000001</v>
      </c>
      <c r="BU47" s="378">
        <v>24.907520000000002</v>
      </c>
      <c r="BV47" s="378">
        <v>24.142389999999999</v>
      </c>
    </row>
    <row r="48" spans="1:74" ht="11.1" customHeight="1" x14ac:dyDescent="0.2">
      <c r="A48" s="107" t="s">
        <v>1183</v>
      </c>
      <c r="B48" s="567" t="s">
        <v>1194</v>
      </c>
      <c r="C48" s="259">
        <v>23.684210526000001</v>
      </c>
      <c r="D48" s="259">
        <v>21.862500000000001</v>
      </c>
      <c r="E48" s="259">
        <v>20.670454544999998</v>
      </c>
      <c r="F48" s="259">
        <v>21.5</v>
      </c>
      <c r="G48" s="259">
        <v>21.845238094999999</v>
      </c>
      <c r="H48" s="259">
        <v>27.431818182000001</v>
      </c>
      <c r="I48" s="259">
        <v>36.375</v>
      </c>
      <c r="J48" s="259">
        <v>33.554347825999997</v>
      </c>
      <c r="K48" s="259">
        <v>32.202380951999999</v>
      </c>
      <c r="L48" s="259">
        <v>31.559523810000002</v>
      </c>
      <c r="M48" s="259">
        <v>24.262499999999999</v>
      </c>
      <c r="N48" s="259">
        <v>31.547619048000001</v>
      </c>
      <c r="O48" s="259">
        <v>29.337499999999999</v>
      </c>
      <c r="P48" s="259">
        <v>26.526315789000002</v>
      </c>
      <c r="Q48" s="259">
        <v>31.815217391000001</v>
      </c>
      <c r="R48" s="259">
        <v>31.912500000000001</v>
      </c>
      <c r="S48" s="259">
        <v>33.670454544999998</v>
      </c>
      <c r="T48" s="259">
        <v>30.931818182000001</v>
      </c>
      <c r="U48" s="259">
        <v>30.1</v>
      </c>
      <c r="V48" s="259">
        <v>25.902173912999999</v>
      </c>
      <c r="W48" s="259">
        <v>27.5625</v>
      </c>
      <c r="X48" s="259">
        <v>30.647727273000001</v>
      </c>
      <c r="Y48" s="259">
        <v>27.1875</v>
      </c>
      <c r="Z48" s="259">
        <v>30.75</v>
      </c>
      <c r="AA48" s="259">
        <v>38.25</v>
      </c>
      <c r="AB48" s="259">
        <v>26.684210526000001</v>
      </c>
      <c r="AC48" s="259">
        <v>27.583333332999999</v>
      </c>
      <c r="AD48" s="259">
        <v>29.845238094999999</v>
      </c>
      <c r="AE48" s="259">
        <v>28.522727273000001</v>
      </c>
      <c r="AF48" s="259">
        <v>29.523809524000001</v>
      </c>
      <c r="AG48" s="259">
        <v>31.464285713999999</v>
      </c>
      <c r="AH48" s="259">
        <v>31.173913042999999</v>
      </c>
      <c r="AI48" s="259">
        <v>32.776315789000002</v>
      </c>
      <c r="AJ48" s="259">
        <v>31.413043477999999</v>
      </c>
      <c r="AK48" s="259">
        <v>31.524999999999999</v>
      </c>
      <c r="AL48" s="259">
        <v>30.597222221999999</v>
      </c>
      <c r="AM48" s="259">
        <v>31.595238094999999</v>
      </c>
      <c r="AN48" s="259">
        <v>30.631578947000001</v>
      </c>
      <c r="AO48" s="259">
        <v>29.988095238</v>
      </c>
      <c r="AP48" s="259">
        <v>29.920454544999998</v>
      </c>
      <c r="AQ48" s="259">
        <v>29.590909091</v>
      </c>
      <c r="AR48" s="259">
        <v>30.1</v>
      </c>
      <c r="AS48" s="259">
        <v>31.119047619</v>
      </c>
      <c r="AT48" s="259">
        <v>31.397727273000001</v>
      </c>
      <c r="AU48" s="259">
        <v>30.712499999999999</v>
      </c>
      <c r="AV48" s="259">
        <v>28.456521738999999</v>
      </c>
      <c r="AW48" s="259">
        <v>29.763888889</v>
      </c>
      <c r="AX48" s="259">
        <v>29.702380951999999</v>
      </c>
      <c r="AY48" s="259">
        <v>28.607142856999999</v>
      </c>
      <c r="AZ48" s="259">
        <v>24.052631579</v>
      </c>
      <c r="BA48" s="259">
        <v>18.090909091</v>
      </c>
      <c r="BB48" s="259">
        <v>17.556818182000001</v>
      </c>
      <c r="BC48" s="259">
        <v>18.587499999999999</v>
      </c>
      <c r="BD48" s="259">
        <v>18.534090909</v>
      </c>
      <c r="BE48" s="259">
        <v>23.125</v>
      </c>
      <c r="BF48" s="259">
        <v>26.559523810000002</v>
      </c>
      <c r="BG48" s="378">
        <v>28.490290000000002</v>
      </c>
      <c r="BH48" s="378">
        <v>27.527719999999999</v>
      </c>
      <c r="BI48" s="378">
        <v>27.089410000000001</v>
      </c>
      <c r="BJ48" s="378">
        <v>27.71679</v>
      </c>
      <c r="BK48" s="378">
        <v>27.83502</v>
      </c>
      <c r="BL48" s="378">
        <v>25.771979999999999</v>
      </c>
      <c r="BM48" s="378">
        <v>24.846879999999999</v>
      </c>
      <c r="BN48" s="378">
        <v>25.172529999999998</v>
      </c>
      <c r="BO48" s="378">
        <v>25.65286</v>
      </c>
      <c r="BP48" s="378">
        <v>28.087070000000001</v>
      </c>
      <c r="BQ48" s="378">
        <v>30.38252</v>
      </c>
      <c r="BR48" s="378">
        <v>32.063569999999999</v>
      </c>
      <c r="BS48" s="378">
        <v>30.01211</v>
      </c>
      <c r="BT48" s="378">
        <v>29.191269999999999</v>
      </c>
      <c r="BU48" s="378">
        <v>27.46733</v>
      </c>
      <c r="BV48" s="378">
        <v>28.501519999999999</v>
      </c>
    </row>
    <row r="49" spans="1:74" ht="11.1" customHeight="1" x14ac:dyDescent="0.2">
      <c r="A49" s="52" t="s">
        <v>1184</v>
      </c>
      <c r="B49" s="567" t="s">
        <v>1195</v>
      </c>
      <c r="C49" s="259">
        <v>23.197368421</v>
      </c>
      <c r="D49" s="259">
        <v>21.024999999999999</v>
      </c>
      <c r="E49" s="259">
        <v>20.943181817999999</v>
      </c>
      <c r="F49" s="259">
        <v>23.202380951999999</v>
      </c>
      <c r="G49" s="259">
        <v>23.785714286000001</v>
      </c>
      <c r="H49" s="259">
        <v>29.238636364000001</v>
      </c>
      <c r="I49" s="259">
        <v>38.887500000000003</v>
      </c>
      <c r="J49" s="259">
        <v>32.989130435</v>
      </c>
      <c r="K49" s="259">
        <v>32.773809524000001</v>
      </c>
      <c r="L49" s="259">
        <v>33.440476189999998</v>
      </c>
      <c r="M49" s="259">
        <v>27.65</v>
      </c>
      <c r="N49" s="259">
        <v>34.797619048000001</v>
      </c>
      <c r="O49" s="259">
        <v>30.5625</v>
      </c>
      <c r="P49" s="259">
        <v>27.276315789000002</v>
      </c>
      <c r="Q49" s="259">
        <v>30.989130435</v>
      </c>
      <c r="R49" s="259">
        <v>32.912500000000001</v>
      </c>
      <c r="S49" s="259">
        <v>33.681818182000001</v>
      </c>
      <c r="T49" s="259">
        <v>29.863636364000001</v>
      </c>
      <c r="U49" s="259">
        <v>30.487500000000001</v>
      </c>
      <c r="V49" s="259">
        <v>31.586956522000001</v>
      </c>
      <c r="W49" s="259">
        <v>32.112499999999997</v>
      </c>
      <c r="X49" s="259">
        <v>34.897727273000001</v>
      </c>
      <c r="Y49" s="259">
        <v>25.725000000000001</v>
      </c>
      <c r="Z49" s="259">
        <v>28.375</v>
      </c>
      <c r="AA49" s="259">
        <v>37.559523810000002</v>
      </c>
      <c r="AB49" s="259">
        <v>26.973684210999998</v>
      </c>
      <c r="AC49" s="259">
        <v>26.404761905000001</v>
      </c>
      <c r="AD49" s="259">
        <v>30.666666667000001</v>
      </c>
      <c r="AE49" s="259">
        <v>29.954545455000002</v>
      </c>
      <c r="AF49" s="259">
        <v>29.952380951999999</v>
      </c>
      <c r="AG49" s="259">
        <v>31.678571429000002</v>
      </c>
      <c r="AH49" s="259">
        <v>31.25</v>
      </c>
      <c r="AI49" s="259">
        <v>32.171052631999999</v>
      </c>
      <c r="AJ49" s="259">
        <v>31.760869565</v>
      </c>
      <c r="AK49" s="259">
        <v>30.85</v>
      </c>
      <c r="AL49" s="259">
        <v>30.652777778000001</v>
      </c>
      <c r="AM49" s="259">
        <v>31.642857143000001</v>
      </c>
      <c r="AN49" s="259">
        <v>30.486842105000001</v>
      </c>
      <c r="AO49" s="259">
        <v>30.011904762</v>
      </c>
      <c r="AP49" s="259">
        <v>29.897727273000001</v>
      </c>
      <c r="AQ49" s="259">
        <v>29.25</v>
      </c>
      <c r="AR49" s="259">
        <v>29.5625</v>
      </c>
      <c r="AS49" s="259">
        <v>30.404761905000001</v>
      </c>
      <c r="AT49" s="259">
        <v>31.159090909</v>
      </c>
      <c r="AU49" s="259">
        <v>30.362500000000001</v>
      </c>
      <c r="AV49" s="259">
        <v>29.358695652000002</v>
      </c>
      <c r="AW49" s="259">
        <v>29.680555556000002</v>
      </c>
      <c r="AX49" s="259">
        <v>29.369047619</v>
      </c>
      <c r="AY49" s="259">
        <v>28.464285713999999</v>
      </c>
      <c r="AZ49" s="259">
        <v>26.855263158</v>
      </c>
      <c r="BA49" s="259">
        <v>23.386363635999999</v>
      </c>
      <c r="BB49" s="259">
        <v>18.727272726999999</v>
      </c>
      <c r="BC49" s="259">
        <v>18.45</v>
      </c>
      <c r="BD49" s="259">
        <v>18.397727273000001</v>
      </c>
      <c r="BE49" s="259">
        <v>22.375</v>
      </c>
      <c r="BF49" s="259">
        <v>27.785714286000001</v>
      </c>
      <c r="BG49" s="378">
        <v>28.725010000000001</v>
      </c>
      <c r="BH49" s="378">
        <v>29.936360000000001</v>
      </c>
      <c r="BI49" s="378">
        <v>31.005790000000001</v>
      </c>
      <c r="BJ49" s="378">
        <v>30.42876</v>
      </c>
      <c r="BK49" s="378">
        <v>31.45195</v>
      </c>
      <c r="BL49" s="378">
        <v>29.767720000000001</v>
      </c>
      <c r="BM49" s="378">
        <v>29.576619999999998</v>
      </c>
      <c r="BN49" s="378">
        <v>29.890149999999998</v>
      </c>
      <c r="BO49" s="378">
        <v>31.11834</v>
      </c>
      <c r="BP49" s="378">
        <v>29.990159999999999</v>
      </c>
      <c r="BQ49" s="378">
        <v>29.890550000000001</v>
      </c>
      <c r="BR49" s="378">
        <v>31.343669999999999</v>
      </c>
      <c r="BS49" s="378">
        <v>30.834499999999998</v>
      </c>
      <c r="BT49" s="378">
        <v>32.396549999999998</v>
      </c>
      <c r="BU49" s="378">
        <v>31.52084</v>
      </c>
      <c r="BV49" s="378">
        <v>31.57743</v>
      </c>
    </row>
    <row r="50" spans="1:74" ht="11.1" customHeight="1" x14ac:dyDescent="0.2">
      <c r="A50" s="107" t="s">
        <v>1185</v>
      </c>
      <c r="B50" s="567" t="s">
        <v>1196</v>
      </c>
      <c r="C50" s="259">
        <v>22.833157894999999</v>
      </c>
      <c r="D50" s="259">
        <v>17.152000000000001</v>
      </c>
      <c r="E50" s="259">
        <v>13.274545455</v>
      </c>
      <c r="F50" s="259">
        <v>12.746666667</v>
      </c>
      <c r="G50" s="259">
        <v>14.662857143</v>
      </c>
      <c r="H50" s="259">
        <v>22.325454544999999</v>
      </c>
      <c r="I50" s="259">
        <v>31.123999999999999</v>
      </c>
      <c r="J50" s="259">
        <v>35.982608696</v>
      </c>
      <c r="K50" s="259">
        <v>28.557619047999999</v>
      </c>
      <c r="L50" s="259">
        <v>23.29047619</v>
      </c>
      <c r="M50" s="259">
        <v>19.146999999999998</v>
      </c>
      <c r="N50" s="259">
        <v>34.330952381000003</v>
      </c>
      <c r="O50" s="259">
        <v>34.0685</v>
      </c>
      <c r="P50" s="259">
        <v>23.462105263000002</v>
      </c>
      <c r="Q50" s="259">
        <v>13.852173913</v>
      </c>
      <c r="R50" s="259">
        <v>14.746</v>
      </c>
      <c r="S50" s="259">
        <v>17.742272727</v>
      </c>
      <c r="T50" s="259">
        <v>16.197272727000001</v>
      </c>
      <c r="U50" s="259">
        <v>29.6355</v>
      </c>
      <c r="V50" s="259">
        <v>51.956956521999999</v>
      </c>
      <c r="W50" s="259">
        <v>31.184999999999999</v>
      </c>
      <c r="X50" s="259">
        <v>26.870909091000001</v>
      </c>
      <c r="Y50" s="259">
        <v>26.280999999999999</v>
      </c>
      <c r="Z50" s="259">
        <v>28.32</v>
      </c>
      <c r="AA50" s="259">
        <v>22.958571428999999</v>
      </c>
      <c r="AB50" s="259">
        <v>21.467894737000002</v>
      </c>
      <c r="AC50" s="259">
        <v>20.974761905000001</v>
      </c>
      <c r="AD50" s="259">
        <v>17.980952381000002</v>
      </c>
      <c r="AE50" s="259">
        <v>14.546818182000001</v>
      </c>
      <c r="AF50" s="259">
        <v>22.572857143</v>
      </c>
      <c r="AG50" s="259">
        <v>72.002857143</v>
      </c>
      <c r="AH50" s="259">
        <v>77.147826086999999</v>
      </c>
      <c r="AI50" s="259">
        <v>30.831052631999999</v>
      </c>
      <c r="AJ50" s="259">
        <v>42.388260870000003</v>
      </c>
      <c r="AK50" s="259">
        <v>55.738</v>
      </c>
      <c r="AL50" s="259">
        <v>54.651111110999999</v>
      </c>
      <c r="AM50" s="259">
        <v>35.965238094999997</v>
      </c>
      <c r="AN50" s="259">
        <v>90.38</v>
      </c>
      <c r="AO50" s="259">
        <v>40.880952381</v>
      </c>
      <c r="AP50" s="259">
        <v>18.137727272999999</v>
      </c>
      <c r="AQ50" s="259">
        <v>14.582272726999999</v>
      </c>
      <c r="AR50" s="259">
        <v>22.916499999999999</v>
      </c>
      <c r="AS50" s="259">
        <v>32.249523809999999</v>
      </c>
      <c r="AT50" s="259">
        <v>33.415909091000003</v>
      </c>
      <c r="AU50" s="259">
        <v>32.542499999999997</v>
      </c>
      <c r="AV50" s="259">
        <v>36.132173913000003</v>
      </c>
      <c r="AW50" s="259">
        <v>39.411111110999997</v>
      </c>
      <c r="AX50" s="259">
        <v>36.877619048</v>
      </c>
      <c r="AY50" s="259">
        <v>25.463809523999998</v>
      </c>
      <c r="AZ50" s="259">
        <v>19.003157895000001</v>
      </c>
      <c r="BA50" s="259">
        <v>23.857727272999998</v>
      </c>
      <c r="BB50" s="259">
        <v>18.335454545000001</v>
      </c>
      <c r="BC50" s="259">
        <v>13.253500000000001</v>
      </c>
      <c r="BD50" s="259">
        <v>11.871363636</v>
      </c>
      <c r="BE50" s="259">
        <v>20.179090908999999</v>
      </c>
      <c r="BF50" s="259">
        <v>40.702380951999999</v>
      </c>
      <c r="BG50" s="378">
        <v>24.392810000000001</v>
      </c>
      <c r="BH50" s="378">
        <v>26.683440000000001</v>
      </c>
      <c r="BI50" s="378">
        <v>29.479479999999999</v>
      </c>
      <c r="BJ50" s="378">
        <v>31.340730000000001</v>
      </c>
      <c r="BK50" s="378">
        <v>28.57807</v>
      </c>
      <c r="BL50" s="378">
        <v>27.167529999999999</v>
      </c>
      <c r="BM50" s="378">
        <v>24.407360000000001</v>
      </c>
      <c r="BN50" s="378">
        <v>26.685020000000002</v>
      </c>
      <c r="BO50" s="378">
        <v>25.2807</v>
      </c>
      <c r="BP50" s="378">
        <v>24.44548</v>
      </c>
      <c r="BQ50" s="378">
        <v>26.37425</v>
      </c>
      <c r="BR50" s="378">
        <v>27.25253</v>
      </c>
      <c r="BS50" s="378">
        <v>26.196439999999999</v>
      </c>
      <c r="BT50" s="378">
        <v>26.93449</v>
      </c>
      <c r="BU50" s="378">
        <v>27.649290000000001</v>
      </c>
      <c r="BV50" s="378">
        <v>31.01596</v>
      </c>
    </row>
    <row r="51" spans="1:74" ht="11.1" customHeight="1" x14ac:dyDescent="0.2">
      <c r="A51" s="110" t="s">
        <v>1186</v>
      </c>
      <c r="B51" s="755" t="s">
        <v>1197</v>
      </c>
      <c r="C51" s="214">
        <v>21.562105262999999</v>
      </c>
      <c r="D51" s="214">
        <v>18.765499999999999</v>
      </c>
      <c r="E51" s="214">
        <v>17.020909091</v>
      </c>
      <c r="F51" s="214">
        <v>18.625714286000001</v>
      </c>
      <c r="G51" s="214">
        <v>18.727619048000001</v>
      </c>
      <c r="H51" s="214">
        <v>29.892727272999998</v>
      </c>
      <c r="I51" s="214">
        <v>40.896000000000001</v>
      </c>
      <c r="J51" s="214">
        <v>37.178260870000003</v>
      </c>
      <c r="K51" s="214">
        <v>26.682380951999999</v>
      </c>
      <c r="L51" s="214">
        <v>26.674761905</v>
      </c>
      <c r="M51" s="214">
        <v>19.959</v>
      </c>
      <c r="N51" s="214">
        <v>28.761904762</v>
      </c>
      <c r="O51" s="214">
        <v>27.491499999999998</v>
      </c>
      <c r="P51" s="214">
        <v>22.123157894999999</v>
      </c>
      <c r="Q51" s="214">
        <v>20.897826086999999</v>
      </c>
      <c r="R51" s="214">
        <v>27.2545</v>
      </c>
      <c r="S51" s="214">
        <v>28.739090909000002</v>
      </c>
      <c r="T51" s="214">
        <v>42.306363636</v>
      </c>
      <c r="U51" s="214">
        <v>38.549999999999997</v>
      </c>
      <c r="V51" s="214">
        <v>53.943478261000003</v>
      </c>
      <c r="W51" s="214">
        <v>38.774000000000001</v>
      </c>
      <c r="X51" s="214">
        <v>35.598636364000001</v>
      </c>
      <c r="Y51" s="214">
        <v>29.183</v>
      </c>
      <c r="Z51" s="214">
        <v>27.475000000000001</v>
      </c>
      <c r="AA51" s="214">
        <v>27.717142856999999</v>
      </c>
      <c r="AB51" s="214">
        <v>26.473684210999998</v>
      </c>
      <c r="AC51" s="214">
        <v>24.976190475999999</v>
      </c>
      <c r="AD51" s="214">
        <v>25.347619047999999</v>
      </c>
      <c r="AE51" s="214">
        <v>22.265000000000001</v>
      </c>
      <c r="AF51" s="214">
        <v>29.668095237999999</v>
      </c>
      <c r="AG51" s="214">
        <v>89.43</v>
      </c>
      <c r="AH51" s="214">
        <v>81.089565217000001</v>
      </c>
      <c r="AI51" s="214">
        <v>32.812631578999998</v>
      </c>
      <c r="AJ51" s="214">
        <v>36.543478260999997</v>
      </c>
      <c r="AK51" s="214">
        <v>44.3125</v>
      </c>
      <c r="AL51" s="214">
        <v>47.264444443999999</v>
      </c>
      <c r="AM51" s="214">
        <v>36.910952381000001</v>
      </c>
      <c r="AN51" s="214">
        <v>62.665263158000002</v>
      </c>
      <c r="AO51" s="214">
        <v>33.113333333</v>
      </c>
      <c r="AP51" s="214">
        <v>20.009545455000001</v>
      </c>
      <c r="AQ51" s="214">
        <v>11.723636364000001</v>
      </c>
      <c r="AR51" s="214">
        <v>23.627500000000001</v>
      </c>
      <c r="AS51" s="214">
        <v>45.812857143000002</v>
      </c>
      <c r="AT51" s="214">
        <v>43.297272726999999</v>
      </c>
      <c r="AU51" s="214">
        <v>36.878999999999998</v>
      </c>
      <c r="AV51" s="214">
        <v>40.923913042999999</v>
      </c>
      <c r="AW51" s="214">
        <v>39.368333333000002</v>
      </c>
      <c r="AX51" s="214">
        <v>28.814285714</v>
      </c>
      <c r="AY51" s="214">
        <v>21.753809524000001</v>
      </c>
      <c r="AZ51" s="214">
        <v>20.582105262999999</v>
      </c>
      <c r="BA51" s="214">
        <v>23.875</v>
      </c>
      <c r="BB51" s="214">
        <v>17.184545454999999</v>
      </c>
      <c r="BC51" s="214">
        <v>16.318999999999999</v>
      </c>
      <c r="BD51" s="214">
        <v>25.284545455</v>
      </c>
      <c r="BE51" s="214">
        <v>38.407272726999999</v>
      </c>
      <c r="BF51" s="214">
        <v>155.81238095</v>
      </c>
      <c r="BG51" s="380">
        <v>28.892109999999999</v>
      </c>
      <c r="BH51" s="380">
        <v>29.390450000000001</v>
      </c>
      <c r="BI51" s="380">
        <v>37.329650000000001</v>
      </c>
      <c r="BJ51" s="380">
        <v>36.634210000000003</v>
      </c>
      <c r="BK51" s="380">
        <v>32.395910000000001</v>
      </c>
      <c r="BL51" s="380">
        <v>37.304229999999997</v>
      </c>
      <c r="BM51" s="380">
        <v>34.277979999999999</v>
      </c>
      <c r="BN51" s="380">
        <v>34.335360000000001</v>
      </c>
      <c r="BO51" s="380">
        <v>34.736510000000003</v>
      </c>
      <c r="BP51" s="380">
        <v>33.287649999999999</v>
      </c>
      <c r="BQ51" s="380">
        <v>34.467619999999997</v>
      </c>
      <c r="BR51" s="380">
        <v>36.312339999999999</v>
      </c>
      <c r="BS51" s="380">
        <v>31.94688</v>
      </c>
      <c r="BT51" s="380">
        <v>31.712530000000001</v>
      </c>
      <c r="BU51" s="380">
        <v>36.979439999999997</v>
      </c>
      <c r="BV51" s="380">
        <v>42.073680000000003</v>
      </c>
    </row>
    <row r="52" spans="1:74" s="272" customFormat="1" ht="11.1" customHeight="1" x14ac:dyDescent="0.2">
      <c r="A52" s="101"/>
      <c r="B52" s="794" t="s">
        <v>370</v>
      </c>
      <c r="C52" s="795"/>
      <c r="D52" s="795"/>
      <c r="E52" s="795"/>
      <c r="F52" s="795"/>
      <c r="G52" s="795"/>
      <c r="H52" s="795"/>
      <c r="I52" s="795"/>
      <c r="J52" s="795"/>
      <c r="K52" s="795"/>
      <c r="L52" s="795"/>
      <c r="M52" s="795"/>
      <c r="N52" s="795"/>
      <c r="O52" s="795"/>
      <c r="P52" s="795"/>
      <c r="Q52" s="791"/>
      <c r="R52" s="288"/>
      <c r="S52" s="288"/>
      <c r="T52" s="288"/>
      <c r="U52" s="288"/>
      <c r="V52" s="288"/>
      <c r="W52" s="288"/>
      <c r="X52" s="288"/>
      <c r="Y52" s="288"/>
      <c r="Z52" s="288"/>
      <c r="AA52" s="288"/>
      <c r="AB52" s="288"/>
      <c r="AC52" s="288"/>
      <c r="AD52" s="288"/>
      <c r="AE52" s="288"/>
      <c r="AF52" s="288"/>
      <c r="AG52" s="288"/>
      <c r="AH52" s="288"/>
      <c r="AI52" s="288"/>
      <c r="AJ52" s="288"/>
      <c r="AK52" s="288"/>
      <c r="AL52" s="288"/>
      <c r="AM52" s="288"/>
      <c r="AN52" s="288"/>
      <c r="AO52" s="288"/>
      <c r="AP52" s="288"/>
      <c r="AQ52" s="288"/>
      <c r="AR52" s="288"/>
      <c r="AS52" s="288"/>
      <c r="AT52" s="288"/>
      <c r="AU52" s="288"/>
      <c r="AV52" s="288"/>
      <c r="AW52" s="288"/>
      <c r="AX52" s="288"/>
      <c r="AY52" s="373"/>
      <c r="AZ52" s="373"/>
      <c r="BA52" s="373"/>
      <c r="BB52" s="373"/>
      <c r="BC52" s="373"/>
      <c r="BD52" s="373"/>
      <c r="BE52" s="288"/>
      <c r="BF52" s="288"/>
      <c r="BG52" s="373"/>
      <c r="BH52" s="373"/>
      <c r="BI52" s="373"/>
      <c r="BJ52" s="373"/>
      <c r="BK52" s="373"/>
      <c r="BL52" s="373"/>
      <c r="BM52" s="373"/>
      <c r="BN52" s="373"/>
      <c r="BO52" s="373"/>
      <c r="BP52" s="373"/>
      <c r="BQ52" s="373"/>
      <c r="BR52" s="373"/>
      <c r="BS52" s="373"/>
      <c r="BT52" s="373"/>
      <c r="BU52" s="373"/>
      <c r="BV52" s="373"/>
    </row>
    <row r="53" spans="1:74" s="272" customFormat="1" ht="12" customHeight="1" x14ac:dyDescent="0.25">
      <c r="A53" s="101"/>
      <c r="B53" s="826" t="s">
        <v>1388</v>
      </c>
      <c r="C53" s="805"/>
      <c r="D53" s="805"/>
      <c r="E53" s="805"/>
      <c r="F53" s="805"/>
      <c r="G53" s="805"/>
      <c r="H53" s="805"/>
      <c r="I53" s="805"/>
      <c r="J53" s="805"/>
      <c r="K53" s="805"/>
      <c r="L53" s="805"/>
      <c r="M53" s="805"/>
      <c r="N53" s="805"/>
      <c r="O53" s="805"/>
      <c r="P53" s="805"/>
      <c r="Q53" s="805"/>
      <c r="AY53" s="511"/>
      <c r="AZ53" s="511"/>
      <c r="BA53" s="511"/>
      <c r="BB53" s="511"/>
      <c r="BC53" s="511"/>
      <c r="BD53" s="661"/>
      <c r="BE53" s="661"/>
      <c r="BF53" s="661"/>
      <c r="BG53" s="511"/>
      <c r="BH53" s="511"/>
      <c r="BI53" s="511"/>
      <c r="BJ53" s="511"/>
    </row>
    <row r="54" spans="1:74" s="272" customFormat="1" ht="12" customHeight="1" x14ac:dyDescent="0.25">
      <c r="A54" s="101"/>
      <c r="B54" s="826" t="s">
        <v>1389</v>
      </c>
      <c r="C54" s="805"/>
      <c r="D54" s="805"/>
      <c r="E54" s="805"/>
      <c r="F54" s="805"/>
      <c r="G54" s="805"/>
      <c r="H54" s="805"/>
      <c r="I54" s="805"/>
      <c r="J54" s="805"/>
      <c r="K54" s="805"/>
      <c r="L54" s="805"/>
      <c r="M54" s="805"/>
      <c r="N54" s="805"/>
      <c r="O54" s="805"/>
      <c r="P54" s="805"/>
      <c r="Q54" s="805"/>
      <c r="AY54" s="511"/>
      <c r="AZ54" s="511"/>
      <c r="BA54" s="511"/>
      <c r="BB54" s="511"/>
      <c r="BC54" s="511"/>
      <c r="BD54" s="661"/>
      <c r="BE54" s="661"/>
      <c r="BF54" s="661"/>
      <c r="BG54" s="511"/>
      <c r="BH54" s="511"/>
      <c r="BI54" s="511"/>
      <c r="BJ54" s="511"/>
    </row>
    <row r="55" spans="1:74" s="452" customFormat="1" ht="12" customHeight="1" x14ac:dyDescent="0.25">
      <c r="A55" s="451"/>
      <c r="B55" s="850" t="s">
        <v>1390</v>
      </c>
      <c r="C55" s="851"/>
      <c r="D55" s="851"/>
      <c r="E55" s="851"/>
      <c r="F55" s="851"/>
      <c r="G55" s="851"/>
      <c r="H55" s="851"/>
      <c r="I55" s="851"/>
      <c r="J55" s="851"/>
      <c r="K55" s="851"/>
      <c r="L55" s="851"/>
      <c r="M55" s="851"/>
      <c r="N55" s="851"/>
      <c r="O55" s="851"/>
      <c r="P55" s="851"/>
      <c r="Q55" s="851"/>
      <c r="AY55" s="512"/>
      <c r="AZ55" s="512"/>
      <c r="BA55" s="512"/>
      <c r="BB55" s="512"/>
      <c r="BC55" s="512"/>
      <c r="BD55" s="662"/>
      <c r="BE55" s="662"/>
      <c r="BF55" s="662"/>
      <c r="BG55" s="512"/>
      <c r="BH55" s="512"/>
      <c r="BI55" s="512"/>
      <c r="BJ55" s="512"/>
    </row>
    <row r="56" spans="1:74" s="452" customFormat="1" ht="12" customHeight="1" x14ac:dyDescent="0.25">
      <c r="A56" s="451"/>
      <c r="B56" s="850" t="s">
        <v>1391</v>
      </c>
      <c r="C56" s="851"/>
      <c r="D56" s="851"/>
      <c r="E56" s="851"/>
      <c r="F56" s="851"/>
      <c r="G56" s="851"/>
      <c r="H56" s="851"/>
      <c r="I56" s="851"/>
      <c r="J56" s="851"/>
      <c r="K56" s="851"/>
      <c r="L56" s="851"/>
      <c r="M56" s="851"/>
      <c r="N56" s="851"/>
      <c r="O56" s="851"/>
      <c r="P56" s="851"/>
      <c r="Q56" s="851"/>
      <c r="AY56" s="512"/>
      <c r="AZ56" s="512"/>
      <c r="BA56" s="512"/>
      <c r="BB56" s="512"/>
      <c r="BC56" s="512"/>
      <c r="BD56" s="662"/>
      <c r="BE56" s="662"/>
      <c r="BF56" s="662"/>
      <c r="BG56" s="512"/>
      <c r="BH56" s="512"/>
      <c r="BI56" s="512"/>
      <c r="BJ56" s="512"/>
    </row>
    <row r="57" spans="1:74" s="452" customFormat="1" ht="12" customHeight="1" x14ac:dyDescent="0.25">
      <c r="A57" s="453"/>
      <c r="B57" s="840" t="s">
        <v>1392</v>
      </c>
      <c r="C57" s="795"/>
      <c r="D57" s="795"/>
      <c r="E57" s="795"/>
      <c r="F57" s="795"/>
      <c r="G57" s="795"/>
      <c r="H57" s="795"/>
      <c r="I57" s="795"/>
      <c r="J57" s="795"/>
      <c r="K57" s="795"/>
      <c r="L57" s="795"/>
      <c r="M57" s="795"/>
      <c r="N57" s="795"/>
      <c r="O57" s="795"/>
      <c r="P57" s="795"/>
      <c r="Q57" s="791"/>
      <c r="AY57" s="512"/>
      <c r="AZ57" s="512"/>
      <c r="BA57" s="512"/>
      <c r="BB57" s="512"/>
      <c r="BC57" s="512"/>
      <c r="BD57" s="662"/>
      <c r="BE57" s="662"/>
      <c r="BF57" s="662"/>
      <c r="BG57" s="512"/>
      <c r="BH57" s="512"/>
      <c r="BI57" s="512"/>
      <c r="BJ57" s="512"/>
    </row>
    <row r="58" spans="1:74" s="452" customFormat="1" ht="12" customHeight="1" x14ac:dyDescent="0.25">
      <c r="A58" s="453"/>
      <c r="B58" s="840" t="s">
        <v>1393</v>
      </c>
      <c r="C58" s="795"/>
      <c r="D58" s="795"/>
      <c r="E58" s="795"/>
      <c r="F58" s="795"/>
      <c r="G58" s="795"/>
      <c r="H58" s="795"/>
      <c r="I58" s="795"/>
      <c r="J58" s="795"/>
      <c r="K58" s="795"/>
      <c r="L58" s="795"/>
      <c r="M58" s="795"/>
      <c r="N58" s="795"/>
      <c r="O58" s="795"/>
      <c r="P58" s="795"/>
      <c r="Q58" s="791"/>
      <c r="AY58" s="512"/>
      <c r="AZ58" s="512"/>
      <c r="BA58" s="512"/>
      <c r="BB58" s="512"/>
      <c r="BC58" s="512"/>
      <c r="BD58" s="662"/>
      <c r="BE58" s="662"/>
      <c r="BF58" s="662"/>
      <c r="BG58" s="512"/>
      <c r="BH58" s="512"/>
      <c r="BI58" s="512"/>
      <c r="BJ58" s="512"/>
    </row>
    <row r="59" spans="1:74" s="452" customFormat="1" ht="12" customHeight="1" x14ac:dyDescent="0.25">
      <c r="A59" s="453"/>
      <c r="B59" s="840" t="s">
        <v>1394</v>
      </c>
      <c r="C59" s="791"/>
      <c r="D59" s="791"/>
      <c r="E59" s="791"/>
      <c r="F59" s="791"/>
      <c r="G59" s="791"/>
      <c r="H59" s="791"/>
      <c r="I59" s="791"/>
      <c r="J59" s="791"/>
      <c r="K59" s="791"/>
      <c r="L59" s="791"/>
      <c r="M59" s="791"/>
      <c r="N59" s="791"/>
      <c r="O59" s="791"/>
      <c r="P59" s="791"/>
      <c r="Q59" s="791"/>
      <c r="AY59" s="512"/>
      <c r="AZ59" s="512"/>
      <c r="BA59" s="512"/>
      <c r="BB59" s="512"/>
      <c r="BC59" s="512"/>
      <c r="BD59" s="662"/>
      <c r="BE59" s="662"/>
      <c r="BF59" s="662"/>
      <c r="BG59" s="512"/>
      <c r="BH59" s="512"/>
      <c r="BI59" s="512"/>
      <c r="BJ59" s="512"/>
    </row>
    <row r="60" spans="1:74" s="452" customFormat="1" ht="12" customHeight="1" x14ac:dyDescent="0.25">
      <c r="A60" s="451"/>
      <c r="B60" s="794" t="s">
        <v>1395</v>
      </c>
      <c r="C60" s="852"/>
      <c r="D60" s="852"/>
      <c r="E60" s="852"/>
      <c r="F60" s="852"/>
      <c r="G60" s="852"/>
      <c r="H60" s="852"/>
      <c r="I60" s="852"/>
      <c r="J60" s="852"/>
      <c r="K60" s="852"/>
      <c r="L60" s="852"/>
      <c r="M60" s="852"/>
      <c r="N60" s="852"/>
      <c r="O60" s="852"/>
      <c r="P60" s="852"/>
      <c r="Q60" s="822"/>
      <c r="AY60" s="512"/>
      <c r="AZ60" s="512"/>
      <c r="BA60" s="512"/>
      <c r="BB60" s="512"/>
      <c r="BC60" s="512"/>
      <c r="BD60" s="662"/>
      <c r="BE60" s="662"/>
      <c r="BF60" s="662"/>
      <c r="BG60" s="512"/>
      <c r="BH60" s="512"/>
      <c r="BI60" s="512"/>
      <c r="BJ60" s="512"/>
    </row>
    <row r="61" spans="1:74" s="452" customFormat="1" ht="22.35" customHeight="1" x14ac:dyDescent="0.25">
      <c r="A61" s="451"/>
      <c r="B61" s="821" t="s">
        <v>1396</v>
      </c>
      <c r="C61" s="852"/>
      <c r="D61" s="852"/>
      <c r="E61" s="852"/>
      <c r="F61" s="852"/>
      <c r="G61" s="852"/>
      <c r="H61" s="852"/>
      <c r="I61" s="852"/>
      <c r="J61" s="852"/>
      <c r="K61" s="852"/>
      <c r="L61" s="852"/>
      <c r="M61" s="852"/>
      <c r="N61" s="852"/>
      <c r="O61" s="852"/>
      <c r="P61" s="852"/>
      <c r="Q61" s="822"/>
      <c r="AY61" s="512"/>
      <c r="AZ61" s="512"/>
      <c r="BA61" s="512"/>
      <c r="BB61" s="512"/>
      <c r="BC61" s="512"/>
      <c r="BD61" s="662"/>
      <c r="BE61" s="662"/>
      <c r="BF61" s="662"/>
      <c r="BG61" s="512"/>
      <c r="BH61" s="512"/>
      <c r="BI61" s="512"/>
      <c r="BJ61" s="512"/>
    </row>
    <row r="62" spans="1:74" s="452" customFormat="1" ht="12" customHeight="1" x14ac:dyDescent="0.25">
      <c r="A62" s="451"/>
      <c r="B62" s="821" t="s">
        <v>1397</v>
      </c>
      <c r="C62" s="852"/>
      <c r="D62" s="852"/>
      <c r="E62" s="852"/>
      <c r="F62" s="852"/>
      <c r="G62" s="852"/>
      <c r="H62" s="852"/>
      <c r="I62" s="852"/>
      <c r="J62" s="852"/>
      <c r="K62" s="852"/>
      <c r="L62" s="852"/>
      <c r="M62" s="852"/>
      <c r="N62" s="852"/>
      <c r="O62" s="852"/>
      <c r="P62" s="852"/>
      <c r="Q62" s="822"/>
      <c r="AY62" s="512"/>
      <c r="AZ62" s="512"/>
      <c r="BA62" s="512"/>
      <c r="BB62" s="512"/>
      <c r="BC62" s="512"/>
      <c r="BD62" s="662"/>
      <c r="BE62" s="662"/>
      <c r="BF62" s="662"/>
      <c r="BG62" s="512"/>
      <c r="BH62" s="512"/>
      <c r="BI62" s="512"/>
      <c r="BJ62" s="512"/>
    </row>
    <row r="63" spans="1:74" s="454" customFormat="1" ht="12" customHeight="1" x14ac:dyDescent="0.25">
      <c r="A63" s="429"/>
      <c r="B63" s="821" t="s">
        <v>1398</v>
      </c>
      <c r="C63" s="852"/>
      <c r="D63" s="852"/>
      <c r="E63" s="852"/>
      <c r="F63" s="852"/>
      <c r="G63" s="852"/>
      <c r="H63" s="852"/>
      <c r="I63" s="852"/>
      <c r="J63" s="852"/>
      <c r="K63" s="852"/>
      <c r="L63" s="852"/>
      <c r="M63" s="852"/>
      <c r="N63" s="852"/>
      <c r="O63" s="852"/>
      <c r="P63" s="852"/>
      <c r="Q63" s="822"/>
      <c r="AY63" s="506"/>
      <c r="AZ63" s="506"/>
      <c r="BA63" s="506"/>
      <c r="BB63" s="506"/>
      <c r="BC63" s="506"/>
      <c r="BD63" s="663"/>
      <c r="BE63" s="663"/>
      <c r="BF63" s="663"/>
      <c r="BG63" s="506"/>
      <c r="BH63" s="506"/>
      <c r="BI63" s="506"/>
      <c r="BJ63" s="506"/>
    </row>
    <row r="64" spans="1:74" ht="13.2" x14ac:dyDescent="0.2">
      <c r="A64" s="101"/>
      <c r="B64" s="821" t="s">
        <v>1399</v>
      </c>
      <c r="C64" s="822"/>
      <c r="D64" s="822"/>
      <c r="E64" s="822"/>
      <c r="F64" s="822"/>
      <c r="G64" s="822"/>
      <c r="H64" s="822"/>
      <c r="I64" s="822"/>
      <c r="J64" s="822"/>
      <c r="K64" s="822"/>
      <c r="L64" s="822"/>
      <c r="M64" s="822"/>
      <c r="N64" s="822"/>
      <c r="O64" s="822"/>
      <c r="P64" s="822"/>
      <c r="Q64" s="791"/>
      <c r="BK64" s="374"/>
      <c r="BL64" s="374"/>
      <c r="BM64" s="374"/>
      <c r="BN64" s="374"/>
      <c r="BO64" s="374"/>
      <c r="BP64" s="374"/>
      <c r="BQ64" s="374"/>
      <c r="BR64" s="374"/>
      <c r="BS64" s="374"/>
      <c r="BT64" s="374"/>
      <c r="BU64" s="374"/>
      <c r="BV64" s="374"/>
    </row>
    <row r="65" spans="1:74" ht="13.2" x14ac:dyDescent="0.2">
      <c r="A65" s="101"/>
      <c r="B65" s="811" t="s">
        <v>949</v>
      </c>
      <c r="C65" s="791"/>
      <c r="D65" s="791"/>
      <c r="E65" s="791"/>
      <c r="F65" s="791"/>
      <c r="G65" s="791"/>
      <c r="H65" s="791"/>
      <c r="I65" s="791"/>
      <c r="J65" s="791"/>
      <c r="K65" s="791"/>
      <c r="L65" s="791"/>
      <c r="M65" s="791"/>
      <c r="N65" s="791"/>
      <c r="O65" s="791"/>
      <c r="P65" s="791"/>
      <c r="Q65" s="791"/>
      <c r="BK65" s="374"/>
      <c r="BL65" s="374"/>
      <c r="BM65" s="374"/>
      <c r="BN65" s="374"/>
      <c r="BO65" s="374"/>
      <c r="BP65" s="374"/>
      <c r="BQ65" s="374"/>
      <c r="BR65" s="374"/>
      <c r="BS65" s="374"/>
      <c r="BT65" s="374"/>
      <c r="BU65" s="374"/>
      <c r="BV65" s="374"/>
    </row>
    <row r="66" spans="1:74" x14ac:dyDescent="0.2">
      <c r="BK66" s="374"/>
      <c r="BL66" s="374"/>
      <c r="BM66" s="374"/>
      <c r="BN66" s="374"/>
      <c r="BO66" s="374"/>
      <c r="BP66" s="374"/>
      <c r="BQ66" s="374"/>
      <c r="BR66" s="374"/>
      <c r="BS66" s="374"/>
      <c r="BT66" s="374"/>
      <c r="BU66" s="374"/>
      <c r="BV66" s="374"/>
    </row>
    <row r="67" spans="1:74" x14ac:dyDescent="0.2">
      <c r="BK67" s="374"/>
      <c r="BL67" s="374"/>
      <c r="BM67" s="374"/>
      <c r="BN67" s="374"/>
      <c r="BO67" s="374"/>
      <c r="BP67" s="374"/>
      <c r="BQ67" s="374"/>
      <c r="BR67" s="374"/>
      <c r="BS67" s="374"/>
      <c r="BT67" s="374"/>
      <c r="BU67" s="374"/>
      <c r="BV67" s="374"/>
    </row>
    <row r="68" spans="1:74" x14ac:dyDescent="0.2">
      <c r="BK68" s="374"/>
      <c r="BL68" s="374"/>
      <c r="BM68" s="374"/>
      <c r="BN68" s="374"/>
      <c r="BO68" s="374"/>
      <c r="BP68" s="374"/>
      <c r="BQ68" s="374"/>
      <c r="BR68" s="374"/>
      <c r="BS68" s="374"/>
      <c r="BT68" s="374"/>
      <c r="BU68" s="374"/>
      <c r="BV68" s="374"/>
    </row>
    <row r="69" spans="1:74" x14ac:dyDescent="0.2">
      <c r="BK69" s="374"/>
      <c r="BL69" s="374"/>
      <c r="BM69" s="374"/>
      <c r="BN69" s="374"/>
      <c r="BO69" s="374"/>
      <c r="BP69" s="374"/>
      <c r="BQ69" s="374"/>
      <c r="BR69" s="374"/>
      <c r="BS69" s="374"/>
      <c r="BT69" s="374"/>
      <c r="BU69" s="374"/>
      <c r="BV69" s="374"/>
    </row>
    <row r="70" spans="1:74" x14ac:dyDescent="0.2">
      <c r="BK70" s="374"/>
      <c r="BL70" s="374"/>
      <c r="BM70" s="374"/>
      <c r="BN70" s="374"/>
      <c r="BO70" s="374"/>
      <c r="BP70" s="374"/>
      <c r="BQ70" s="374"/>
      <c r="BR70" s="374"/>
      <c r="BS70" s="374"/>
      <c r="BT70" s="374"/>
      <c r="BU70" s="374"/>
      <c r="BV70" s="374"/>
    </row>
    <row r="71" spans="1:74" x14ac:dyDescent="0.2">
      <c r="BK71" s="374"/>
      <c r="BL71" s="374"/>
      <c r="BM71" s="374"/>
      <c r="BN71" s="374"/>
      <c r="BO71" s="374"/>
      <c r="BP71" s="374"/>
      <c r="BQ71" s="374"/>
      <c r="BR71" s="374"/>
      <c r="BS71" s="374"/>
      <c r="BT71" s="374"/>
      <c r="BU71" s="374"/>
      <c r="BV71" s="374"/>
    </row>
    <row r="72" spans="1:74" x14ac:dyDescent="0.2">
      <c r="BK72" s="374"/>
      <c r="BL72" s="374"/>
      <c r="BM72" s="374"/>
      <c r="BN72" s="374"/>
      <c r="BO72" s="374"/>
      <c r="BP72" s="374"/>
      <c r="BQ72" s="374"/>
      <c r="BR72" s="374"/>
      <c r="BS72" s="374"/>
      <c r="BT72" s="374"/>
      <c r="BU72" s="374"/>
      <c r="BV72" s="374"/>
    </row>
    <row r="73" spans="1:74" x14ac:dyDescent="0.2">
      <c r="BK73" s="374"/>
      <c r="BL73" s="374"/>
      <c r="BM73" s="374"/>
      <c r="BN73" s="374"/>
      <c r="BO73" s="374"/>
      <c r="BP73" s="374"/>
      <c r="BQ73" s="374"/>
      <c r="BR73" s="374"/>
      <c r="BS73" s="374"/>
      <c r="BT73" s="374"/>
      <c r="BU73" s="374"/>
      <c r="BV73" s="374"/>
    </row>
    <row r="74" spans="1:74" x14ac:dyDescent="0.2">
      <c r="BK74" s="374"/>
      <c r="BL74" s="374"/>
      <c r="BM74" s="374"/>
      <c r="BN74" s="374"/>
      <c r="BO74" s="374"/>
      <c r="BP74" s="374"/>
      <c r="BQ74" s="374"/>
      <c r="BR74" s="374"/>
      <c r="BS74" s="374"/>
      <c r="BT74" s="374"/>
      <c r="BU74" s="374"/>
      <c r="BV74" s="374"/>
    </row>
    <row r="75" spans="1:74" x14ac:dyDescent="0.2">
      <c r="BK75" s="374"/>
      <c r="BL75" s="374"/>
      <c r="BM75" s="374"/>
      <c r="BN75" s="374"/>
      <c r="BO75" s="374"/>
      <c r="BP75" s="374"/>
      <c r="BQ75" s="374"/>
      <c r="BR75" s="374"/>
      <c r="BS75" s="374"/>
      <c r="BT75" s="374"/>
      <c r="BU75" s="374"/>
      <c r="BV75" s="374"/>
    </row>
    <row r="76" spans="1:74" x14ac:dyDescent="0.2">
      <c r="BK76" s="374"/>
      <c r="BL76" s="374"/>
      <c r="BM76" s="374"/>
      <c r="BN76" s="374"/>
      <c r="BO76" s="374"/>
      <c r="BP76" s="374"/>
      <c r="BQ76" s="374"/>
      <c r="BR76" s="374"/>
      <c r="BS76" s="374"/>
      <c r="BT76" s="374"/>
      <c r="BU76" s="374"/>
      <c r="BV76" s="374"/>
    </row>
    <row r="77" spans="1:74" x14ac:dyDescent="0.2">
      <c r="BK77" s="374"/>
      <c r="BL77" s="374"/>
      <c r="BM77" s="374"/>
      <c r="BN77" s="374"/>
      <c r="BO77" s="374"/>
      <c r="BP77" s="374"/>
      <c r="BQ77" s="374"/>
      <c r="BR77" s="374"/>
      <c r="BS77" s="374"/>
      <c r="BT77" s="374"/>
      <c r="BU77" s="374"/>
      <c r="BV77" s="374"/>
    </row>
    <row r="78" spans="1:74" x14ac:dyDescent="0.2">
      <c r="BK78" s="374"/>
      <c r="BL78" s="374"/>
      <c r="BM78" s="374"/>
      <c r="BN78" s="374"/>
      <c r="BO78" s="374"/>
      <c r="BP78" s="374"/>
      <c r="BQ78" s="374"/>
      <c r="BR78" s="374"/>
      <c r="BS78" s="374"/>
      <c r="BT78" s="374"/>
      <c r="BU78" s="374"/>
      <c r="BV78" s="374"/>
    </row>
    <row r="79" spans="1:74" x14ac:dyDescent="0.2">
      <c r="BK79" s="374"/>
      <c r="BL79" s="374"/>
      <c r="BM79" s="374"/>
      <c r="BN79" s="374"/>
      <c r="BO79" s="374"/>
      <c r="BP79" s="374"/>
      <c r="BQ79" s="374"/>
      <c r="BR79" s="374"/>
      <c r="BS79" s="374"/>
      <c r="BT79" s="374"/>
      <c r="BU79" s="374"/>
      <c r="BV79" s="374"/>
    </row>
    <row r="80" spans="1:74" x14ac:dyDescent="0.2">
      <c r="BK80" s="374"/>
      <c r="BL80" s="374"/>
      <c r="BM80" s="374"/>
      <c r="BN80" s="374"/>
      <c r="BO80" s="374"/>
      <c r="BP80" s="374"/>
      <c r="BQ80" s="374"/>
      <c r="BR80" s="374"/>
      <c r="BS80" s="374"/>
      <c r="BT80" s="374"/>
      <c r="BU80" s="374"/>
      <c r="BV80" s="374"/>
    </row>
    <row r="81" spans="63:74" x14ac:dyDescent="0.2">
      <c r="BK81" s="374"/>
      <c r="BL81" s="374"/>
      <c r="BM81" s="374"/>
      <c r="BN81" s="374"/>
      <c r="BO81" s="374"/>
      <c r="BP81" s="374"/>
      <c r="BQ81" s="374"/>
      <c r="BR81" s="374"/>
      <c r="BS81" s="374"/>
      <c r="BT81" s="374"/>
      <c r="BU81" s="374"/>
      <c r="BV81" s="374"/>
    </row>
    <row r="82" spans="63:74" x14ac:dyDescent="0.2">
      <c r="BK82" s="374"/>
      <c r="BL82" s="374"/>
      <c r="BM82" s="374"/>
      <c r="BN82" s="374"/>
      <c r="BO82" s="374"/>
      <c r="BP82" s="374"/>
      <c r="BQ82" s="374"/>
      <c r="BR82" s="374"/>
      <c r="BS82" s="374"/>
      <c r="BT82" s="374"/>
      <c r="BU82" s="374"/>
      <c r="BV82" s="374"/>
    </row>
    <row r="83" spans="63:74" x14ac:dyDescent="0.2">
      <c r="BK83" s="374"/>
      <c r="BL83" s="374"/>
      <c r="BM83" s="374"/>
      <c r="BN83" s="374"/>
      <c r="BO83" s="374"/>
      <c r="BP83" s="374"/>
      <c r="BQ83" s="374"/>
      <c r="BR83" s="374"/>
      <c r="BS83" s="374"/>
      <c r="BT83" s="374"/>
      <c r="BU83" s="374"/>
      <c r="BV83" s="374"/>
    </row>
    <row r="84" spans="63:74" x14ac:dyDescent="0.2">
      <c r="BK84" s="374"/>
      <c r="BL84" s="374"/>
      <c r="BM84" s="374"/>
      <c r="BN84" s="374"/>
      <c r="BO84" s="374"/>
      <c r="BP84" s="374"/>
      <c r="BQ84" s="374"/>
      <c r="BR84" s="374"/>
      <c r="BS84" s="374"/>
      <c r="BT84" s="374"/>
      <c r="BU84" s="374"/>
      <c r="BV84" s="374"/>
    </row>
    <row r="85" spans="63:74" x14ac:dyDescent="0.2">
      <c r="BK85" s="374"/>
      <c r="BL85" s="374"/>
      <c r="BM85" s="374"/>
      <c r="BN85" s="374"/>
      <c r="BO85" s="374"/>
      <c r="BP85" s="374"/>
      <c r="BQ85" s="374"/>
      <c r="BR85" s="374"/>
      <c r="BS85" s="374"/>
      <c r="BT85" s="374"/>
      <c r="BU85" s="374"/>
      <c r="BV85" s="374"/>
    </row>
    <row r="86" spans="63:74" x14ac:dyDescent="0.2">
      <c r="BK86" s="374"/>
      <c r="BL86" s="374"/>
      <c r="BM86" s="374"/>
      <c r="BN86" s="374"/>
      <c r="BO86" s="374"/>
      <c r="BP86" s="374"/>
      <c r="BQ86" s="374"/>
      <c r="BR86" s="374"/>
      <c r="BS86" s="374"/>
      <c r="BT86" s="374"/>
      <c r="BU86" s="374"/>
      <c r="BV86" s="374"/>
    </row>
    <row r="87" spans="63:74" x14ac:dyDescent="0.2">
      <c r="BK87" s="374"/>
      <c r="BL87" s="374"/>
      <c r="BM87" s="374"/>
      <c r="BN87" s="374"/>
      <c r="BO87" s="374"/>
      <c r="BP87" s="374"/>
      <c r="BQ87" s="374"/>
      <c r="BR87" s="374"/>
      <c r="BS87" s="374"/>
      <c r="BT87" s="374"/>
      <c r="BU87" s="374"/>
      <c r="BV87" s="374"/>
    </row>
    <row r="88" spans="63:74" x14ac:dyDescent="0.2">
      <c r="BK88" s="374"/>
      <c r="BL88" s="374"/>
      <c r="BM88" s="374"/>
      <c r="BN88" s="374"/>
      <c r="BO88" s="374"/>
      <c r="BP88" s="374"/>
      <c r="BQ88" s="374"/>
      <c r="BR88" s="374"/>
      <c r="BS88" s="374"/>
      <c r="BT88" s="374"/>
      <c r="BU88" s="374"/>
      <c r="BV88" s="374"/>
    </row>
    <row r="89" spans="63:74" x14ac:dyDescent="0.2">
      <c r="BK89" s="374"/>
      <c r="BL89" s="374"/>
      <c r="BM89" s="374"/>
      <c r="BN89" s="374"/>
      <c r="BO89" s="374"/>
      <c r="BP89" s="374"/>
      <c r="BQ89" s="374"/>
      <c r="BR89" s="374"/>
      <c r="BS89" s="374"/>
      <c r="BT89" s="374"/>
      <c r="BU89" s="374"/>
      <c r="BV89" s="374"/>
    </row>
    <row r="90" spans="63:74" x14ac:dyDescent="0.2">
      <c r="BK90" s="374"/>
      <c r="BL90" s="374"/>
      <c r="BM90" s="374"/>
      <c r="BN90" s="374"/>
      <c r="BO90" s="374"/>
      <c r="BP90" s="374"/>
      <c r="BQ90" s="374"/>
      <c r="BR90" s="374"/>
      <c r="BS90" s="374"/>
      <c r="BT90" s="374"/>
      <c r="BU90" s="374"/>
      <c r="BV90" s="374"/>
    </row>
    <row r="91" spans="63:74" x14ac:dyDescent="0.2">
      <c r="BK91" s="374"/>
      <c r="BL91" s="374"/>
      <c r="BM91" s="374"/>
      <c r="BN91" s="374"/>
      <c r="BO91" s="374"/>
      <c r="BP91" s="374"/>
      <c r="BQ91" s="374"/>
      <c r="BR91" s="374"/>
      <c r="BS91" s="374"/>
      <c r="BT91" s="374"/>
      <c r="BU91" s="374"/>
      <c r="BV91" s="374"/>
    </row>
    <row r="92" spans="63:74" x14ac:dyDescent="0.2">
      <c r="BK92" s="374"/>
      <c r="BL92" s="374"/>
      <c r="BM92" s="374"/>
      <c r="BN92" s="374"/>
      <c r="BO92" s="374"/>
      <c r="BP92" s="374"/>
      <c r="BQ92" s="374"/>
      <c r="BR92" s="374"/>
      <c r="BS92" s="374"/>
      <c r="BT92" s="374"/>
      <c r="BU92" s="374"/>
      <c r="BV92" s="374"/>
    </row>
    <row r="93" spans="63:74" x14ac:dyDescent="0.2">
      <c r="BK93" s="374"/>
      <c r="BL93" s="374"/>
      <c r="BM93" s="374"/>
      <c r="BN93" s="374"/>
      <c r="BO93" s="374"/>
      <c r="BP93" s="374"/>
      <c r="BQ93" s="374"/>
      <c r="BR93" s="374"/>
      <c r="BS93" s="374"/>
      <c r="BT93" s="374"/>
      <c r="BU93" s="374"/>
      <c r="BV93" s="374"/>
    </row>
    <row r="94" spans="63:74" x14ac:dyDescent="0.2">
      <c r="BK94" s="374"/>
      <c r="BL94" s="374"/>
      <c r="BM94" s="374"/>
      <c r="BN94" s="374"/>
      <c r="BO94" s="374"/>
      <c r="BP94" s="374"/>
      <c r="BQ94" s="374"/>
      <c r="BR94" s="374"/>
      <c r="BS94" s="374"/>
      <c r="BT94" s="374"/>
      <c r="BU94" s="374"/>
      <c r="BV94" s="374"/>
    </row>
    <row r="95" spans="63:74" x14ac:dyDescent="0.2">
      <c r="BK95" s="374"/>
      <c r="BL95" s="374"/>
      <c r="BM95" s="374"/>
      <c r="BN95" s="374"/>
      <c r="BO95" s="374"/>
      <c r="BP95" s="374"/>
      <c r="BQ95" s="374"/>
      <c r="BR95" s="374"/>
      <c r="BS95" s="374"/>
      <c r="BT95" s="374"/>
      <c r="BU95" s="374"/>
      <c r="BV95" s="374"/>
    </row>
    <row r="96" spans="63:74" x14ac:dyDescent="0.2">
      <c r="BK96" s="374"/>
      <c r="BL96" s="374"/>
      <c r="BM96" s="374"/>
      <c r="BN96" s="374"/>
      <c r="BO96" s="374"/>
      <c r="BP96" s="374"/>
      <c r="BQ96" s="374"/>
      <c r="BR96" s="374"/>
      <c r="BS96" s="374"/>
      <c r="BT96" s="374"/>
      <c r="BU96" s="374"/>
      <c r="BV96" s="374"/>
    </row>
    <row r="97" spans="63:74" x14ac:dyDescent="0.2">
      <c r="BK97" s="374"/>
      <c r="BL97" s="374"/>
      <c r="BM97" s="374"/>
      <c r="BN97" s="374"/>
      <c r="BO97" s="374"/>
      <c r="BP97" s="374"/>
      <c r="BQ97" s="374"/>
      <c r="BR97" s="374"/>
      <c r="BS97" s="374"/>
      <c r="BT97" s="374"/>
      <c r="BU97" s="374"/>
      <c r="BV97" s="374"/>
    </row>
    <row r="98" spans="63:74" x14ac:dyDescent="0.2">
      <c r="BK98" s="374"/>
      <c r="BL98" s="374"/>
      <c r="BM98" s="374"/>
      <c r="BN98" s="374"/>
      <c r="BO98" s="374"/>
      <c r="BP98" s="374"/>
      <c r="BQ98" s="374"/>
      <c r="BR98" s="374"/>
      <c r="BS98" s="374"/>
      <c r="BT98" s="374"/>
      <c r="BU98" s="374"/>
      <c r="BV98" s="374"/>
    </row>
    <row r="99" spans="63:74" x14ac:dyDescent="0.2">
      <c r="BK99" s="374"/>
      <c r="BL99" s="374"/>
      <c r="BM99" s="374"/>
      <c r="BN99" s="374"/>
      <c r="BO99" s="374"/>
      <c r="BP99" s="374"/>
      <c r="BQ99" s="374"/>
      <c r="BR99" s="374"/>
      <c r="BS99" s="374"/>
      <c r="BT99" s="374"/>
      <c r="BU99" s="374"/>
      <c r="BV99" s="374"/>
    </row>
    <row r="100" spans="63:74" x14ac:dyDescent="0.2">
      <c r="BK100" s="374"/>
      <c r="BL100" s="374"/>
      <c r="BM100" s="374"/>
      <c r="BN100" s="374"/>
      <c r="BO100" s="374"/>
      <c r="BP100" s="374"/>
      <c r="BQ100" s="374"/>
      <c r="BR100" s="374"/>
      <c r="BS100" s="374"/>
      <c r="BT100" s="374"/>
      <c r="BU100" s="374"/>
      <c r="BV100" s="374"/>
    </row>
    <row r="101" spans="63:74" x14ac:dyDescent="0.2">
      <c r="BK101" s="374"/>
      <c r="BL101" s="374"/>
      <c r="BM101" s="374"/>
      <c r="BN101" s="374"/>
      <c r="BO101" s="374"/>
      <c r="BP101" s="374"/>
      <c r="BQ101" s="374"/>
      <c r="BR101" s="374"/>
      <c r="BS101" s="374"/>
      <c r="BT101" s="374"/>
      <c r="BU101" s="374"/>
      <c r="BV101" s="374"/>
    </row>
    <row r="102" spans="63:74" x14ac:dyDescent="0.2">
      <c r="BK102" s="374"/>
      <c r="BL102" s="374"/>
      <c r="BM102" s="374"/>
      <c r="BN102" s="374"/>
      <c r="BO102" s="374"/>
      <c r="BP102" s="374"/>
      <c r="BQ102" s="374"/>
      <c r="BR102" s="374"/>
      <c r="BS102" s="374"/>
      <c r="BT102" s="374"/>
      <c r="BU102" s="374"/>
      <c r="BV102" s="374"/>
    </row>
    <row r="103" spans="63:74" x14ac:dyDescent="0.2">
      <c r="BK103" s="374"/>
      <c r="BL103" s="374"/>
      <c r="BM103" s="374"/>
      <c r="BN103" s="374"/>
      <c r="BO103" s="374"/>
      <c r="BP103" s="374"/>
      <c r="BQ103" s="374"/>
      <c r="BR103" s="374"/>
      <c r="BS103" s="374"/>
      <c r="BT103" s="374"/>
      <c r="BU103" s="374"/>
      <c r="BV103" s="374"/>
    </row>
    <row r="104" spans="63:74" x14ac:dyDescent="0.2">
      <c r="BK104" s="374"/>
      <c r="BL104" s="374"/>
      <c r="BM104" s="374"/>
      <c r="BN104" s="374"/>
      <c r="BO104" s="374"/>
      <c r="BP104" s="374"/>
      <c r="BQ104" s="374"/>
      <c r="BR104" s="374"/>
      <c r="BS104" s="374"/>
      <c r="BT104" s="374"/>
      <c r="BU104" s="374"/>
      <c r="BV104" s="374"/>
    </row>
    <row r="105" spans="63:74" x14ac:dyDescent="0.2">
      <c r="BK105" s="374"/>
      <c r="BL105" s="374"/>
      <c r="BM105" s="374"/>
      <c r="BN105" s="374"/>
      <c r="BO105" s="374"/>
      <c r="BP105" s="374"/>
      <c r="BQ105" s="374"/>
      <c r="BR105" s="374"/>
      <c r="BS105" s="374"/>
      <c r="BT105" s="374"/>
      <c r="BU105" s="374"/>
      <c r="BV105" s="374"/>
    </row>
    <row r="106" spans="63:74" x14ac:dyDescent="0.2">
      <c r="BK106" s="374"/>
      <c r="BL106" s="374"/>
      <c r="BM106" s="374"/>
      <c r="BN106" s="374"/>
      <c r="BO106" s="374"/>
      <c r="BP106" s="374"/>
      <c r="BQ106" s="374"/>
      <c r="BR106" s="374"/>
      <c r="BS106" s="374"/>
      <c r="BT106" s="374"/>
      <c r="BU106" s="374"/>
      <c r="BV106" s="374"/>
    </row>
    <row r="107" spans="63:74" x14ac:dyDescent="0.2">
      <c r="BK107" s="374"/>
      <c r="BL107" s="374"/>
      <c r="BM107" s="374"/>
      <c r="BN107" s="374"/>
      <c r="BO107" s="374"/>
      <c r="BP107" s="374"/>
      <c r="BQ107" s="374"/>
      <c r="BR107" s="374"/>
      <c r="BS107" s="374"/>
      <c r="BT107" s="374"/>
      <c r="BU107" s="374"/>
      <c r="BV107" s="374"/>
    </row>
    <row r="108" spans="63:74" x14ac:dyDescent="0.2">
      <c r="BK108" s="374"/>
      <c r="BL108" s="374"/>
      <c r="BM108" s="374"/>
      <c r="BN108" s="374"/>
      <c r="BO108" s="374"/>
      <c r="BP108" s="374"/>
      <c r="BQ108" s="374"/>
      <c r="BR108" s="374"/>
      <c r="BS108" s="374"/>
      <c r="BT108" s="374"/>
      <c r="BU108" s="374"/>
      <c r="BV108" s="374"/>
    </row>
    <row r="109" spans="63:74" x14ac:dyDescent="0.2">
      <c r="BK109" s="374"/>
      <c r="BL109" s="374"/>
      <c r="BM109" s="374"/>
      <c r="BN109" s="374"/>
      <c r="BO109" s="374"/>
      <c r="BP109" s="374"/>
      <c r="BQ109" s="374"/>
      <c r="BR109" s="374"/>
      <c r="BS109" s="374"/>
      <c r="BT109" s="374"/>
      <c r="BU109" s="374"/>
      <c r="BV109" s="374"/>
    </row>
    <row r="110" spans="63:74" x14ac:dyDescent="0.2">
      <c r="BK110" s="374"/>
      <c r="BL110" s="374"/>
      <c r="BM110" s="374"/>
      <c r="BN110" s="374"/>
      <c r="BO110" s="374"/>
      <c r="BP110" s="374"/>
      <c r="BQ110" s="374"/>
      <c r="BR110" s="374"/>
      <c r="BS110" s="374"/>
      <c r="BT110" s="374"/>
      <c r="BU110" s="374"/>
      <c r="BV110" s="374"/>
    </row>
    <row r="111" spans="63:74" x14ac:dyDescent="0.2">
      <c r="BK111" s="374"/>
      <c r="BL111" s="374"/>
      <c r="BM111" s="374"/>
      <c r="BN111" s="374"/>
      <c r="BO111" s="374"/>
      <c r="BP111" s="374"/>
      <c r="BQ111" s="374"/>
      <c r="BR111" s="374"/>
      <c r="BS111" s="374"/>
      <c r="BT111" s="374"/>
      <c r="BU111" s="374"/>
      <c r="BV111" s="374"/>
    </row>
    <row r="112" spans="63:74" x14ac:dyDescent="0.2">
      <c r="BK112" s="374"/>
      <c r="BL112" s="374"/>
      <c r="BM112" s="374"/>
      <c r="BN112" s="374"/>
      <c r="BO112" s="374"/>
      <c r="BP112" s="374"/>
      <c r="BQ112" s="374"/>
      <c r="BR112" s="374"/>
      <c r="BS112" s="374"/>
      <c r="BT112" s="374"/>
      <c r="BU112" s="374"/>
      <c r="BV112" s="374"/>
    </row>
    <row r="113" spans="63:74" x14ac:dyDescent="0.2">
      <c r="BK113" s="374"/>
      <c r="BL113" s="374"/>
      <c r="BM113" s="374"/>
      <c r="BN113" s="374"/>
      <c r="BO113" s="374"/>
      <c r="BP113" s="374"/>
      <c r="BQ113" s="374"/>
      <c r="BR113" s="374"/>
      <c r="BS113" s="374"/>
      <c r="BT113" s="374"/>
      <c r="BU113" s="374"/>
      <c r="BV113" s="374"/>
    </row>
    <row r="114" spans="63:74" x14ac:dyDescent="0.2">
      <c r="BK114" s="374"/>
      <c r="BL114" s="374"/>
      <c r="BM114" s="374"/>
      <c r="BN114" s="374"/>
      <c r="BO114" s="374"/>
      <c r="BP114" s="374"/>
      <c r="BQ114" s="374"/>
      <c r="BR114" s="374"/>
      <c r="BS114" s="374"/>
      <c r="BT114" s="374"/>
      <c r="BU114" s="374"/>
      <c r="BV114" s="374"/>
    </row>
    <row r="115" spans="63:74" x14ac:dyDescent="0.2">
      <c r="BK115" s="374"/>
      <c r="BL115" s="374"/>
      <c r="BM115" s="374"/>
      <c r="BN115" s="374"/>
      <c r="BO115" s="374"/>
      <c r="BP115" s="374"/>
      <c r="BQ115" s="374"/>
      <c r="BR115" s="374"/>
      <c r="BS115" s="374"/>
      <c r="BT115" s="374"/>
      <c r="BU115" s="374"/>
      <c r="BV115" s="374"/>
    </row>
    <row r="116" spans="63:74" x14ac:dyDescent="0.2">
      <c r="BK116" s="374"/>
      <c r="BL116" s="374"/>
      <c r="BM116" s="374"/>
      <c r="BN116" s="374"/>
      <c r="BO116" s="374"/>
      <c r="BP116" s="374"/>
      <c r="BQ116" s="374"/>
      <c r="BR116" s="374"/>
      <c r="BS116" s="374"/>
      <c r="BT116" s="374"/>
      <c r="BU116" s="374"/>
      <c r="BV116" s="374"/>
    </row>
    <row r="117" spans="63:74" x14ac:dyDescent="0.2">
      <c r="BK117" s="374"/>
      <c r="BL117" s="374"/>
      <c r="BM117" s="374"/>
      <c r="BN117" s="374"/>
      <c r="BO117" s="374"/>
      <c r="BP117" s="374"/>
      <c r="BQ117" s="374"/>
      <c r="BR117" s="374"/>
      <c r="BS117" s="374"/>
      <c r="BT117" s="374"/>
      <c r="BU117" s="374"/>
      <c r="BV117" s="374"/>
    </row>
    <row r="118" spans="63:74" x14ac:dyDescent="0.2">
      <c r="BK118" s="374"/>
      <c r="BL118" s="374"/>
      <c r="BM118" s="374"/>
      <c r="BN118" s="374"/>
      <c r="BO118" s="374"/>
      <c r="BP118" s="374"/>
      <c r="BQ118" s="374"/>
      <c r="BR118" s="374"/>
      <c r="BS118" s="374"/>
      <c r="BT118" s="374"/>
      <c r="BU118" s="374"/>
      <c r="BV118" s="374"/>
    </row>
    <row r="119" spans="63:74" x14ac:dyDescent="0.2">
      <c r="BK119" s="374"/>
      <c r="BL119" s="374"/>
      <c r="BM119" s="374"/>
      <c r="BN119" s="374"/>
      <c r="BO119" s="374"/>
      <c r="BP119" s="374"/>
      <c r="BQ119" s="374"/>
      <c r="BR119" s="374"/>
      <c r="BS119" s="374"/>
      <c r="BT119" s="374"/>
      <c r="BU119" s="374"/>
      <c r="BV119" s="374"/>
    </row>
    <row r="120" spans="63:74" x14ac:dyDescent="0.2">
      <c r="BK120" s="374"/>
      <c r="BL120" s="374"/>
      <c r="BM120" s="374"/>
      <c r="BN120" s="374"/>
      <c r="BO120" s="374"/>
      <c r="BP120" s="374"/>
      <c r="BQ120" s="374"/>
      <c r="BR120" s="374"/>
      <c r="BS120" s="374"/>
      <c r="BT120" s="374"/>
      <c r="BU120" s="374"/>
      <c r="BV120" s="374"/>
    </row>
    <row r="121" spans="63:74" x14ac:dyDescent="0.2">
      <c r="BK121" s="374"/>
      <c r="BL121" s="374"/>
      <c r="BM121" s="374"/>
      <c r="BN121" s="374"/>
      <c r="BO121" s="374"/>
      <c r="BP121" s="374"/>
      <c r="BQ121" s="374"/>
      <c r="BR121" s="374"/>
      <c r="BS121" s="374"/>
      <c r="BT121" s="374"/>
      <c r="BU121" s="374"/>
      <c r="BV121" s="374"/>
    </row>
    <row r="122" spans="63:74" x14ac:dyDescent="0.2">
      <c r="BK122" s="374"/>
      <c r="BL122" s="374"/>
      <c r="BM122" s="374"/>
      <c r="BN122" s="374"/>
      <c r="BO122" s="374"/>
      <c r="BP122" s="374"/>
      <c r="BQ122" s="374"/>
      <c r="BR122" s="374"/>
      <c r="BS122" s="374"/>
      <c r="BT122" s="374"/>
      <c r="BU122" s="374"/>
      <c r="BV122" s="374"/>
    </row>
    <row r="123" spans="63:74" x14ac:dyDescent="0.2">
      <c r="BK123" s="374"/>
      <c r="BL123" s="374"/>
      <c r="BM123" s="374"/>
      <c r="BN123" s="374"/>
      <c r="BO123" s="374"/>
      <c r="BP123" s="374"/>
      <c r="BQ123" s="374"/>
      <c r="BR123" s="374"/>
      <c r="BS123" s="374"/>
      <c r="BT123" s="374"/>
      <c r="BU123" s="374"/>
      <c r="BV123" s="374"/>
    </row>
    <row r="124" spans="63:74" x14ac:dyDescent="0.2">
      <c r="BK124" s="374"/>
      <c r="BL124" s="374"/>
      <c r="BM124" s="374"/>
      <c r="BN124" s="374"/>
      <c r="BO124" s="374"/>
      <c r="BP124" s="374"/>
      <c r="BQ124" s="374"/>
      <c r="BR124" s="374"/>
      <c r="BS124" s="374"/>
      <c r="BT124" s="374"/>
      <c r="BU124" s="374"/>
      <c r="BV124" s="374"/>
    </row>
    <row r="125" spans="63:74" x14ac:dyDescent="0.2">
      <c r="BK125" s="374"/>
      <c r="BL125" s="374"/>
      <c r="BM125" s="374"/>
      <c r="BN125" s="374"/>
      <c r="BO125" s="374"/>
      <c r="BP125" s="374"/>
      <c r="BQ125" s="374"/>
      <c r="BR125" s="374"/>
      <c r="BS125" s="374"/>
      <c r="BT125" s="374"/>
      <c r="BU125" s="374"/>
      <c r="BV125" s="374"/>
    </row>
    <row r="126" spans="63:74" x14ac:dyDescent="0.2">
      <c r="BK126" s="374"/>
      <c r="BL126" s="374"/>
      <c r="BM126" s="374"/>
      <c r="BN126" s="374"/>
      <c r="BO126" s="374"/>
      <c r="BP126" s="374"/>
      <c r="BQ126" s="374"/>
      <c r="BR126" s="374"/>
      <c r="BS126" s="374"/>
      <c r="BT126" s="374"/>
      <c r="BU126" s="374"/>
      <c r="BV126" s="374"/>
    </row>
    <row r="127" spans="63:74" x14ac:dyDescent="0.2">
      <c r="BK127" s="374"/>
      <c r="BL127" s="374"/>
      <c r="BM127" s="374"/>
      <c r="BN127" s="374"/>
      <c r="BO127" s="374"/>
      <c r="BP127" s="374"/>
      <c r="BQ127" s="374"/>
      <c r="BR127" s="374"/>
      <c r="BS127" s="374"/>
      <c r="BT127" s="374"/>
      <c r="BU127" s="374"/>
      <c r="BV127" s="374"/>
    </row>
    <row r="128" spans="63:74" x14ac:dyDescent="0.2">
      <c r="BK128" s="374"/>
      <c r="BL128" s="374"/>
      <c r="BM128" s="374"/>
      <c r="BN128" s="374"/>
      <c r="BO128" s="374"/>
      <c r="BP128" s="374"/>
      <c r="BQ128" s="374"/>
      <c r="BR128" s="374"/>
      <c r="BS128" s="374"/>
      <c r="BT128" s="374"/>
      <c r="BU128" s="374"/>
      <c r="BV128" s="374"/>
    </row>
    <row r="129" spans="63:74" x14ac:dyDescent="0.2">
      <c r="BK129" s="374"/>
      <c r="BL129" s="374"/>
      <c r="BM129" s="374"/>
      <c r="BN129" s="374"/>
      <c r="BO129" s="374"/>
      <c r="BP129" s="374"/>
      <c r="BQ129" s="374"/>
      <c r="BR129" s="374"/>
      <c r="BS129" s="374"/>
      <c r="BT129" s="374"/>
      <c r="BU129" s="374"/>
      <c r="BV129" s="374"/>
    </row>
    <row r="130" spans="63:74" x14ac:dyDescent="0.2">
      <c r="BK130" s="374"/>
      <c r="BL130" s="374"/>
      <c r="BM130" s="374"/>
      <c r="BN130" s="374"/>
      <c r="BO130" s="374"/>
      <c r="BP130" s="374"/>
      <c r="BQ130" s="374"/>
      <c r="BR130" s="374"/>
      <c r="BS130" s="374"/>
      <c r="BT130" s="374"/>
      <c r="BU130" s="374"/>
      <c r="BV130" s="374"/>
    </row>
    <row r="131" spans="63:74" x14ac:dyDescent="0.2">
      <c r="BK131" s="374"/>
      <c r="BL131" s="374"/>
      <c r="BM131" s="374"/>
      <c r="BN131" s="374"/>
      <c r="BO131" s="374"/>
      <c r="BP131" s="374"/>
      <c r="BQ131" s="374"/>
      <c r="BR131" s="374"/>
      <c r="BS131" s="374"/>
      <c r="BT131" s="374"/>
      <c r="BU131" s="374"/>
      <c r="BV131" s="374"/>
    </row>
    <row r="132" spans="63:74" x14ac:dyDescent="0.2">
      <c r="BK132" s="374"/>
      <c r="BL132" s="374"/>
      <c r="BM132" s="374"/>
      <c r="BN132" s="374"/>
      <c r="BO132" s="374"/>
      <c r="BP132" s="374"/>
      <c r="BQ132" s="374"/>
      <c r="BR132" s="374"/>
      <c r="BS132" s="374"/>
      <c r="BT132" s="374"/>
      <c r="BU132" s="374"/>
      <c r="BV132" s="374"/>
    </row>
    <row r="133" spans="63:74" x14ac:dyDescent="0.2">
      <c r="BK133" s="374"/>
      <c r="BL133" s="374"/>
      <c r="BM133" s="374"/>
      <c r="BN133" s="374"/>
      <c r="BO133" s="374"/>
      <c r="BP133" s="374"/>
      <c r="BQ133" s="374"/>
      <c r="BR133" s="374"/>
      <c r="BS133" s="374"/>
      <c r="BT133" s="374"/>
      <c r="BU133" s="374"/>
      <c r="BV133" s="374"/>
    </row>
    <row r="134" spans="63:74" x14ac:dyDescent="0.2">
      <c r="BK134" s="374"/>
      <c r="BL134" s="374"/>
      <c r="BM134" s="374"/>
      <c r="BN134" s="374"/>
      <c r="BO134" s="374"/>
      <c r="BP134" s="374"/>
      <c r="BQ134" s="374"/>
      <c r="BR134" s="374"/>
      <c r="BS134" s="374"/>
      <c r="BT134" s="374"/>
      <c r="BU134" s="374"/>
      <c r="BV134" s="374"/>
    </row>
    <row r="135" spans="63:74" x14ac:dyDescent="0.2">
      <c r="BK135" s="374"/>
      <c r="BL135" s="374"/>
      <c r="BM135" s="374"/>
      <c r="BN135" s="374"/>
      <c r="BO135" s="374"/>
      <c r="BP135" s="374"/>
      <c r="BQ135" s="374"/>
      <c r="BR135" s="374"/>
      <c r="BS135" s="374"/>
      <c r="BT135" s="374"/>
      <c r="BU135" s="374"/>
      <c r="BV135" s="374"/>
    </row>
    <row r="136" spans="63:74" x14ac:dyDescent="0.2">
      <c r="BK136" s="374"/>
      <c r="BL136" s="374"/>
      <c r="BM136" s="374"/>
      <c r="BN136" s="374"/>
      <c r="BO136" s="374"/>
      <c r="BP136" s="374"/>
      <c r="BQ136" s="374"/>
      <c r="BR136" s="374"/>
      <c r="BS136" s="374"/>
      <c r="BT136" s="374"/>
      <c r="BU136" s="374"/>
      <c r="BV136" s="374"/>
    </row>
    <row r="137" spans="63:74" x14ac:dyDescent="0.2">
      <c r="BK137" s="374"/>
      <c r="BL137" s="374"/>
      <c r="BM137" s="374"/>
      <c r="BN137" s="374"/>
      <c r="BO137" s="374"/>
      <c r="BP137" s="374"/>
      <c r="BQ137" s="374"/>
      <c r="BR137" s="374"/>
      <c r="BS137" s="374"/>
      <c r="BT137" s="374"/>
      <c r="BU137" s="374"/>
      <c r="BV137" s="374"/>
    </row>
    <row r="138" spans="63:74" x14ac:dyDescent="0.2">
      <c r="BK138" s="374"/>
      <c r="BL138" s="374"/>
      <c r="BM138" s="374"/>
      <c r="BN138" s="374"/>
      <c r="BO138" s="374"/>
      <c r="BP138" s="374"/>
      <c r="BQ138" s="374"/>
      <c r="BR138" s="374"/>
      <c r="BS138" s="374"/>
      <c r="BT138" s="374"/>
      <c r="BU138" s="374"/>
      <c r="BV138" s="374"/>
    </row>
    <row r="139" spans="63:74" x14ac:dyDescent="0.2">
      <c r="BK139" s="374"/>
      <c r="BL139" s="374"/>
      <c r="BM139" s="374"/>
      <c r="BN139" s="374"/>
      <c r="BO139" s="374"/>
      <c r="BP139" s="374"/>
      <c r="BQ139" s="374"/>
      <c r="BR139" s="374"/>
      <c r="BS139" s="374"/>
      <c r="BT139" s="374"/>
      <c r="BU139" s="374"/>
      <c r="BV139" s="374"/>
    </row>
    <row r="140" spans="63:74" x14ac:dyDescent="0.2">
      <c r="BK140" s="374"/>
      <c r="BL140" s="374"/>
      <c r="BM140" s="374"/>
      <c r="BN140" s="374"/>
      <c r="BO140" s="374"/>
      <c r="BP140" s="374"/>
      <c r="BQ140" s="374"/>
      <c r="BR140" s="374"/>
      <c r="BS140" s="374"/>
      <c r="BT140" s="374"/>
      <c r="BU140" s="374"/>
      <c r="BV140" s="374"/>
    </row>
    <row r="141" spans="63:74" x14ac:dyDescent="0.2">
      <c r="BK141" s="374"/>
      <c r="BL141" s="374"/>
      <c r="BM141" s="374"/>
      <c r="BN141" s="374"/>
      <c r="BO141" s="374"/>
      <c r="BP141" s="374"/>
      <c r="BQ141" s="374"/>
      <c r="BR141" s="374"/>
      <c r="BS141" s="374"/>
      <c r="BT141" s="374"/>
      <c r="BU141" s="374"/>
      <c r="BV141" s="374"/>
    </row>
    <row r="142" spans="63:74" x14ac:dyDescent="0.2">
      <c r="BK142" s="374"/>
      <c r="BL142" s="374"/>
      <c r="BM142" s="374"/>
      <c r="BN142" s="374"/>
      <c r="BO142" s="374"/>
      <c r="BP142" s="374"/>
      <c r="BQ142" s="374"/>
      <c r="BR142" s="374"/>
      <c r="BS142" s="374"/>
      <c r="BT142" s="374"/>
      <c r="BU142" s="374"/>
      <c r="BV142" s="374"/>
    </row>
    <row r="143" spans="63:74" x14ac:dyDescent="0.2">
      <c r="BK143" s="374"/>
      <c r="BL143" s="374"/>
      <c r="BM143" s="374"/>
      <c r="BN143" s="374"/>
      <c r="BO143" s="374"/>
      <c r="BP143" s="374"/>
      <c r="BQ143" s="374"/>
      <c r="BR143" s="374"/>
      <c r="BS143" s="374"/>
      <c r="BT143" s="374"/>
      <c r="BU143" s="374"/>
      <c r="BV143" s="374"/>
    </row>
    <row r="144" spans="63:74" x14ac:dyDescent="0.2">
      <c r="BK144" s="374"/>
      <c r="BL144" s="374"/>
      <c r="BM144" s="374"/>
      <c r="BN144" s="374"/>
      <c r="BO144" s="374"/>
      <c r="BP144" s="374"/>
      <c r="BQ144" s="374"/>
      <c r="BR144" s="374"/>
      <c r="BS144" s="374"/>
      <c r="BT144" s="374"/>
      <c r="BU144" s="374"/>
      <c r="BV144" s="374"/>
    </row>
    <row r="145" spans="63:74" x14ac:dyDescent="0.2">
      <c r="BK145" s="374"/>
      <c r="BL145" s="374"/>
      <c r="BM145" s="374"/>
      <c r="BN145" s="374"/>
      <c r="BO145" s="374"/>
      <c r="BP145" s="374"/>
      <c r="BQ145" s="374"/>
      <c r="BR145" s="374"/>
      <c r="BS145" s="374"/>
      <c r="BT145" s="374"/>
      <c r="BU145" s="374"/>
      <c r="BV145" s="374"/>
    </row>
    <row r="146" spans="63:74" x14ac:dyDescent="0.2">
      <c r="BK146" s="374"/>
      <c r="BL146" s="374"/>
      <c r="BM146" s="374"/>
      <c r="BN146" s="374"/>
      <c r="BO146" s="374"/>
      <c r="BP146" s="374"/>
      <c r="BQ146" s="374"/>
      <c r="BR146" s="374"/>
      <c r="BS146" s="374"/>
      <c r="BT146" s="374"/>
      <c r="BU146" s="374"/>
      <c r="BV146" s="374"/>
    </row>
    <row r="147" spans="63:74" x14ac:dyDescent="0.2">
      <c r="BK147" s="374"/>
      <c r="BL147" s="374"/>
      <c r="BM147" s="374"/>
      <c r="BN147" s="374"/>
      <c r="BO147" s="374"/>
      <c r="BP147" s="374"/>
      <c r="BQ147" s="374"/>
      <c r="BR147" s="374"/>
      <c r="BS147" s="374"/>
      <c r="BT147" s="374"/>
      <c r="BU147" s="374"/>
      <c r="BV147" s="374"/>
    </row>
    <row r="148" spans="63:74" x14ac:dyDescent="0.2">
      <c r="BK148" s="374"/>
      <c r="BL148" s="374"/>
      <c r="BM148" s="374"/>
      <c r="BN148" s="374"/>
      <c r="BO148" s="374"/>
      <c r="BP148" s="374"/>
      <c r="BQ148" s="374"/>
      <c r="BR148" s="374"/>
      <c r="BS148" s="374"/>
      <c r="BT148" s="374"/>
      <c r="BU148" s="374"/>
      <c r="BV148" s="374"/>
    </row>
    <row r="149" spans="63:74" x14ac:dyDescent="0.2">
      <c r="BK149" s="374"/>
      <c r="BL149" s="374"/>
      <c r="BM149" s="374"/>
      <c r="BN149" s="374"/>
      <c r="BO149" s="374"/>
      <c r="BP149" s="374"/>
      <c r="BQ149" s="374"/>
      <c r="BR149" s="374"/>
      <c r="BS149" s="374"/>
      <c r="BT149" s="374"/>
      <c r="BU149" s="374"/>
      <c r="BV149" s="374"/>
    </row>
    <row r="150" spans="63:74" x14ac:dyDescent="0.2">
      <c r="BK150" s="374"/>
      <c r="BL150" s="374"/>
      <c r="BM150" s="374"/>
      <c r="BN150" s="374"/>
      <c r="BO150" s="374"/>
      <c r="BP150" s="374"/>
      <c r="BQ150" s="374"/>
      <c r="BR150" s="374"/>
      <c r="BS150" s="374"/>
      <c r="BT150" s="374"/>
      <c r="BU150" s="374"/>
      <c r="BV150" s="374"/>
    </row>
    <row r="151" spans="63:74" x14ac:dyDescent="0.2">
      <c r="BK151" s="374"/>
      <c r="BL151" s="374"/>
      <c r="BM151" s="374"/>
      <c r="BN151" s="374"/>
      <c r="BO151" s="374"/>
      <c r="BP151" s="374"/>
      <c r="BQ151" s="374"/>
      <c r="BR151" s="374"/>
      <c r="BS151" s="374"/>
      <c r="BT151" s="374"/>
      <c r="BU151" s="374"/>
      <c r="BV151" s="374"/>
    </row>
    <row r="152" spans="63:74" x14ac:dyDescent="0.2">
      <c r="BK152" s="374"/>
      <c r="BL152" s="374"/>
      <c r="BM152" s="374"/>
      <c r="BN152" s="374"/>
      <c r="BO152" s="374"/>
      <c r="BP152" s="374"/>
      <c r="BQ152" s="374"/>
      <c r="BR152" s="374"/>
      <c r="BS152" s="374"/>
      <c r="BT152" s="374"/>
      <c r="BU152" s="374"/>
      <c r="BV152" s="374"/>
    </row>
    <row r="153" spans="63:74" x14ac:dyDescent="0.2">
      <c r="BK153" s="374"/>
      <c r="BL153" s="374"/>
      <c r="BM153" s="374"/>
      <c r="BN153" s="374"/>
      <c r="BO153" s="374"/>
      <c r="BP153" s="374"/>
      <c r="BQ153" s="374"/>
      <c r="BR153" s="374"/>
      <c r="BS153" s="374"/>
      <c r="BT153" s="374"/>
      <c r="BU153" s="374"/>
      <c r="BV153" s="374"/>
    </row>
    <row r="154" spans="63:74" x14ac:dyDescent="0.2">
      <c r="BK154" s="374"/>
      <c r="BL154" s="374"/>
      <c r="BM154" s="374"/>
      <c r="BN154" s="374"/>
      <c r="BO154" s="374"/>
      <c r="BP154" s="374"/>
      <c r="BQ154" s="374"/>
      <c r="BR154" s="374"/>
      <c r="BS154" s="374"/>
      <c r="BT154" s="374"/>
      <c r="BU154" s="374"/>
      <c r="BV154" s="374"/>
    </row>
    <row r="155" spans="63:74" x14ac:dyDescent="0.2">
      <c r="BK155" s="374"/>
      <c r="BL155" s="374"/>
      <c r="BM155" s="374"/>
      <c r="BN155" s="374"/>
      <c r="BO155" s="374"/>
      <c r="BP155" s="374"/>
      <c r="BQ155" s="374"/>
      <c r="BR155" s="374"/>
      <c r="BS155" s="374"/>
      <c r="BT155" s="374"/>
      <c r="BU155" s="374"/>
      <c r="BV155" s="374"/>
    </row>
    <row r="156" spans="63:74" x14ac:dyDescent="0.2">
      <c r="BK156" s="374"/>
      <c r="BL156" s="374"/>
      <c r="BM156" s="374"/>
      <c r="BN156" s="374"/>
      <c r="BO156" s="374"/>
      <c r="BP156" s="374"/>
      <c r="BQ156" s="374"/>
      <c r="BR156" s="374"/>
      <c r="BS156" s="374"/>
      <c r="BT156" s="374"/>
      <c r="BU156" s="374"/>
      <c r="BV156" s="374"/>
    </row>
    <row r="157" spans="63:74" x14ac:dyDescent="0.2">
      <c r="BK157" s="374"/>
      <c r="BL157" s="374"/>
      <c r="BM157" s="374"/>
      <c r="BN157" s="374"/>
      <c r="BO157" s="374"/>
      <c r="BP157" s="374"/>
      <c r="BQ157" s="374"/>
      <c r="BR157" s="374"/>
      <c r="BS157" s="374"/>
      <c r="BT157" s="374"/>
      <c r="BU157" s="374"/>
      <c r="BV157" s="374"/>
    </row>
    <row r="158" spans="63:74" x14ac:dyDescent="0.2">
      <c r="BK158" s="374"/>
      <c r="BL158" s="374"/>
      <c r="BM158" s="374"/>
      <c r="BN158" s="374"/>
      <c r="BO158" s="374"/>
      <c r="BP158" s="374"/>
      <c r="BQ158" s="374"/>
      <c r="BR158" s="374"/>
      <c r="BS158" s="374"/>
      <c r="BT158" s="374"/>
      <c r="BU158" s="374"/>
      <c r="BV158" s="374"/>
    </row>
    <row r="159" spans="63:74" x14ac:dyDescent="0.2">
      <c r="BK159" s="374"/>
      <c r="BL159" s="374"/>
      <c r="BM159" s="374"/>
      <c r="BN159" s="374"/>
      <c r="BO159" s="374"/>
      <c r="BP159" s="374"/>
      <c r="BQ159" s="374"/>
      <c r="BR159" s="374"/>
      <c r="BS159" s="374"/>
      <c r="BT159" s="374"/>
      <c r="BU159" s="374"/>
      <c r="BV159" s="374"/>
    </row>
  </sheetData>
  <mergeCells count="22">
    <mergeCell ref="B52:Q52"/>
    <mergeCell ref="B56:Q56"/>
    <mergeCell ref="B64:Q64"/>
    <mergeCell ref="B65:Q65"/>
    <mergeCell ref="A1:A2"/>
    <mergeCell ref="B63:Q63"/>
    <mergeCell ref="B59:Q59"/>
    <mergeCell ref="B60:Q60"/>
    <mergeCell ref="B61:Q61"/>
    <mergeCell ref="B62:Q62"/>
    <mergeCell ref="B53:Q53"/>
    <mergeCell ref="B55:Q55"/>
    <mergeCell ref="B57:Q57"/>
    <mergeCell ref="B58:Q58"/>
    <mergeCell ref="B54:Q54"/>
    <mergeCell ref="AM3:AX3"/>
    <mergeCell ref="AY3:BJ3"/>
    <mergeCell ref="BK3:BV3"/>
    <mergeCell ref="B1:AL1"/>
    <mergeCell ref="C3:N3"/>
    <mergeCell ref="O3:Z3"/>
    <mergeCell ref="AA3:AL3"/>
  </mergeCells>
  <phoneticPr fontId="6" type="noConversion"/>
  <hyperlinks>
    <hyperlink ref="A1:A2" location="Contents!A1" display="Table of Contents"/>
  </hyperlinks>
  <pageMargins left="0.25" right="0.25" top="0.25" bottom="0.25" header="0.5" footer="0.5"/>
  <pageSetup scale="84"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6">
    <pageSetUpPr fitToPage="1"/>
  </sheetPr>
  <dimension ref="A1:BV143"/>
  <sheetViews>
    <sheetView showGridLines="0" zoomScaleNormal="100" workbookViewId="0">
      <pane xSplit="2" ySplit="4" topLeftCell="AX5" activePane="bottomRight" state="frozen"/>
      <selection activeCell="BF63" sqref="BF63"/>
      <selection pane="topRight" activeCell="BF63" sqref="BF63"/>
      <selection pane="bottomLeft" activeCell="BF63" sqref="BF63"/>
      <selection pane="bottomRight" activeCell="B1" sqref="B1:AL1"/>
    </sheetView>
  </sheetViews>
  <sheetFormatPr defaultColWidth="9.5546875" defaultRowHeight="10.199999999999999" x14ac:dyDescent="0.2"/>
  <cols>
    <col min="1" max="1" width="11.44140625" style="112" customWidth="1"/>
    <col min="2" max="2" width="17" style="112" customWidth="1"/>
    <col min="3" max="50" width="6.5546875" style="112" customWidth="1"/>
    <col min="51" max="55" width="6.5546875" style="370" customWidth="1"/>
    <col min="56" max="58" width="6.5546875" style="664" customWidth="1"/>
    <col min="59" max="62" width="6.5546875" style="370" customWidth="1"/>
    <col min="63" max="74" width="6.5546875" style="112" customWidth="1"/>
    <col min="75" max="16384" width="9.5546875" style="112"/>
  </cols>
  <sheetData>
    <row r="1" spans="1:74" ht="15.6" customHeight="1" x14ac:dyDescent="0.25">
      <c r="A1" s="797" t="s">
        <v>809</v>
      </c>
      <c r="B1" s="854" t="s">
        <v>1420</v>
      </c>
      <c r="C1" s="855"/>
      <c r="D1" s="855"/>
      <c r="E1" s="855"/>
      <c r="F1" s="855"/>
      <c r="G1" s="855"/>
      <c r="H1" s="855"/>
      <c r="I1" s="855"/>
      <c r="J1" s="855"/>
      <c r="K1" s="855"/>
      <c r="L1" s="855"/>
      <c r="M1" s="855"/>
      <c r="N1" s="855"/>
      <c r="O1" s="855"/>
      <c r="P1" s="855"/>
      <c r="Q1" s="855"/>
      <c r="R1" s="855"/>
      <c r="S1" s="855"/>
      <c r="T1" s="855"/>
      <c r="U1" s="855"/>
      <c r="V1" s="855"/>
      <c r="W1" s="855"/>
      <c r="X1" s="855"/>
      <c r="Y1" s="855"/>
      <c r="Z1" s="855"/>
      <c r="AA1" s="855"/>
      <c r="AB1" s="855"/>
      <c r="AC1" s="855"/>
      <c r="AD1" s="855"/>
      <c r="AE1" s="855"/>
      <c r="AF1" s="855"/>
      <c r="AG1" s="855"/>
      <c r="AH1" s="855"/>
      <c r="AI1" s="855"/>
      <c r="AJ1" s="855"/>
      <c r="AK1" s="855"/>
      <c r="AL1" s="855"/>
      <c r="AM1" s="116"/>
    </row>
    <row r="2" spans="1:74" ht="13.35" customHeight="1" x14ac:dyDescent="0.25">
      <c r="A2" s="798"/>
      <c r="B2" s="532" t="str">
        <f>"U.S. Energy Information Administration  |  Short-Term Energy Outlook  - "&amp;Dates!D1</f>
        <v>U.S. Energy Information Administration  |  Short-Term Energy Outlook  - September 2020</v>
      </c>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c r="AK2" s="533"/>
      <c r="AL2" s="533"/>
      <c r="AM2" s="116"/>
    </row>
    <row r="3" spans="1:74" s="12" customFormat="1" ht="13.2" x14ac:dyDescent="0.25">
      <c r="A3" s="14"/>
      <c r="B3" s="15"/>
      <c r="C3" s="806">
        <f>Dates!D3</f>
        <v>2016</v>
      </c>
      <c r="D3" s="802"/>
      <c r="E3" s="802"/>
      <c r="F3" s="802"/>
      <c r="G3" s="802"/>
      <c r="H3" s="802"/>
      <c r="I3" s="802"/>
      <c r="J3" s="802"/>
      <c r="K3" s="802"/>
      <c r="L3" s="802"/>
      <c r="M3" s="802"/>
      <c r="N3" s="803"/>
      <c r="O3" s="806">
        <f>C3+1</f>
        <v>2017</v>
      </c>
      <c r="P3" s="807"/>
      <c r="Q3" s="807"/>
      <c r="R3" s="807"/>
      <c r="S3" s="807"/>
      <c r="T3" s="807"/>
      <c r="U3" s="807"/>
      <c r="V3" s="807"/>
      <c r="W3" s="807"/>
      <c r="X3" s="802"/>
      <c r="Y3" s="802"/>
      <c r="Z3" s="803"/>
      <c r="AA3" s="799">
        <f>O3+1</f>
        <v>2018</v>
      </c>
      <c r="AB3" s="802"/>
      <c r="AC3" s="802"/>
      <c r="AD3" s="802"/>
      <c r="AE3" s="802"/>
      <c r="AF3" s="802"/>
      <c r="AG3" s="802"/>
      <c r="AH3" s="802"/>
      <c r="AI3" s="802"/>
      <c r="AJ3" s="802"/>
      <c r="AK3" s="802"/>
      <c r="AL3" s="803"/>
      <c r="AM3" s="799">
        <f>AA3+1</f>
        <v>2019</v>
      </c>
      <c r="AN3" s="802"/>
      <c r="AO3" s="802"/>
      <c r="AP3" s="802"/>
      <c r="AQ3" s="802"/>
      <c r="AR3" s="802"/>
      <c r="AS3" s="802"/>
      <c r="AT3" s="802"/>
      <c r="AU3" s="802"/>
      <c r="AV3" s="802"/>
      <c r="AW3" s="802"/>
      <c r="AX3" s="803"/>
      <c r="AY3" s="799">
        <f>AM3+1</f>
        <v>2020</v>
      </c>
      <c r="AZ3" s="800"/>
      <c r="BA3" s="800"/>
      <c r="BB3" s="800"/>
      <c r="BC3" s="800"/>
      <c r="BD3" s="800"/>
      <c r="BE3" s="800"/>
      <c r="BF3" s="800"/>
      <c r="BG3" s="800"/>
      <c r="BH3" s="800"/>
      <c r="BI3" s="800"/>
      <c r="BJ3" s="801"/>
      <c r="BK3" s="799">
        <f>AY3+1</f>
        <v>2021</v>
      </c>
      <c r="BL3" s="802"/>
      <c r="BM3" s="802"/>
      <c r="BN3" s="802"/>
      <c r="BO3" s="802"/>
      <c r="BP3" s="802"/>
      <c r="BQ3" s="802"/>
      <c r="BR3" s="802"/>
      <c r="BS3" s="802"/>
      <c r="BT3" s="802"/>
      <c r="BU3" s="802"/>
      <c r="BV3" s="803"/>
    </row>
    <row r="4" spans="1:74" s="12" customFormat="1" x14ac:dyDescent="0.2">
      <c r="A4" s="16"/>
      <c r="B4" s="17"/>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A5" s="111"/>
      <c r="B5" s="114" t="s">
        <v>9</v>
      </c>
      <c r="C5" s="115"/>
      <c r="D5" s="115"/>
      <c r="E5" s="115"/>
      <c r="F5" s="115"/>
      <c r="G5" s="115"/>
      <c r="H5" s="115"/>
      <c r="I5" s="115"/>
      <c r="J5" s="115"/>
      <c r="K5" s="115"/>
      <c r="L5" s="115"/>
      <c r="M5" s="115"/>
      <c r="N5" s="115"/>
      <c r="O5" s="115"/>
      <c r="P5" s="115"/>
      <c r="Q5" s="115"/>
      <c r="R5" s="115"/>
      <c r="S5" s="115"/>
      <c r="T5" s="115"/>
      <c r="U5" s="115"/>
      <c r="V5" s="115"/>
      <c r="W5" s="115"/>
      <c r="X5" s="115"/>
      <c r="Y5" s="115"/>
      <c r="Z5" s="115"/>
      <c r="AA5" s="115"/>
      <c r="AB5" s="115"/>
      <c r="AC5" s="115"/>
      <c r="AD5" s="115"/>
      <c r="AE5" s="115"/>
      <c r="AF5" s="115"/>
      <c r="AG5" s="115"/>
      <c r="AH5" s="115"/>
      <c r="AI5" s="115"/>
      <c r="AJ5" s="115"/>
      <c r="AK5" s="115"/>
      <c r="AL5" s="115"/>
      <c r="AM5" s="115"/>
      <c r="AN5" s="115"/>
      <c r="AO5" s="115"/>
      <c r="AP5" s="115"/>
      <c r="AQ5" s="115"/>
      <c r="AR5" s="115"/>
      <c r="AS5" s="115"/>
      <c r="AT5" s="115"/>
      <c r="AU5" s="115"/>
      <c r="AV5" s="115"/>
      <c r="AW5" s="115"/>
      <c r="AX5" s="115"/>
      <c r="AY5" s="417"/>
      <c r="AZ5" s="417"/>
      <c r="BA5" s="417"/>
      <c r="BB5" s="417"/>
      <c r="BC5" s="417"/>
      <c r="BD5" s="115"/>
      <c r="BE5" s="115"/>
      <c r="BF5" s="115"/>
      <c r="BG5" s="115"/>
      <c r="BH5" s="115"/>
      <c r="BI5" s="417"/>
      <c r="BJ5" s="417"/>
      <c r="BK5" s="417"/>
      <c r="BL5" s="417"/>
      <c r="BM5" s="417"/>
      <c r="BN5" s="417"/>
      <c r="BO5" s="417"/>
      <c r="BP5" s="417"/>
      <c r="BQ5" s="417"/>
      <c r="BR5" s="417"/>
      <c r="BS5" s="417"/>
      <c r="BT5" s="417"/>
      <c r="BU5" s="417"/>
      <c r="BV5" s="417"/>
    </row>
    <row r="6" spans="1:74" ht="11.1" customHeight="1" x14ac:dyDescent="0.2">
      <c r="A6" s="111" t="s">
        <v>1198</v>
      </c>
      <c r="B6" s="204" t="s">
        <v>444</v>
      </c>
      <c r="C6" s="756">
        <v>4.3213041900000002</v>
      </c>
      <c r="D6" s="756">
        <v>3.9952842</v>
      </c>
      <c r="E6" s="756">
        <v>3.74941879</v>
      </c>
      <c r="F6" s="756">
        <v>3.32666029</v>
      </c>
      <c r="G6" s="756">
        <v>3.05998086</v>
      </c>
      <c r="H6" s="756">
        <v>3.5622726600000001</v>
      </c>
      <c r="I6" s="756">
        <v>4.5432735199999996</v>
      </c>
      <c r="J6" s="756">
        <v>5.1516398199999998</v>
      </c>
      <c r="K6" s="756">
        <v>4.3145549599999997</v>
      </c>
      <c r="L6" s="756">
        <v>3.2099726500000001</v>
      </c>
      <c r="M6" s="756">
        <v>3.2353908900000001</v>
      </c>
      <c r="N6" s="756">
        <v>4.0623221699999998</v>
      </c>
      <c r="O6" s="756">
        <v>4.4145479500000002</v>
      </c>
      <c r="P6" s="756">
        <v>3.7607345900000002</v>
      </c>
      <c r="Q6" s="756">
        <v>3.8988904999999998</v>
      </c>
      <c r="R6" s="756">
        <v>3.41727341</v>
      </c>
      <c r="S6" s="756">
        <v>3.1346294600000002</v>
      </c>
      <c r="T6" s="756">
        <v>3.6941368699999999</v>
      </c>
      <c r="U6" s="756">
        <v>4.5414986600000002</v>
      </c>
      <c r="V6" s="756">
        <v>4.3510151700000002</v>
      </c>
      <c r="W6" s="756">
        <v>3.58626377</v>
      </c>
      <c r="X6" s="756">
        <v>3.1967585500000002</v>
      </c>
      <c r="Y6" s="756">
        <v>3.4401828600000002</v>
      </c>
      <c r="Z6" s="756">
        <v>4.4131102200000001</v>
      </c>
      <c r="AA6" s="756">
        <v>4.9784098300000004</v>
      </c>
      <c r="AB6" s="756">
        <v>3.8248589900000001</v>
      </c>
      <c r="AC6" s="756">
        <v>3.7746561999999999</v>
      </c>
      <c r="AD6" s="756">
        <v>3.41821829</v>
      </c>
      <c r="AE6" s="756">
        <v>3.1562297199999998</v>
      </c>
      <c r="AF6" s="756">
        <v>3.5509333500000002</v>
      </c>
      <c r="AG6" s="756">
        <v>4.94082534</v>
      </c>
      <c r="AH6" s="756">
        <v>5.1076185399999998</v>
      </c>
      <c r="AI6" s="756">
        <v>4.10676079</v>
      </c>
      <c r="AJ6" s="756">
        <v>3.3214954400000001</v>
      </c>
      <c r="AK6" s="756">
        <v>3.6397468499999999</v>
      </c>
      <c r="AL6" s="756">
        <v>4.2795196899999999</v>
      </c>
      <c r="AM6" s="756">
        <v>4.5356901199999999</v>
      </c>
      <c r="AN6" s="756">
        <v>3.9604616300000002</v>
      </c>
      <c r="AO6" s="756">
        <v>3.9075998200000002</v>
      </c>
      <c r="AP6" s="756">
        <v>3.1971129899999999</v>
      </c>
      <c r="AQ6" s="756">
        <v>3.1261771299999999</v>
      </c>
      <c r="AR6" s="756">
        <v>3.3762462800000002</v>
      </c>
      <c r="AS6" s="756">
        <v>4.96360768</v>
      </c>
      <c r="AT6" s="756">
        <v>4.6943541800000004</v>
      </c>
      <c r="AU6" s="756">
        <v>3.48137629</v>
      </c>
      <c r="AV6" s="756">
        <v>3.1376606300000001</v>
      </c>
      <c r="AW6" s="756">
        <v>3.3747379400000002</v>
      </c>
      <c r="AX6" s="756">
        <v>4.3763109599999996</v>
      </c>
      <c r="AY6" s="756">
        <v>4.2932759699999998</v>
      </c>
      <c r="AZ6" s="756">
        <v>3.7928125000000001</v>
      </c>
      <c r="BA6" s="756">
        <v>3.6126775200000001</v>
      </c>
      <c r="BB6" s="756">
        <v>3.5090164599999998</v>
      </c>
      <c r="BC6" s="756">
        <v>3.3896134999999998</v>
      </c>
      <c r="BD6" s="756">
        <v>4.0195583800000003</v>
      </c>
      <c r="BE6" s="756">
        <v>5.4577588016999998</v>
      </c>
      <c r="BF6" s="756">
        <v>5.4287466846000001</v>
      </c>
      <c r="BG6" s="757">
        <v>4.0671039999999996</v>
      </c>
      <c r="BH6" s="757">
        <v>3.6000359999999998</v>
      </c>
      <c r="BI6" s="757">
        <v>3.7565490000000001</v>
      </c>
      <c r="BJ6" s="757">
        <v>4.3998499999999998</v>
      </c>
      <c r="BK6" s="757">
        <v>4.6116700000000002</v>
      </c>
      <c r="BL6" s="757">
        <v>3.9985110000000001</v>
      </c>
      <c r="BM6" s="757">
        <v>3.8881999999999999</v>
      </c>
      <c r="BN6" s="757">
        <v>3.634182</v>
      </c>
      <c r="BO6" s="757">
        <v>3.4435259999999999</v>
      </c>
      <c r="BP6" s="757">
        <v>3.995241</v>
      </c>
      <c r="BQ6" s="757">
        <v>4.8722050000000001</v>
      </c>
      <c r="BR6" s="757">
        <v>4.989636</v>
      </c>
      <c r="BS6" s="757">
        <v>4.0690109999999997</v>
      </c>
      <c r="BT6" s="757">
        <v>3.6654939999999998</v>
      </c>
      <c r="BU6" s="757">
        <v>3.7924180000000001</v>
      </c>
      <c r="BV6" s="757">
        <v>4.4220439999999996</v>
      </c>
    </row>
    <row r="7" spans="1:74" ht="11.1" customHeight="1" x14ac:dyDescent="0.2">
      <c r="A7" s="111" t="s">
        <v>1199</v>
      </c>
      <c r="B7" s="187" t="s">
        <v>477</v>
      </c>
      <c r="C7" s="756">
        <v>12.0440158</v>
      </c>
      <c r="D7" s="756">
        <v>11.36313234</v>
      </c>
      <c r="E7" s="756">
        <v>10.118817910000001</v>
      </c>
      <c r="F7" s="756">
        <v>8.7169738900000002</v>
      </c>
      <c r="G7" s="756">
        <v>8.6722040200000006</v>
      </c>
      <c r="H7" s="756">
        <v>10.82901189</v>
      </c>
      <c r="I7" s="756">
        <v>14.382376199999999</v>
      </c>
      <c r="J7" s="756">
        <v>15.47832461</v>
      </c>
      <c r="K7" s="756">
        <v>12.660667780000001</v>
      </c>
      <c r="L7" s="756">
        <v>9.1373953500000002</v>
      </c>
      <c r="M7" s="756">
        <v>9.0148583200000001</v>
      </c>
      <c r="N7" s="756">
        <v>11.381364919999999</v>
      </c>
      <c r="O7" s="756">
        <v>12.265230239999999</v>
      </c>
      <c r="P7" s="756">
        <v>10.30959182</v>
      </c>
      <c r="Q7" s="756">
        <v>10.675129180000001</v>
      </c>
      <c r="R7" s="756">
        <v>8.7755417399999995</v>
      </c>
      <c r="S7" s="756">
        <v>8.5171580799999997</v>
      </c>
      <c r="T7" s="756">
        <v>10.721274510000001</v>
      </c>
      <c r="U7" s="756">
        <v>13.75667157</v>
      </c>
      <c r="V7" s="756">
        <v>12.85714228</v>
      </c>
      <c r="W7" s="756">
        <v>10.536885229999999</v>
      </c>
      <c r="X7" s="756">
        <v>9.2502459800000008</v>
      </c>
      <c r="Y7" s="756">
        <v>9.18771922</v>
      </c>
      <c r="Z7" s="756">
        <v>11.714544180000001</v>
      </c>
      <c r="AA7" s="756">
        <v>13.739746520000001</v>
      </c>
      <c r="AB7" s="756">
        <v>10.928913319999999</v>
      </c>
      <c r="AC7" s="756">
        <v>10.77179209</v>
      </c>
      <c r="AD7" s="756">
        <v>9.5476263699999997</v>
      </c>
      <c r="AE7" s="756">
        <v>9.0911498500000008</v>
      </c>
      <c r="AF7" s="756">
        <v>10.76555383</v>
      </c>
      <c r="AG7" s="756">
        <v>14.27730002</v>
      </c>
      <c r="AH7" s="756">
        <v>14.64571718</v>
      </c>
      <c r="AI7" s="756">
        <v>12.736082359999999</v>
      </c>
      <c r="AJ7" s="756">
        <v>9.6873388400000007</v>
      </c>
      <c r="AK7" s="756">
        <v>9.6868814299999997</v>
      </c>
      <c r="AL7" s="756">
        <v>11.702286170000001</v>
      </c>
      <c r="AM7" s="756">
        <v>12.646271049999999</v>
      </c>
      <c r="AN7" s="756">
        <v>11.58095022</v>
      </c>
      <c r="AO7" s="756">
        <v>11.024462460000001</v>
      </c>
      <c r="AP7" s="756">
        <v>8.6582835199999995</v>
      </c>
      <c r="AQ7" s="756">
        <v>8.6342745300000008</v>
      </c>
      <c r="AR7" s="756">
        <v>10.41688255</v>
      </c>
      <c r="AS7" s="756">
        <v>14.913599919999999</v>
      </c>
      <c r="AT7" s="756">
        <v>14.23576503</v>
      </c>
      <c r="AU7" s="756">
        <v>11.182471339999999</v>
      </c>
      <c r="AV7" s="756">
        <v>8.8731467199999994</v>
      </c>
      <c r="AW7" s="756">
        <v>9.3499713700000004</v>
      </c>
      <c r="AX7" s="756">
        <v>11.566664230000001</v>
      </c>
      <c r="AY7" s="756">
        <v>11.875017570000001</v>
      </c>
      <c r="AZ7" s="756">
        <v>10.62822976</v>
      </c>
      <c r="BA7" s="756">
        <v>9.6491634499999996</v>
      </c>
      <c r="BB7" s="756">
        <v>9.5514092099999992</v>
      </c>
      <c r="BC7" s="756">
        <v>9.3836976399999994</v>
      </c>
      <c r="BD7" s="756">
        <v>11.61538796</v>
      </c>
      <c r="BE7" s="756">
        <v>16.569747849999999</v>
      </c>
      <c r="BF7" s="756">
        <v>16.054118720999998</v>
      </c>
      <c r="BG7" s="757">
        <v>12.262040000000001</v>
      </c>
      <c r="BH7" s="757">
        <v>9.5721919999999994</v>
      </c>
      <c r="BI7" s="757">
        <v>9.814311</v>
      </c>
      <c r="BJ7" s="757">
        <v>11.571949999999999</v>
      </c>
      <c r="BK7" s="757">
        <v>12.678890000000001</v>
      </c>
      <c r="BL7" s="757">
        <v>11.03994</v>
      </c>
      <c r="BM7" s="757">
        <v>10.30819</v>
      </c>
      <c r="BN7" s="757">
        <v>9.6549340000000008</v>
      </c>
      <c r="BO7" s="757">
        <v>9.3255569999999999</v>
      </c>
      <c r="BP7" s="757">
        <v>11.44801</v>
      </c>
      <c r="BQ7" s="757">
        <v>14.654579999999999</v>
      </c>
      <c r="BR7" s="757">
        <v>14.1107</v>
      </c>
      <c r="BS7" s="757">
        <v>11.851990000000001</v>
      </c>
      <c r="BT7" s="757">
        <v>9.6023770000000006</v>
      </c>
      <c r="BU7" s="757">
        <v>9.7867960000000007</v>
      </c>
      <c r="BV7" s="757">
        <v>11.55311</v>
      </c>
    </row>
    <row r="8" spans="1:74" ht="11.1" customHeight="1" x14ac:dyDescent="0.2">
      <c r="A8" s="111" t="s">
        <v>1200</v>
      </c>
      <c r="B8" s="204" t="s">
        <v>445</v>
      </c>
      <c r="C8" s="756">
        <v>18.158318789999999</v>
      </c>
      <c r="D8" s="756">
        <v>15.73025296</v>
      </c>
      <c r="E8" s="756">
        <v>13.66982436</v>
      </c>
      <c r="F8" s="756">
        <v>12.022169829999999</v>
      </c>
      <c r="G8" s="756">
        <v>12.36264441</v>
      </c>
      <c r="H8" s="756">
        <v>16.417349699999999</v>
      </c>
      <c r="I8" s="756">
        <v>20.369059279999998</v>
      </c>
      <c r="J8" s="756">
        <v>21.074190720000001</v>
      </c>
      <c r="K8" s="756">
        <v>15.693494230000001</v>
      </c>
      <c r="L8" s="756">
        <v>12.19438036</v>
      </c>
      <c r="M8" s="756">
        <v>12.59124196</v>
      </c>
      <c r="N8" s="756">
        <v>17.614732450000002</v>
      </c>
      <c r="O8" s="756">
        <v>17.736402439999999</v>
      </c>
      <c r="P8" s="756">
        <v>13.67212007</v>
      </c>
      <c r="Q8" s="756">
        <v>14.257932459999999</v>
      </c>
      <c r="R8" s="756">
        <v>11.590782369999999</v>
      </c>
      <c r="S8" s="756">
        <v>12.114459139999999</v>
      </c>
      <c r="T8" s="756">
        <v>15.863171449999999</v>
      </c>
      <c r="U8" s="756">
        <v>19.21673818</v>
      </c>
      <c r="V8" s="756">
        <v>16.76708262</v>
      </c>
      <c r="W8" s="756">
        <v>14.304039489999999</v>
      </c>
      <c r="X8" s="756">
        <v>12.328191260000001</v>
      </c>
      <c r="Y8" s="756">
        <v>13.748172739999999</v>
      </c>
      <c r="Z8" s="756">
        <v>17.675924859999999</v>
      </c>
      <c r="AA8" s="756">
        <v>19.605311839999999</v>
      </c>
      <c r="AB8" s="756">
        <v>15.386109920000001</v>
      </c>
      <c r="AC8" s="756">
        <v>14.775852710000001</v>
      </c>
      <c r="AD8" s="756">
        <v>13.19357044</v>
      </c>
      <c r="AE8" s="756">
        <v>13.8744098</v>
      </c>
      <c r="AF8" s="756">
        <v>16.800191989999998</v>
      </c>
      <c r="AG8" s="756">
        <v>20.374713079999999</v>
      </c>
      <c r="AH8" s="756">
        <v>19.554273689999999</v>
      </c>
      <c r="AI8" s="756">
        <v>15.752044440000001</v>
      </c>
      <c r="AJ8" s="756">
        <v>13.15571989</v>
      </c>
      <c r="AK8" s="756">
        <v>14.581142509999999</v>
      </c>
      <c r="AL8" s="756">
        <v>16.771709680000001</v>
      </c>
      <c r="AM8" s="756">
        <v>18.377867899999998</v>
      </c>
      <c r="AN8" s="756">
        <v>15.93732544</v>
      </c>
      <c r="AO8" s="756">
        <v>15.72467211</v>
      </c>
      <c r="AP8" s="756">
        <v>11.83303873</v>
      </c>
      <c r="AQ8" s="756">
        <v>11.97452477</v>
      </c>
      <c r="AR8" s="756">
        <v>14.321656519999999</v>
      </c>
      <c r="AS8" s="756">
        <v>21.190541710000002</v>
      </c>
      <c r="AT8" s="756">
        <v>18.00524489</v>
      </c>
      <c r="AU8" s="756">
        <v>15.12065619</v>
      </c>
      <c r="AV8" s="756">
        <v>12.561842009999999</v>
      </c>
      <c r="AW8" s="756">
        <v>14.38043777</v>
      </c>
      <c r="AX8" s="756">
        <v>16.439545540000001</v>
      </c>
      <c r="AY8" s="756">
        <v>16.757407879999999</v>
      </c>
      <c r="AZ8" s="756">
        <v>15.674420230000001</v>
      </c>
      <c r="BA8" s="756">
        <v>13.99044159</v>
      </c>
      <c r="BB8" s="756">
        <v>12.86711</v>
      </c>
      <c r="BC8" s="756">
        <v>13.36970646</v>
      </c>
      <c r="BD8" s="756">
        <v>17.455024179999999</v>
      </c>
      <c r="BE8" s="756">
        <v>24.074569768</v>
      </c>
      <c r="BF8" s="756">
        <v>21.42020428</v>
      </c>
      <c r="BG8" s="757">
        <v>15.91694</v>
      </c>
      <c r="BH8" s="757">
        <v>13.86524</v>
      </c>
      <c r="BI8" s="757">
        <v>15.316000000000001</v>
      </c>
      <c r="BJ8" s="757">
        <v>17.298909999999999</v>
      </c>
      <c r="BK8" s="757">
        <v>18.496200000000002</v>
      </c>
      <c r="BL8" s="757">
        <v>15.85614</v>
      </c>
      <c r="BM8" s="757">
        <v>14.537559999999999</v>
      </c>
      <c r="BN8" s="757">
        <v>12.911770000000001</v>
      </c>
      <c r="BO8" s="757">
        <v>13.80067</v>
      </c>
      <c r="BP8" s="757">
        <v>17.18439</v>
      </c>
      <c r="BQ8" s="757">
        <v>21.381779999999999</v>
      </c>
      <c r="BR8" s="757">
        <v>20.667809999999999</v>
      </c>
      <c r="BS8" s="757">
        <v>16.032240000000002</v>
      </c>
      <c r="BT8" s="757">
        <v>14.03359</v>
      </c>
      <c r="BU8" s="757">
        <v>15.454050000000001</v>
      </c>
      <c r="BV8" s="757">
        <v>17.418890000000001</v>
      </c>
    </row>
    <row r="9" spans="1:74" ht="11.1" customHeight="1" x14ac:dyDescent="0.2">
      <c r="A9" s="111" t="s">
        <v>1201</v>
      </c>
      <c r="B9" s="204" t="s">
        <v>446</v>
      </c>
      <c r="C9" s="756">
        <v>10.63960327</v>
      </c>
      <c r="D9" s="756">
        <v>8.9472397299999997</v>
      </c>
      <c r="E9" s="756">
        <v>7.5894098100000003</v>
      </c>
      <c r="F9" s="756">
        <v>6.38906785</v>
      </c>
      <c r="G9" s="756">
        <v>6.4039461900000001</v>
      </c>
      <c r="H9" s="756">
        <v>9.3961571300000006</v>
      </c>
      <c r="I9" s="756">
        <v>10.861623440000001</v>
      </c>
      <c r="J9" s="756">
        <v>10.602661360000001</v>
      </c>
      <c r="K9" s="756">
        <v>8.3318069099999992</v>
      </c>
      <c r="L9" s="756">
        <v>6.7896845399999997</v>
      </c>
      <c r="M9" s="756">
        <v>6.7145729200000002</v>
      </c>
      <c r="N9" s="756">
        <v>10.19423594</v>
      </c>
      <c r="O9" s="756">
        <v>10.76914081</v>
      </c>
      <c r="P9" s="756">
        <v>8.0509975800000007</v>
      </c>
      <c r="Q9" s="756">
        <v>7.8627301699999999</v>
      </c>
      <c r="R9" s="756">
        <v>6.5348464499999999</v>
      </c>
      <c r="S9" s="756">
        <v>6.6503961</v>
      </c>
      <c r="T9" s="756">
        <v>8.7184313499999995</v>
      </c>
      <c r="U9" s="756">
        <v>10.887760650000001</v>
      </c>
      <c r="V9" s="756">
        <v>9.0477501900000004</v>
      </c>
      <c r="W9" s="756">
        <v>7.9361433699999999</v>
      </c>
      <c r="X9" s="756">
        <v>6.9009937499999996</v>
      </c>
      <c r="Y9" s="756">
        <v>7.4308184900000001</v>
      </c>
      <c r="Z9" s="756">
        <v>9.7393470999999998</v>
      </c>
      <c r="AA9" s="756">
        <v>11.682786699999999</v>
      </c>
      <c r="AB9" s="756">
        <v>9.4894463299999998</v>
      </c>
      <c r="AC9" s="756">
        <v>8.5618102</v>
      </c>
      <c r="AD9" s="756">
        <v>7.5099264799999998</v>
      </c>
      <c r="AE9" s="756">
        <v>7.7827904999999999</v>
      </c>
      <c r="AF9" s="756">
        <v>9.9305015799999996</v>
      </c>
      <c r="AG9" s="756">
        <v>10.898288409999999</v>
      </c>
      <c r="AH9" s="756">
        <v>10.36038329</v>
      </c>
      <c r="AI9" s="756">
        <v>8.3569863200000007</v>
      </c>
      <c r="AJ9" s="756">
        <v>7.1866276200000003</v>
      </c>
      <c r="AK9" s="756">
        <v>8.2162980500000007</v>
      </c>
      <c r="AL9" s="756">
        <v>9.9157645999999993</v>
      </c>
      <c r="AM9" s="756">
        <v>10.765029650000001</v>
      </c>
      <c r="AN9" s="756">
        <v>9.9373108000000006</v>
      </c>
      <c r="AO9" s="756">
        <v>9.23693527</v>
      </c>
      <c r="AP9" s="756">
        <v>6.6099885900000004</v>
      </c>
      <c r="AQ9" s="756">
        <v>6.7626355399999998</v>
      </c>
      <c r="AR9" s="756">
        <v>8.1970521000000005</v>
      </c>
      <c r="AS9" s="756">
        <v>10.606602609999999</v>
      </c>
      <c r="AT9" s="756">
        <v>9.8181470300000004</v>
      </c>
      <c r="AU9" s="756">
        <v>8.5809233200000001</v>
      </c>
      <c r="AV9" s="756">
        <v>7.3424375199999998</v>
      </c>
      <c r="AW9" s="756">
        <v>7.8989874000000002</v>
      </c>
      <c r="AX9" s="756">
        <v>9.6255266299999995</v>
      </c>
      <c r="AY9" s="756">
        <v>10.32412339</v>
      </c>
      <c r="AZ9" s="756">
        <v>9.1258521699999999</v>
      </c>
      <c r="BA9" s="756">
        <v>8.1345907299999993</v>
      </c>
      <c r="BB9" s="756">
        <v>7.2024358299999998</v>
      </c>
      <c r="BC9" s="756">
        <v>6.9225374799999999</v>
      </c>
      <c r="BD9" s="756">
        <v>9.6161272699999998</v>
      </c>
      <c r="BE9" s="756">
        <v>12.324761475000001</v>
      </c>
      <c r="BF9" s="756">
        <v>11.502740339000001</v>
      </c>
      <c r="BG9" s="757">
        <v>8.3610330000000008</v>
      </c>
      <c r="BH9" s="757">
        <v>7.2678690000000001</v>
      </c>
      <c r="BI9" s="757">
        <v>7.7860360000000002</v>
      </c>
      <c r="BJ9" s="757">
        <v>9.7261430000000004</v>
      </c>
      <c r="BK9" s="757">
        <v>10.760669999999999</v>
      </c>
      <c r="BL9" s="757">
        <v>8.9341849999999994</v>
      </c>
      <c r="BM9" s="757">
        <v>8.4214939999999991</v>
      </c>
      <c r="BN9" s="757">
        <v>7.719519</v>
      </c>
      <c r="BO9" s="757">
        <v>7.7951920000000001</v>
      </c>
      <c r="BP9" s="757">
        <v>9.782883</v>
      </c>
      <c r="BQ9" s="757">
        <v>12.37956</v>
      </c>
      <c r="BR9" s="757">
        <v>12.402699999999999</v>
      </c>
      <c r="BS9" s="757">
        <v>8.9782030000000006</v>
      </c>
      <c r="BT9" s="757">
        <v>7.9112840000000002</v>
      </c>
      <c r="BU9" s="757">
        <v>8.4490119999999997</v>
      </c>
      <c r="BV9" s="757">
        <v>10.48963</v>
      </c>
    </row>
    <row r="10" spans="1:74" ht="11.1" customHeight="1" x14ac:dyDescent="0.2">
      <c r="A10" s="111" t="s">
        <v>1202</v>
      </c>
      <c r="B10" s="204" t="s">
        <v>447</v>
      </c>
      <c r="C10" s="756">
        <v>33.147890160000003</v>
      </c>
      <c r="D10" s="756">
        <v>30.3630517</v>
      </c>
      <c r="E10" s="756">
        <v>25.2651322</v>
      </c>
      <c r="F10" s="756">
        <v>22.138528239999999</v>
      </c>
      <c r="G10" s="756">
        <v>25.095672709999999</v>
      </c>
      <c r="H10" s="756">
        <v>32.896369329999999</v>
      </c>
      <c r="I10" s="756">
        <v>40.388408149999997</v>
      </c>
      <c r="J10" s="756">
        <v>39.56286309</v>
      </c>
      <c r="K10" s="756">
        <v>33.632253740000003</v>
      </c>
      <c r="L10" s="756">
        <v>25.665376739999999</v>
      </c>
      <c r="M10" s="756">
        <v>23.587616130000001</v>
      </c>
      <c r="N10" s="756">
        <v>29.682675809999999</v>
      </c>
      <c r="O10" s="756">
        <v>30.80231611</v>
      </c>
      <c r="P10" s="756">
        <v>24.207351939999999</v>
      </c>
      <c r="Q10" s="756">
        <v>25.587819700000001</v>
      </c>
      <c r="R10" s="756">
        <v>23.246766860000001</v>
      </c>
      <c r="S10" s="756">
        <v>26.459626020000002</v>
      </c>
      <c r="T10" s="756">
        <v>31.608837220000002</v>
      </c>
      <c r="U10" s="756">
        <v>38.213983419999998</v>
      </c>
      <c r="V10" s="756">
        <v>36.454540860000002</v>
      </c>
      <c r="W10" s="756">
        <v>30.109186739999998</v>
      </c>
      <c r="X10" s="756">
        <v>27.051385979999999</v>
      </c>
      <c r="Y10" s="756">
        <v>24.950014960000001</v>
      </c>
      <c r="Z10" s="756">
        <v>30.598501280000001</v>
      </c>
      <c r="AA10" s="756">
        <v>39.502893360000002</v>
      </c>
      <c r="AB10" s="756">
        <v>27.621241189999999</v>
      </c>
      <c r="AC10" s="756">
        <v>26.69687493</v>
      </c>
      <c r="AD10" s="756">
        <v>24.000994939999998</v>
      </c>
      <c r="AE10" s="756">
        <v>26.597595519999999</v>
      </c>
      <c r="AF10" s="756">
        <v>33.509462229999997</v>
      </c>
      <c r="AG10" s="756">
        <v>37.969052249999997</v>
      </c>
      <c r="AH10" s="756">
        <v>37.284708530000003</v>
      </c>
      <c r="AI10" s="756">
        <v>34.215143640000001</v>
      </c>
      <c r="AJ10" s="756">
        <v>28.755258619999999</v>
      </c>
      <c r="AK10" s="756">
        <v>26.931502519999999</v>
      </c>
      <c r="AL10" s="756">
        <v>31.050250309999999</v>
      </c>
      <c r="AM10" s="756">
        <v>32.922510920000001</v>
      </c>
      <c r="AN10" s="756">
        <v>28.131981769999999</v>
      </c>
      <c r="AO10" s="756">
        <v>27.195585040000001</v>
      </c>
      <c r="AP10" s="756">
        <v>23.23064037</v>
      </c>
      <c r="AQ10" s="756">
        <v>28.303187149999999</v>
      </c>
      <c r="AR10" s="756">
        <v>32.95329314</v>
      </c>
      <c r="AS10" s="756">
        <v>39.250911299999999</v>
      </c>
      <c r="AT10" s="756">
        <v>37.523166379999999</v>
      </c>
      <c r="AU10" s="756">
        <v>34.647871619999997</v>
      </c>
      <c r="AV10" s="756">
        <v>28.09547877</v>
      </c>
      <c r="AW10" s="756">
        <v>26.374034519999999</v>
      </c>
      <c r="AX10" s="756">
        <v>29.88491209</v>
      </c>
      <c r="AY10" s="756">
        <v>30.076474610000002</v>
      </c>
      <c r="AZ10" s="756">
        <v>27.722539650000002</v>
      </c>
      <c r="BA10" s="756">
        <v>25.8734647</v>
      </c>
      <c r="BB10" s="756">
        <v>25.209700160000001</v>
      </c>
      <c r="BC10" s="756">
        <v>27.33029878</v>
      </c>
      <c r="BD10" s="756">
        <v>33.790310320000003</v>
      </c>
      <c r="BE10" s="756">
        <v>41.720447538999998</v>
      </c>
      <c r="BF10" s="756">
        <v>40.357403023000003</v>
      </c>
      <c r="BG10" s="757">
        <v>34.879539999999999</v>
      </c>
      <c r="BH10" s="757">
        <v>28.166879999999999</v>
      </c>
      <c r="BI10" s="757">
        <v>26.95927</v>
      </c>
      <c r="BJ10" s="757">
        <v>30.50431</v>
      </c>
      <c r="BK10" s="757">
        <v>33.436860000000003</v>
      </c>
      <c r="BL10" s="757">
        <v>29.225110000000001</v>
      </c>
      <c r="BM10" s="757">
        <v>27.348849999999999</v>
      </c>
      <c r="BN10" s="757">
        <v>24.809239999999999</v>
      </c>
      <c r="BO10" s="757">
        <v>27.55097</v>
      </c>
      <c r="BP10" s="757">
        <v>35.529809999999998</v>
      </c>
      <c r="BQ10" s="757">
        <v>40.848790000000001</v>
      </c>
      <c r="BR10" s="757">
        <v>38.658700000000003</v>
      </c>
      <c r="BS10" s="757">
        <v>34.889060000000001</v>
      </c>
      <c r="BT10" s="757">
        <v>28.544309999999999</v>
      </c>
      <c r="BU10" s="757">
        <v>26.781839999999999</v>
      </c>
      <c r="BV10" s="757">
        <v>30.27712</v>
      </c>
    </row>
    <row r="11" spans="1:74" ht="11.1" customHeight="1" x14ac:dyDescent="0.2">
      <c r="A11" s="111" t="s">
        <v>1203</v>
      </c>
      <c r="B11" s="204" t="s">
        <v>448</v>
      </c>
      <c r="C11" s="756">
        <v>11.30017975</v>
      </c>
      <c r="D11" s="756">
        <v>10.83845202</v>
      </c>
      <c r="E11" s="756">
        <v>8.3717927299999992</v>
      </c>
      <c r="F11" s="756">
        <v>7.0136523999999998</v>
      </c>
      <c r="G11" s="756">
        <v>7.5227367300000001</v>
      </c>
      <c r="H11" s="756">
        <v>10.318307069999999</v>
      </c>
      <c r="I11" s="756">
        <v>12.96553125</v>
      </c>
      <c r="J11" s="756">
        <v>13.11501603</v>
      </c>
      <c r="K11" s="756">
        <v>11.64451438</v>
      </c>
      <c r="L11" s="756">
        <v>8.4741536400000008</v>
      </c>
      <c r="M11" s="756">
        <v>7.3096341799999998</v>
      </c>
      <c r="N11" s="756">
        <v>9.7528288199999995</v>
      </c>
      <c r="O11" s="756">
        <v>10.68516971</v>
      </c>
      <c r="P11" s="756">
        <v>8.4024941999999996</v>
      </c>
      <c r="Q11" s="756">
        <v>8.07930919</v>
      </c>
      <c r="R11" s="756">
        <v>7.37653084</v>
      </c>
      <c r="S11" s="756">
        <v>7.8230880100000002</v>
      </c>
      <c r="T11" s="756">
        <v>9.6793734600000008</v>
      </c>
      <c r="U11" s="756">
        <v>12.0706895</v>
      </c>
      <c r="V11" s="756">
        <v>11.837189779999999</v>
      </c>
      <c r="W11" s="756">
        <v>9.6484439000000002</v>
      </c>
      <c r="X11" s="756">
        <v>8.3032774600000003</v>
      </c>
      <c r="Y11" s="756">
        <v>7.7593119799999997</v>
      </c>
      <c r="Z11" s="756">
        <v>10.135293020000001</v>
      </c>
      <c r="AA11" s="756">
        <v>14.229210569999999</v>
      </c>
      <c r="AB11" s="756">
        <v>10.281393080000001</v>
      </c>
      <c r="AC11" s="756">
        <v>8.3272754800000008</v>
      </c>
      <c r="AD11" s="756">
        <v>7.7021746899999997</v>
      </c>
      <c r="AE11" s="756">
        <v>8.4985416100000002</v>
      </c>
      <c r="AF11" s="756">
        <v>11.112104459999999</v>
      </c>
      <c r="AG11" s="756">
        <v>12.68791914</v>
      </c>
      <c r="AH11" s="756">
        <v>12.27476476</v>
      </c>
      <c r="AI11" s="756">
        <v>11.33544863</v>
      </c>
      <c r="AJ11" s="756">
        <v>8.9573701499999991</v>
      </c>
      <c r="AK11" s="756">
        <v>8.48702866</v>
      </c>
      <c r="AL11" s="756">
        <v>10.59235479</v>
      </c>
      <c r="AM11" s="756">
        <v>11.40193638</v>
      </c>
      <c r="AN11" s="756">
        <v>9.9611150599999991</v>
      </c>
      <c r="AO11" s="756">
        <v>9.1897937699999996</v>
      </c>
      <c r="AP11" s="756">
        <v>7.3596332999999996</v>
      </c>
      <c r="AQ11" s="756">
        <v>8.2132550700000007</v>
      </c>
      <c r="AR11" s="756">
        <v>10.34901653</v>
      </c>
      <c r="AS11" s="756">
        <v>12.49277015</v>
      </c>
      <c r="AT11" s="756">
        <v>12.474042499999999</v>
      </c>
      <c r="AU11" s="756">
        <v>11.944128839999999</v>
      </c>
      <c r="AV11" s="756">
        <v>9.1645054600000009</v>
      </c>
      <c r="AW11" s="756">
        <v>8.5457150899999998</v>
      </c>
      <c r="AX11" s="756">
        <v>10.040879690000001</v>
      </c>
      <c r="AY11" s="756">
        <v>10.36045302</v>
      </c>
      <c r="AZ11" s="756">
        <v>9.9873524000000007</v>
      </c>
      <c r="BA11" s="756">
        <v>8.6950907500000003</v>
      </c>
      <c r="BB11" s="756">
        <v>7.56186223</v>
      </c>
      <c r="BC11" s="756">
        <v>8.0876048100000002</v>
      </c>
      <c r="BD11" s="756">
        <v>10.389660340000001</v>
      </c>
      <c r="BE11" s="756">
        <v>13.286623540000001</v>
      </c>
      <c r="BF11" s="756">
        <v>13.309200375</v>
      </c>
      <c r="BG11" s="757">
        <v>11.23972</v>
      </c>
      <c r="BH11" s="757">
        <v>8.7429279999999991</v>
      </c>
      <c r="BI11" s="757">
        <v>8.4763389999999994</v>
      </c>
      <c r="BJ11" s="757">
        <v>10.09473</v>
      </c>
      <c r="BK11" s="757">
        <v>11.80372</v>
      </c>
      <c r="BL11" s="757">
        <v>10.473649999999999</v>
      </c>
      <c r="BM11" s="757">
        <v>9.1902399999999993</v>
      </c>
      <c r="BN11" s="757">
        <v>7.7096359999999997</v>
      </c>
      <c r="BO11" s="757">
        <v>8.23278</v>
      </c>
      <c r="BP11" s="757">
        <v>11.035439999999999</v>
      </c>
      <c r="BQ11" s="757">
        <v>13.35084</v>
      </c>
      <c r="BR11" s="757">
        <v>13.25929</v>
      </c>
      <c r="BS11" s="757">
        <v>11.532</v>
      </c>
      <c r="BT11" s="757">
        <v>8.8307830000000003</v>
      </c>
      <c r="BU11" s="757">
        <v>8.4381640000000004</v>
      </c>
      <c r="BV11" s="757">
        <v>10.04942</v>
      </c>
    </row>
    <row r="12" spans="1:74" ht="11.1" customHeight="1" x14ac:dyDescent="0.2">
      <c r="A12" s="111" t="s">
        <v>1204</v>
      </c>
      <c r="B12" s="204" t="s">
        <v>449</v>
      </c>
      <c r="C12" s="756">
        <v>18.488147990000002</v>
      </c>
      <c r="D12" s="756">
        <v>16.015564550000001</v>
      </c>
      <c r="E12" s="756">
        <v>13.369712030000001</v>
      </c>
      <c r="F12" s="756">
        <v>12.53373611</v>
      </c>
      <c r="G12" s="756">
        <v>14.443075520000001</v>
      </c>
      <c r="H12" s="756">
        <v>20.20602555</v>
      </c>
      <c r="I12" s="756">
        <v>26.17269216</v>
      </c>
      <c r="J12" s="756">
        <v>25.85925319</v>
      </c>
      <c r="K12" s="756">
        <v>22.530396840000002</v>
      </c>
      <c r="L12" s="756">
        <v>17.8748416</v>
      </c>
      <c r="M12" s="756">
        <v>13.62700514</v>
      </c>
      <c r="N12" s="756">
        <v>16.076745280000001</v>
      </c>
      <c r="O12" s="756">
        <v>18.26755545</v>
      </c>
      <c r="P12" s="756">
        <v>13.62521042</v>
      </c>
      <c r="Q12" s="756">
        <v>13.59937457</v>
      </c>
      <c r="R12" s="756">
        <v>13.28713698</v>
      </c>
      <c r="S12" s="756">
        <v>15.43064259</v>
      </c>
      <c r="T12" s="756">
        <v>20.386046499999999</v>
      </c>
      <c r="U12" s="756">
        <v>24.685732909999999</v>
      </c>
      <c r="V12" s="756">
        <v>24.778639210000001</v>
      </c>
      <c r="W12" s="756">
        <v>20.852192680000002</v>
      </c>
      <c r="X12" s="756">
        <v>17.89116082</v>
      </c>
      <c r="Y12" s="756">
        <v>13.678539949999999</v>
      </c>
      <c r="Z12" s="756">
        <v>16.156233960000002</v>
      </c>
      <c r="AA12" s="756">
        <v>23.36415719</v>
      </c>
      <c r="AB12" s="756">
        <v>17.72243009</v>
      </c>
      <c r="AC12" s="756">
        <v>14.087088290000001</v>
      </c>
      <c r="AD12" s="756">
        <v>13.207970270000001</v>
      </c>
      <c r="AE12" s="756">
        <v>16.630676210000001</v>
      </c>
      <c r="AF12" s="756">
        <v>23.651459580000001</v>
      </c>
      <c r="AG12" s="756">
        <v>26.13751392</v>
      </c>
      <c r="AH12" s="756">
        <v>25.99498294</v>
      </c>
      <c r="AI12" s="756">
        <v>22.352705530000001</v>
      </c>
      <c r="AJ12" s="756">
        <v>17.777376610000001</v>
      </c>
      <c r="AK12" s="756">
        <v>14.502626169999999</v>
      </c>
      <c r="AL12" s="756">
        <v>17.280476230000001</v>
      </c>
      <c r="AM12" s="756">
        <v>19.091913380000001</v>
      </c>
      <c r="AN12" s="756">
        <v>16.651485999999998</v>
      </c>
      <c r="AO12" s="756">
        <v>15.913648889999999</v>
      </c>
      <c r="AP12" s="756">
        <v>12.86638422</v>
      </c>
      <c r="AQ12" s="756">
        <v>15.53338662</v>
      </c>
      <c r="AR12" s="756">
        <v>20.59040384</v>
      </c>
      <c r="AS12" s="756">
        <v>24.799764119999999</v>
      </c>
      <c r="AT12" s="756">
        <v>26.364587650000001</v>
      </c>
      <c r="AU12" s="756">
        <v>24.646185630000002</v>
      </c>
      <c r="AV12" s="756">
        <v>19.501682800000001</v>
      </c>
      <c r="AW12" s="756">
        <v>14.60892748</v>
      </c>
      <c r="AX12" s="756">
        <v>16.496973369999999</v>
      </c>
      <c r="AY12" s="756">
        <v>17.316490730000002</v>
      </c>
      <c r="AZ12" s="756">
        <v>16.352621119999998</v>
      </c>
      <c r="BA12" s="756">
        <v>14.97757831</v>
      </c>
      <c r="BB12" s="756">
        <v>14.25598593</v>
      </c>
      <c r="BC12" s="756">
        <v>16.543971890000002</v>
      </c>
      <c r="BD12" s="756">
        <v>21.924062060000001</v>
      </c>
      <c r="BE12" s="756">
        <v>27.025575160999999</v>
      </c>
      <c r="BF12" s="756">
        <v>27.716614223000001</v>
      </c>
      <c r="BG12" s="757">
        <v>22.960750000000001</v>
      </c>
      <c r="BH12" s="757">
        <v>18.893609999999999</v>
      </c>
      <c r="BI12" s="757">
        <v>14.89607</v>
      </c>
      <c r="BJ12" s="757">
        <v>16.838180000000001</v>
      </c>
      <c r="BK12" s="757">
        <v>18.606249999999999</v>
      </c>
      <c r="BL12" s="757">
        <v>15.99089</v>
      </c>
      <c r="BM12" s="757">
        <v>14.66994</v>
      </c>
      <c r="BN12" s="757">
        <v>14.107430000000001</v>
      </c>
      <c r="BO12" s="757">
        <v>16.74851</v>
      </c>
      <c r="BP12" s="757">
        <v>22.365359999999999</v>
      </c>
      <c r="BQ12" s="757">
        <v>26.72109</v>
      </c>
      <c r="BR12" s="757">
        <v>27.211099999999998</v>
      </c>
      <c r="BS12" s="757">
        <v>22.92435</v>
      </c>
      <c r="BT12" s="757">
        <v>18.812570000000001</v>
      </c>
      <c r="BU12" s="757">
        <v>14.83447</v>
      </c>
      <c r="BV12" s="757">
        <v>16.78698</v>
      </c>
    </row>
    <row r="13" spans="1:74" ht="11.1" customHeight="1" x14ac:dyDescent="0.2">
      <c r="A13" s="111" t="s">
        <v>1205</v>
      </c>
      <c r="B13" s="204" t="s">
        <v>450</v>
      </c>
      <c r="C13" s="756">
        <v>8.5613587599999992</v>
      </c>
      <c r="D13" s="756">
        <v>6.8382041200000003</v>
      </c>
      <c r="E13" s="756">
        <v>6.40286285</v>
      </c>
      <c r="F13" s="756">
        <v>6.0342579799999996</v>
      </c>
      <c r="G13" s="756">
        <v>6.7800705199999998</v>
      </c>
      <c r="H13" s="756">
        <v>10.06597738</v>
      </c>
      <c r="I13" s="756">
        <v>11.66972741</v>
      </c>
      <c r="J13" s="756">
        <v>11.01973233</v>
      </c>
      <c r="K13" s="756">
        <v>8.3112026799999992</v>
      </c>
      <c r="L13" s="756">
        <v>6.8210895000000002</v>
      </c>
      <c r="M13" s="756">
        <v>6.3154259799999997</v>
      </c>
      <c r="N13" s="756">
        <v>8.18534659</v>
      </c>
      <c r="O13" s="756">
        <v>8.5863651399999998</v>
      </c>
      <c r="P13" s="756">
        <v>6.6546283199999996</v>
      </c>
      <c r="Q13" s="756">
        <v>6.71117893</v>
      </c>
      <c r="R13" s="756">
        <v>6.3107239799999997</v>
      </c>
      <c r="S13" s="756">
        <v>7.2646855500000003</v>
      </c>
      <c r="T13" s="756">
        <v>9.9438394599999995</v>
      </c>
      <c r="U13" s="756">
        <v>12.06145579</v>
      </c>
      <c r="V13" s="756">
        <v>11.03121501</v>
      </c>
      <c r="W13" s="756">
        <v>8.6998878200000007</v>
      </c>
      <c r="X13" s="756">
        <v>6.9761084799999997</v>
      </c>
      <c r="Y13" s="756">
        <v>6.4084035500000001</v>
      </c>
      <c r="Z13" s="756">
        <v>7.8873689899999997</v>
      </c>
      <c r="AA13" s="756">
        <v>7.8831828000000002</v>
      </c>
      <c r="AB13" s="756">
        <v>6.8251513499999996</v>
      </c>
      <c r="AC13" s="756">
        <v>6.8396683999999999</v>
      </c>
      <c r="AD13" s="756">
        <v>6.6015816899999997</v>
      </c>
      <c r="AE13" s="756">
        <v>7.5780062299999997</v>
      </c>
      <c r="AF13" s="756">
        <v>9.8366750100000004</v>
      </c>
      <c r="AG13" s="756">
        <v>12.155610129999999</v>
      </c>
      <c r="AH13" s="756">
        <v>11.64467818</v>
      </c>
      <c r="AI13" s="756">
        <v>9.3269585700000004</v>
      </c>
      <c r="AJ13" s="756">
        <v>6.7239480499999997</v>
      </c>
      <c r="AK13" s="756">
        <v>6.7052214499999998</v>
      </c>
      <c r="AL13" s="756">
        <v>8.1908792199999993</v>
      </c>
      <c r="AM13" s="756">
        <v>8.4392923199999998</v>
      </c>
      <c r="AN13" s="756">
        <v>7.5576097999999998</v>
      </c>
      <c r="AO13" s="756">
        <v>7.1252139999999997</v>
      </c>
      <c r="AP13" s="756">
        <v>6.3954759799999996</v>
      </c>
      <c r="AQ13" s="756">
        <v>6.6840458800000002</v>
      </c>
      <c r="AR13" s="756">
        <v>8.9349769000000006</v>
      </c>
      <c r="AS13" s="756">
        <v>11.728923869999999</v>
      </c>
      <c r="AT13" s="756">
        <v>12.027294660000001</v>
      </c>
      <c r="AU13" s="756">
        <v>9.2089911600000001</v>
      </c>
      <c r="AV13" s="756">
        <v>7.0329807799999999</v>
      </c>
      <c r="AW13" s="756">
        <v>6.7930331800000001</v>
      </c>
      <c r="AX13" s="756">
        <v>8.2408142000000009</v>
      </c>
      <c r="AY13" s="756">
        <v>8.3170469300000001</v>
      </c>
      <c r="AZ13" s="756">
        <v>7.34504482</v>
      </c>
      <c r="BA13" s="756">
        <v>6.8641563000000003</v>
      </c>
      <c r="BB13" s="756">
        <v>6.8985193100000002</v>
      </c>
      <c r="BC13" s="756">
        <v>8.6514643000000007</v>
      </c>
      <c r="BD13" s="756">
        <v>10.142421329999999</v>
      </c>
      <c r="BE13" s="756">
        <v>13.108490914000001</v>
      </c>
      <c r="BF13" s="756">
        <v>13.353826493</v>
      </c>
      <c r="BG13" s="757">
        <v>10.41987</v>
      </c>
      <c r="BH13" s="757">
        <v>7.6497019999999996</v>
      </c>
      <c r="BI13" s="757">
        <v>7.3748740000000002</v>
      </c>
      <c r="BJ13" s="757">
        <v>8.6178849999999994</v>
      </c>
      <c r="BK13" s="757">
        <v>8.6199209999999997</v>
      </c>
      <c r="BL13" s="757">
        <v>7.1169779999999996</v>
      </c>
      <c r="BM13" s="757">
        <v>6.8542909999999999</v>
      </c>
      <c r="BN13" s="757">
        <v>6.8650479999999998</v>
      </c>
      <c r="BO13" s="757">
        <v>8.2664720000000003</v>
      </c>
      <c r="BP13" s="757">
        <v>9.9978730000000002</v>
      </c>
      <c r="BQ13" s="757">
        <v>12.64324</v>
      </c>
      <c r="BR13" s="757">
        <v>12.06151</v>
      </c>
      <c r="BS13" s="757">
        <v>10.10487</v>
      </c>
      <c r="BT13" s="757">
        <v>7.6463700000000001</v>
      </c>
      <c r="BU13" s="757">
        <v>7.3707630000000002</v>
      </c>
      <c r="BV13" s="757">
        <v>8.6074540000000006</v>
      </c>
    </row>
    <row r="14" spans="1:74" ht="11.1" customHeight="1" x14ac:dyDescent="0.2">
      <c r="A14" s="111" t="s">
        <v>1206</v>
      </c>
      <c r="B14" s="204" t="s">
        <v>248</v>
      </c>
      <c r="C14" s="756">
        <v>13.87419581</v>
      </c>
      <c r="D14" s="756">
        <v>11.493672930000001</v>
      </c>
      <c r="E14" s="756">
        <v>11.32165597</v>
      </c>
      <c r="F14" s="756">
        <v>9.7131655200000004</v>
      </c>
      <c r="G14" s="756">
        <v>9.5085122399999999</v>
      </c>
      <c r="H14" s="756">
        <v>11.16773583</v>
      </c>
      <c r="I14" s="756">
        <v>12.68454751</v>
      </c>
      <c r="J14" s="756">
        <v>14.182654210000001</v>
      </c>
      <c r="K14" s="756">
        <v>11.87162839</v>
      </c>
      <c r="L14" s="756">
        <v>10.94733252</v>
      </c>
      <c r="M14" s="756">
        <v>10.45727836</v>
      </c>
      <c r="N14" s="756">
        <v>13.8736797</v>
      </c>
      <c r="O14" s="756">
        <v>15.22912041</v>
      </c>
      <c r="P14" s="756">
        <v>11.90509984</v>
      </c>
      <c r="Q14" s="756">
        <v>12.011585350000001</v>
      </c>
      <c r="R14" s="756">
        <v>9.8213884900000004</v>
      </c>
      <c r="S14" s="756">
        <v>10.5259935</v>
      </c>
      <c r="T14" s="756">
        <v>11.57568019</v>
      </c>
      <c r="U14" s="756">
        <v>14.08507753</v>
      </c>
      <c r="V14" s="756">
        <v>14.49458014</v>
      </c>
      <c r="W14" s="756">
        <v>12.73173431</v>
      </c>
      <c r="X14" s="756">
        <v>10.520638780000001</v>
      </c>
      <c r="Y14" s="756">
        <v>11.314010619999999</v>
      </c>
      <c r="Z14" s="756">
        <v>13.25742687</v>
      </c>
      <c r="AA14" s="756">
        <v>13.49420215</v>
      </c>
      <c r="AB14" s="756">
        <v>11.28343948</v>
      </c>
      <c r="AC14" s="756">
        <v>12.977829849999999</v>
      </c>
      <c r="AD14" s="756">
        <v>9.8970306699999995</v>
      </c>
      <c r="AE14" s="756">
        <v>10.280284440000001</v>
      </c>
      <c r="AF14" s="756">
        <v>10.402222800000001</v>
      </c>
      <c r="AG14" s="756">
        <v>13.74502964</v>
      </c>
      <c r="AH14" s="756">
        <v>16.236672519999999</v>
      </c>
      <c r="AI14" s="756">
        <v>10.343938189999999</v>
      </c>
      <c r="AJ14" s="756">
        <v>11.088002790000001</v>
      </c>
      <c r="AK14" s="756">
        <v>10.639510639999999</v>
      </c>
      <c r="AL14" s="756">
        <v>12.9813828</v>
      </c>
      <c r="AM14" s="756">
        <v>14.38521476</v>
      </c>
      <c r="AN14" s="756">
        <v>12.169369530000001</v>
      </c>
      <c r="AO14" s="756">
        <v>12.44750121</v>
      </c>
      <c r="AP14" s="756">
        <v>9.3693230799999991</v>
      </c>
      <c r="AQ14" s="756">
        <v>10.21892304</v>
      </c>
      <c r="AR14" s="756">
        <v>10.0133045</v>
      </c>
      <c r="AS14" s="756">
        <v>12.790807279999999</v>
      </c>
      <c r="AT14" s="756">
        <v>14.00110952</v>
      </c>
      <c r="AU14" s="756">
        <v>11.91718253</v>
      </c>
      <c r="AV14" s="756">
        <v>11.5170546</v>
      </c>
      <c r="AW14" s="756">
        <v>10.43666981</v>
      </c>
      <c r="AX14" s="756">
        <v>13.82805915</v>
      </c>
      <c r="AY14" s="756">
        <v>13.93900238</v>
      </c>
      <c r="AZ14" s="756">
        <v>10.94548882</v>
      </c>
      <c r="BA14" s="756">
        <v>11.77410974</v>
      </c>
      <c r="BB14" s="756">
        <v>10.009421189999999</v>
      </c>
      <c r="BC14" s="756">
        <v>11.28707329</v>
      </c>
      <c r="BD14" s="756">
        <v>11.906902629999999</v>
      </c>
      <c r="BE14" s="756">
        <v>13.997670745000001</v>
      </c>
      <c r="BF14" s="756">
        <v>16.037827156999999</v>
      </c>
      <c r="BG14" s="757">
        <v>14.56826</v>
      </c>
      <c r="BH14" s="757">
        <v>13.33367</v>
      </c>
      <c r="BI14" s="757">
        <v>12.2287</v>
      </c>
      <c r="BJ14" s="757">
        <v>14.49945</v>
      </c>
      <c r="BK14" s="757">
        <v>14.42296</v>
      </c>
      <c r="BL14" s="757">
        <v>10.887700000000001</v>
      </c>
      <c r="BM14" s="757">
        <v>11.67759</v>
      </c>
      <c r="BN14" s="757">
        <v>9.8885500000000004</v>
      </c>
      <c r="BO14" s="757">
        <v>11.28547</v>
      </c>
      <c r="BP14" s="757">
        <v>11.76436</v>
      </c>
      <c r="BQ14" s="757">
        <v>14.04435</v>
      </c>
      <c r="BR14" s="757">
        <v>15.33614</v>
      </c>
      <c r="BS14" s="757">
        <v>13.823119999999999</v>
      </c>
      <c r="BT14" s="757">
        <v>13.374320000000001</v>
      </c>
      <c r="BU14" s="757">
        <v>12.18256</v>
      </c>
      <c r="BV14" s="757">
        <v>14.47377</v>
      </c>
    </row>
    <row r="15" spans="1:74" ht="11.1" customHeight="1" x14ac:dyDescent="0.2">
      <c r="A15" s="111" t="s">
        <v>1207</v>
      </c>
      <c r="B15" s="204" t="s">
        <v>249</v>
      </c>
      <c r="C15" s="756">
        <v>0.43683379999999999</v>
      </c>
      <c r="D15" s="756">
        <v>0.37457047999999998</v>
      </c>
      <c r="E15" s="756">
        <v>0.36794882000000001</v>
      </c>
      <c r="F15" s="756">
        <v>0.35612825999999997</v>
      </c>
      <c r="G15" s="756">
        <v>0.34918652999999999</v>
      </c>
      <c r="H15" s="756">
        <v>0.35203292000000003</v>
      </c>
      <c r="I15" s="756">
        <v>0.37208806999999999</v>
      </c>
      <c r="J15" s="756">
        <v>0.39518822999999997</v>
      </c>
      <c r="K15" s="756">
        <v>0.37241171000000001</v>
      </c>
      <c r="L15" s="756">
        <v>0.39373893999999998</v>
      </c>
      <c r="M15" s="756">
        <v>0.39106742999999999</v>
      </c>
      <c r="N15" s="756">
        <v>0.45692384000000003</v>
      </c>
      <c r="O15" s="756">
        <v>0.45665041000000001</v>
      </c>
      <c r="P15" s="756">
        <v>0.38000694000000002</v>
      </c>
      <c r="Q15" s="756">
        <v>0.41157021999999999</v>
      </c>
      <c r="R15" s="756">
        <v>0.36351276999999999</v>
      </c>
      <c r="S15" s="756">
        <v>0.36048036999999999</v>
      </c>
      <c r="T15" s="756">
        <v>0.35237810000000003</v>
      </c>
      <c r="U15" s="756">
        <v>0.38087360999999997</v>
      </c>
      <c r="V15" s="756">
        <v>0.38801131</v>
      </c>
      <c r="W15" s="756">
        <v>0.37400505000000001</v>
      </c>
      <c r="X15" s="756">
        <v>0.39228196999999998</v>
      </c>
      <c r="Y15" s="756">
        <v>0.40339117000000002</v>
      </c>
      <c r="Z15" s="756">
        <v>0.42686613000000001</v>
      </c>
      <c r="AA15" s="756">
        <v>0.43748281999999999</v>
      </c>
      <c r="AB15" s="756">
        <v>0.38829643000000003</v>
      </c>
      <c r="AC15" s="756">
        <v>0.40558284999999999</v>
      </c>
      <c r="AD15" s="756">
        <v>0.37452195999999999</v>
      </c>
      <c r="AE15" s="756">
        <v>0.35831512999999998</v>
      </c>
      <c r="AF15" s="756">
        <v>0.35379435999999997</v>
      </c>
      <c r="AG15" s="756">
        <v>0.37979830999999997</v>
      </c>
      <c r="AH15" s="756">
        <v>0.39269463999999998</v>
      </c>
      <c r="AI15" s="756">
        <v>0.38372412</v>
      </c>
      <c r="AJ15" s="756">
        <v>0.39561489</v>
      </c>
      <c r="AK15" s="756">
        <v>0.39999825</v>
      </c>
      <c r="AL15" s="756">
        <v>0.41578027000000001</v>
      </c>
      <c r="AM15" s="756">
        <v>0.44545783</v>
      </c>
      <c r="AN15" s="756">
        <v>0.36159221000000002</v>
      </c>
      <c r="AO15" s="756">
        <v>0.37410205000000002</v>
      </c>
      <c r="AP15" s="756">
        <v>0.34447233999999999</v>
      </c>
      <c r="AQ15" s="756">
        <v>0.35974430000000002</v>
      </c>
      <c r="AR15" s="756">
        <v>0.36605879000000002</v>
      </c>
      <c r="AS15" s="756">
        <v>0.40337719</v>
      </c>
      <c r="AT15" s="756">
        <v>0.40513444999999998</v>
      </c>
      <c r="AU15" s="756">
        <v>0.39310949000000001</v>
      </c>
      <c r="AV15" s="756">
        <v>0.40934512000000001</v>
      </c>
      <c r="AW15" s="756">
        <v>0.40429942000000002</v>
      </c>
      <c r="AX15" s="756">
        <v>0.43861399000000001</v>
      </c>
      <c r="AY15" s="756">
        <v>0.47133955999999999</v>
      </c>
      <c r="AZ15" s="756">
        <v>0.38840251999999997</v>
      </c>
      <c r="BA15" s="756">
        <v>0.40189550000000002</v>
      </c>
      <c r="BB15" s="756">
        <v>0.37460445999999997</v>
      </c>
      <c r="BC15" s="756">
        <v>0.37926345</v>
      </c>
      <c r="BD15" s="756">
        <v>0.38812945999999998</v>
      </c>
      <c r="BE15" s="756">
        <v>0.4384981</v>
      </c>
      <c r="BF15" s="756">
        <v>0.43149954000000001</v>
      </c>
      <c r="BG15" s="757">
        <v>0.42194359999999997</v>
      </c>
      <c r="BH15" s="757">
        <v>0.4381835</v>
      </c>
      <c r="BI15" s="757">
        <v>0.43220619999999998</v>
      </c>
      <c r="BJ15" s="757">
        <v>0.44812249999999998</v>
      </c>
      <c r="BK15" s="757">
        <v>0.47638150000000001</v>
      </c>
      <c r="BL15" s="757">
        <v>0.37595319999999999</v>
      </c>
      <c r="BM15" s="757">
        <v>0.39903359999999999</v>
      </c>
      <c r="BN15" s="757">
        <v>0.37068699999999999</v>
      </c>
      <c r="BO15" s="757">
        <v>0.37322719999999998</v>
      </c>
      <c r="BP15" s="757">
        <v>0.38090540000000001</v>
      </c>
      <c r="BQ15" s="757">
        <v>0.4301857</v>
      </c>
      <c r="BR15" s="757">
        <v>0.42351349999999999</v>
      </c>
      <c r="BS15" s="757">
        <v>0.41440060000000001</v>
      </c>
      <c r="BT15" s="757">
        <v>0.43074069999999998</v>
      </c>
      <c r="BU15" s="757">
        <v>0.42498249999999999</v>
      </c>
      <c r="BV15" s="757">
        <v>0.4406852</v>
      </c>
    </row>
    <row r="16" spans="1:74" ht="11.1" customHeight="1" x14ac:dyDescent="0.2">
      <c r="A16" s="111" t="s">
        <v>1208</v>
      </c>
      <c r="B16" s="204" t="s">
        <v>452</v>
      </c>
      <c r="C16" s="756">
        <v>130.97184831999999</v>
      </c>
      <c r="D16" s="756">
        <v>115.95942503000001</v>
      </c>
      <c r="E16" s="756">
        <v>100.22657547</v>
      </c>
      <c r="F16" s="756">
        <v>88.244340370000003</v>
      </c>
      <c r="G16" s="756">
        <v>94.198029730000002</v>
      </c>
      <c r="H16" s="756">
        <v>125.21123946</v>
      </c>
      <c r="I16" s="756">
        <v>154.40932699000001</v>
      </c>
      <c r="J16" s="756">
        <v>156.44152359</v>
      </c>
      <c r="K16" s="756">
        <v>129.36293162000001</v>
      </c>
      <c r="L16" s="756">
        <v>101.50796584</v>
      </c>
      <c r="M16" s="756">
        <v>93.244091310000002</v>
      </c>
      <c r="N16" s="756">
        <v>121.28085552</v>
      </c>
      <c r="O16" s="756">
        <v>129.21249867</v>
      </c>
      <c r="P16" s="756">
        <v>100.96823572</v>
      </c>
      <c r="Q16" s="756">
        <v>103.09552026999999</v>
      </c>
      <c r="R16" s="756">
        <v>90.724503889999994</v>
      </c>
      <c r="S16" s="756">
        <v>98.281158820000002</v>
      </c>
      <c r="T16" s="756">
        <v>122.54316910999999</v>
      </c>
      <c r="U16" s="756">
        <v>149.90048182000001</v>
      </c>
      <c r="V16" s="756">
        <v>142.00716657000001</v>
      </c>
      <c r="W16" s="756">
        <v>118.77878235999999</v>
      </c>
      <c r="X16" s="756">
        <v>102.81104302999999</v>
      </c>
      <c r="Y16" s="756">
        <v>98.320565540000004</v>
      </c>
      <c r="Z16" s="756">
        <v>122.00461661</v>
      </c>
      <c r="AA16" s="756">
        <v>148.91738377999999</v>
      </c>
      <c r="AB16" s="756">
        <v>113.75128017999999</v>
      </c>
      <c r="AC16" s="756">
        <v>107.218431</v>
      </c>
      <c r="AD16" s="756">
        <v>95.453615799999994</v>
      </c>
      <c r="AE16" s="756">
        <v>103.84799901</v>
      </c>
      <c r="AF16" s="756">
        <v>129.91289918999999</v>
      </c>
      <c r="AG16" s="756">
        <v>153.56605024000001</v>
      </c>
      <c r="AH16" s="756">
        <v>153.49649427</v>
      </c>
      <c r="AI16" s="756">
        <v>128.90979259</v>
      </c>
      <c r="AJ16" s="756">
        <v>107.0487529</v>
      </c>
      <c r="AK16" s="756">
        <v>103.78995653</v>
      </c>
      <c r="AL16" s="756">
        <v>123.18040376</v>
      </c>
      <c r="AM16" s="756">
        <v>133.01118431</v>
      </c>
      <c r="AN16" s="756">
        <v>116.24920246000001</v>
      </c>
      <c r="AO16" s="756">
        <v>112.13951462</v>
      </c>
      <c r="AP16" s="756">
        <v>89.864353120000004</v>
      </c>
      <c r="AQ16" s="756">
        <v>99.810154030000007</v>
      </c>
      <c r="AR16" s="756">
        <v>119.51889115</v>
      </c>
      <c r="AS16" s="756">
        <v>153.14090583000001</v>
      </c>
      <c r="AT16" s="756">
        <v>149.54884629</v>
      </c>
      <c r="AU16" s="756">
        <v>131.12289641000001</v>
      </c>
      <c r="AV16" s="756">
        <v>107.63613441</v>
      </c>
      <c r="AW16" s="756">
        <v>102.16681398</v>
      </c>
      <c r="AX16" s="756">
        <v>120.93829985000001</v>
      </c>
      <c r="AY16" s="756">
        <v>123.73063204</v>
      </c>
      <c r="AZ16" s="756">
        <v>111.96276399</v>
      </c>
      <c r="BA16" s="756">
        <v>103.97316859</v>
      </c>
      <c r="BB16" s="756">
        <v>97.44006478</v>
      </c>
      <c r="BC16" s="756">
        <v>105.34523160000001</v>
      </c>
      <c r="BD16" s="756">
        <v>131.24758392999999</v>
      </c>
      <c r="BE16" s="756">
        <v>168.00414388999999</v>
      </c>
      <c r="BF16" s="756">
        <v>165.61218084000001</v>
      </c>
      <c r="BG16" s="757">
        <v>135.09719999999999</v>
      </c>
      <c r="BH16" s="757">
        <v>111.5303</v>
      </c>
      <c r="BI16" s="757">
        <v>107.04040000000001</v>
      </c>
      <c r="BJ16" s="757">
        <v>123.9995</v>
      </c>
      <c r="BK16" s="757">
        <v>133.9135</v>
      </c>
      <c r="BL16" s="757">
        <v>113.8991</v>
      </c>
      <c r="BM16" s="757">
        <v>107.2954</v>
      </c>
      <c r="BN16" s="757">
        <v>97.671000000000006</v>
      </c>
      <c r="BO16" s="757">
        <v>106.8224</v>
      </c>
      <c r="BP16" s="757">
        <v>133.48429999999999</v>
      </c>
      <c r="BQ16" s="757">
        <v>161.32660000000001</v>
      </c>
      <c r="BR16" s="757">
        <v>159.12110000000001</v>
      </c>
      <c r="BS16" s="757">
        <v>134.61920000000001</v>
      </c>
      <c r="BT16" s="757">
        <v>112.8518</v>
      </c>
      <c r="BU16" s="757">
        <v>107.515</v>
      </c>
      <c r="BV16" s="757">
        <v>124.51909999999999</v>
      </c>
    </row>
    <row r="17" spans="1:74" ht="11.1" customHeight="1" x14ac:dyDescent="0.2">
      <c r="A17" s="111"/>
      <c r="B17" s="113" t="s">
        <v>10</v>
      </c>
      <c r="C17" s="758"/>
      <c r="D17" s="758"/>
      <c r="E17" s="758"/>
      <c r="F17" s="758"/>
      <c r="G17" s="758"/>
      <c r="H17" s="758"/>
      <c r="I17" s="758"/>
      <c r="J17" s="758"/>
      <c r="K17" s="758"/>
      <c r="L17" s="758"/>
      <c r="M17" s="758"/>
      <c r="N17" s="758"/>
      <c r="O17" s="758"/>
      <c r="P17" s="758"/>
      <c r="Q17" s="758"/>
      <c r="R17" s="758"/>
      <c r="S17" s="758"/>
      <c r="T17" s="758"/>
      <c r="U17" s="758"/>
      <c r="V17" s="758"/>
      <c r="W17" s="758"/>
      <c r="X17" s="758"/>
      <c r="Y17" s="758"/>
      <c r="Z17" s="758"/>
      <c r="AA17" s="758"/>
      <c r="AB17" s="758"/>
      <c r="AC17" s="758"/>
      <c r="AD17" s="758"/>
      <c r="AE17" s="758"/>
      <c r="AF17" s="758"/>
      <c r="AG17" s="758"/>
      <c r="AH17" s="758"/>
      <c r="AI17" s="758"/>
      <c r="AJ17" s="758"/>
      <c r="AK17" s="758"/>
      <c r="AL17" s="758"/>
      <c r="AM17" s="758"/>
      <c r="AN17" s="758"/>
      <c r="AO17" s="758"/>
      <c r="AP17" s="758"/>
      <c r="AQ17" s="758"/>
      <c r="AR17" s="758"/>
      <c r="AS17" s="758"/>
      <c r="AT17" s="758"/>
      <c r="AU17" s="758"/>
      <c r="AV17" s="758"/>
      <c r="AW17" s="758"/>
      <c r="AX17" s="758"/>
      <c r="AY17" s="758"/>
      <c r="AZ17" s="758"/>
      <c r="BA17" s="758"/>
      <c r="BB17" s="758"/>
      <c r="BC17" s="758"/>
      <c r="BD17" s="758"/>
      <c r="BE17" s="758"/>
      <c r="BF17" s="758"/>
      <c r="BG17" s="759"/>
      <c r="BH17" s="759"/>
      <c r="BI17" s="759"/>
      <c r="BJ17" s="759"/>
      <c r="BK17" s="759"/>
      <c r="BL17" s="759"/>
      <c r="BM17" s="759"/>
      <c r="BN17" s="759"/>
      <c r="BO17" s="759"/>
      <c r="BP17" s="759"/>
      <c r="BQ17" s="759"/>
      <c r="BR17" s="759"/>
      <c r="BS17" s="759"/>
      <c r="BT17" s="759"/>
      <c r="BU17" s="759"/>
      <c r="BV17" s="759"/>
    </row>
    <row r="18" spans="1:74" ht="11.1" customHeight="1" x14ac:dyDescent="0.2">
      <c r="A18" s="111" t="s">
        <v>1209</v>
      </c>
      <c r="B18" s="204" t="s">
        <v>444</v>
      </c>
      <c r="C18" s="756">
        <v>4.48440818</v>
      </c>
      <c r="D18" s="756">
        <v>4.1640468100000003</v>
      </c>
      <c r="E18" s="756">
        <v>4.3185427599999997</v>
      </c>
      <c r="F18" s="756">
        <v>4.0211173000000002</v>
      </c>
      <c r="G18" s="756">
        <v>3.9942684800000001</v>
      </c>
      <c r="H18" s="756">
        <v>4.51732449</v>
      </c>
      <c r="I18" s="756">
        <v>4.8591641000000001</v>
      </c>
      <c r="J18" s="756">
        <v>5.1853335200000004</v>
      </c>
      <c r="K18" s="756">
        <v>4.7391983</v>
      </c>
      <c r="L18" s="756">
        <v>4.2424278500000003</v>
      </c>
      <c r="M18" s="756">
        <v>3.9732295899999999</v>
      </c>
      <c r="N18" s="756">
        <v>4.2540536199999996</v>
      </c>
      <c r="O18" s="756">
        <v>4.45448617</v>
      </c>
      <c r="P18" s="756">
        <v>3.9789195199999998</v>
      </c>
      <c r="Q18" s="756">
        <v>4.3504091300000001</v>
      </c>
      <c r="R18" s="756">
        <v>4.0094317799999999</v>
      </c>
      <c r="S18" s="756">
        <v>4.0314104400000002</v>
      </c>
      <c r="T18" s="756">
        <v>4.4960148499999999</v>
      </c>
      <c r="U18" s="756">
        <v>4.8720966600000004</v>
      </c>
      <c r="V18" s="756">
        <v>4.8583600599999999</v>
      </c>
      <c r="W18" s="756">
        <v>4.4579439699999996</v>
      </c>
      <c r="X18" s="756">
        <v>4.18241218</v>
      </c>
      <c r="Y18" s="756">
        <v>4.1260437000000003</v>
      </c>
      <c r="Z18" s="756">
        <v>4.3722325800000004</v>
      </c>
      <c r="AA18" s="756">
        <v>4.6818258500000001</v>
      </c>
      <c r="AB18" s="756">
        <v>4.1415562899999996</v>
      </c>
      <c r="AC18" s="756">
        <v>4.0459120100000003</v>
      </c>
      <c r="AD18" s="756">
        <v>3.9851409900000001</v>
      </c>
      <c r="AE18" s="756">
        <v>4.1240967199999998</v>
      </c>
      <c r="AF18" s="756">
        <v>4.4333009099999998</v>
      </c>
      <c r="AG18" s="756">
        <v>5.0223529899999999</v>
      </c>
      <c r="AH18" s="756">
        <v>5.2777183000000001</v>
      </c>
      <c r="AI18" s="756">
        <v>4.5359160999999997</v>
      </c>
      <c r="AJ18" s="756">
        <v>4.3297677400000003</v>
      </c>
      <c r="AK18" s="756">
        <v>4.0992406499999996</v>
      </c>
      <c r="AL18" s="756">
        <v>4.2476225400000001</v>
      </c>
      <c r="AM18" s="756">
        <v>4.55824958</v>
      </c>
      <c r="AN18" s="756">
        <v>4.0322489399999997</v>
      </c>
      <c r="AO18" s="756">
        <v>4.1618982500000001</v>
      </c>
      <c r="AP18" s="756">
        <v>3.9156175800000002</v>
      </c>
      <c r="AQ18" s="756">
        <v>3.9603199199999999</v>
      </c>
      <c r="AR18" s="756">
        <v>4.18292032</v>
      </c>
      <c r="AS18" s="756">
        <v>4.9873677299999999</v>
      </c>
      <c r="AT18" s="756">
        <v>4.7696163900000004</v>
      </c>
      <c r="AU18" s="756">
        <v>4.1785121900000002</v>
      </c>
      <c r="AV18" s="756">
        <v>4.0913494899999998</v>
      </c>
      <c r="AW18" s="756">
        <v>4.0815796100000004</v>
      </c>
      <c r="AX18" s="756">
        <v>4.2307327399999997</v>
      </c>
      <c r="AY18" s="756">
        <v>4.1316469299999996</v>
      </c>
      <c r="AZ18" s="756">
        <v>4.0784735899999998</v>
      </c>
      <c r="BA18" s="756">
        <v>3.9433760200000001</v>
      </c>
      <c r="BB18" s="756">
        <v>3.2983019900000001</v>
      </c>
      <c r="BC18" s="756">
        <v>3.41673049</v>
      </c>
      <c r="BD18" s="756">
        <v>3.8540658799999998</v>
      </c>
      <c r="BE18" s="756">
        <v>4.5135018816999999</v>
      </c>
      <c r="BF18" s="756">
        <v>4.4404267851999997</v>
      </c>
      <c r="BG18" s="757">
        <v>3.9554830000000001</v>
      </c>
      <c r="BH18" s="757">
        <v>3.87873</v>
      </c>
      <c r="BI18" s="757">
        <v>3.8370500000000001</v>
      </c>
      <c r="BJ18" s="757">
        <v>4.0220000000000002</v>
      </c>
      <c r="BK18" s="757">
        <v>3.999466</v>
      </c>
      <c r="BL18" s="757">
        <v>3.8443100000000001</v>
      </c>
      <c r="BM18" s="757">
        <v>3.9152339999999999</v>
      </c>
      <c r="BN18" s="757">
        <v>3.3377409999999998</v>
      </c>
      <c r="BO18" s="757">
        <v>3.5113219999999998</v>
      </c>
      <c r="BP18" s="757">
        <v>3.9181979999999998</v>
      </c>
      <c r="BQ18" s="757">
        <v>4.3015509999999999</v>
      </c>
      <c r="BR18" s="757">
        <v>4.2740239999999998</v>
      </c>
      <c r="BS18" s="757">
        <v>3.944512</v>
      </c>
      <c r="BT18" s="757">
        <v>3.8897080000000002</v>
      </c>
      <c r="BU18" s="757">
        <v>3.8379490000000001</v>
      </c>
      <c r="BV18" s="757">
        <v>4.0248020000000002</v>
      </c>
    </row>
    <row r="19" spans="1:74" ht="11.1" customHeight="1" x14ac:dyDescent="0.2">
      <c r="A19" s="111" t="s">
        <v>1210</v>
      </c>
      <c r="B19" s="187" t="s">
        <v>477</v>
      </c>
      <c r="C19" s="756">
        <v>13.153533299999999</v>
      </c>
      <c r="D19" s="756">
        <v>12.77891355</v>
      </c>
      <c r="E19" s="756">
        <v>12.65091464</v>
      </c>
      <c r="F19" s="756">
        <v>11.69834758</v>
      </c>
      <c r="G19" s="756">
        <v>12.25967833</v>
      </c>
      <c r="H19" s="756">
        <v>13.39425228</v>
      </c>
      <c r="I19" s="756">
        <v>14.981003490000001</v>
      </c>
      <c r="J19" s="756">
        <v>15.58877785</v>
      </c>
      <c r="K19" s="756">
        <v>14.49354583</v>
      </c>
      <c r="L19" s="756">
        <v>12.746732010000001</v>
      </c>
      <c r="M19" s="756">
        <v>12.122488069999999</v>
      </c>
      <c r="N19" s="756">
        <v>12.846620079999999</v>
      </c>
      <c r="O19" s="756">
        <v>13.27708779</v>
      </c>
      <c r="P19" s="756">
        <v>12.52613648</v>
      </c>
      <c r="Q19" s="756">
        <v>12.422003950000001</v>
      </c>
      <c r="R19" s="756">
        <v>11.78298066</v>
      </c>
      <c r="S19" s="756">
        <v>11.94925877</v>
      </c>
      <c r="T19" s="756">
        <v>13.206394960000001</v>
      </c>
      <c r="U19" s="756">
        <v>14.77575994</v>
      </c>
      <c r="V19" s="756">
        <v>14.41398152</v>
      </c>
      <c r="W19" s="756">
        <v>13.530485090000001</v>
      </c>
      <c r="X19" s="756">
        <v>12.837347279999999</v>
      </c>
      <c r="Y19" s="756">
        <v>12.217557879999999</v>
      </c>
      <c r="Z19" s="756">
        <v>12.9884597</v>
      </c>
      <c r="AA19" s="756">
        <v>13.726166449999999</v>
      </c>
      <c r="AB19" s="756">
        <v>12.61435279</v>
      </c>
      <c r="AC19" s="756">
        <v>12.63923424</v>
      </c>
      <c r="AD19" s="756">
        <v>12.0054322</v>
      </c>
      <c r="AE19" s="756">
        <v>12.31498348</v>
      </c>
      <c r="AF19" s="756">
        <v>13.30575035</v>
      </c>
      <c r="AG19" s="756">
        <v>14.85642957</v>
      </c>
      <c r="AH19" s="756">
        <v>15.251711630000001</v>
      </c>
      <c r="AI19" s="756">
        <v>14.183321340000001</v>
      </c>
      <c r="AJ19" s="756">
        <v>13.00349634</v>
      </c>
      <c r="AK19" s="756">
        <v>12.04164581</v>
      </c>
      <c r="AL19" s="756">
        <v>12.831523839999999</v>
      </c>
      <c r="AM19" s="756">
        <v>13.345569559999999</v>
      </c>
      <c r="AN19" s="756">
        <v>12.62039985</v>
      </c>
      <c r="AO19" s="756">
        <v>12.637163770000001</v>
      </c>
      <c r="AP19" s="756">
        <v>11.524758240000001</v>
      </c>
      <c r="AQ19" s="756">
        <v>12.12720345</v>
      </c>
      <c r="AR19" s="756">
        <v>12.606425659999999</v>
      </c>
      <c r="AS19" s="756">
        <v>14.33653939</v>
      </c>
      <c r="AT19" s="756">
        <v>14.369755380000001</v>
      </c>
      <c r="AU19" s="756">
        <v>13.160898980000001</v>
      </c>
      <c r="AV19" s="756">
        <v>12.066839890000001</v>
      </c>
      <c r="AW19" s="756">
        <v>11.46262533</v>
      </c>
      <c r="AX19" s="756">
        <v>12.36965021</v>
      </c>
      <c r="AY19" s="756">
        <v>12.5105612</v>
      </c>
      <c r="AZ19" s="756">
        <v>11.93099468</v>
      </c>
      <c r="BA19" s="756">
        <v>11.493694359999999</v>
      </c>
      <c r="BB19" s="756">
        <v>9.9659711000000009</v>
      </c>
      <c r="BC19" s="756">
        <v>9.6153105599999993</v>
      </c>
      <c r="BD19" s="756">
        <v>11.43737471</v>
      </c>
      <c r="BE19" s="756">
        <v>12.652645595999999</v>
      </c>
      <c r="BF19" s="756">
        <v>12.913019425</v>
      </c>
      <c r="BG19" s="757">
        <v>11.92196</v>
      </c>
      <c r="BH19" s="757">
        <v>10.87875</v>
      </c>
      <c r="BI19" s="757">
        <v>10.363060000000001</v>
      </c>
      <c r="BJ19" s="757">
        <v>11.25977</v>
      </c>
      <c r="BK19" s="757">
        <v>11.39157</v>
      </c>
      <c r="BL19" s="757">
        <v>10.736470000000001</v>
      </c>
      <c r="BM19" s="757">
        <v>11.10502</v>
      </c>
      <c r="BN19" s="757">
        <v>10.608700000000001</v>
      </c>
      <c r="BO19" s="757">
        <v>10.57882</v>
      </c>
      <c r="BP19" s="757">
        <v>12.61143</v>
      </c>
      <c r="BQ19" s="757">
        <v>12.59304</v>
      </c>
      <c r="BR19" s="757">
        <v>12.654019999999999</v>
      </c>
      <c r="BS19" s="757">
        <v>12.06129</v>
      </c>
      <c r="BT19" s="757">
        <v>11.12518</v>
      </c>
      <c r="BU19" s="757">
        <v>10.5358</v>
      </c>
      <c r="BV19" s="757">
        <v>11.42529</v>
      </c>
    </row>
    <row r="20" spans="1:74" ht="11.1" customHeight="1" x14ac:dyDescent="0.2">
      <c r="A20" s="111" t="s">
        <v>1211</v>
      </c>
      <c r="B20" s="204" t="s">
        <v>445</v>
      </c>
      <c r="C20" s="756">
        <v>15.49716888</v>
      </c>
      <c r="D20" s="756">
        <v>14.363334119999999</v>
      </c>
      <c r="E20" s="756">
        <v>14.530988819999999</v>
      </c>
      <c r="F20" s="756">
        <v>13.862915579999999</v>
      </c>
      <c r="G20" s="756">
        <v>14.706125549999999</v>
      </c>
      <c r="H20" s="756">
        <v>16.267982320000002</v>
      </c>
      <c r="I20" s="756">
        <v>17.47968414</v>
      </c>
      <c r="J20" s="756">
        <v>18.38961939</v>
      </c>
      <c r="K20" s="756">
        <v>16.237704560000001</v>
      </c>
      <c r="L20" s="756">
        <v>15.03578652</v>
      </c>
      <c r="M20" s="756">
        <v>14.016287930000001</v>
      </c>
      <c r="N20" s="756">
        <v>15.363498160000001</v>
      </c>
      <c r="O20" s="756">
        <v>15.361471420000001</v>
      </c>
      <c r="P20" s="756">
        <v>13.684257150000001</v>
      </c>
      <c r="Q20" s="756">
        <v>14.907016410000001</v>
      </c>
      <c r="R20" s="756">
        <v>13.505247949999999</v>
      </c>
      <c r="S20" s="756">
        <v>14.67334965</v>
      </c>
      <c r="T20" s="756">
        <v>16.036270290000001</v>
      </c>
      <c r="U20" s="756">
        <v>17.188845799999999</v>
      </c>
      <c r="V20" s="756">
        <v>16.527026670000001</v>
      </c>
      <c r="W20" s="756">
        <v>15.62557473</v>
      </c>
      <c r="X20" s="756">
        <v>15.00736311</v>
      </c>
      <c r="Y20" s="756">
        <v>14.21784729</v>
      </c>
      <c r="Z20" s="756">
        <v>15.03545254</v>
      </c>
      <c r="AA20" s="756">
        <v>15.91155245</v>
      </c>
      <c r="AB20" s="756">
        <v>13.984686229999999</v>
      </c>
      <c r="AC20" s="756">
        <v>14.73023057</v>
      </c>
      <c r="AD20" s="756">
        <v>13.800632950000001</v>
      </c>
      <c r="AE20" s="756">
        <v>15.50411053</v>
      </c>
      <c r="AF20" s="756">
        <v>16.142858440000001</v>
      </c>
      <c r="AG20" s="756">
        <v>17.373788040000001</v>
      </c>
      <c r="AH20" s="756">
        <v>17.758069939999999</v>
      </c>
      <c r="AI20" s="756">
        <v>15.784413300000001</v>
      </c>
      <c r="AJ20" s="756">
        <v>15.2888951</v>
      </c>
      <c r="AK20" s="756">
        <v>14.116384650000001</v>
      </c>
      <c r="AL20" s="756">
        <v>14.88263486</v>
      </c>
      <c r="AM20" s="756">
        <v>15.526601339999999</v>
      </c>
      <c r="AN20" s="756">
        <v>14.0236275</v>
      </c>
      <c r="AO20" s="756">
        <v>15.00243393</v>
      </c>
      <c r="AP20" s="756">
        <v>13.55861502</v>
      </c>
      <c r="AQ20" s="756">
        <v>14.44599103</v>
      </c>
      <c r="AR20" s="756">
        <v>15.05909952</v>
      </c>
      <c r="AS20" s="756">
        <v>17.783167710000001</v>
      </c>
      <c r="AT20" s="756">
        <v>16.975936140000002</v>
      </c>
      <c r="AU20" s="756">
        <v>15.68061456</v>
      </c>
      <c r="AV20" s="756">
        <v>14.743669349999999</v>
      </c>
      <c r="AW20" s="756">
        <v>14.144064439999999</v>
      </c>
      <c r="AX20" s="756">
        <v>14.633757019999999</v>
      </c>
      <c r="AY20" s="756">
        <v>14.99994686</v>
      </c>
      <c r="AZ20" s="756">
        <v>14.385614950000001</v>
      </c>
      <c r="BA20" s="756">
        <v>13.730018940000001</v>
      </c>
      <c r="BB20" s="756">
        <v>11.53140172</v>
      </c>
      <c r="BC20" s="756">
        <v>12.38568223</v>
      </c>
      <c r="BD20" s="756">
        <v>14.37365249</v>
      </c>
      <c r="BE20" s="756">
        <v>16.290215564</v>
      </c>
      <c r="BF20" s="756">
        <v>16.608125641000001</v>
      </c>
      <c r="BG20" s="757">
        <v>14.31057</v>
      </c>
      <c r="BH20" s="757">
        <v>13.950200000000001</v>
      </c>
      <c r="BI20" s="757">
        <v>13.28378</v>
      </c>
      <c r="BJ20" s="757">
        <v>14.24629</v>
      </c>
      <c r="BK20" s="757">
        <v>14.58902</v>
      </c>
      <c r="BL20" s="757">
        <v>13.52163</v>
      </c>
      <c r="BM20" s="757">
        <v>13.78637</v>
      </c>
      <c r="BN20" s="757">
        <v>12.22104</v>
      </c>
      <c r="BO20" s="757">
        <v>13.626860000000001</v>
      </c>
      <c r="BP20" s="757">
        <v>15.4217</v>
      </c>
      <c r="BQ20" s="757">
        <v>16.149940000000001</v>
      </c>
      <c r="BR20" s="757">
        <v>16.996020000000001</v>
      </c>
      <c r="BS20" s="757">
        <v>14.666919999999999</v>
      </c>
      <c r="BT20" s="757">
        <v>14.24221</v>
      </c>
      <c r="BU20" s="757">
        <v>13.5085</v>
      </c>
      <c r="BV20" s="757">
        <v>14.46457</v>
      </c>
    </row>
    <row r="21" spans="1:74" ht="11.1" customHeight="1" x14ac:dyDescent="0.2">
      <c r="A21" s="111" t="s">
        <v>1212</v>
      </c>
      <c r="B21" s="204" t="s">
        <v>446</v>
      </c>
      <c r="C21" s="756">
        <v>8.6505685499999991</v>
      </c>
      <c r="D21" s="756">
        <v>8.0731808199999993</v>
      </c>
      <c r="E21" s="756">
        <v>7.9652737399999998</v>
      </c>
      <c r="F21" s="756">
        <v>7.5731131500000002</v>
      </c>
      <c r="G21" s="756">
        <v>8.0521036299999995</v>
      </c>
      <c r="H21" s="756">
        <v>9.0914722399999999</v>
      </c>
      <c r="I21" s="756">
        <v>9.67766868</v>
      </c>
      <c r="J21" s="756">
        <v>9.9053411100000002</v>
      </c>
      <c r="K21" s="756">
        <v>8.8280982300000002</v>
      </c>
      <c r="L21" s="756">
        <v>8.3367423299999999</v>
      </c>
      <c r="M21" s="756">
        <v>7.8943259399999999</v>
      </c>
      <c r="N21" s="756">
        <v>8.7120926099999991</v>
      </c>
      <c r="O21" s="756">
        <v>8.6806795300000008</v>
      </c>
      <c r="P21" s="756">
        <v>7.6738547400000003</v>
      </c>
      <c r="Q21" s="756">
        <v>8.1505870100000006</v>
      </c>
      <c r="R21" s="756">
        <v>7.6729063799999997</v>
      </c>
      <c r="S21" s="756">
        <v>8.0575608899999995</v>
      </c>
      <c r="T21" s="756">
        <v>8.8786938000000006</v>
      </c>
      <c r="U21" s="756">
        <v>9.8510478399999997</v>
      </c>
      <c r="V21" s="756">
        <v>9.2655830399999992</v>
      </c>
      <c r="W21" s="756">
        <v>8.7765098399999992</v>
      </c>
      <c r="X21" s="756">
        <v>8.2331363700000004</v>
      </c>
      <c r="Y21" s="756">
        <v>7.98365291</v>
      </c>
      <c r="Z21" s="756">
        <v>8.6469516899999999</v>
      </c>
      <c r="AA21" s="756">
        <v>8.9191336200000002</v>
      </c>
      <c r="AB21" s="756">
        <v>8.1606641300000007</v>
      </c>
      <c r="AC21" s="756">
        <v>8.3252302500000006</v>
      </c>
      <c r="AD21" s="756">
        <v>7.8875861199999999</v>
      </c>
      <c r="AE21" s="756">
        <v>8.6484800400000008</v>
      </c>
      <c r="AF21" s="756">
        <v>9.1950090299999996</v>
      </c>
      <c r="AG21" s="756">
        <v>9.7635858899999999</v>
      </c>
      <c r="AH21" s="756">
        <v>9.8565591799999996</v>
      </c>
      <c r="AI21" s="756">
        <v>8.7104046099999994</v>
      </c>
      <c r="AJ21" s="756">
        <v>8.3048657699999993</v>
      </c>
      <c r="AK21" s="756">
        <v>8.1882140400000001</v>
      </c>
      <c r="AL21" s="756">
        <v>8.4970803200000002</v>
      </c>
      <c r="AM21" s="756">
        <v>8.8270649700000003</v>
      </c>
      <c r="AN21" s="756">
        <v>8.2769476199999996</v>
      </c>
      <c r="AO21" s="756">
        <v>8.4987222100000004</v>
      </c>
      <c r="AP21" s="756">
        <v>7.5948014700000002</v>
      </c>
      <c r="AQ21" s="756">
        <v>8.0646206399999993</v>
      </c>
      <c r="AR21" s="756">
        <v>8.5144826800000004</v>
      </c>
      <c r="AS21" s="756">
        <v>9.5874995700000003</v>
      </c>
      <c r="AT21" s="756">
        <v>9.4335123200000002</v>
      </c>
      <c r="AU21" s="756">
        <v>8.8916094799999996</v>
      </c>
      <c r="AV21" s="756">
        <v>8.3146219800000001</v>
      </c>
      <c r="AW21" s="756">
        <v>8.0183639699999993</v>
      </c>
      <c r="AX21" s="756">
        <v>8.4755231700000007</v>
      </c>
      <c r="AY21" s="756">
        <v>8.6334352699999997</v>
      </c>
      <c r="AZ21" s="756">
        <v>8.1819183899999999</v>
      </c>
      <c r="BA21" s="756">
        <v>7.89826184</v>
      </c>
      <c r="BB21" s="756">
        <v>6.6890906399999999</v>
      </c>
      <c r="BC21" s="756">
        <v>6.7357198800000004</v>
      </c>
      <c r="BD21" s="756">
        <v>8.1938737600000007</v>
      </c>
      <c r="BE21" s="756">
        <v>8.5765535227999994</v>
      </c>
      <c r="BF21" s="756">
        <v>9.0903038160000005</v>
      </c>
      <c r="BG21" s="757">
        <v>8.0195640000000008</v>
      </c>
      <c r="BH21" s="757">
        <v>7.9720550000000001</v>
      </c>
      <c r="BI21" s="757">
        <v>7.638007</v>
      </c>
      <c r="BJ21" s="757">
        <v>8.3325800000000001</v>
      </c>
      <c r="BK21" s="757">
        <v>8.4929000000000006</v>
      </c>
      <c r="BL21" s="757">
        <v>7.7770539999999997</v>
      </c>
      <c r="BM21" s="757">
        <v>7.9486990000000004</v>
      </c>
      <c r="BN21" s="757">
        <v>6.8522829999999999</v>
      </c>
      <c r="BO21" s="757">
        <v>7.093623</v>
      </c>
      <c r="BP21" s="757">
        <v>8.1852269999999994</v>
      </c>
      <c r="BQ21" s="757">
        <v>8.6635259999999992</v>
      </c>
      <c r="BR21" s="757">
        <v>9.3737770000000005</v>
      </c>
      <c r="BS21" s="757">
        <v>8.1608269999999994</v>
      </c>
      <c r="BT21" s="757">
        <v>8.1357750000000006</v>
      </c>
      <c r="BU21" s="757">
        <v>7.7935040000000004</v>
      </c>
      <c r="BV21" s="757">
        <v>8.5083470000000005</v>
      </c>
    </row>
    <row r="22" spans="1:74" ht="11.1" customHeight="1" x14ac:dyDescent="0.2">
      <c r="A22" s="111" t="s">
        <v>1213</v>
      </c>
      <c r="B22" s="204" t="s">
        <v>447</v>
      </c>
      <c r="C22" s="756">
        <v>25.366231240000001</v>
      </c>
      <c r="D22" s="756">
        <v>23.090076190000001</v>
      </c>
      <c r="E22" s="756">
        <v>23.82178064</v>
      </c>
      <c r="F22" s="756">
        <v>23.409458399999998</v>
      </c>
      <c r="G22" s="756">
        <v>25.564412699999998</v>
      </c>
      <c r="H22" s="756">
        <v>28.01751574</v>
      </c>
      <c r="I22" s="756">
        <v>30.84962487</v>
      </c>
      <c r="J22" s="756">
        <v>31.063875119999999</v>
      </c>
      <c r="K22" s="756">
        <v>28.282470440000001</v>
      </c>
      <c r="L22" s="756">
        <v>25.432640450000001</v>
      </c>
      <c r="M22" s="756">
        <v>23.874583269999999</v>
      </c>
      <c r="N22" s="756">
        <v>24.784715980000001</v>
      </c>
      <c r="O22" s="756">
        <v>24.06894325</v>
      </c>
      <c r="P22" s="756">
        <v>22.19923352</v>
      </c>
      <c r="Q22" s="756">
        <v>24.447172800000001</v>
      </c>
      <c r="R22" s="756">
        <v>23.914073330000001</v>
      </c>
      <c r="S22" s="756">
        <v>25.955357190000001</v>
      </c>
      <c r="T22" s="756">
        <v>27.781530870000001</v>
      </c>
      <c r="U22" s="756">
        <v>30.018586750000001</v>
      </c>
      <c r="V22" s="756">
        <v>29.822229570000001</v>
      </c>
      <c r="W22" s="756">
        <v>26.92881792</v>
      </c>
      <c r="X22" s="756">
        <v>25.74229455</v>
      </c>
      <c r="Y22" s="756">
        <v>24.148603489999999</v>
      </c>
      <c r="Z22" s="756">
        <v>24.72469577</v>
      </c>
      <c r="AA22" s="756">
        <v>25.817664969999999</v>
      </c>
      <c r="AB22" s="756">
        <v>22.585598130000001</v>
      </c>
      <c r="AC22" s="756">
        <v>24.736387570000002</v>
      </c>
      <c r="AD22" s="756">
        <v>23.326852590000001</v>
      </c>
      <c r="AE22" s="756">
        <v>26.737275610000001</v>
      </c>
      <c r="AF22" s="756">
        <v>28.577165740000002</v>
      </c>
      <c r="AG22" s="756">
        <v>30.02570914</v>
      </c>
      <c r="AH22" s="756">
        <v>30.470196869999999</v>
      </c>
      <c r="AI22" s="756">
        <v>29.457500270000001</v>
      </c>
      <c r="AJ22" s="756">
        <v>26.533281890000001</v>
      </c>
      <c r="AK22" s="756">
        <v>24.724470409999999</v>
      </c>
      <c r="AL22" s="756">
        <v>24.284805850000001</v>
      </c>
      <c r="AM22" s="756">
        <v>25.332720949999999</v>
      </c>
      <c r="AN22" s="756">
        <v>22.401504389999999</v>
      </c>
      <c r="AO22" s="756">
        <v>24.353374559999999</v>
      </c>
      <c r="AP22" s="756">
        <v>23.918550620000001</v>
      </c>
      <c r="AQ22" s="756">
        <v>27.44718675</v>
      </c>
      <c r="AR22" s="756">
        <v>27.997560369999999</v>
      </c>
      <c r="AS22" s="756">
        <v>30.641282870000001</v>
      </c>
      <c r="AT22" s="756">
        <v>30.518069409999999</v>
      </c>
      <c r="AU22" s="756">
        <v>28.90171909</v>
      </c>
      <c r="AV22" s="756">
        <v>26.88748485</v>
      </c>
      <c r="AW22" s="756">
        <v>24.175446390000001</v>
      </c>
      <c r="AX22" s="756">
        <v>24.42405231</v>
      </c>
      <c r="AY22" s="756">
        <v>24.13607871</v>
      </c>
      <c r="AZ22" s="756">
        <v>23.399494130000001</v>
      </c>
      <c r="BA22" s="756">
        <v>23.853974189999999</v>
      </c>
      <c r="BB22" s="756">
        <v>21.466668599999998</v>
      </c>
      <c r="BC22" s="756">
        <v>22.647810549999999</v>
      </c>
      <c r="BD22" s="756">
        <v>25.86208761</v>
      </c>
      <c r="BE22" s="756">
        <v>28.648464529000002</v>
      </c>
      <c r="BF22" s="756">
        <v>28.839230319999999</v>
      </c>
      <c r="BG22" s="757">
        <v>25.993860000000002</v>
      </c>
      <c r="BH22" s="757">
        <v>24.621780000000001</v>
      </c>
      <c r="BI22" s="757">
        <v>22.531880000000001</v>
      </c>
      <c r="BJ22" s="757">
        <v>23.863520000000001</v>
      </c>
      <c r="BK22" s="757">
        <v>23.544589999999999</v>
      </c>
      <c r="BL22" s="757">
        <v>22.073429999999998</v>
      </c>
      <c r="BM22" s="757">
        <v>23.63505</v>
      </c>
      <c r="BN22" s="757">
        <v>21.706119999999999</v>
      </c>
      <c r="BO22" s="757">
        <v>24.329509999999999</v>
      </c>
      <c r="BP22" s="757">
        <v>27.9268</v>
      </c>
      <c r="BQ22" s="757">
        <v>28.958909999999999</v>
      </c>
      <c r="BR22" s="757">
        <v>29.026340000000001</v>
      </c>
      <c r="BS22" s="757">
        <v>26.572240000000001</v>
      </c>
      <c r="BT22" s="757">
        <v>25.19511</v>
      </c>
      <c r="BU22" s="757">
        <v>22.902809999999999</v>
      </c>
      <c r="BV22" s="757">
        <v>24.277080000000002</v>
      </c>
    </row>
    <row r="23" spans="1:74" ht="11.1" customHeight="1" x14ac:dyDescent="0.2">
      <c r="A23" s="111" t="s">
        <v>1214</v>
      </c>
      <c r="B23" s="204" t="s">
        <v>448</v>
      </c>
      <c r="C23" s="756">
        <v>7.4233682300000003</v>
      </c>
      <c r="D23" s="756">
        <v>7.1067316199999997</v>
      </c>
      <c r="E23" s="756">
        <v>6.9687842199999999</v>
      </c>
      <c r="F23" s="756">
        <v>6.8354544700000002</v>
      </c>
      <c r="G23" s="756">
        <v>7.3356406300000003</v>
      </c>
      <c r="H23" s="756">
        <v>8.3239501899999997</v>
      </c>
      <c r="I23" s="756">
        <v>9.1782911400000007</v>
      </c>
      <c r="J23" s="756">
        <v>9.4709352800000008</v>
      </c>
      <c r="K23" s="756">
        <v>8.9683525799999995</v>
      </c>
      <c r="L23" s="756">
        <v>7.8078592000000002</v>
      </c>
      <c r="M23" s="756">
        <v>7.0627528799999997</v>
      </c>
      <c r="N23" s="756">
        <v>7.0949165799999996</v>
      </c>
      <c r="O23" s="756">
        <v>7.19831822</v>
      </c>
      <c r="P23" s="756">
        <v>6.5652577900000004</v>
      </c>
      <c r="Q23" s="756">
        <v>6.8169340199999997</v>
      </c>
      <c r="R23" s="756">
        <v>6.89807915</v>
      </c>
      <c r="S23" s="756">
        <v>7.3935821199999996</v>
      </c>
      <c r="T23" s="756">
        <v>7.96767249</v>
      </c>
      <c r="U23" s="756">
        <v>8.8114229000000002</v>
      </c>
      <c r="V23" s="756">
        <v>8.8919083000000008</v>
      </c>
      <c r="W23" s="756">
        <v>8.0356953200000003</v>
      </c>
      <c r="X23" s="756">
        <v>7.58240465</v>
      </c>
      <c r="Y23" s="756">
        <v>6.8746595800000003</v>
      </c>
      <c r="Z23" s="756">
        <v>6.9837614800000001</v>
      </c>
      <c r="AA23" s="756">
        <v>7.9500529999999996</v>
      </c>
      <c r="AB23" s="756">
        <v>7.0452148899999996</v>
      </c>
      <c r="AC23" s="756">
        <v>6.9629796400000004</v>
      </c>
      <c r="AD23" s="756">
        <v>6.8228877900000002</v>
      </c>
      <c r="AE23" s="756">
        <v>7.7704869099999998</v>
      </c>
      <c r="AF23" s="756">
        <v>8.6877659600000001</v>
      </c>
      <c r="AG23" s="756">
        <v>9.2399506200000001</v>
      </c>
      <c r="AH23" s="756">
        <v>9.25262706</v>
      </c>
      <c r="AI23" s="756">
        <v>8.8947011899999993</v>
      </c>
      <c r="AJ23" s="756">
        <v>8.0784599400000001</v>
      </c>
      <c r="AK23" s="756">
        <v>7.0494156700000001</v>
      </c>
      <c r="AL23" s="756">
        <v>7.16969134</v>
      </c>
      <c r="AM23" s="756">
        <v>7.3146905100000001</v>
      </c>
      <c r="AN23" s="756">
        <v>6.7840790000000002</v>
      </c>
      <c r="AO23" s="756">
        <v>6.93008413</v>
      </c>
      <c r="AP23" s="756">
        <v>6.7532615199999997</v>
      </c>
      <c r="AQ23" s="756">
        <v>7.5693747199999999</v>
      </c>
      <c r="AR23" s="756">
        <v>8.1864585499999993</v>
      </c>
      <c r="AS23" s="756">
        <v>9.0211691999999992</v>
      </c>
      <c r="AT23" s="756">
        <v>9.0093592400000002</v>
      </c>
      <c r="AU23" s="756">
        <v>8.9198195699999996</v>
      </c>
      <c r="AV23" s="756">
        <v>7.9475073199999997</v>
      </c>
      <c r="AW23" s="756">
        <v>6.90553887</v>
      </c>
      <c r="AX23" s="756">
        <v>6.91667963</v>
      </c>
      <c r="AY23" s="756">
        <v>7.10324388</v>
      </c>
      <c r="AZ23" s="756">
        <v>6.8956765500000001</v>
      </c>
      <c r="BA23" s="756">
        <v>6.6670568299999999</v>
      </c>
      <c r="BB23" s="756">
        <v>5.9268115200000002</v>
      </c>
      <c r="BC23" s="756">
        <v>6.0751696500000003</v>
      </c>
      <c r="BD23" s="756">
        <v>7.4183649999999997</v>
      </c>
      <c r="BE23" s="756">
        <v>8.5559988430999994</v>
      </c>
      <c r="BF23" s="756">
        <v>8.7308914580000003</v>
      </c>
      <c r="BG23" s="757">
        <v>8.0683620000000005</v>
      </c>
      <c r="BH23" s="757">
        <v>7.4226700000000001</v>
      </c>
      <c r="BI23" s="757">
        <v>6.6453819999999997</v>
      </c>
      <c r="BJ23" s="757">
        <v>6.8447469999999999</v>
      </c>
      <c r="BK23" s="757">
        <v>7.1075309999999998</v>
      </c>
      <c r="BL23" s="757">
        <v>6.6579959999999998</v>
      </c>
      <c r="BM23" s="757">
        <v>6.6970130000000001</v>
      </c>
      <c r="BN23" s="757">
        <v>6.1396069999999998</v>
      </c>
      <c r="BO23" s="757">
        <v>6.5068409999999997</v>
      </c>
      <c r="BP23" s="757">
        <v>7.9588929999999998</v>
      </c>
      <c r="BQ23" s="757">
        <v>8.6988409999999998</v>
      </c>
      <c r="BR23" s="757">
        <v>8.8909780000000005</v>
      </c>
      <c r="BS23" s="757">
        <v>8.2456150000000008</v>
      </c>
      <c r="BT23" s="757">
        <v>7.5331359999999998</v>
      </c>
      <c r="BU23" s="757">
        <v>6.7035169999999997</v>
      </c>
      <c r="BV23" s="757">
        <v>6.8977019999999998</v>
      </c>
    </row>
    <row r="24" spans="1:74" ht="11.1" customHeight="1" x14ac:dyDescent="0.2">
      <c r="A24" s="111" t="s">
        <v>1215</v>
      </c>
      <c r="B24" s="204" t="s">
        <v>449</v>
      </c>
      <c r="C24" s="756">
        <v>15.02817913</v>
      </c>
      <c r="D24" s="756">
        <v>14.048189450000001</v>
      </c>
      <c r="E24" s="756">
        <v>14.4229602</v>
      </c>
      <c r="F24" s="756">
        <v>14.43211945</v>
      </c>
      <c r="G24" s="756">
        <v>15.54507113</v>
      </c>
      <c r="H24" s="756">
        <v>17.753296160000001</v>
      </c>
      <c r="I24" s="756">
        <v>19.166081729999998</v>
      </c>
      <c r="J24" s="756">
        <v>20.03808909</v>
      </c>
      <c r="K24" s="756">
        <v>18.887830910000002</v>
      </c>
      <c r="L24" s="756">
        <v>17.1823938</v>
      </c>
      <c r="M24" s="756">
        <v>15.277916769999999</v>
      </c>
      <c r="N24" s="756">
        <v>15.0911952</v>
      </c>
      <c r="O24" s="756">
        <v>14.980576409999999</v>
      </c>
      <c r="P24" s="756">
        <v>13.39486475</v>
      </c>
      <c r="Q24" s="756">
        <v>14.79312253</v>
      </c>
      <c r="R24" s="756">
        <v>14.254238580000001</v>
      </c>
      <c r="S24" s="756">
        <v>16.265668829999999</v>
      </c>
      <c r="T24" s="756">
        <v>17.770954830000001</v>
      </c>
      <c r="U24" s="756">
        <v>18.83414617</v>
      </c>
      <c r="V24" s="756">
        <v>19.147350419999999</v>
      </c>
      <c r="W24" s="756">
        <v>18.003682479999998</v>
      </c>
      <c r="X24" s="756">
        <v>17.282121140000001</v>
      </c>
      <c r="Y24" s="756">
        <v>14.71722658</v>
      </c>
      <c r="Z24" s="756">
        <v>14.95361529</v>
      </c>
      <c r="AA24" s="756">
        <v>16.633730700000001</v>
      </c>
      <c r="AB24" s="756">
        <v>14.18942775</v>
      </c>
      <c r="AC24" s="756">
        <v>14.653810099999999</v>
      </c>
      <c r="AD24" s="756">
        <v>14.59978059</v>
      </c>
      <c r="AE24" s="756">
        <v>16.64157969</v>
      </c>
      <c r="AF24" s="756">
        <v>18.86105976</v>
      </c>
      <c r="AG24" s="756">
        <v>19.896487830000002</v>
      </c>
      <c r="AH24" s="756">
        <v>20.186072159999998</v>
      </c>
      <c r="AI24" s="756">
        <v>18.538759509999998</v>
      </c>
      <c r="AJ24" s="756">
        <v>17.782602839999999</v>
      </c>
      <c r="AK24" s="756">
        <v>14.838218830000001</v>
      </c>
      <c r="AL24" s="756">
        <v>14.90142728</v>
      </c>
      <c r="AM24" s="756">
        <v>15.105295959999999</v>
      </c>
      <c r="AN24" s="756">
        <v>13.901221189999999</v>
      </c>
      <c r="AO24" s="756">
        <v>14.19318764</v>
      </c>
      <c r="AP24" s="756">
        <v>14.131030920000001</v>
      </c>
      <c r="AQ24" s="756">
        <v>16.044702910000002</v>
      </c>
      <c r="AR24" s="756">
        <v>17.38640067</v>
      </c>
      <c r="AS24" s="756">
        <v>19.248076409999999</v>
      </c>
      <c r="AT24" s="756">
        <v>19.78259319</v>
      </c>
      <c r="AU24" s="756">
        <v>18.958354780000001</v>
      </c>
      <c r="AV24" s="756">
        <v>17.664239120000001</v>
      </c>
      <c r="AW24" s="756">
        <v>14.813962419999999</v>
      </c>
      <c r="AX24" s="756">
        <v>14.425124479999999</v>
      </c>
      <c r="AY24" s="756">
        <v>14.98829961</v>
      </c>
      <c r="AZ24" s="756">
        <v>13.988155519999999</v>
      </c>
      <c r="BA24" s="756">
        <v>14.929235090000001</v>
      </c>
      <c r="BB24" s="756">
        <v>13.69835043</v>
      </c>
      <c r="BC24" s="756">
        <v>13.966009469999999</v>
      </c>
      <c r="BD24" s="756">
        <v>16.851920270000001</v>
      </c>
      <c r="BE24" s="756">
        <v>18.776891458000001</v>
      </c>
      <c r="BF24" s="756">
        <v>19.242953404000001</v>
      </c>
      <c r="BG24" s="757">
        <v>17.633130000000001</v>
      </c>
      <c r="BH24" s="757">
        <v>16.774539999999998</v>
      </c>
      <c r="BI24" s="757">
        <v>14.627470000000001</v>
      </c>
      <c r="BJ24" s="757">
        <v>14.420629999999999</v>
      </c>
      <c r="BK24" s="757">
        <v>15.122870000000001</v>
      </c>
      <c r="BL24" s="757">
        <v>13.517939999999999</v>
      </c>
      <c r="BM24" s="757">
        <v>14.902670000000001</v>
      </c>
      <c r="BN24" s="757">
        <v>14.047700000000001</v>
      </c>
      <c r="BO24" s="757">
        <v>14.672029999999999</v>
      </c>
      <c r="BP24" s="757">
        <v>17.726469999999999</v>
      </c>
      <c r="BQ24" s="757">
        <v>19.102789999999999</v>
      </c>
      <c r="BR24" s="757">
        <v>19.404949999999999</v>
      </c>
      <c r="BS24" s="757">
        <v>17.893809999999998</v>
      </c>
      <c r="BT24" s="757">
        <v>17.06138</v>
      </c>
      <c r="BU24" s="757">
        <v>14.86375</v>
      </c>
      <c r="BV24" s="757">
        <v>14.64438</v>
      </c>
    </row>
    <row r="25" spans="1:74" ht="11.1" customHeight="1" x14ac:dyDescent="0.2">
      <c r="A25" s="111" t="s">
        <v>1216</v>
      </c>
      <c r="B25" s="204" t="s">
        <v>450</v>
      </c>
      <c r="C25" s="756">
        <v>7.5449290400000004</v>
      </c>
      <c r="D25" s="756">
        <v>7.0706147699999997</v>
      </c>
      <c r="E25" s="756">
        <v>7.3915183999999998</v>
      </c>
      <c r="F25" s="756">
        <v>7.1793681500000002</v>
      </c>
      <c r="G25" s="756">
        <v>7.7055417000000004</v>
      </c>
      <c r="H25" s="756">
        <v>8.6900882799999994</v>
      </c>
      <c r="I25" s="756">
        <v>9.3943055700000002</v>
      </c>
      <c r="J25" s="756">
        <v>9.1884688000000008</v>
      </c>
      <c r="K25" s="756">
        <v>8.2595652600000005</v>
      </c>
      <c r="L25" s="756">
        <v>8.0608782800000007</v>
      </c>
      <c r="M25" s="756">
        <v>7.2979953100000001</v>
      </c>
      <c r="N25" s="756">
        <v>7.7543634800000003</v>
      </c>
      <c r="O25" s="756">
        <v>7.6591937999999997</v>
      </c>
      <c r="P25" s="756">
        <v>6.9884262799999997</v>
      </c>
      <c r="Q25" s="756">
        <v>7.5376764999999999</v>
      </c>
      <c r="R25" s="756">
        <v>7.3350728700000003</v>
      </c>
      <c r="S25" s="756">
        <v>7.93551976</v>
      </c>
      <c r="T25" s="756">
        <v>8.9121308900000002</v>
      </c>
      <c r="U25" s="756">
        <v>9.6237003600000008</v>
      </c>
      <c r="V25" s="756">
        <v>9.5439914600000009</v>
      </c>
      <c r="W25" s="756">
        <v>8.5802183000000003</v>
      </c>
      <c r="X25" s="756">
        <v>7.9544245499999997</v>
      </c>
      <c r="Y25" s="756">
        <v>7.3534474000000003</v>
      </c>
      <c r="Z25" s="756">
        <v>7.69782586</v>
      </c>
      <c r="AA25" s="756">
        <v>7.6512700499999999</v>
      </c>
      <c r="AB25" s="756">
        <v>7.1642359600000001</v>
      </c>
      <c r="AC25" s="756">
        <v>7.6676332699999996</v>
      </c>
      <c r="AD25" s="756">
        <v>7.5771324599999996</v>
      </c>
      <c r="AE25" s="756">
        <v>8.22690126</v>
      </c>
      <c r="AF25" s="756">
        <v>8.8810298499999991</v>
      </c>
      <c r="AG25" s="756">
        <v>9.8426672600000007</v>
      </c>
      <c r="AH25" s="756">
        <v>9.8933584099999994</v>
      </c>
      <c r="AI25" s="756">
        <v>8.8695493400000007</v>
      </c>
      <c r="AJ25" s="756">
        <v>8.0387098699999999</v>
      </c>
      <c r="AK25" s="756">
        <v>7.4649058400000001</v>
      </c>
      <c r="AL25" s="756">
        <v>7.7877924299999997</v>
      </c>
      <c r="AM25" s="756">
        <v>7.7794125799999998</v>
      </c>
      <c r="AN25" s="756">
        <v>7.2556221900000004</v>
      </c>
      <c r="AO25" s="756">
        <v>7.5969798600000003</v>
      </c>
      <c r="AP25" s="756">
        <v>7.5759186500000002</v>
      </c>
      <c r="AQ25" s="756">
        <v>7.8552908199999996</v>
      </c>
      <c r="AR25" s="756">
        <v>8.4632849199999995</v>
      </c>
      <c r="AS25" s="756">
        <v>9.62222197</v>
      </c>
      <c r="AT25" s="756">
        <v>9.9331580899999992</v>
      </c>
      <c r="AU25" s="756">
        <v>8.7482735100000006</v>
      </c>
      <c r="AV25" s="756">
        <v>8.1050542500000002</v>
      </c>
      <c r="AW25" s="756">
        <v>7.4978861200000004</v>
      </c>
      <c r="AX25" s="756">
        <v>7.7796034599999997</v>
      </c>
      <c r="AY25" s="756">
        <v>7.7436046300000001</v>
      </c>
      <c r="AZ25" s="756">
        <v>7.3271262000000004</v>
      </c>
      <c r="BA25" s="756">
        <v>7.4090220000000002</v>
      </c>
      <c r="BB25" s="756">
        <v>6.5837859200000004</v>
      </c>
      <c r="BC25" s="756">
        <v>7.4806228299999997</v>
      </c>
      <c r="BD25" s="756">
        <v>8.0665043799999996</v>
      </c>
      <c r="BE25" s="756">
        <v>8.9422500211999996</v>
      </c>
      <c r="BF25" s="756">
        <v>9.2514034470999995</v>
      </c>
      <c r="BG25" s="757">
        <v>8.2676339999999993</v>
      </c>
      <c r="BH25" s="757">
        <v>7.7184739999999996</v>
      </c>
      <c r="BI25" s="757">
        <v>7.2950210000000002</v>
      </c>
      <c r="BJ25" s="757">
        <v>7.614376</v>
      </c>
      <c r="BK25" s="757">
        <v>7.5855740000000003</v>
      </c>
      <c r="BL25" s="757">
        <v>6.9471660000000002</v>
      </c>
      <c r="BM25" s="757">
        <v>7.466939</v>
      </c>
      <c r="BN25" s="757">
        <v>6.8661810000000001</v>
      </c>
      <c r="BO25" s="757">
        <v>7.7147160000000001</v>
      </c>
      <c r="BP25" s="757">
        <v>8.4705270000000006</v>
      </c>
      <c r="BQ25" s="757">
        <v>9.0403680000000008</v>
      </c>
      <c r="BR25" s="757">
        <v>9.0114389999999993</v>
      </c>
      <c r="BS25" s="757">
        <v>8.3716360000000005</v>
      </c>
      <c r="BT25" s="757">
        <v>7.8700510000000001</v>
      </c>
      <c r="BU25" s="757">
        <v>7.4239410000000001</v>
      </c>
      <c r="BV25" s="757">
        <v>7.7363169999999997</v>
      </c>
    </row>
    <row r="26" spans="1:74" ht="11.1" customHeight="1" x14ac:dyDescent="0.2">
      <c r="A26" s="111" t="s">
        <v>1217</v>
      </c>
      <c r="B26" s="204" t="s">
        <v>248</v>
      </c>
      <c r="C26" s="756">
        <v>12.77516434</v>
      </c>
      <c r="D26" s="756">
        <v>12.27678214</v>
      </c>
      <c r="E26" s="756">
        <v>13.18187434</v>
      </c>
      <c r="F26" s="756">
        <v>12.56368612</v>
      </c>
      <c r="G26" s="756">
        <v>12.79303024</v>
      </c>
      <c r="H26" s="756">
        <v>13.83978003</v>
      </c>
      <c r="I26" s="756">
        <v>13.958710999999999</v>
      </c>
      <c r="J26" s="756">
        <v>15.68144017</v>
      </c>
      <c r="K26" s="756">
        <v>14.306458749999999</v>
      </c>
      <c r="L26" s="756">
        <v>13.62206939</v>
      </c>
      <c r="M26" s="756">
        <v>13.05633475</v>
      </c>
      <c r="N26" s="756">
        <v>13.76889276</v>
      </c>
      <c r="O26" s="756">
        <v>13.319707129999999</v>
      </c>
      <c r="P26" s="756">
        <v>12.164699049999999</v>
      </c>
      <c r="Q26" s="756">
        <v>13.255182</v>
      </c>
      <c r="R26" s="756">
        <v>12.739421979999999</v>
      </c>
      <c r="S26" s="756">
        <v>13.13757069</v>
      </c>
      <c r="T26" s="756">
        <v>14.49851312</v>
      </c>
      <c r="U26" s="756">
        <v>14.813715050000001</v>
      </c>
      <c r="V26" s="756">
        <v>15.505326220000001</v>
      </c>
      <c r="W26" s="756">
        <v>14.36573551</v>
      </c>
      <c r="X26" s="756">
        <v>13.9741128</v>
      </c>
      <c r="Y26" s="756">
        <v>12.855771710000001</v>
      </c>
      <c r="Z26" s="756">
        <v>13.422883779999999</v>
      </c>
      <c r="AA26" s="756">
        <v>13.147461979999999</v>
      </c>
      <c r="AB26" s="756">
        <v>12.33787609</v>
      </c>
      <c r="AC26" s="756">
        <v>13.87806048</v>
      </c>
      <c r="AD26" s="756">
        <v>12.8591391</v>
      </c>
      <c r="AE26" s="756">
        <v>12.744241580000001</v>
      </c>
      <c r="AF26" s="756">
        <v>13.46661385</v>
      </c>
      <c r="AG26" s="756">
        <v>15.01439768</v>
      </c>
      <c r="AH26" s="756">
        <v>16.4098142</v>
      </c>
      <c r="AI26" s="756">
        <v>12.590876039999999</v>
      </c>
      <c r="AJ26" s="756">
        <v>14.28737827</v>
      </c>
      <c r="AK26" s="756">
        <v>11.99054057</v>
      </c>
      <c r="AL26" s="756">
        <v>12.92652318</v>
      </c>
      <c r="AM26" s="756">
        <v>13.158631310000001</v>
      </c>
      <c r="AN26" s="756">
        <v>11.816391189999999</v>
      </c>
      <c r="AO26" s="756">
        <v>13.062158</v>
      </c>
      <c r="AP26" s="756">
        <v>12.53475411</v>
      </c>
      <c r="AQ26" s="756">
        <v>12.91200922</v>
      </c>
      <c r="AR26" s="756">
        <v>12.47634335</v>
      </c>
      <c r="AS26" s="756">
        <v>14.71380901</v>
      </c>
      <c r="AT26" s="756">
        <v>14.80748734</v>
      </c>
      <c r="AU26" s="756">
        <v>13.39565563</v>
      </c>
      <c r="AV26" s="756">
        <v>14.06022924</v>
      </c>
      <c r="AW26" s="756">
        <v>11.23687874</v>
      </c>
      <c r="AX26" s="756">
        <v>13.721688049999999</v>
      </c>
      <c r="AY26" s="756">
        <v>12.987263069999999</v>
      </c>
      <c r="AZ26" s="756">
        <v>11.395118200000001</v>
      </c>
      <c r="BA26" s="756">
        <v>12.551777680000001</v>
      </c>
      <c r="BB26" s="756">
        <v>11.047232129999999</v>
      </c>
      <c r="BC26" s="756">
        <v>10.627915</v>
      </c>
      <c r="BD26" s="756">
        <v>12.194979650000001</v>
      </c>
      <c r="BE26" s="756">
        <v>13.136367792</v>
      </c>
      <c r="BF26" s="756">
        <v>13.763143238</v>
      </c>
      <c r="BG26" s="757">
        <v>12.503209999999999</v>
      </c>
      <c r="BH26" s="757">
        <v>13.067970000000001</v>
      </c>
      <c r="BI26" s="757">
        <v>10.560449999999999</v>
      </c>
      <c r="BJ26" s="757">
        <v>12.92055</v>
      </c>
      <c r="BK26" s="757">
        <v>12.242319999999999</v>
      </c>
      <c r="BL26" s="757">
        <v>10.50379</v>
      </c>
      <c r="BM26" s="757">
        <v>12.151579999999999</v>
      </c>
      <c r="BN26" s="757">
        <v>11.18463</v>
      </c>
      <c r="BO26" s="757">
        <v>10.76214</v>
      </c>
      <c r="BP26" s="757">
        <v>12.342739999999999</v>
      </c>
      <c r="BQ26" s="757">
        <v>13.230880000000001</v>
      </c>
      <c r="BR26" s="757">
        <v>13.64052</v>
      </c>
      <c r="BS26" s="757">
        <v>12.2425</v>
      </c>
      <c r="BT26" s="757">
        <v>12.99502</v>
      </c>
      <c r="BU26" s="757">
        <v>10.462490000000001</v>
      </c>
      <c r="BV26" s="757">
        <v>12.778589999999999</v>
      </c>
    </row>
    <row r="27" spans="1:74" ht="11.1" customHeight="1" x14ac:dyDescent="0.2">
      <c r="A27" s="111" t="s">
        <v>1218</v>
      </c>
      <c r="B27" s="204" t="s">
        <v>249</v>
      </c>
      <c r="C27" s="756">
        <v>0.48692554999999998</v>
      </c>
      <c r="D27" s="756">
        <v>0.47982015</v>
      </c>
      <c r="E27" s="756">
        <v>0.48654069</v>
      </c>
      <c r="F27" s="756">
        <v>0.46954847</v>
      </c>
      <c r="G27" s="756">
        <v>0.48101980999999999</v>
      </c>
      <c r="H27" s="756">
        <v>0.46761132</v>
      </c>
      <c r="I27" s="756">
        <v>0.49378344000000002</v>
      </c>
      <c r="J27" s="756">
        <v>0.50696052999999996</v>
      </c>
      <c r="K27" s="756">
        <v>0.48959893999999998</v>
      </c>
      <c r="L27" s="756">
        <v>0.49528682000000002</v>
      </c>
      <c r="M27" s="756">
        <v>0.48395305</v>
      </c>
      <c r="N27" s="756">
        <v>0.50173226000000004</v>
      </c>
      <c r="O27" s="756">
        <v>0.48792282999999997</v>
      </c>
      <c r="P27" s="756">
        <v>0.46428624000000002</v>
      </c>
      <c r="Q27" s="756">
        <v>0.49276002000000002</v>
      </c>
      <c r="R27" s="756">
        <v>0.47759699999999999</v>
      </c>
      <c r="S27" s="756">
        <v>0.47282148000000002</v>
      </c>
      <c r="T27" s="756">
        <v>0.46497922000000003</v>
      </c>
      <c r="U27" s="756">
        <v>0.4873016</v>
      </c>
      <c r="V27" s="756">
        <v>0.50525061999999998</v>
      </c>
      <c r="W27" s="756">
        <v>0.48409593000000001</v>
      </c>
      <c r="X27" s="756">
        <v>0.49157507</v>
      </c>
      <c r="Y27" s="756">
        <v>0.47828953000000002</v>
      </c>
      <c r="Z27" s="756">
        <v>0.47964245</v>
      </c>
      <c r="AA27" s="756">
        <v>0.48640008000000001</v>
      </c>
      <c r="AB27" s="756">
        <v>0.46183650999999998</v>
      </c>
      <c r="AC27" s="756">
        <v>0.46886464999999999</v>
      </c>
      <c r="AD27" s="756">
        <v>0.46689483999999998</v>
      </c>
      <c r="AE27" s="756">
        <v>0.46332676</v>
      </c>
      <c r="AF27" s="756">
        <v>0.46062157999999997</v>
      </c>
      <c r="AG27" s="756">
        <v>0.48620303999999998</v>
      </c>
      <c r="AH27" s="756">
        <v>0.49194241</v>
      </c>
      <c r="AI27" s="756">
        <v>0.46803676999999999</v>
      </c>
      <c r="AJ27" s="756">
        <v>0.48588360000000003</v>
      </c>
      <c r="AK27" s="756">
        <v>0.47007567</v>
      </c>
      <c r="AL27" s="756">
        <v>0.46898107999999999</v>
      </c>
      <c r="AM27" s="756">
        <v>0.48472193000000002</v>
      </c>
      <c r="AN27" s="756">
        <v>0.43482731000000002</v>
      </c>
      <c r="AO27" s="756">
        <v>0.45313525999999998</v>
      </c>
      <c r="AP27" s="756">
        <v>0.45243519999999998</v>
      </c>
      <c r="AQ27" s="756">
        <v>0.46267827</v>
      </c>
      <c r="AR27" s="756">
        <v>0.46510984</v>
      </c>
      <c r="AS27" s="756">
        <v>0.48802626999999998</v>
      </c>
      <c r="AT27" s="756">
        <v>0.50118556999999997</v>
      </c>
      <c r="AU27" s="756">
        <v>0.48283272999999999</v>
      </c>
      <c r="AV27" s="756">
        <v>0.49109863999999998</v>
      </c>
      <c r="AW27" s="756">
        <v>0.47371268</v>
      </c>
      <c r="AX27" s="756">
        <v>0.48172208</v>
      </c>
      <c r="AY27" s="756">
        <v>0.48052613999999999</v>
      </c>
      <c r="AZ27" s="756">
        <v>0.45520456999999998</v>
      </c>
      <c r="BA27" s="756">
        <v>0.45693265999999999</v>
      </c>
      <c r="BB27" s="756">
        <v>0.37981890000000001</v>
      </c>
      <c r="BC27" s="756">
        <v>0.38150385999999997</v>
      </c>
      <c r="BD27" s="756">
        <v>0.40116816</v>
      </c>
      <c r="BE27" s="756">
        <v>0.36904353000000001</v>
      </c>
      <c r="BF27" s="756">
        <v>0.40914451000000002</v>
      </c>
      <c r="BG27" s="757">
        <v>0.41401670000000002</v>
      </c>
      <c r="BH27" s="757">
        <v>0.43737740000000003</v>
      </c>
      <c r="BI27" s="757">
        <v>0.44185150000000001</v>
      </c>
      <c r="BJ27" s="757">
        <v>0.46054529999999999</v>
      </c>
      <c r="BK27" s="757">
        <v>0.46729080000000001</v>
      </c>
      <c r="BL27" s="757">
        <v>0.45365800000000001</v>
      </c>
      <c r="BM27" s="757">
        <v>0.48059869999999999</v>
      </c>
      <c r="BN27" s="757">
        <v>0.46852379999999999</v>
      </c>
      <c r="BO27" s="757">
        <v>0.473493</v>
      </c>
      <c r="BP27" s="757">
        <v>0.46385150000000003</v>
      </c>
      <c r="BQ27" s="757">
        <v>0.4863962</v>
      </c>
      <c r="BR27" s="757">
        <v>0.50016910000000003</v>
      </c>
      <c r="BS27" s="757">
        <v>0.48347020000000002</v>
      </c>
      <c r="BT27" s="757">
        <v>0.49269259999999998</v>
      </c>
      <c r="BU27" s="757">
        <v>0.48319240000000002</v>
      </c>
      <c r="BV27" s="757">
        <v>0.4895467</v>
      </c>
    </row>
    <row r="28" spans="1:74" ht="11.1" customHeight="1" x14ac:dyDescent="0.2">
      <c r="A28" s="111" t="s">
        <v>1219</v>
      </c>
      <c r="B28" s="204" t="s">
        <v>452</v>
      </c>
      <c r="C28" s="756">
        <v>110.41047644</v>
      </c>
      <c r="D28" s="756">
        <v>103.45168962</v>
      </c>
      <c r="E28" s="756">
        <v>105.73917845</v>
      </c>
      <c r="F28" s="756">
        <v>102.04512867</v>
      </c>
      <c r="G28" s="756">
        <v>108.4368922</v>
      </c>
      <c r="H28" s="756">
        <v>120.36327305</v>
      </c>
      <c r="I28" s="756">
        <v>130.03831815999999</v>
      </c>
      <c r="J28" s="756">
        <v>135.01884086000001</v>
      </c>
      <c r="K28" s="756">
        <v>123.4928238</v>
      </c>
      <c r="L28" s="756">
        <v>112.96281664999999</v>
      </c>
      <c r="M28" s="756">
        <v>105.05986756</v>
      </c>
      <c r="N28" s="756">
        <v>110.17208073</v>
      </c>
      <c r="O28" s="756">
        <v>109.48838655</v>
      </c>
      <c r="P28" s="756">
        <v>99.639935519999995</v>
      </c>
      <c r="Q28" s="756">
        <v>107.17286437</v>
      </c>
      <c r="R28" s="756">
        <v>102.58904968</v>
      </c>
      <c r="S28" s="756">
        <v>109.87209982</v>
      </c>
      <c r="T28" s="756">
        <v>120.01315532</v>
      </c>
      <c r="U28" s="756">
        <v>129.27662307</v>
      </c>
      <c r="V28" s="756">
        <v>128.48100787999999</v>
      </c>
      <c r="W28" s="756">
        <v>118.78875909</v>
      </c>
      <c r="X28" s="756">
        <v>113.28719169999999</v>
      </c>
      <c r="Y28" s="756">
        <v>104.97310007</v>
      </c>
      <c r="Z28" s="756">
        <v>109.30552114</v>
      </c>
      <c r="AA28" s="756">
        <v>114.92525915</v>
      </c>
      <c r="AB28" s="756">
        <v>102.68544876999999</v>
      </c>
      <c r="AC28" s="756">
        <v>108.10834278</v>
      </c>
      <c r="AD28" s="756">
        <v>103.33147963</v>
      </c>
      <c r="AE28" s="756">
        <v>113.17548257999999</v>
      </c>
      <c r="AF28" s="756">
        <v>122.01117547</v>
      </c>
      <c r="AG28" s="756">
        <v>131.52157206000001</v>
      </c>
      <c r="AH28" s="756">
        <v>134.84807015999999</v>
      </c>
      <c r="AI28" s="756">
        <v>122.03347847000001</v>
      </c>
      <c r="AJ28" s="756">
        <v>116.13334136</v>
      </c>
      <c r="AK28" s="756">
        <v>104.98311214</v>
      </c>
      <c r="AL28" s="756">
        <v>107.99808272</v>
      </c>
      <c r="AM28" s="756">
        <v>111.43295869000001</v>
      </c>
      <c r="AN28" s="756">
        <v>101.54686918</v>
      </c>
      <c r="AO28" s="756">
        <v>106.88913761000001</v>
      </c>
      <c r="AP28" s="756">
        <v>101.95974332999999</v>
      </c>
      <c r="AQ28" s="756">
        <v>110.88937773000001</v>
      </c>
      <c r="AR28" s="756">
        <v>115.33808587999999</v>
      </c>
      <c r="AS28" s="756">
        <v>130.42916013000001</v>
      </c>
      <c r="AT28" s="756">
        <v>130.10067307</v>
      </c>
      <c r="AU28" s="756">
        <v>121.31829052000001</v>
      </c>
      <c r="AV28" s="756">
        <v>114.37209412999999</v>
      </c>
      <c r="AW28" s="756">
        <v>102.81005857</v>
      </c>
      <c r="AX28" s="756">
        <v>107.45853314999999</v>
      </c>
      <c r="AY28" s="756">
        <v>107.7146063</v>
      </c>
      <c r="AZ28" s="756">
        <v>102.03777678</v>
      </c>
      <c r="BA28" s="756">
        <v>102.93334960999999</v>
      </c>
      <c r="BB28" s="756">
        <v>90.587432949999993</v>
      </c>
      <c r="BC28" s="756">
        <v>93.332474520000005</v>
      </c>
      <c r="BD28" s="756">
        <v>108.65399191</v>
      </c>
      <c r="BE28" s="756">
        <v>120.46193273999999</v>
      </c>
      <c r="BF28" s="756">
        <v>123.28864204</v>
      </c>
      <c r="BG28" s="757">
        <v>111.0878</v>
      </c>
      <c r="BH28" s="757">
        <v>106.7225</v>
      </c>
      <c r="BI28" s="757">
        <v>97.223950000000002</v>
      </c>
      <c r="BJ28" s="757">
        <v>103.985</v>
      </c>
      <c r="BK28" s="757">
        <v>104.5431</v>
      </c>
      <c r="BL28" s="757">
        <v>96.033450000000002</v>
      </c>
      <c r="BM28" s="757">
        <v>102.08920000000001</v>
      </c>
      <c r="BN28" s="757">
        <v>93.43253</v>
      </c>
      <c r="BO28" s="757">
        <v>99.269350000000003</v>
      </c>
      <c r="BP28" s="757">
        <v>115.0258</v>
      </c>
      <c r="BQ28" s="757">
        <v>121.22620000000001</v>
      </c>
      <c r="BR28" s="757">
        <v>123.7722</v>
      </c>
      <c r="BS28" s="757">
        <v>112.64279999999999</v>
      </c>
      <c r="BT28" s="757">
        <v>108.5403</v>
      </c>
      <c r="BU28" s="757">
        <v>98.515439999999998</v>
      </c>
      <c r="BV28" s="757">
        <v>105.2466</v>
      </c>
    </row>
    <row r="29" spans="1:74" ht="11.1" customHeight="1" x14ac:dyDescent="0.2">
      <c r="A29" s="111"/>
      <c r="B29" s="113" t="s">
        <v>31</v>
      </c>
      <c r="C29" s="758"/>
      <c r="D29" s="758"/>
      <c r="E29" s="758"/>
      <c r="F29" s="758"/>
      <c r="G29" s="758"/>
      <c r="H29" s="758"/>
      <c r="I29" s="758"/>
      <c r="J29" s="758"/>
      <c r="K29" s="758"/>
      <c r="L29" s="758"/>
      <c r="M29" s="758"/>
      <c r="N29" s="758"/>
      <c r="O29" s="758"/>
      <c r="P29" s="758"/>
      <c r="Q29" s="758"/>
      <c r="R29" s="758"/>
      <c r="S29" s="758"/>
      <c r="T29" s="758"/>
      <c r="U29" s="758"/>
      <c r="V29" s="758"/>
      <c r="W29" s="758"/>
      <c r="X29" s="758"/>
      <c r="Y29" s="758"/>
      <c r="Z29" s="758"/>
      <c r="AA29" s="758"/>
      <c r="AB29" s="758"/>
      <c r="AC29" s="758"/>
      <c r="AD29" s="758"/>
      <c r="AE29" s="758"/>
      <c r="AF29" s="758"/>
      <c r="AG29" s="758"/>
      <c r="AH29" s="758"/>
      <c r="AI29" s="758"/>
      <c r="AJ29" s="758"/>
      <c r="AK29" s="758"/>
      <c r="AL29" s="758"/>
      <c r="AM29" s="758"/>
      <c r="AN29" s="758"/>
      <c r="AO29" s="758"/>
      <c r="AP29" s="758"/>
      <c r="AQ29" s="758"/>
      <c r="AR29" s="758"/>
      <c r="AS29" s="758"/>
      <c r="AT29" s="758"/>
      <c r="AU29" s="758"/>
      <c r="AV29" s="758"/>
      <c r="AW29" s="758"/>
      <c r="AX29" s="758"/>
      <c r="AY29" s="758"/>
      <c r="AZ29" s="758"/>
      <c r="BA29" s="758"/>
      <c r="BB29" s="758"/>
      <c r="BC29" s="758"/>
      <c r="BD29" s="758"/>
      <c r="BE29" s="758"/>
      <c r="BF29" s="758"/>
      <c r="BG29" s="759"/>
      <c r="BH29" s="759"/>
      <c r="BI29" s="759"/>
      <c r="BJ29" s="759"/>
      <c r="BK29" s="759"/>
      <c r="BL29" s="759"/>
      <c r="BM29" s="759"/>
      <c r="BN29" s="759"/>
      <c r="BO29" s="759"/>
      <c r="BP29" s="759"/>
      <c r="BQ29" s="759"/>
      <c r="BR29" s="759"/>
      <c r="BS29" s="759"/>
      <c r="BT29" s="759"/>
      <c r="BU29" s="759"/>
      <c r="BV29" s="759"/>
    </row>
    <row r="30" spans="1:74" ht="11.1" customHeight="1" x14ac:dyDescent="0.2">
      <c r="A30" s="111" t="s">
        <v>1220</v>
      </c>
      <c r="B30" s="204" t="s">
        <v>444</v>
      </c>
      <c r="C30" s="756">
        <v>1.4622661699999999</v>
      </c>
      <c r="D30" s="756">
        <v>1.4280127300000001</v>
      </c>
      <c r="E30" s="756">
        <v>1.45321291</v>
      </c>
      <c r="F30" s="756">
        <v>1.4430212899999999</v>
      </c>
      <c r="G30" s="756">
        <v>1.48428132</v>
      </c>
      <c r="H30" s="756">
        <v>1.52718943</v>
      </c>
      <c r="I30" s="756">
        <v>1.58042616</v>
      </c>
      <c r="J30" s="756">
        <v>1.6642822100000001</v>
      </c>
      <c r="K30" s="756">
        <v>1.54625243</v>
      </c>
      <c r="L30" s="756">
        <v>1.47460312</v>
      </c>
      <c r="M30" s="756">
        <v>1.44910563</v>
      </c>
      <c r="N30" s="756">
        <v>1.45208764</v>
      </c>
      <c r="O30" s="756">
        <v>1.3720656899999999</v>
      </c>
      <c r="P30" s="756">
        <v>1.2911259100000001</v>
      </c>
      <c r="Q30" s="756">
        <v>1.3965459899999999</v>
      </c>
      <c r="R30" s="756">
        <v>1.31282426</v>
      </c>
      <c r="S30" s="756">
        <v>1.3794679599999999</v>
      </c>
      <c r="T30" s="756">
        <v>1.4397555099999999</v>
      </c>
      <c r="U30" s="756">
        <v>1.5120038499999999</v>
      </c>
      <c r="V30" s="756">
        <v>1.5011249200000001</v>
      </c>
      <c r="W30" s="756">
        <v>1.47620996</v>
      </c>
      <c r="X30" s="756">
        <v>1.4647189</v>
      </c>
      <c r="Y30" s="756">
        <v>1.3622853100000001</v>
      </c>
      <c r="Z30" s="756">
        <v>1.35839175</v>
      </c>
      <c r="AA30" s="756">
        <v>1.43380653</v>
      </c>
      <c r="AB30" s="756">
        <v>1.26232473</v>
      </c>
      <c r="AC30" s="756">
        <v>1.39446588</v>
      </c>
      <c r="AD30" s="756">
        <v>1.3446336000000001</v>
      </c>
      <c r="AE30" s="756">
        <v>1.4792108799999999</v>
      </c>
      <c r="AF30" s="756">
        <v>1.4055655600000001</v>
      </c>
      <c r="AG30" s="756">
        <v>1.4656609700000001</v>
      </c>
      <c r="AH30" s="756">
        <v>1.62379531</v>
      </c>
      <c r="AI30" s="756">
        <v>1.43252449</v>
      </c>
      <c r="AJ30" s="756">
        <v>1.4844427499999999</v>
      </c>
      <c r="AK30" s="756">
        <v>1.4133998400000001</v>
      </c>
      <c r="AL30" s="756">
        <v>1.31375346</v>
      </c>
      <c r="AM30" s="756">
        <v>1.3673784099999999</v>
      </c>
      <c r="AN30" s="756">
        <v>1.1123675500000001</v>
      </c>
      <c r="AO30" s="756">
        <v>1.3347647</v>
      </c>
      <c r="AP30" s="756">
        <v>1.2318424100000001</v>
      </c>
      <c r="AQ30" s="756">
        <v>1.3213295700000001</v>
      </c>
      <c r="AR30" s="756">
        <v>1.2101388399999999</v>
      </c>
      <c r="AS30" s="756">
        <v>1.48185678</v>
      </c>
      <c r="AT30" s="756">
        <v>1.35328475</v>
      </c>
      <c r="AU30" s="756">
        <v>1.20947757</v>
      </c>
      <c r="AV30" s="756">
        <v>1.3305801500000001</v>
      </c>
      <c r="AW30" s="756">
        <v>1.2452231199999999</v>
      </c>
      <c r="AX30" s="756">
        <v>1.24153235</v>
      </c>
      <c r="AY30" s="756">
        <v>1.2690456299999999</v>
      </c>
      <c r="AZ30" s="756">
        <v>1.2102132299999999</v>
      </c>
      <c r="BA30" s="756">
        <v>1.2288118800000001</v>
      </c>
      <c r="BB30" s="756">
        <v>1.10545637</v>
      </c>
      <c r="BC30" s="756">
        <v>1.14526325</v>
      </c>
      <c r="BD30" s="756">
        <v>1.28462673</v>
      </c>
      <c r="BE30" s="756">
        <v>1.3594227917999999</v>
      </c>
      <c r="BF30" s="756">
        <v>1.1985238359999999</v>
      </c>
      <c r="BG30" s="757">
        <v>1.1147450000000001</v>
      </c>
      <c r="BH30" s="757">
        <v>1.235236</v>
      </c>
      <c r="BI30" s="757">
        <v>1.1568579999999999</v>
      </c>
      <c r="BJ30" s="757">
        <v>1.151772</v>
      </c>
      <c r="BK30" s="757">
        <v>1.177994</v>
      </c>
      <c r="BL30" s="757">
        <v>1.0889059999999999</v>
      </c>
      <c r="BM30" s="757">
        <v>1.166766</v>
      </c>
      <c r="BN30" s="757">
        <v>1.1169929999999999</v>
      </c>
      <c r="BO30" s="757">
        <v>1.1531279999999999</v>
      </c>
      <c r="BP30" s="757">
        <v>1.2667600000000001</v>
      </c>
      <c r="BQ30" s="757">
        <v>1.3335090000000001</v>
      </c>
      <c r="BR30" s="757">
        <v>1.1935150000000001</v>
      </c>
      <c r="BS30" s="757">
        <v>1.1091949999999999</v>
      </c>
      <c r="BT30" s="757">
        <v>1.2304679999999999</v>
      </c>
      <c r="BU30" s="757">
        <v>1.152007</v>
      </c>
      <c r="BV30" s="757">
        <v>1.1463620000000001</v>
      </c>
    </row>
    <row r="31" spans="1:74" ht="11.1" customHeight="1" x14ac:dyDescent="0.2">
      <c r="A31" s="111" t="s">
        <v>1221</v>
      </c>
      <c r="B31" s="187" t="s">
        <v>477</v>
      </c>
      <c r="C31" s="756">
        <v>6.0247998000000003</v>
      </c>
      <c r="D31" s="756">
        <v>5.8689799200000001</v>
      </c>
      <c r="E31" s="756">
        <v>5.87979114</v>
      </c>
      <c r="F31" s="756">
        <v>5.7212954700000003</v>
      </c>
      <c r="G31" s="756">
        <v>5.8718473900000001</v>
      </c>
      <c r="H31" s="756">
        <v>6.0812015600000002</v>
      </c>
      <c r="I31" s="756">
        <v>6.3572990999999996</v>
      </c>
      <c r="J31" s="756">
        <v>6.4024962399999996</v>
      </c>
      <c r="K31" s="756">
        <v>6.21909504</v>
      </c>
      <c r="L31" s="756">
        <v>6.0033118700000001</v>
      </c>
      <c r="M31" s="756">
        <v>5.6905067799999998</v>
      </c>
      <c r="N31" s="756">
        <v>6.0095957000000002</v>
      </c>
      <c r="O31" s="756">
        <v>5.8968059799999999</v>
      </c>
      <c r="P31" s="756">
        <v>5.8271900499999996</v>
      </c>
      <c r="Q31" s="756">
        <v>5.9061408699999998</v>
      </c>
      <c r="R31" s="756">
        <v>5.9738081300000001</v>
      </c>
      <c r="S31" s="756">
        <v>5.9540126300000003</v>
      </c>
      <c r="T31" s="756">
        <v>6.1068235800000004</v>
      </c>
      <c r="U31" s="756">
        <v>6.4060363000000002</v>
      </c>
      <c r="V31" s="756">
        <v>6.5737110200000002</v>
      </c>
      <c r="W31" s="756">
        <v>6.16912664</v>
      </c>
      <c r="X31" s="756">
        <v>6.1213327099999999</v>
      </c>
      <c r="Y31" s="756">
        <v>6.0497850599999996</v>
      </c>
      <c r="Z31" s="756">
        <v>6.05881106</v>
      </c>
      <c r="AA31" s="756">
        <v>6.0599675099999999</v>
      </c>
      <c r="AB31" s="756">
        <v>6.0269585599999997</v>
      </c>
      <c r="AC31" s="756">
        <v>5.9662214499999999</v>
      </c>
      <c r="AD31" s="756">
        <v>5.9677148799999999</v>
      </c>
      <c r="AE31" s="756">
        <v>6.1550004899999999</v>
      </c>
      <c r="AF31" s="756">
        <v>5.9653147799999999</v>
      </c>
      <c r="AG31" s="756">
        <v>6.5849572199999997</v>
      </c>
      <c r="AH31" s="756">
        <v>6.8358359499999999</v>
      </c>
      <c r="AI31" s="756">
        <v>6.6388560500000002</v>
      </c>
      <c r="AJ31" s="756">
        <v>6.0551787099999999</v>
      </c>
      <c r="AK31" s="756">
        <v>5.8768999600000003</v>
      </c>
      <c r="AL31" s="756">
        <v>6.4684914500000001</v>
      </c>
      <c r="AM31" s="756">
        <v>6.03542939</v>
      </c>
      <c r="AN31" s="756">
        <v>5.7362423199999997</v>
      </c>
      <c r="AO31" s="756">
        <v>5.8939446599999998</v>
      </c>
      <c r="AP31" s="756">
        <v>5.69776112</v>
      </c>
      <c r="AQ31" s="756">
        <v>5.7627438199999999</v>
      </c>
      <c r="AR31" s="756">
        <v>6.0528086400000003</v>
      </c>
      <c r="AS31" s="756">
        <v>6.7435069900000002</v>
      </c>
      <c r="AT31" s="756">
        <v>6.7098188900000002</v>
      </c>
      <c r="AU31" s="756">
        <v>6.3918031500000003</v>
      </c>
      <c r="AV31" s="756">
        <v>6.28447201</v>
      </c>
      <c r="AW31" s="756">
        <v>6.0203457900000004</v>
      </c>
      <c r="AX31" s="756">
        <v>5.9132735700000003</v>
      </c>
      <c r="AY31" s="756">
        <v>6.1648518399999999</v>
      </c>
      <c r="AZ31" s="756">
        <v>5.9119118500000001</v>
      </c>
      <c r="BA31" s="756">
        <v>5.8798308700000002</v>
      </c>
      <c r="BB31" s="756">
        <v>5.3237353799999996</v>
      </c>
      <c r="BC31" s="756">
        <v>5.1876985299999996</v>
      </c>
      <c r="BD31" s="756">
        <v>5.7168112899999999</v>
      </c>
      <c r="BE31" s="756">
        <v>6.2308559086999997</v>
      </c>
      <c r="BF31" s="756">
        <v>6.0758311906999998</v>
      </c>
      <c r="BG31" s="757">
        <v>5.942526</v>
      </c>
      <c r="BH31" s="757">
        <v>5.9477359999999999</v>
      </c>
      <c r="BI31" s="757">
        <v>5.7221359999999999</v>
      </c>
      <c r="BJ31" s="757">
        <v>5.6083249999999998</v>
      </c>
      <c r="BK31" s="757">
        <v>5.8660899999999998</v>
      </c>
      <c r="BL31" s="757">
        <v>5.4348270000000003</v>
      </c>
      <c r="BM31" s="757">
        <v>5.7050599999999996</v>
      </c>
      <c r="BN31" s="757">
        <v>5.5202419999999996</v>
      </c>
      <c r="BO31" s="757">
        <v>5.3578210000000004</v>
      </c>
      <c r="BP31" s="757">
        <v>5.7987970000000004</v>
      </c>
      <c r="BQ31" s="757">
        <v>6.3043579999999997</v>
      </c>
      <c r="BR31" s="757">
        <v>6.2298989999999996</v>
      </c>
      <c r="BS31" s="757">
        <v>6.0916160000000001</v>
      </c>
      <c r="BT31" s="757">
        <v>6.1057829999999997</v>
      </c>
      <c r="BU31" s="757">
        <v>5.872236</v>
      </c>
      <c r="BV31" s="757">
        <v>5.7475050000000003</v>
      </c>
    </row>
    <row r="32" spans="1:74" ht="11.1" customHeight="1" x14ac:dyDescent="0.2">
      <c r="A32" s="111" t="s">
        <v>1222</v>
      </c>
      <c r="B32" s="204" t="s">
        <v>445</v>
      </c>
      <c r="C32" s="756">
        <v>15.84884308</v>
      </c>
      <c r="D32" s="756">
        <v>15.761667539999999</v>
      </c>
      <c r="E32" s="756">
        <v>16.41098289</v>
      </c>
      <c r="F32" s="756">
        <v>15.66151148</v>
      </c>
      <c r="G32" s="756">
        <v>16.399960069999999</v>
      </c>
      <c r="H32" s="756">
        <v>16.459288690000001</v>
      </c>
      <c r="I32" s="756">
        <v>17.32991123</v>
      </c>
      <c r="J32" s="756">
        <v>17.77046103</v>
      </c>
      <c r="K32" s="756">
        <v>16.393893089999999</v>
      </c>
      <c r="L32" s="756">
        <v>16.032540229999999</v>
      </c>
      <c r="M32" s="756">
        <v>15.491617160000001</v>
      </c>
      <c r="N32" s="756">
        <v>15.76317759</v>
      </c>
      <c r="O32" s="756">
        <v>15.688043479999999</v>
      </c>
      <c r="P32" s="756">
        <v>14.7684718</v>
      </c>
      <c r="Q32" s="756">
        <v>16.216938389999999</v>
      </c>
      <c r="R32" s="756">
        <v>15.36724832</v>
      </c>
      <c r="S32" s="756">
        <v>16.217552860000001</v>
      </c>
      <c r="T32" s="756">
        <v>16.478947229999999</v>
      </c>
      <c r="U32" s="756">
        <v>16.858697320000001</v>
      </c>
      <c r="V32" s="756">
        <v>17.138016310000001</v>
      </c>
      <c r="W32" s="756">
        <v>16.357799910000001</v>
      </c>
      <c r="X32" s="756">
        <v>16.081934539999999</v>
      </c>
      <c r="Y32" s="756">
        <v>15.4173986</v>
      </c>
      <c r="Z32" s="756">
        <v>15.562905260000001</v>
      </c>
      <c r="AA32" s="756">
        <v>15.824887909999999</v>
      </c>
      <c r="AB32" s="756">
        <v>15.18508405</v>
      </c>
      <c r="AC32" s="756">
        <v>16.402493450000001</v>
      </c>
      <c r="AD32" s="756">
        <v>15.508455250000001</v>
      </c>
      <c r="AE32" s="756">
        <v>16.989744210000001</v>
      </c>
      <c r="AF32" s="756">
        <v>16.831372649999999</v>
      </c>
      <c r="AG32" s="756">
        <v>17.05849615</v>
      </c>
      <c r="AH32" s="756">
        <v>17.76292325</v>
      </c>
      <c r="AI32" s="756">
        <v>16.32025514</v>
      </c>
      <c r="AJ32" s="756">
        <v>16.470592249999999</v>
      </c>
      <c r="AK32" s="756">
        <v>15.80578021</v>
      </c>
      <c r="AL32" s="756">
        <v>15.71455154</v>
      </c>
      <c r="AM32" s="756">
        <v>15.328335490000001</v>
      </c>
      <c r="AN32" s="756">
        <v>14.20291052</v>
      </c>
      <c r="AO32" s="756">
        <v>15.30760594</v>
      </c>
      <c r="AP32" s="756">
        <v>14.70725431</v>
      </c>
      <c r="AQ32" s="756">
        <v>15.452380509999999</v>
      </c>
      <c r="AR32" s="756">
        <v>15.22197143</v>
      </c>
      <c r="AS32" s="756">
        <v>16.15989648</v>
      </c>
      <c r="AT32" s="756">
        <v>16.168273070000001</v>
      </c>
      <c r="AU32" s="756">
        <v>15.339022160000001</v>
      </c>
      <c r="AV32" s="756">
        <v>15.004585390000001</v>
      </c>
      <c r="AW32" s="756">
        <v>14.321406440000001</v>
      </c>
      <c r="AX32" s="756">
        <v>14.298786489999999</v>
      </c>
      <c r="AY32" s="756">
        <v>14.671599000000001</v>
      </c>
      <c r="AZ32" s="756">
        <v>14.578521739999999</v>
      </c>
      <c r="BA32" s="756">
        <v>14.705947480000001</v>
      </c>
      <c r="BB32" s="756">
        <v>11.89588957</v>
      </c>
      <c r="BC32" s="756">
        <v>12.212273720000001</v>
      </c>
      <c r="BD32" s="756">
        <v>13.626864490000001</v>
      </c>
      <c r="BE32" s="756">
        <v>13.901052879</v>
      </c>
      <c r="BF32" s="756">
        <v>13.525935218000001</v>
      </c>
      <c r="BG32" s="757">
        <v>13.106450000000001</v>
      </c>
      <c r="BH32" s="757">
        <v>12.91656</v>
      </c>
      <c r="BI32" s="757">
        <v>12.41131</v>
      </c>
      <c r="BJ32" s="757">
        <v>12.4078</v>
      </c>
      <c r="BK32" s="757">
        <v>12.816979999999999</v>
      </c>
      <c r="BL32" s="757">
        <v>12.395060000000001</v>
      </c>
      <c r="BM32" s="757">
        <v>13.30939</v>
      </c>
      <c r="BN32" s="757">
        <v>11.84116</v>
      </c>
      <c r="BO32" s="757">
        <v>12.06889</v>
      </c>
      <c r="BP32" s="757">
        <v>12.87092</v>
      </c>
      <c r="BQ32" s="757">
        <v>13.09215</v>
      </c>
      <c r="BR32" s="757">
        <v>13.055899999999999</v>
      </c>
      <c r="BS32" s="757">
        <v>12.66168</v>
      </c>
      <c r="BT32" s="757">
        <v>12.521509999999999</v>
      </c>
      <c r="BU32" s="757">
        <v>12.020860000000001</v>
      </c>
      <c r="BV32" s="757">
        <v>11.99643</v>
      </c>
    </row>
    <row r="33" spans="1:74" ht="11.1" customHeight="1" x14ac:dyDescent="0.2">
      <c r="A33" s="111" t="s">
        <v>1223</v>
      </c>
      <c r="B33" s="204" t="s">
        <v>446</v>
      </c>
      <c r="C33" s="756">
        <v>7.1824263699999999</v>
      </c>
      <c r="D33" s="756">
        <v>7.1063642600000003</v>
      </c>
      <c r="E33" s="756">
        <v>7.1703194200000002</v>
      </c>
      <c r="F33" s="756">
        <v>6.9736442600000004</v>
      </c>
      <c r="G33" s="756">
        <v>7.3786920699999996</v>
      </c>
      <c r="H33" s="756">
        <v>7.6118949899999997</v>
      </c>
      <c r="I33" s="756">
        <v>7.9620644399999998</v>
      </c>
      <c r="J33" s="756">
        <v>8.2889730400000001</v>
      </c>
      <c r="K33" s="756">
        <v>7.66755297</v>
      </c>
      <c r="L33" s="756">
        <v>7.4508329599999996</v>
      </c>
      <c r="M33" s="756">
        <v>7.4846025200000001</v>
      </c>
      <c r="N33" s="756">
        <v>7.3120667199999998</v>
      </c>
      <c r="O33" s="756">
        <v>7.3290124600000004</v>
      </c>
      <c r="P33" s="756">
        <v>7.0217547400000004</v>
      </c>
      <c r="Q33" s="756">
        <v>7.6306822099999998</v>
      </c>
      <c r="R33" s="756">
        <v>7.4062924499999996</v>
      </c>
      <c r="S33" s="756">
        <v>7.7888926100000004</v>
      </c>
      <c r="T33" s="756">
        <v>8.0427459300000006</v>
      </c>
      <c r="U33" s="756">
        <v>8.5665089900000009</v>
      </c>
      <c r="V33" s="756">
        <v>8.35363495</v>
      </c>
      <c r="W33" s="756">
        <v>7.9477852699999998</v>
      </c>
      <c r="X33" s="756">
        <v>7.7898382699999997</v>
      </c>
      <c r="Y33" s="756">
        <v>7.6628978600000002</v>
      </c>
      <c r="Z33" s="756">
        <v>7.6495193099999996</v>
      </c>
      <c r="AA33" s="756">
        <v>7.5041570499999999</v>
      </c>
      <c r="AB33" s="756">
        <v>7.1676084099999997</v>
      </c>
      <c r="AC33" s="756">
        <v>7.5883598299999999</v>
      </c>
      <c r="AD33" s="756">
        <v>7.4565604499999996</v>
      </c>
      <c r="AE33" s="756">
        <v>7.9841300200000003</v>
      </c>
      <c r="AF33" s="756">
        <v>7.9342495199999998</v>
      </c>
      <c r="AG33" s="756">
        <v>8.4211882800000009</v>
      </c>
      <c r="AH33" s="756">
        <v>8.6538726599999993</v>
      </c>
      <c r="AI33" s="756">
        <v>7.9780419299999998</v>
      </c>
      <c r="AJ33" s="756">
        <v>7.9255393300000003</v>
      </c>
      <c r="AK33" s="756">
        <v>7.8104694300000004</v>
      </c>
      <c r="AL33" s="756">
        <v>7.6557801200000002</v>
      </c>
      <c r="AM33" s="756">
        <v>7.2903605200000001</v>
      </c>
      <c r="AN33" s="756">
        <v>6.7027670199999996</v>
      </c>
      <c r="AO33" s="756">
        <v>7.1241932200000004</v>
      </c>
      <c r="AP33" s="756">
        <v>7.2410426399999999</v>
      </c>
      <c r="AQ33" s="756">
        <v>7.40888832</v>
      </c>
      <c r="AR33" s="756">
        <v>7.3107339199999997</v>
      </c>
      <c r="AS33" s="756">
        <v>7.8910648700000001</v>
      </c>
      <c r="AT33" s="756">
        <v>7.9425302599999998</v>
      </c>
      <c r="AU33" s="756">
        <v>7.6078462900000003</v>
      </c>
      <c r="AV33" s="756">
        <v>7.2714993799999998</v>
      </c>
      <c r="AW33" s="756">
        <v>7.28851418</v>
      </c>
      <c r="AX33" s="756">
        <v>7.20720603</v>
      </c>
      <c r="AY33" s="756">
        <v>7.3025163500000003</v>
      </c>
      <c r="AZ33" s="756">
        <v>7.1545314299999996</v>
      </c>
      <c r="BA33" s="756">
        <v>7.2813123500000003</v>
      </c>
      <c r="BB33" s="756">
        <v>6.6504160299999997</v>
      </c>
      <c r="BC33" s="756">
        <v>6.6101521300000003</v>
      </c>
      <c r="BD33" s="756">
        <v>7.0393172699999997</v>
      </c>
      <c r="BE33" s="756">
        <v>7.5533977650999997</v>
      </c>
      <c r="BF33" s="756">
        <v>7.4315495009000001</v>
      </c>
      <c r="BG33" s="757">
        <v>7.1265320000000001</v>
      </c>
      <c r="BH33" s="757">
        <v>6.8052869999999999</v>
      </c>
      <c r="BI33" s="757">
        <v>6.8029479999999998</v>
      </c>
      <c r="BJ33" s="757">
        <v>6.7069559999999999</v>
      </c>
      <c r="BK33" s="757">
        <v>6.7936610000000002</v>
      </c>
      <c r="BL33" s="757">
        <v>6.4803280000000001</v>
      </c>
      <c r="BM33" s="757">
        <v>7.0270960000000002</v>
      </c>
      <c r="BN33" s="757">
        <v>7.1248060000000004</v>
      </c>
      <c r="BO33" s="757">
        <v>7.0227139999999997</v>
      </c>
      <c r="BP33" s="757">
        <v>7.2297890000000002</v>
      </c>
      <c r="BQ33" s="757">
        <v>7.6820880000000002</v>
      </c>
      <c r="BR33" s="757">
        <v>7.7427580000000003</v>
      </c>
      <c r="BS33" s="757">
        <v>7.420439</v>
      </c>
      <c r="BT33" s="757">
        <v>7.1068059999999997</v>
      </c>
      <c r="BU33" s="757">
        <v>7.1061040000000002</v>
      </c>
      <c r="BV33" s="757">
        <v>7.0038660000000004</v>
      </c>
    </row>
    <row r="34" spans="1:74" ht="11.1" customHeight="1" x14ac:dyDescent="0.2">
      <c r="A34" s="111" t="s">
        <v>1224</v>
      </c>
      <c r="B34" s="204" t="s">
        <v>447</v>
      </c>
      <c r="C34" s="756">
        <v>11.35072211</v>
      </c>
      <c r="D34" s="756">
        <v>10.962514199999999</v>
      </c>
      <c r="E34" s="756">
        <v>11.22712295</v>
      </c>
      <c r="F34" s="756">
        <v>11.61546414</v>
      </c>
      <c r="G34" s="756">
        <v>12.098829820000001</v>
      </c>
      <c r="H34" s="756">
        <v>11.90244828</v>
      </c>
      <c r="I34" s="756">
        <v>12.37798405</v>
      </c>
      <c r="J34" s="756">
        <v>12.7443534</v>
      </c>
      <c r="K34" s="756">
        <v>11.67985275</v>
      </c>
      <c r="L34" s="756">
        <v>11.6096252</v>
      </c>
      <c r="M34" s="756">
        <v>11.31554833</v>
      </c>
      <c r="N34" s="756">
        <v>10.9852998</v>
      </c>
      <c r="O34" s="756">
        <v>11.020074599999999</v>
      </c>
      <c r="P34" s="756">
        <v>10.489604310000001</v>
      </c>
      <c r="Q34" s="756">
        <v>11.68553226</v>
      </c>
      <c r="R34" s="756">
        <v>11.471786099999999</v>
      </c>
      <c r="S34" s="756">
        <v>12.330334179999999</v>
      </c>
      <c r="T34" s="756">
        <v>11.970772480000001</v>
      </c>
      <c r="U34" s="756">
        <v>12.27054891</v>
      </c>
      <c r="V34" s="756">
        <v>12.644857699999999</v>
      </c>
      <c r="W34" s="756">
        <v>11.58408944</v>
      </c>
      <c r="X34" s="756">
        <v>11.974748630000001</v>
      </c>
      <c r="Y34" s="756">
        <v>11.451260680000001</v>
      </c>
      <c r="Z34" s="756">
        <v>11.48037882</v>
      </c>
      <c r="AA34" s="756">
        <v>11.32414556</v>
      </c>
      <c r="AB34" s="756">
        <v>10.53220123</v>
      </c>
      <c r="AC34" s="756">
        <v>11.87695021</v>
      </c>
      <c r="AD34" s="756">
        <v>11.304557279999999</v>
      </c>
      <c r="AE34" s="756">
        <v>12.577802930000001</v>
      </c>
      <c r="AF34" s="756">
        <v>12.240039360000001</v>
      </c>
      <c r="AG34" s="756">
        <v>12.81598082</v>
      </c>
      <c r="AH34" s="756">
        <v>13.00708167</v>
      </c>
      <c r="AI34" s="756">
        <v>12.176297780000001</v>
      </c>
      <c r="AJ34" s="756">
        <v>12.241660899999999</v>
      </c>
      <c r="AK34" s="756">
        <v>11.526082799999999</v>
      </c>
      <c r="AL34" s="756">
        <v>11.02486553</v>
      </c>
      <c r="AM34" s="756">
        <v>11.425403859999999</v>
      </c>
      <c r="AN34" s="756">
        <v>10.253984519999999</v>
      </c>
      <c r="AO34" s="756">
        <v>11.32417259</v>
      </c>
      <c r="AP34" s="756">
        <v>11.21564734</v>
      </c>
      <c r="AQ34" s="756">
        <v>11.99665122</v>
      </c>
      <c r="AR34" s="756">
        <v>11.58492204</v>
      </c>
      <c r="AS34" s="756">
        <v>12.252169840000001</v>
      </c>
      <c r="AT34" s="756">
        <v>12.20485736</v>
      </c>
      <c r="AU34" s="756">
        <v>11.77230335</v>
      </c>
      <c r="AV34" s="756">
        <v>11.67532419</v>
      </c>
      <c r="AW34" s="756">
        <v>10.96037301</v>
      </c>
      <c r="AX34" s="756">
        <v>10.78844484</v>
      </c>
      <c r="AY34" s="756">
        <v>11.147682140000001</v>
      </c>
      <c r="AZ34" s="756">
        <v>10.70385718</v>
      </c>
      <c r="BA34" s="756">
        <v>11.154704600000001</v>
      </c>
      <c r="BB34" s="756">
        <v>9.8723466299999991</v>
      </c>
      <c r="BC34" s="756">
        <v>10.699070880000001</v>
      </c>
      <c r="BD34" s="756">
        <v>10.433062169999999</v>
      </c>
      <c r="BE34" s="756">
        <v>11.446585705</v>
      </c>
      <c r="BF34" s="756">
        <v>11.221891415</v>
      </c>
      <c r="BG34" s="757">
        <v>10.940630000000001</v>
      </c>
      <c r="BH34" s="757">
        <v>10.969530000000001</v>
      </c>
      <c r="BI34" s="757">
        <v>10.24295</v>
      </c>
      <c r="BJ34" s="757">
        <v>10.09901</v>
      </c>
      <c r="BK34" s="757">
        <v>10.53457</v>
      </c>
      <c r="BL34" s="757">
        <v>9.8406950000000002</v>
      </c>
      <c r="BM34" s="757">
        <v>10.80977</v>
      </c>
      <c r="BN34" s="757">
        <v>10.291399999999999</v>
      </c>
      <c r="BO34" s="757">
        <v>11.054650000000001</v>
      </c>
      <c r="BP34" s="757">
        <v>10.540520000000001</v>
      </c>
      <c r="BQ34" s="757">
        <v>11.51267</v>
      </c>
      <c r="BR34" s="757">
        <v>11.47817</v>
      </c>
      <c r="BS34" s="757">
        <v>11.15503</v>
      </c>
      <c r="BT34" s="757">
        <v>11.195320000000001</v>
      </c>
      <c r="BU34" s="757">
        <v>10.43859</v>
      </c>
      <c r="BV34" s="757">
        <v>10.253920000000001</v>
      </c>
    </row>
    <row r="35" spans="1:74" ht="11.1" customHeight="1" x14ac:dyDescent="0.2">
      <c r="A35" s="111" t="s">
        <v>1225</v>
      </c>
      <c r="B35" s="204" t="s">
        <v>448</v>
      </c>
      <c r="C35" s="756">
        <v>8.1521227199999995</v>
      </c>
      <c r="D35" s="756">
        <v>7.9886568200000001</v>
      </c>
      <c r="E35" s="756">
        <v>8.1193667299999994</v>
      </c>
      <c r="F35" s="756">
        <v>8.1821707900000007</v>
      </c>
      <c r="G35" s="756">
        <v>8.5118273900000005</v>
      </c>
      <c r="H35" s="756">
        <v>8.5485665999999991</v>
      </c>
      <c r="I35" s="756">
        <v>8.6720531399999992</v>
      </c>
      <c r="J35" s="756">
        <v>8.9954105099999992</v>
      </c>
      <c r="K35" s="756">
        <v>8.4207031000000008</v>
      </c>
      <c r="L35" s="756">
        <v>8.4304909899999991</v>
      </c>
      <c r="M35" s="756">
        <v>8.1729489100000006</v>
      </c>
      <c r="N35" s="756">
        <v>8.1891653400000006</v>
      </c>
      <c r="O35" s="756">
        <v>8.4156215700000008</v>
      </c>
      <c r="P35" s="756">
        <v>7.8636734800000001</v>
      </c>
      <c r="Q35" s="756">
        <v>8.5342688300000002</v>
      </c>
      <c r="R35" s="756">
        <v>8.3378099199999998</v>
      </c>
      <c r="S35" s="756">
        <v>8.8025611300000008</v>
      </c>
      <c r="T35" s="756">
        <v>8.7073225599999997</v>
      </c>
      <c r="U35" s="756">
        <v>8.9560623499999998</v>
      </c>
      <c r="V35" s="756">
        <v>9.1786784499999996</v>
      </c>
      <c r="W35" s="756">
        <v>8.5077814299999996</v>
      </c>
      <c r="X35" s="756">
        <v>8.3748715100000002</v>
      </c>
      <c r="Y35" s="756">
        <v>8.2095789000000003</v>
      </c>
      <c r="Z35" s="756">
        <v>8.2366918800000004</v>
      </c>
      <c r="AA35" s="756">
        <v>8.2000219399999992</v>
      </c>
      <c r="AB35" s="756">
        <v>7.6792575999999997</v>
      </c>
      <c r="AC35" s="756">
        <v>8.4216642299999993</v>
      </c>
      <c r="AD35" s="756">
        <v>8.0931851199999993</v>
      </c>
      <c r="AE35" s="756">
        <v>8.4460104200000004</v>
      </c>
      <c r="AF35" s="756">
        <v>8.3805143700000002</v>
      </c>
      <c r="AG35" s="756">
        <v>8.6978614299999997</v>
      </c>
      <c r="AH35" s="756">
        <v>9.04611521</v>
      </c>
      <c r="AI35" s="756">
        <v>8.57012003</v>
      </c>
      <c r="AJ35" s="756">
        <v>8.7250919400000004</v>
      </c>
      <c r="AK35" s="756">
        <v>8.2891610199999999</v>
      </c>
      <c r="AL35" s="756">
        <v>8.2335196899999996</v>
      </c>
      <c r="AM35" s="756">
        <v>8.0314901299999999</v>
      </c>
      <c r="AN35" s="756">
        <v>7.4955067900000003</v>
      </c>
      <c r="AO35" s="756">
        <v>7.9173845299999996</v>
      </c>
      <c r="AP35" s="756">
        <v>7.79152296</v>
      </c>
      <c r="AQ35" s="756">
        <v>8.1615641500000002</v>
      </c>
      <c r="AR35" s="756">
        <v>7.9249716000000001</v>
      </c>
      <c r="AS35" s="756">
        <v>8.1976346699999993</v>
      </c>
      <c r="AT35" s="756">
        <v>8.3608882500000004</v>
      </c>
      <c r="AU35" s="756">
        <v>7.9111382700000004</v>
      </c>
      <c r="AV35" s="756">
        <v>7.80833961</v>
      </c>
      <c r="AW35" s="756">
        <v>7.4790030200000004</v>
      </c>
      <c r="AX35" s="756">
        <v>7.62619326</v>
      </c>
      <c r="AY35" s="756">
        <v>7.88932096</v>
      </c>
      <c r="AZ35" s="756">
        <v>7.6468698899999996</v>
      </c>
      <c r="BA35" s="756">
        <v>7.7838988000000002</v>
      </c>
      <c r="BB35" s="756">
        <v>6.9546277600000002</v>
      </c>
      <c r="BC35" s="756">
        <v>7.1119079100000002</v>
      </c>
      <c r="BD35" s="756">
        <v>7.3275690200000003</v>
      </c>
      <c r="BE35" s="756">
        <v>7.6383776172999998</v>
      </c>
      <c r="BF35" s="756">
        <v>7.6159961671999996</v>
      </c>
      <c r="BG35" s="757">
        <v>7.2505850000000001</v>
      </c>
      <c r="BH35" s="757">
        <v>7.1792410000000002</v>
      </c>
      <c r="BI35" s="757">
        <v>6.8769270000000002</v>
      </c>
      <c r="BJ35" s="757">
        <v>7.0040719999999999</v>
      </c>
      <c r="BK35" s="757">
        <v>7.2504359999999997</v>
      </c>
      <c r="BL35" s="757">
        <v>6.8406190000000002</v>
      </c>
      <c r="BM35" s="757">
        <v>7.4050700000000003</v>
      </c>
      <c r="BN35" s="757">
        <v>7.3075219999999996</v>
      </c>
      <c r="BO35" s="757">
        <v>7.4166879999999997</v>
      </c>
      <c r="BP35" s="757">
        <v>7.3967219999999996</v>
      </c>
      <c r="BQ35" s="757">
        <v>7.6416209999999998</v>
      </c>
      <c r="BR35" s="757">
        <v>7.8006080000000004</v>
      </c>
      <c r="BS35" s="757">
        <v>7.4269400000000001</v>
      </c>
      <c r="BT35" s="757">
        <v>7.3751680000000004</v>
      </c>
      <c r="BU35" s="757">
        <v>7.0685060000000002</v>
      </c>
      <c r="BV35" s="757">
        <v>7.1982010000000001</v>
      </c>
    </row>
    <row r="36" spans="1:74" ht="11.1" customHeight="1" x14ac:dyDescent="0.2">
      <c r="A36" s="111" t="s">
        <v>1226</v>
      </c>
      <c r="B36" s="204" t="s">
        <v>449</v>
      </c>
      <c r="C36" s="756">
        <v>15.20104632</v>
      </c>
      <c r="D36" s="756">
        <v>14.29611673</v>
      </c>
      <c r="E36" s="756">
        <v>14.735389209999999</v>
      </c>
      <c r="F36" s="756">
        <v>14.949041749999999</v>
      </c>
      <c r="G36" s="756">
        <v>15.05714306</v>
      </c>
      <c r="H36" s="756">
        <v>15.61669685</v>
      </c>
      <c r="I36" s="756">
        <v>16.09908579</v>
      </c>
      <c r="J36" s="756">
        <v>16.330826179999999</v>
      </c>
      <c r="K36" s="756">
        <v>15.69914369</v>
      </c>
      <c r="L36" s="756">
        <v>15.729279979999999</v>
      </c>
      <c r="M36" s="756">
        <v>14.891486260000001</v>
      </c>
      <c r="N36" s="756">
        <v>14.949392100000001</v>
      </c>
      <c r="O36" s="756">
        <v>15.547849899999999</v>
      </c>
      <c r="P36" s="756">
        <v>14.49044613</v>
      </c>
      <c r="Q36" s="756">
        <v>15.448679970000001</v>
      </c>
      <c r="R36" s="756">
        <v>15.308806710000001</v>
      </c>
      <c r="S36" s="756">
        <v>16.161810769999999</v>
      </c>
      <c r="T36" s="756">
        <v>16.922170359999999</v>
      </c>
      <c r="U36" s="756">
        <v>16.88873152</v>
      </c>
      <c r="V36" s="756">
        <v>17.13312449</v>
      </c>
      <c r="W36" s="756">
        <v>16.179481540000001</v>
      </c>
      <c r="X36" s="756">
        <v>16.395395440000001</v>
      </c>
      <c r="Y36" s="756">
        <v>15.75838134</v>
      </c>
      <c r="Z36" s="756">
        <v>16.197886879999999</v>
      </c>
      <c r="AA36" s="756">
        <v>15.692711210000001</v>
      </c>
      <c r="AB36" s="756">
        <v>14.91741987</v>
      </c>
      <c r="AC36" s="756">
        <v>15.667024659999999</v>
      </c>
      <c r="AD36" s="756">
        <v>15.860186110000001</v>
      </c>
      <c r="AE36" s="756">
        <v>17.04970398</v>
      </c>
      <c r="AF36" s="756">
        <v>17.109173819999999</v>
      </c>
      <c r="AG36" s="756">
        <v>17.408842870000001</v>
      </c>
      <c r="AH36" s="756">
        <v>17.937814629999998</v>
      </c>
      <c r="AI36" s="756">
        <v>17.214407489999999</v>
      </c>
      <c r="AJ36" s="756">
        <v>17.21468432</v>
      </c>
      <c r="AK36" s="756">
        <v>16.091932419999999</v>
      </c>
      <c r="AL36" s="756">
        <v>15.98579462</v>
      </c>
      <c r="AM36" s="756">
        <v>15.278863019999999</v>
      </c>
      <c r="AN36" s="756">
        <v>14.58143879</v>
      </c>
      <c r="AO36" s="756">
        <v>14.98955838</v>
      </c>
      <c r="AP36" s="756">
        <v>15.237649859999999</v>
      </c>
      <c r="AQ36" s="756">
        <v>16.087773609999999</v>
      </c>
      <c r="AR36" s="756">
        <v>16.39170455</v>
      </c>
      <c r="AS36" s="756">
        <v>16.89448956</v>
      </c>
      <c r="AT36" s="756">
        <v>17.070585090000002</v>
      </c>
      <c r="AU36" s="756">
        <v>16.281563250000001</v>
      </c>
      <c r="AV36" s="756">
        <v>16.00239157</v>
      </c>
      <c r="AW36" s="756">
        <v>15.19529848</v>
      </c>
      <c r="AX36" s="756">
        <v>15.4500552</v>
      </c>
      <c r="AY36" s="756">
        <v>15.26120665</v>
      </c>
      <c r="AZ36" s="756">
        <v>15.32141916</v>
      </c>
      <c r="BA36" s="756">
        <v>15.86940199</v>
      </c>
      <c r="BB36" s="756">
        <v>14.79283685</v>
      </c>
      <c r="BC36" s="756">
        <v>14.59932952</v>
      </c>
      <c r="BD36" s="756">
        <v>15.282443949999999</v>
      </c>
      <c r="BE36" s="756">
        <v>15.747266028</v>
      </c>
      <c r="BF36" s="756">
        <v>15.592663979999999</v>
      </c>
      <c r="BG36" s="757">
        <v>15.13743</v>
      </c>
      <c r="BH36" s="757">
        <v>15.060280000000001</v>
      </c>
      <c r="BI36" s="757">
        <v>14.36923</v>
      </c>
      <c r="BJ36" s="757">
        <v>14.612399999999999</v>
      </c>
      <c r="BK36" s="757">
        <v>14.451420000000001</v>
      </c>
      <c r="BL36" s="757">
        <v>14.1043</v>
      </c>
      <c r="BM36" s="757">
        <v>15.460710000000001</v>
      </c>
      <c r="BN36" s="757">
        <v>15.583069999999999</v>
      </c>
      <c r="BO36" s="757">
        <v>15.296860000000001</v>
      </c>
      <c r="BP36" s="757">
        <v>15.60375</v>
      </c>
      <c r="BQ36" s="757">
        <v>15.960089999999999</v>
      </c>
      <c r="BR36" s="757">
        <v>16.10492</v>
      </c>
      <c r="BS36" s="757">
        <v>15.64955</v>
      </c>
      <c r="BT36" s="757">
        <v>15.60477</v>
      </c>
      <c r="BU36" s="757">
        <v>14.90245</v>
      </c>
      <c r="BV36" s="757">
        <v>15.170349999999999</v>
      </c>
    </row>
    <row r="37" spans="1:74" s="116" customFormat="1" ht="11.1" customHeight="1" x14ac:dyDescent="0.2">
      <c r="A37" s="111" t="s">
        <v>1227</v>
      </c>
      <c r="B37" s="204" t="s">
        <v>450</v>
      </c>
      <c r="C37" s="756">
        <v>6.6253804699999996</v>
      </c>
      <c r="D37" s="756">
        <v>6.4406005400000002</v>
      </c>
      <c r="E37" s="756">
        <v>6.4772189200000003</v>
      </c>
      <c r="F37" s="756">
        <v>6.6041723899999996</v>
      </c>
      <c r="G37" s="756">
        <v>6.9615540300000003</v>
      </c>
      <c r="H37" s="756">
        <v>7.5897683499999999</v>
      </c>
      <c r="I37" s="756">
        <v>8.0208064199999995</v>
      </c>
      <c r="J37" s="756">
        <v>7.7915610600000003</v>
      </c>
      <c r="K37" s="756">
        <v>7.0329844799999996</v>
      </c>
      <c r="L37" s="756">
        <v>6.9137462599999999</v>
      </c>
      <c r="M37" s="756">
        <v>6.4047321400000001</v>
      </c>
      <c r="N37" s="756">
        <v>6.5796600600000001</v>
      </c>
      <c r="O37" s="756">
        <v>6.5020816899999998</v>
      </c>
      <c r="P37" s="756">
        <v>6.0384317100000002</v>
      </c>
      <c r="Q37" s="756">
        <v>6.5018914399999996</v>
      </c>
      <c r="R37" s="756">
        <v>6.4371505100000004</v>
      </c>
      <c r="S37" s="756">
        <v>6.9837495799999996</v>
      </c>
      <c r="T37" s="756">
        <v>7.4554851700000002</v>
      </c>
      <c r="U37" s="756">
        <v>7.8504457099999998</v>
      </c>
      <c r="V37" s="756">
        <v>7.7106805700000001</v>
      </c>
      <c r="W37" s="756">
        <v>7.1896537599999997</v>
      </c>
      <c r="X37" s="756">
        <v>6.6577775499999996</v>
      </c>
      <c r="Y37" s="756">
        <v>6.3170563499999997</v>
      </c>
      <c r="Z37" s="756">
        <v>6.5669719899999999</v>
      </c>
      <c r="AA37" s="756">
        <v>6.5548621300000001</v>
      </c>
      <c r="AB37" s="756">
        <v>5.9862575099999997</v>
      </c>
      <c r="AC37" s="756">
        <v>6.4334887500000004</v>
      </c>
      <c r="AD37" s="756">
        <v>6.5269424699999998</v>
      </c>
      <c r="AE37" s="756">
        <v>7.0792841400000004</v>
      </c>
      <c r="AF37" s="756">
        <v>7.4344015800000003</v>
      </c>
      <c r="AG37" s="756">
        <v>8.0787343000000007</v>
      </c>
      <c r="AH37" s="756">
        <v>7.9742498800000003</v>
      </c>
      <c r="AI37" s="756">
        <v>7.3145258499999999</v>
      </c>
      <c r="AJ37" s="756">
        <v>6.8550134199999997</v>
      </c>
      <c r="AK37" s="756">
        <v>6.7710160100000003</v>
      </c>
      <c r="AL37" s="756">
        <v>6.7788780300000004</v>
      </c>
      <c r="AM37" s="756">
        <v>6.5906864399999998</v>
      </c>
      <c r="AN37" s="756">
        <v>6.0596744200000003</v>
      </c>
      <c r="AO37" s="756">
        <v>6.5791823799999998</v>
      </c>
      <c r="AP37" s="756">
        <v>6.5383119299999999</v>
      </c>
      <c r="AQ37" s="756">
        <v>6.9631774599999998</v>
      </c>
      <c r="AR37" s="756">
        <v>7.6275703799999999</v>
      </c>
      <c r="AS37" s="756">
        <v>8.0732673100000003</v>
      </c>
      <c r="AT37" s="756">
        <v>8.0492574700000006</v>
      </c>
      <c r="AU37" s="756">
        <v>7.4077799799999999</v>
      </c>
      <c r="AV37" s="756">
        <v>6.8493666700000002</v>
      </c>
      <c r="AW37" s="756">
        <v>6.6032921900000003</v>
      </c>
      <c r="AX37" s="756">
        <v>6.7970293000000002</v>
      </c>
      <c r="AY37" s="756">
        <v>6.86332845</v>
      </c>
      <c r="AZ37" s="756">
        <v>6.4448282299999997</v>
      </c>
      <c r="BA37" s="756">
        <v>6.66326617</v>
      </c>
      <c r="BB37" s="756">
        <v>6.3836197099999996</v>
      </c>
      <c r="BC37" s="756">
        <v>6.7784994200000002</v>
      </c>
      <c r="BD37" s="756">
        <v>7.1328809900000003</v>
      </c>
      <c r="BE37" s="756">
        <v>7.5397455318000004</v>
      </c>
      <c r="BF37" s="756">
        <v>7.4230921258000002</v>
      </c>
      <c r="BG37" s="757">
        <v>6.9821960000000001</v>
      </c>
      <c r="BH37" s="757">
        <v>6.551158</v>
      </c>
      <c r="BI37" s="757">
        <v>6.3714219999999999</v>
      </c>
      <c r="BJ37" s="757">
        <v>6.5945910000000003</v>
      </c>
      <c r="BK37" s="757">
        <v>6.6886080000000003</v>
      </c>
      <c r="BL37" s="757">
        <v>6.100714</v>
      </c>
      <c r="BM37" s="757">
        <v>6.6209069999999999</v>
      </c>
      <c r="BN37" s="757">
        <v>6.6260389999999996</v>
      </c>
      <c r="BO37" s="757">
        <v>7.0119420000000003</v>
      </c>
      <c r="BP37" s="757">
        <v>7.2743529999999996</v>
      </c>
      <c r="BQ37" s="757">
        <v>7.6622960000000004</v>
      </c>
      <c r="BR37" s="757">
        <v>7.6183139999999998</v>
      </c>
      <c r="BS37" s="757">
        <v>7.1696840000000002</v>
      </c>
      <c r="BT37" s="757">
        <v>6.7352270000000001</v>
      </c>
      <c r="BU37" s="757">
        <v>6.5512009999999998</v>
      </c>
      <c r="BV37" s="757">
        <v>6.7805850000000003</v>
      </c>
    </row>
    <row r="38" spans="1:74" s="116" customFormat="1" ht="11.1" customHeight="1" x14ac:dyDescent="0.2">
      <c r="A38" s="111" t="s">
        <v>1228</v>
      </c>
      <c r="B38" s="204" t="s">
        <v>248</v>
      </c>
      <c r="C38" s="756">
        <v>6.5852307300000001</v>
      </c>
      <c r="D38" s="756">
        <v>6.49956069</v>
      </c>
      <c r="E38" s="756">
        <v>7.3487922000000001</v>
      </c>
      <c r="F38" s="756">
        <v>7.0908582500000001</v>
      </c>
      <c r="G38" s="756">
        <v>7.3062144900000003</v>
      </c>
      <c r="H38" s="756">
        <v>7.9182232900000002</v>
      </c>
      <c r="I38" s="756">
        <v>8.2347230400000004</v>
      </c>
      <c r="J38" s="756">
        <v>8.6462224800000005</v>
      </c>
      <c r="K38" s="756">
        <v>8.1661965700000003</v>
      </c>
      <c r="L38" s="756">
        <v>7.4997230100000003</v>
      </c>
      <c r="M38" s="756">
        <v>7.1027194099999997</v>
      </c>
      <c r="N38" s="756">
        <v>6.9506958599999997</v>
      </c>
      <c r="O38" s="756">
        <v>6.6334997500000004</v>
      </c>
      <c r="P38" s="756">
        <v>6.3618521899999996</v>
      </c>
      <c r="Q38" s="756">
        <v>6.7888548599999998</v>
      </c>
      <c r="R38" s="756">
        <v>6.8725482299999996</v>
      </c>
      <c r="S38" s="756">
        <v>7.0943108800000001</v>
      </c>
      <c r="T38" s="756">
        <v>7.8547998300000001</v>
      </c>
      <c r="U38" s="756">
        <v>8.0530799999999996</v>
      </c>
      <c r="V38" s="756">
        <v>8.4502237400000002</v>
      </c>
      <c r="W38" s="756">
        <v>7.6907109199999999</v>
      </c>
      <c r="X38" s="756">
        <v>7.5145223400000001</v>
      </c>
      <c r="Y38" s="756">
        <v>6.81706769</v>
      </c>
      <c r="Z38" s="756">
        <v>6.7363505999999997</v>
      </c>
      <c r="AA38" s="756">
        <v>6.8989209100000002</v>
      </c>
      <c r="AB38" s="756">
        <v>6.5242270700000002</v>
      </c>
      <c r="AC38" s="756">
        <v>6.9060409900000002</v>
      </c>
      <c r="AD38" s="756">
        <v>6.6280672599999999</v>
      </c>
      <c r="AE38" s="756">
        <v>7.4715677899999999</v>
      </c>
      <c r="AF38" s="756">
        <v>7.82101866</v>
      </c>
      <c r="AG38" s="756">
        <v>8.3326759199999998</v>
      </c>
      <c r="AH38" s="756">
        <v>8.8224696999999992</v>
      </c>
      <c r="AI38" s="756">
        <v>7.6101696099999998</v>
      </c>
      <c r="AJ38" s="756">
        <v>7.8888755799999997</v>
      </c>
      <c r="AK38" s="756">
        <v>7.1212666200000001</v>
      </c>
      <c r="AL38" s="756">
        <v>6.7251828800000002</v>
      </c>
      <c r="AM38" s="756">
        <v>6.65858784</v>
      </c>
      <c r="AN38" s="756">
        <v>6.0842503199999998</v>
      </c>
      <c r="AO38" s="756">
        <v>6.3528228100000002</v>
      </c>
      <c r="AP38" s="756">
        <v>6.3776745300000002</v>
      </c>
      <c r="AQ38" s="756">
        <v>7.0978686499999997</v>
      </c>
      <c r="AR38" s="756">
        <v>6.8854736699999997</v>
      </c>
      <c r="AS38" s="756">
        <v>7.9330715100000004</v>
      </c>
      <c r="AT38" s="756">
        <v>8.0303333400000003</v>
      </c>
      <c r="AU38" s="756">
        <v>7.4162790300000001</v>
      </c>
      <c r="AV38" s="756">
        <v>7.2785711500000003</v>
      </c>
      <c r="AW38" s="756">
        <v>6.3422171499999997</v>
      </c>
      <c r="AX38" s="756">
        <v>6.5964188899999998</v>
      </c>
      <c r="AY38" s="756">
        <v>6.4069122199999997</v>
      </c>
      <c r="AZ38" s="756">
        <v>6.2870963700000004</v>
      </c>
      <c r="BA38" s="756">
        <v>6.5447239899999996</v>
      </c>
      <c r="BB38" s="756">
        <v>6.1657796899999999</v>
      </c>
      <c r="BC38" s="756">
        <v>6.5002555700000002</v>
      </c>
      <c r="BD38" s="756">
        <v>7.0166838</v>
      </c>
      <c r="BE38" s="756">
        <v>7.9120465844999996</v>
      </c>
      <c r="BF38" s="756">
        <v>7.7258216944000004</v>
      </c>
      <c r="BG38" s="757">
        <v>7.2220250000000004</v>
      </c>
      <c r="BH38" s="757">
        <v>7.0757830000000004</v>
      </c>
      <c r="BI38" s="757">
        <v>6.1446699999999996</v>
      </c>
      <c r="BJ38" s="757">
        <v>6.3688219999999998</v>
      </c>
      <c r="BK38" s="757">
        <v>6.173362</v>
      </c>
      <c r="BL38" s="757">
        <v>5.8512269999999997</v>
      </c>
      <c r="BM38" s="757">
        <v>6.361402</v>
      </c>
      <c r="BN38" s="757">
        <v>6.1250619999999998</v>
      </c>
      <c r="BO38" s="757">
        <v>6.4478949999999999</v>
      </c>
      <c r="BP38" s="757">
        <v>6.9357569999999997</v>
      </c>
      <c r="BQ38" s="757">
        <v>7.814616</v>
      </c>
      <c r="BR38" s="757">
        <v>7.74932</v>
      </c>
      <c r="BS38" s="757">
        <v>7.1568670000000001</v>
      </c>
      <c r="BT38" s="757">
        <v>7.0211079999999999</v>
      </c>
      <c r="BU38" s="757">
        <v>6.0997409999999999</v>
      </c>
      <c r="BV38" s="757">
        <v>6.3125080000000002</v>
      </c>
    </row>
    <row r="39" spans="1:74" s="116" customFormat="1" ht="11.1" customHeight="1" x14ac:dyDescent="0.2">
      <c r="A39" s="111" t="s">
        <v>1229</v>
      </c>
      <c r="B39" s="204" t="s">
        <v>249</v>
      </c>
      <c r="C39" s="756">
        <v>0.41502536000000001</v>
      </c>
      <c r="D39" s="756">
        <v>0.39598566000000002</v>
      </c>
      <c r="E39" s="756">
        <v>0.41516491999999999</v>
      </c>
      <c r="F39" s="756">
        <v>0.40554702999999998</v>
      </c>
      <c r="G39" s="756">
        <v>0.42110639</v>
      </c>
      <c r="H39" s="756">
        <v>0.41675579000000001</v>
      </c>
      <c r="I39" s="756">
        <v>0.44204515999999999</v>
      </c>
      <c r="J39" s="756">
        <v>0.46595227</v>
      </c>
      <c r="K39" s="756">
        <v>0.43363334999999997</v>
      </c>
      <c r="L39" s="756">
        <v>0.45311856</v>
      </c>
      <c r="M39" s="756">
        <v>0.41816481</v>
      </c>
      <c r="N39" s="756">
        <v>0.42519168000000002</v>
      </c>
      <c r="O39" s="756">
        <v>0.40405827</v>
      </c>
      <c r="P39" s="756">
        <v>0.38124373</v>
      </c>
      <c r="Q39" s="756">
        <v>0.42068998000000002</v>
      </c>
      <c r="R39" s="756">
        <v>0.41028313</v>
      </c>
      <c r="S39" s="756">
        <v>0.42177770999999997</v>
      </c>
      <c r="T39" s="756">
        <v>0.41971565999999999</v>
      </c>
      <c r="U39" s="756">
        <v>0.44401694000000003</v>
      </c>
      <c r="V39" s="756">
        <v>0.45039076</v>
      </c>
      <c r="W39" s="756">
        <v>0.43750138999999999</v>
      </c>
      <c r="X39" s="756">
        <v>0.43999079000000002</v>
      </c>
      <c r="Y39" s="756">
        <v>0.40988005999999999</v>
      </c>
      <c r="Z39" s="756">
        <v>0.39390159000000002</v>
      </c>
      <c r="AA39" s="756">
        <v>0.39631044999999998</v>
      </c>
      <c r="AB39" s="756">
        <v>0.37984983</v>
      </c>
      <c r="AC39" s="756">
        <v>0.39621730999999999</v>
      </c>
      <c r="AD39" s="756">
        <v>0.39311647</v>
      </c>
      <c r="AE39" s="756">
        <v>0.40519223999999998</v>
      </c>
      <c r="AF39" s="756">
        <v>0.41459072000000002</v>
      </c>
      <c r="AG39" s="756">
        <v>0.43695870999999997</v>
      </c>
      <c r="AH39" s="756">
        <v>0.44159314</v>
      </c>
      <c r="AI39" s="756">
        <v>0.42379575000000003</v>
      </c>
      <c r="AJ39" s="756">
        <v>0.43966428000000002</v>
      </c>
      <c r="AK39" s="756">
        <v>0.41234912000000001</v>
      </c>
      <c r="AL39" s="756">
        <v>0.40531898</v>
      </c>
      <c r="AM39" s="756">
        <v>0.38329798999999998</v>
      </c>
      <c r="AN39" s="756">
        <v>0.33861828999999999</v>
      </c>
      <c r="AO39" s="756">
        <v>0.37468779000000002</v>
      </c>
      <c r="AP39" s="756">
        <v>0.37445647999999998</v>
      </c>
      <c r="AQ39" s="756">
        <v>0.40456666000000002</v>
      </c>
      <c r="AR39" s="756">
        <v>0.40813184000000002</v>
      </c>
      <c r="AS39" s="756">
        <v>0.42954334</v>
      </c>
      <c r="AT39" s="756">
        <v>0.45533655000000001</v>
      </c>
      <c r="AU39" s="756">
        <v>0.43026845000000002</v>
      </c>
      <c r="AV39" s="756">
        <v>0.43377231999999999</v>
      </c>
      <c r="AW39" s="756">
        <v>0.41344133999999999</v>
      </c>
      <c r="AX39" s="756">
        <v>0.40802482000000001</v>
      </c>
      <c r="AY39" s="756">
        <v>0.40746288000000003</v>
      </c>
      <c r="AZ39" s="756">
        <v>0.36705409</v>
      </c>
      <c r="BA39" s="756">
        <v>0.39687570999999999</v>
      </c>
      <c r="BB39" s="756">
        <v>0.33498960999999999</v>
      </c>
      <c r="BC39" s="756">
        <v>0.35035786000000002</v>
      </c>
      <c r="BD39" s="756">
        <v>0.36460342000000001</v>
      </c>
      <c r="BE39" s="756">
        <v>0.40471646999999999</v>
      </c>
      <c r="BF39" s="756">
        <v>0.43628128999999999</v>
      </c>
      <c r="BG39" s="757">
        <v>0.41767700000000002</v>
      </c>
      <c r="BH39" s="757">
        <v>0.42394179999999998</v>
      </c>
      <c r="BI39" s="757">
        <v>0.40505980000000003</v>
      </c>
      <c r="BJ39" s="757">
        <v>0.40008969999999999</v>
      </c>
      <c r="BK39" s="757">
        <v>0.39982390000000001</v>
      </c>
      <c r="BL39" s="757">
        <v>0.34865099999999999</v>
      </c>
      <c r="BM39" s="757">
        <v>0.39332820000000002</v>
      </c>
      <c r="BN39" s="757">
        <v>0.34134680000000001</v>
      </c>
      <c r="BO39" s="757">
        <v>0.35592109999999999</v>
      </c>
      <c r="BP39" s="757">
        <v>0.36701349999999999</v>
      </c>
      <c r="BQ39" s="757">
        <v>0.40640880000000001</v>
      </c>
      <c r="BR39" s="757">
        <v>0.44111</v>
      </c>
      <c r="BS39" s="757">
        <v>0.42225829999999998</v>
      </c>
      <c r="BT39" s="757">
        <v>0.42893100000000001</v>
      </c>
      <c r="BU39" s="757">
        <v>0.40987109999999999</v>
      </c>
      <c r="BV39" s="757">
        <v>0.40486040000000001</v>
      </c>
    </row>
    <row r="40" spans="1:74" s="116" customFormat="1" ht="11.1" customHeight="1" x14ac:dyDescent="0.2">
      <c r="A40" s="111" t="s">
        <v>1230</v>
      </c>
      <c r="B40" s="204" t="s">
        <v>452</v>
      </c>
      <c r="C40" s="756">
        <v>78.847863129999993</v>
      </c>
      <c r="D40" s="756">
        <v>76.748459089999997</v>
      </c>
      <c r="E40" s="756">
        <v>79.237361289999996</v>
      </c>
      <c r="F40" s="756">
        <v>78.646726849999993</v>
      </c>
      <c r="G40" s="756">
        <v>81.491456029999995</v>
      </c>
      <c r="H40" s="756">
        <v>83.672033830000004</v>
      </c>
      <c r="I40" s="756">
        <v>87.076398530000006</v>
      </c>
      <c r="J40" s="756">
        <v>89.100538420000007</v>
      </c>
      <c r="K40" s="756">
        <v>83.259307469999996</v>
      </c>
      <c r="L40" s="756">
        <v>81.597272180000004</v>
      </c>
      <c r="M40" s="756">
        <v>78.421431949999999</v>
      </c>
      <c r="N40" s="756">
        <v>78.616332490000005</v>
      </c>
      <c r="O40" s="756">
        <v>78.809113389999993</v>
      </c>
      <c r="P40" s="756">
        <v>74.533794049999997</v>
      </c>
      <c r="Q40" s="756">
        <v>80.530224799999999</v>
      </c>
      <c r="R40" s="756">
        <v>78.898557760000003</v>
      </c>
      <c r="S40" s="756">
        <v>83.134470309999998</v>
      </c>
      <c r="T40" s="756">
        <v>85.398538310000006</v>
      </c>
      <c r="U40" s="756">
        <v>87.806131890000003</v>
      </c>
      <c r="V40" s="756">
        <v>89.134442910000004</v>
      </c>
      <c r="W40" s="756">
        <v>83.540140260000001</v>
      </c>
      <c r="X40" s="756">
        <v>82.815130679999996</v>
      </c>
      <c r="Y40" s="756">
        <v>79.455591850000005</v>
      </c>
      <c r="Z40" s="756">
        <v>80.241809140000001</v>
      </c>
      <c r="AA40" s="756">
        <v>79.889791200000005</v>
      </c>
      <c r="AB40" s="756">
        <v>75.661188859999996</v>
      </c>
      <c r="AC40" s="756">
        <v>81.052926760000005</v>
      </c>
      <c r="AD40" s="756">
        <v>79.083418890000004</v>
      </c>
      <c r="AE40" s="756">
        <v>85.637647099999995</v>
      </c>
      <c r="AF40" s="756">
        <v>85.536241020000006</v>
      </c>
      <c r="AG40" s="756">
        <v>89.301356670000004</v>
      </c>
      <c r="AH40" s="756">
        <v>92.105751400000003</v>
      </c>
      <c r="AI40" s="756">
        <v>85.678994119999999</v>
      </c>
      <c r="AJ40" s="756">
        <v>85.300743479999994</v>
      </c>
      <c r="AK40" s="756">
        <v>81.118357430000003</v>
      </c>
      <c r="AL40" s="756">
        <v>80.306136300000006</v>
      </c>
      <c r="AM40" s="756">
        <v>78.389833089999996</v>
      </c>
      <c r="AN40" s="756">
        <v>72.567760539999995</v>
      </c>
      <c r="AO40" s="756">
        <v>77.198317000000003</v>
      </c>
      <c r="AP40" s="756">
        <v>76.413163580000003</v>
      </c>
      <c r="AQ40" s="756">
        <v>80.65694397</v>
      </c>
      <c r="AR40" s="756">
        <v>80.618426909999997</v>
      </c>
      <c r="AS40" s="756">
        <v>86.056501350000005</v>
      </c>
      <c r="AT40" s="756">
        <v>86.345165030000004</v>
      </c>
      <c r="AU40" s="756">
        <v>81.767481500000002</v>
      </c>
      <c r="AV40" s="756">
        <v>79.938902440000007</v>
      </c>
      <c r="AW40" s="756">
        <v>75.869114719999999</v>
      </c>
      <c r="AX40" s="756">
        <v>76.326964750000002</v>
      </c>
      <c r="AY40" s="756">
        <v>77.383926119999998</v>
      </c>
      <c r="AZ40" s="756">
        <v>75.62630317</v>
      </c>
      <c r="BA40" s="756">
        <v>77.508773840000003</v>
      </c>
      <c r="BB40" s="756">
        <v>69.479697599999994</v>
      </c>
      <c r="BC40" s="756">
        <v>71.194808789999996</v>
      </c>
      <c r="BD40" s="756">
        <v>75.224863130000003</v>
      </c>
      <c r="BE40" s="756">
        <v>79.733467279999999</v>
      </c>
      <c r="BF40" s="756">
        <v>78.247586417999997</v>
      </c>
      <c r="BG40" s="757">
        <v>75.240790000000004</v>
      </c>
      <c r="BH40" s="757">
        <v>74.164760000000001</v>
      </c>
      <c r="BI40" s="757">
        <v>70.503500000000003</v>
      </c>
      <c r="BJ40" s="757">
        <v>70.953829999999996</v>
      </c>
      <c r="BK40" s="757">
        <v>72.152940000000001</v>
      </c>
      <c r="BL40" s="757">
        <v>68.485330000000005</v>
      </c>
      <c r="BM40" s="757">
        <v>74.259500000000003</v>
      </c>
      <c r="BN40" s="757">
        <v>71.877650000000003</v>
      </c>
      <c r="BO40" s="757">
        <v>73.186509999999998</v>
      </c>
      <c r="BP40" s="757">
        <v>75.284369999999996</v>
      </c>
      <c r="BQ40" s="757">
        <v>79.409800000000004</v>
      </c>
      <c r="BR40" s="757">
        <v>79.414510000000007</v>
      </c>
      <c r="BS40" s="757">
        <v>76.263270000000006</v>
      </c>
      <c r="BT40" s="757">
        <v>75.325090000000003</v>
      </c>
      <c r="BU40" s="757">
        <v>71.621570000000006</v>
      </c>
      <c r="BV40" s="757">
        <v>72.014589999999998</v>
      </c>
    </row>
    <row r="41" spans="1:74" s="116" customFormat="1" ht="11.1" customHeight="1" x14ac:dyDescent="0.2">
      <c r="A41" s="117"/>
      <c r="B41" s="118" t="s">
        <v>247</v>
      </c>
      <c r="C41" s="760"/>
      <c r="D41" s="760"/>
      <c r="E41" s="760"/>
      <c r="F41" s="760"/>
      <c r="G41" s="760"/>
      <c r="H41" s="760"/>
      <c r="I41" s="760"/>
      <c r="J41" s="760"/>
      <c r="K41" s="760"/>
      <c r="L41" s="760"/>
      <c r="M41" s="760"/>
      <c r="N41" s="760"/>
      <c r="O41" s="760"/>
      <c r="P41" s="760"/>
      <c r="Q41" s="760"/>
      <c r="R41" s="760"/>
      <c r="S41" s="760"/>
      <c r="T41" s="760"/>
      <c r="U41" s="760"/>
      <c r="V41" s="760"/>
      <c r="W41" s="760"/>
      <c r="X41" s="760"/>
      <c r="Y41" s="760"/>
      <c r="Z41" s="760"/>
      <c r="AA41" s="760"/>
      <c r="AB41" s="760"/>
      <c r="AC41" s="760"/>
      <c r="AD41" s="760"/>
      <c r="AE41" s="760"/>
      <c r="AF41" s="760"/>
      <c r="AG41" s="760"/>
      <c r="AH41" s="760"/>
      <c r="AI41" s="760"/>
      <c r="AJ41" s="760"/>
      <c r="AK41" s="760"/>
      <c r="AL41" s="760"/>
      <c r="AM41" s="760"/>
      <c r="AN41" s="760"/>
      <c r="AO41" s="760"/>
      <c r="AP41" s="760"/>
      <c r="AQ41" s="760"/>
      <c r="AR41" s="760"/>
      <c r="AS41" s="760"/>
      <c r="AT41" s="760"/>
      <c r="AU41" s="760"/>
      <c r="AV41" s="760"/>
      <c r="AW41" s="760"/>
      <c r="AX41" s="760"/>
      <c r="AY41" s="760"/>
      <c r="AZ41" s="760"/>
      <c r="BA41" s="760"/>
      <c r="BB41" s="760"/>
      <c r="BC41" s="760"/>
      <c r="BD41" s="760"/>
      <c r="BE41" s="760"/>
      <c r="BF41" s="760"/>
      <c r="BG41" s="761"/>
      <c r="BH41" s="761"/>
      <c r="BI41" s="761"/>
      <c r="BJ41" s="761"/>
      <c r="BK41" s="761"/>
      <c r="BL41" s="761"/>
      <c r="BM41" s="761"/>
      <c r="BN41" s="761"/>
      <c r="BO41" s="761"/>
      <c r="BP41" s="761"/>
      <c r="BQ41" s="761"/>
      <c r="BR41" s="761"/>
      <c r="BS41" s="761"/>
      <c r="BT41" s="761"/>
      <c r="BU41" s="761"/>
      <c r="BV41" s="761"/>
    </row>
    <row r="42" spans="1:74" s="116" customFormat="1" ht="11.1" customHeight="1" x14ac:dyDescent="0.2">
      <c r="A42" s="111" t="s">
        <v>1231</v>
      </c>
      <c r="B42" s="204" t="s">
        <v>444</v>
      </c>
      <c r="C42" s="762">
        <v>10.31712454</v>
      </c>
      <c r="D42" s="762">
        <v>9.6355537400000006</v>
      </c>
      <c r="E42" s="762">
        <v>9.5698014600000008</v>
      </c>
      <c r="F42" s="762">
        <v>8.8356478799999998</v>
      </c>
      <c r="G42" s="762">
        <v>8.5793976599999997</v>
      </c>
      <c r="H42" s="762">
        <v>9.6516085799999995</v>
      </c>
      <c r="I42" s="762">
        <v>11.02785478</v>
      </c>
      <c r="J42" s="762">
        <v>12.04648755</v>
      </c>
      <c r="K42" s="762">
        <v>10.646549690000001</v>
      </c>
      <c r="L42" s="762">
        <v>8.9685716200000005</v>
      </c>
      <c r="M42" s="762">
        <v>8.7021571099999999</v>
      </c>
      <c r="N42" s="762">
        <v>9.8208484299999999</v>
      </c>
      <c r="O42" s="762">
        <v>10.289482810000001</v>
      </c>
      <c r="P42" s="762">
        <v>9.0814820199999993</v>
      </c>
      <c r="Q42" s="762">
        <v>9.6992296200000006</v>
      </c>
      <c r="R42" s="762">
        <v>8.77836645</v>
      </c>
      <c r="S42" s="762">
        <v>8.5877208599999992</v>
      </c>
      <c r="T42" s="762">
        <v>9.6746092299999997</v>
      </c>
      <c r="U42" s="762">
        <v>10.97026617</v>
      </c>
      <c r="V42" s="762">
        <v>10.75815515</v>
      </c>
      <c r="W42" s="762">
        <v>9.5631617000000002</v>
      </c>
      <c r="X42" s="762">
        <v>8.88902663</v>
      </c>
      <c r="Y42" s="762">
        <v>8.9720248700000003</v>
      </c>
      <c r="Z42" s="762">
        <v>10.19459355</v>
      </c>
      <c r="AA42" s="762">
        <v>11.146066210000001</v>
      </c>
      <c r="AB42" s="762">
        <v>9.2728170100000007</v>
      </c>
      <c r="AC42" s="762">
        <v>9.2623340899999995</v>
      </c>
      <c r="AD42" s="762">
        <v>8.7895088799999996</v>
      </c>
      <c r="AE42" s="762">
        <v>8.8021693200000009</v>
      </c>
      <c r="AF42" s="762">
        <v>9.4327578200000008</v>
      </c>
      <c r="AG42" s="762">
        <v>11.4754053</v>
      </c>
      <c r="AH42" s="762">
        <v>12.067728150000001</v>
      </c>
      <c r="AI42" s="762">
        <v>10.119674379999999</v>
      </c>
      <c r="AJ42" s="762">
        <v>9.1795639300000005</v>
      </c>
      <c r="AK42" s="762">
        <v>9.1953083400000004</v>
      </c>
      <c r="AL42" s="762">
        <v>9.8910136899999994</v>
      </c>
      <c r="AM42" s="762">
        <v>10.507165110000001</v>
      </c>
      <c r="AN42" s="762">
        <v>9.1517851199999996</v>
      </c>
      <c r="AO42" s="762">
        <v>9.4643097699999998</v>
      </c>
      <c r="AP42" s="762">
        <v>8.3844609800000001</v>
      </c>
      <c r="AQ42" s="762">
        <v>8.4527196199999999</v>
      </c>
      <c r="AR42" s="762">
        <v>8.8070574399999995</v>
      </c>
      <c r="AS42" s="762">
        <v>11.47810919</v>
      </c>
      <c r="AT42" s="762">
        <v>10.86422932</v>
      </c>
      <c r="AU42" s="762">
        <v>8.9124480500000001</v>
      </c>
      <c r="AV42" s="762">
        <v>8.6021602700000006</v>
      </c>
      <c r="AW42" s="762">
        <v>8.7453066699999997</v>
      </c>
      <c r="AX42" s="762">
        <v>9.8987770499999996</v>
      </c>
      <c r="AY42" s="762">
        <v>9.7440915300000004</v>
      </c>
      <c r="AZ42" s="762">
        <v>9.1267013200000005</v>
      </c>
      <c r="BA42" s="762">
        <v>8.8283504199999996</v>
      </c>
      <c r="BB42" s="762">
        <v>7.9481148199999998</v>
      </c>
      <c r="BC42" s="762">
        <v>7.9840082399999996</v>
      </c>
      <c r="BD42" s="762">
        <v>9.1917359899999997</v>
      </c>
      <c r="BE42" s="762">
        <v>11.37699829</v>
      </c>
      <c r="BF42" s="762">
        <v>11.114884321</v>
      </c>
      <c r="BG42" s="763">
        <v>9.1827699999999997</v>
      </c>
      <c r="BH42" s="763">
        <v>8.7586639999999996</v>
      </c>
      <c r="BI42" s="763">
        <v>8.7948310000000003</v>
      </c>
      <c r="BJ42" s="763">
        <v>9.6244829999999997</v>
      </c>
      <c r="BK42" s="763">
        <v>9.8420649999999998</v>
      </c>
      <c r="BL42" s="763">
        <v>8.9806600000000003</v>
      </c>
      <c r="BM42" s="763">
        <v>9.0208919999999999</v>
      </c>
      <c r="BN42" s="763">
        <v>8.1338740000000005</v>
      </c>
      <c r="BO42" s="763">
        <v>8.1530529999999999</v>
      </c>
      <c r="BP42" s="763">
        <v>9.2236379999999993</v>
      </c>
      <c r="BQ42" s="763">
        <v>10.55364</v>
      </c>
      <c r="BR42" s="763">
        <v>10.50501</v>
      </c>
      <c r="BS42" s="763">
        <v>9.1673760000000009</v>
      </c>
      <c r="BT42" s="763">
        <v>8.8296399999999995</v>
      </c>
      <c r="BU42" s="763">
        <v>8.8261509999999994</v>
      </c>
      <c r="BV42" s="763">
        <v>9.6434949999999997</v>
      </c>
    </row>
    <row r="43" spans="1:74" s="116" customFormat="1" ht="11.1" customHeight="1" x14ac:dyDescent="0.2">
      <c r="A43" s="111" t="s">
        <v>1232</v>
      </c>
      <c r="B43" s="187" t="s">
        <v>477</v>
      </c>
      <c r="C43" s="762">
        <v>31.554993899999999</v>
      </c>
      <c r="D43" s="762">
        <v>30.353879809999999</v>
      </c>
      <c r="E43" s="762">
        <v>28.958813689999999</v>
      </c>
      <c r="F43" s="762">
        <v>26.434758939999998</v>
      </c>
      <c r="G43" s="762">
        <v>27.091144740000001</v>
      </c>
      <c r="H43" s="762">
        <v>30.637870729999999</v>
      </c>
      <c r="I43" s="762">
        <v>36.052508789999997</v>
      </c>
      <c r="J43" s="762">
        <v>37.796255700000003</v>
      </c>
      <c r="K43" s="762">
        <v>33.709770650000003</v>
      </c>
      <c r="L43" s="762">
        <v>28.19927423</v>
      </c>
      <c r="M43" s="762">
        <v>27.14493817</v>
      </c>
      <c r="N43" s="762">
        <v>30.555883699999999</v>
      </c>
      <c r="O43" s="762">
        <v>31.794167009999999</v>
      </c>
      <c r="P43" s="762">
        <v>28.995578349999999</v>
      </c>
      <c r="Q43" s="762">
        <v>29.333413</v>
      </c>
      <c r="R43" s="762">
        <v>26.843148530000001</v>
      </c>
      <c r="S43" s="762">
        <v>26.709658480000002</v>
      </c>
      <c r="T43" s="762">
        <v>30.353183049999998</v>
      </c>
      <c r="U43" s="762">
        <v>35.252539810000002</v>
      </c>
      <c r="V43" s="762">
        <v>34.159507820000002</v>
      </c>
      <c r="W43" s="762">
        <v>30.556615959999998</v>
      </c>
      <c r="X43" s="762">
        <v>28.52289597</v>
      </c>
      <c r="Y43" s="762">
        <v>27.756166159999999</v>
      </c>
      <c r="Z43" s="762">
        <v>31.089394939999998</v>
      </c>
      <c r="AA43" s="762">
        <v>33.966854480000002</v>
      </c>
      <c r="AB43" s="762">
        <v>29.891264670000002</v>
      </c>
      <c r="AC43" s="762">
        <v>29.702020780000002</v>
      </c>
      <c r="AD43" s="762">
        <v>27.829738450000001</v>
      </c>
      <c r="AE43" s="762">
        <v>27.85851882</v>
      </c>
      <c r="AF43" s="762">
        <v>30.353439959999999</v>
      </c>
      <c r="AG43" s="762">
        <v>36.034730809999999</v>
      </c>
      <c r="AH43" s="762">
        <v>37.073984760000002</v>
      </c>
      <c r="AI43" s="762">
        <v>33.895004749999998</v>
      </c>
      <c r="AJ43" s="762">
        <v>29.065564890000001</v>
      </c>
      <c r="AK43" s="762">
        <v>27.920216199999999</v>
      </c>
      <c r="AL43" s="762">
        <v>31.332005460000001</v>
      </c>
      <c r="AM43" s="762">
        <v>32.379503</v>
      </c>
      <c r="AN43" s="762">
        <v>30.308706390000001</v>
      </c>
      <c r="AO43" s="762">
        <v>29.887122890000001</v>
      </c>
      <c r="AP43" s="762">
        <v>26.190119880000001</v>
      </c>
      <c r="AQ43" s="762">
        <v>26.808965799999999</v>
      </c>
      <c r="AR43" s="762">
        <v>29.38392485</v>
      </c>
      <c r="AS43" s="762">
        <v>36.306373299999997</v>
      </c>
      <c r="AT43" s="762">
        <v>35.630947300000003</v>
      </c>
      <c r="AU43" s="762">
        <v>31.049024469999999</v>
      </c>
      <c r="AV43" s="762">
        <v>27.514951620000001</v>
      </c>
      <c r="AW43" s="762">
        <v>27.13549549</v>
      </c>
      <c r="AX43" s="762">
        <v>30.163229009999998</v>
      </c>
      <c r="AY43" s="762">
        <v>30.876743609999998</v>
      </c>
      <c r="AZ43" s="762">
        <v>28.769875290000002</v>
      </c>
      <c r="BA43" s="762">
        <v>27.310984680000001</v>
      </c>
      <c r="BB43" s="762">
        <v>25.047574690000001</v>
      </c>
      <c r="BC43" s="762">
        <v>24.402392729999999</v>
      </c>
      <c r="BD43" s="762">
        <v>29.01194696</v>
      </c>
      <c r="BE43" s="762">
        <v>35.774013187999998</v>
      </c>
      <c r="BF43" s="762">
        <v>35.369348252000002</v>
      </c>
      <c r="BG43" s="763">
        <v>30.464559999999999</v>
      </c>
      <c r="BH43" s="763">
        <v>26.72625</v>
      </c>
      <c r="BI43" s="763">
        <v>26.217099999999999</v>
      </c>
      <c r="BJ43" s="763">
        <v>28.782910000000001</v>
      </c>
      <c r="BK43" s="763">
        <v>30.296869999999998</v>
      </c>
      <c r="BL43" s="763">
        <v>27.562139999999999</v>
      </c>
      <c r="BM43" s="763">
        <v>27.457809999999998</v>
      </c>
      <c r="BN43" s="763">
        <v>26.100090000000002</v>
      </c>
      <c r="BO43" s="763">
        <v>25.570530000000002</v>
      </c>
      <c r="BP43" s="763">
        <v>30.18244</v>
      </c>
      <c r="BQ43" s="763">
        <v>33.88438</v>
      </c>
      <c r="BR43" s="763">
        <v>33.320869999999999</v>
      </c>
      <c r="BS43" s="763">
        <v>30.334289999999999</v>
      </c>
      <c r="BT43" s="763">
        <v>27.151520000000001</v>
      </c>
      <c r="BU43" s="763">
        <v>26.504100000000001</v>
      </c>
      <c r="BV43" s="763">
        <v>29.06061</v>
      </c>
    </row>
    <row r="44" spans="1:74" s="116" customFormat="1" ht="11.1" customHeight="1" x14ac:dyDescent="0.2">
      <c r="A44" s="111" t="s">
        <v>1233</v>
      </c>
      <c r="B44" s="204" t="s">
        <v>445</v>
      </c>
      <c r="C44" s="762">
        <v>49.554996750000001</v>
      </c>
      <c r="D44" s="762">
        <v>45.914681620000003</v>
      </c>
      <c r="E44" s="762">
        <v>44.658648069999998</v>
      </c>
      <c r="F44" s="762">
        <v>41.589549890000001</v>
      </c>
      <c r="G44" s="762">
        <v>43.512318030000003</v>
      </c>
      <c r="H44" s="762">
        <v>49.189733709999999</v>
      </c>
      <c r="I44" s="762">
        <v>55.232026650000002</v>
      </c>
      <c r="J44" s="762">
        <v>57.280449140000002</v>
      </c>
      <c r="K44" s="762">
        <v>48.376380879999999</v>
      </c>
      <c r="L44" s="762">
        <v>43.305193109999998</v>
      </c>
      <c r="M44" s="762">
        <v>42.139049049999997</v>
      </c>
      <c r="N44" s="762">
        <v>48.804154199999999</v>
      </c>
      <c r="O44" s="762">
        <v>48.839681339999998</v>
      </c>
      <c r="P44" s="762">
        <v>42.174223019999999</v>
      </c>
      <c r="Q44" s="762">
        <v>45.422706259999998</v>
      </c>
      <c r="R44" s="762">
        <v>40.508462639999998</v>
      </c>
      <c r="S44" s="762">
        <v>43.050650650000001</v>
      </c>
      <c r="T44" s="762">
        <v>48.42419297</v>
      </c>
      <c r="U44" s="762">
        <v>53.308580300000003</v>
      </c>
      <c r="V44" s="762">
        <v>50.4878596</v>
      </c>
      <c r="W44" s="762">
        <v>46.337154130000002</v>
      </c>
      <c r="X44" s="762">
        <v>43.467312909999997</v>
      </c>
      <c r="Y44" s="762">
        <v>43.42662163</v>
      </c>
      <c r="Z44" s="762">
        <v>48.33686866</v>
      </c>
      <c r="AA44" s="762">
        <v>51.393219199999997</v>
      </c>
      <c r="AB44" s="762">
        <v>44.619480199999998</v>
      </c>
      <c r="AC44" s="762">
        <v>45.957987729999999</v>
      </c>
      <c r="AD44" s="762">
        <v>42.55019764</v>
      </c>
      <c r="AE44" s="762">
        <v>46.415029539999999</v>
      </c>
      <c r="AF44" s="762">
        <v>49.824344080000003</v>
      </c>
      <c r="AG44" s="762">
        <v>54.855475269999999</v>
      </c>
      <c r="AH44" s="762">
        <v>55.129226879999997</v>
      </c>
      <c r="AI44" s="762">
        <v>47.90886888</v>
      </c>
      <c r="AJ44" s="762">
        <v>44.962744239999999</v>
      </c>
      <c r="AK44" s="762">
        <v>44.551037370000003</v>
      </c>
      <c r="AL44" s="762">
        <v>47.425792080000001</v>
      </c>
      <c r="AM44" s="762">
        <v>49.287515730000003</v>
      </c>
      <c r="AN44" s="762">
        <v>44.225426460000001</v>
      </c>
      <c r="AO44" s="762">
        <v>46.120637979999998</v>
      </c>
      <c r="AP44" s="762">
        <v>40.149106060000001</v>
      </c>
      <c r="AQ44" s="762">
        <v>41.92238631</v>
      </c>
      <c r="AR44" s="762">
        <v>44.645578469999997</v>
      </c>
      <c r="AS44" s="762">
        <v>55.184036900000002</v>
      </c>
      <c r="AT44" s="762">
        <v>51.203620100000002</v>
      </c>
      <c r="AU44" s="762">
        <v>46.187807909999997</v>
      </c>
      <c r="AV44" s="762">
        <v>42.352532750000002</v>
      </c>
      <c r="AW44" s="762">
        <v>42.890176650000001</v>
      </c>
      <c r="AX44" s="762">
        <v>45.424469049999999</v>
      </c>
      <c r="AY44" s="762">
        <v>46.52757974</v>
      </c>
      <c r="AZ44" s="762">
        <v>44.693258919999998</v>
      </c>
      <c r="BA44" s="762">
        <v>42.47512201</v>
      </c>
      <c r="BB44" s="762">
        <v>36.337786289999997</v>
      </c>
      <c r="BC44" s="762">
        <v>38.004969410000001</v>
      </c>
      <c r="BD44" s="762">
        <v>45.488721159999997</v>
      </c>
      <c r="BE44" s="762">
        <v>54.311989240000003</v>
      </c>
      <c r="BF44" s="762">
        <v>51.603722818999998</v>
      </c>
      <c r="BG44" s="763">
        <v>43.38241</v>
      </c>
      <c r="BH44" s="763">
        <v>40.77657</v>
      </c>
      <c r="BI44" s="763">
        <v>41.056820000000002</v>
      </c>
      <c r="BJ44" s="763">
        <v>44.010280000000002</v>
      </c>
      <c r="BK44" s="763">
        <v>45.963479999999997</v>
      </c>
      <c r="BL44" s="763">
        <v>41.832909999999998</v>
      </c>
      <c r="BM44" s="763">
        <v>41.685000000000002</v>
      </c>
      <c r="BN44" s="763">
        <v>37.021769999999997</v>
      </c>
      <c r="BO44" s="763">
        <v>39.542349999999999</v>
      </c>
      <c r="BP44" s="763">
        <v>45.522210000000001</v>
      </c>
      <c r="BQ44" s="763">
        <v>50.672919999999998</v>
      </c>
      <c r="BR44" s="763">
        <v>50.770299999999999</v>
      </c>
      <c r="BS44" s="763">
        <v>43.409309999999998</v>
      </c>
      <c r="BT44" s="763">
        <v>40.841749999999998</v>
      </c>
      <c r="BU44" s="763">
        <v>41.029029999999999</v>
      </c>
      <c r="BV44" s="763">
        <v>43.937049999999999</v>
      </c>
    </row>
    <row r="45" spans="1:74" s="116" customFormat="1" ht="11.1" customHeight="1" x14ac:dyDescent="0.2">
      <c r="A45" s="111" t="s">
        <v>1234</v>
      </c>
      <c r="B45" s="204" t="s">
        <v>446</v>
      </c>
      <c r="C45" s="762">
        <v>26.476941190000002</v>
      </c>
      <c r="D45" s="762">
        <v>24.131102810000002</v>
      </c>
      <c r="E45" s="762">
        <v>22.72876097</v>
      </c>
      <c r="F45" s="762">
        <v>20.939220259999999</v>
      </c>
      <c r="G45" s="762">
        <v>21.838181890000001</v>
      </c>
      <c r="H45" s="762">
        <v>26.10284936</v>
      </c>
      <c r="I45" s="762">
        <v>28.505057560000001</v>
      </c>
      <c r="J45" s="762">
        <v>28.800745509999999</v>
      </c>
      <c r="K45" s="762">
        <v>24.831086110000001</v>
      </c>
      <c r="L45" s="762">
        <v>22.580859830000001</v>
      </c>
      <c r="M45" s="762">
        <v>22.097038380000001</v>
      </c>
      <c r="N45" s="762">
        <v>26.22314527</v>
      </c>
      <c r="O45" s="762">
        <v>26.7839788</v>
      </c>
      <c r="P45" s="762">
        <v>22.750785059999998</v>
      </c>
      <c r="Q45" s="762">
        <v>23.648082389999999</v>
      </c>
      <c r="R45" s="762">
        <v>21.61755028</v>
      </c>
      <c r="S45" s="762">
        <v>22.500385600000001</v>
      </c>
      <c r="T45" s="762">
        <v>25.643299079999998</v>
      </c>
      <c r="U45" s="762">
        <v>29.309106480000001</v>
      </c>
      <c r="V45" s="762">
        <v>26.67066118</v>
      </c>
      <c r="W45" s="762">
        <v>24.66401248</v>
      </c>
      <c r="X45" s="762">
        <v>22.927537390000001</v>
      </c>
      <c r="Y45" s="762">
        <v>23.080961259999999</v>
      </c>
      <c r="Z45" s="762">
        <v>26.0405321</v>
      </c>
      <c r="AA45" s="762">
        <v>28.111580369999999</v>
      </c>
      <c r="AB45" s="762">
        <v>24.822592870000001</v>
      </c>
      <c r="AC45" s="762">
        <v>24.47974928</v>
      </c>
      <c r="AD45" s="762">
        <v>22.85819905</v>
      </c>
      <c r="AE45" s="762">
        <v>24.418917560000001</v>
      </c>
      <c r="AF45" s="762">
        <v>27.06315013</v>
      </c>
      <c r="AG45" s="762">
        <v>29.086970579999999</v>
      </c>
      <c r="AH45" s="762">
        <v>28.874477129999999</v>
      </c>
      <c r="AI45" s="762">
        <v>25.049040860000002</v>
      </c>
      <c r="AJ45" s="762">
        <v>23.420505720000001</v>
      </c>
      <c r="AK45" s="762">
        <v>24.219301519999998</v>
      </c>
      <c r="AL45" s="762">
        <v>26.073302040000002</v>
      </c>
      <c r="AM45" s="762">
        <v>26.88755514</v>
      </c>
      <c r="AN45" s="762">
        <v>24.921962440000001</v>
      </c>
      <c r="AO45" s="762">
        <v>24.864401699999998</v>
      </c>
      <c r="AP45" s="762">
        <v>21.449610700000001</v>
      </c>
      <c r="AQ45" s="762">
        <v>22.239766500000002</v>
      </c>
      <c r="AR45" s="762">
        <v>24.025566699999999</v>
      </c>
      <c r="AS45" s="762">
        <v>28.089010049999999</v>
      </c>
      <c r="AT45" s="762">
        <v>27.198104610000001</v>
      </c>
      <c r="AU45" s="762">
        <v>25.08392109</v>
      </c>
      <c r="AV45" s="762">
        <v>22.93193488</v>
      </c>
      <c r="AW45" s="762">
        <v>23.209756550000002</v>
      </c>
      <c r="AX45" s="762">
        <v>25.313030829999999</v>
      </c>
      <c r="AY45" s="762">
        <v>26.26499901</v>
      </c>
      <c r="AZ45" s="762">
        <v>24.466709989999998</v>
      </c>
      <c r="BA45" s="762">
        <v>23.317999919999998</v>
      </c>
      <c r="BB45" s="762">
        <v>20.544711499999998</v>
      </c>
      <c r="BC45" s="762">
        <v>20.270805490000001</v>
      </c>
      <c r="BD45" s="762">
        <v>24.851874299999999</v>
      </c>
      <c r="BE45" s="762">
        <v>28.458001751000001</v>
      </c>
      <c r="BF45" s="762">
        <v>28.028054439999998</v>
      </c>
      <c r="BG45" s="763">
        <v>23.510570000000001</v>
      </c>
      <c r="BH45" s="763">
        <v>22.048580000000001</v>
      </c>
      <c r="BI45" s="763">
        <v>22.23058</v>
      </c>
      <c r="BJ45" s="763">
        <v>24.77</v>
      </c>
      <c r="BK45" s="763">
        <v>26.052</v>
      </c>
      <c r="BL45" s="763">
        <v>23.195920000000001</v>
      </c>
      <c r="BM45" s="763">
        <v>23.401440000000001</v>
      </c>
      <c r="BN45" s="763">
        <v>21.700199999999999</v>
      </c>
      <c r="BO45" s="763">
        <v>21.91499</v>
      </c>
      <c r="BP45" s="763">
        <v>25.201260000000001</v>
      </c>
      <c r="BQ45" s="763">
        <v>28.72889</v>
      </c>
      <c r="BR45" s="763">
        <v>29.522929999999999</v>
      </c>
      <c r="BS45" s="763">
        <v>24.56305</v>
      </c>
      <c r="BT45" s="763">
        <v>23.157340000000001</v>
      </c>
      <c r="BU45" s="763">
        <v>23.35229</v>
      </c>
      <c r="BV45" s="763">
        <v>26.006229999999999</v>
      </c>
    </row>
    <row r="46" spans="1:74" s="116" customFormat="1" ht="11.1" customHeight="1" x14ac:dyDescent="0.2">
      <c r="A46" s="111" t="s">
        <v>1235</v>
      </c>
      <c r="B46" s="204" t="s">
        <v>447</v>
      </c>
      <c r="C46" s="762">
        <v>69.994825509999998</v>
      </c>
      <c r="D46" s="762">
        <v>64.516423090000004</v>
      </c>
      <c r="E46" s="762">
        <v>60.420410789999998</v>
      </c>
      <c r="F46" s="762">
        <v>57.274413780000003</v>
      </c>
      <c r="G46" s="762">
        <v>62.876998229999998</v>
      </c>
      <c r="H46" s="762">
        <v>72.920872349999996</v>
      </c>
      <c r="I46" s="762">
        <v>83.737412070000005</v>
      </c>
      <c r="J46" s="762">
        <v>83.482258610000002</v>
      </c>
      <c r="K46" s="762">
        <v>73.698486930000001</v>
      </c>
      <c r="L46" s="762">
        <v>62.819172389999999</v>
      </c>
      <c r="M46" s="762">
        <v>58.877316729999997</v>
      </c>
      <c r="N46" s="762">
        <v>65.560498589999995</v>
      </c>
      <c r="O46" s="762">
        <v>65.999011960000004</v>
      </c>
      <c r="P46" s="762">
        <v>57.002439770000002</v>
      </c>
      <c r="Q46" s="762">
        <v>61.836904760000003</v>
      </c>
      <c r="R46" s="762">
        <v>58.72575329</v>
      </c>
      <c r="S46" s="762">
        <v>64.851503390000005</v>
      </c>
      <c r="T46" s="762">
        <v>71.469608570000005</v>
      </c>
      <c r="U46" s="762">
        <v>80.622778080000003</v>
      </c>
      <c r="V46" s="762">
        <v>79.03380713</v>
      </c>
      <c r="W46" s="762">
        <v>68.725599099999997</v>
      </c>
      <c r="X46" s="762">
        <v>64.875793160000001</v>
      </c>
      <c r="Y46" s="762">
        <v>60.653987129999997</v>
      </c>
      <c r="Z46" s="762">
        <v>66.919743870000005</v>
      </c>
      <c r="AA46" s="762">
        <v>76.747829890000006</v>
      </c>
      <c r="AB46" s="762">
        <v>60.85034555</v>
      </c>
      <c r="AC46" s="762">
        <v>63.41272171</v>
      </c>
      <c r="AD46" s="762">
        <v>58.737592810000002</v>
      </c>
      <c r="AE46" s="762">
        <v>66.017919059999997</v>
      </c>
      <c r="AF46" s="762">
        <v>74.438196329999997</v>
      </c>
      <c r="AG46" s="762">
        <v>80.93113821</v>
      </c>
      <c r="AH46" s="762">
        <v>80.879666069999999</v>
      </c>
      <c r="AI46" s="762">
        <v>75.957681690000001</v>
      </c>
      <c r="AJ46" s="762">
        <v>67.644513410000002</v>
      </c>
      <c r="AK46" s="762">
        <v>63.295152729999998</v>
      </c>
      <c r="AL46" s="762">
        <v>66.477873689999996</v>
      </c>
      <c r="AM46" s="762">
        <v>69.795475730000007</v>
      </c>
      <c r="AN46" s="762">
        <v>60.901037680000002</v>
      </c>
      <c r="AO46" s="762">
        <v>62.983557189999999</v>
      </c>
      <c r="AP46" s="762">
        <v>58.466006329999999</v>
      </c>
      <c r="AQ46" s="762">
        <v>67.86375812</v>
      </c>
      <c r="AR46" s="762">
        <v>72.650501550000001</v>
      </c>
      <c r="AS46" s="762">
        <v>82.268641009999996</v>
      </c>
      <c r="AT46" s="762">
        <v>80.369660150000001</v>
      </c>
      <c r="AU46" s="762">
        <v>75.487823059999997</v>
      </c>
      <c r="AV46" s="762">
        <v>66.716754809999998</v>
      </c>
      <c r="AW46" s="762">
        <v>61.624863920000003</v>
      </c>
      <c r="AX46" s="762">
        <v>65.221732239999994</v>
      </c>
      <c r="AY46" s="762">
        <v>65.487824459999999</v>
      </c>
      <c r="AZ46" s="762">
        <v>61.942595959999998</v>
      </c>
      <c r="BA46" s="762">
        <v>61.000179490000001</v>
      </c>
      <c r="BB46" s="762">
        <v>56.624974389999998</v>
      </c>
      <c r="BC46" s="762">
        <v>60.761487209999999</v>
      </c>
      <c r="BD46" s="762">
        <v>70.167797100000001</v>
      </c>
      <c r="BE46" s="762">
        <v>81.932996590000002</v>
      </c>
      <c r="BF46" s="762">
        <v>80.532984294000002</v>
      </c>
      <c r="BG46" s="763">
        <v>71.923209999999997</v>
      </c>
      <c r="BH46" s="763">
        <v>63.865690000000001</v>
      </c>
      <c r="BI46" s="763">
        <v>59.839039999999997</v>
      </c>
      <c r="BJ46" s="763">
        <v>64.578100000000006</v>
      </c>
      <c r="BK46" s="763">
        <v>67.633830000000003</v>
      </c>
      <c r="BL46" s="763">
        <v>61.245699999999999</v>
      </c>
      <c r="BM46" s="763">
        <v>61.902970000000003</v>
      </c>
      <c r="BN46" s="763">
        <v>56.914700000000003</v>
      </c>
      <c r="BO46" s="763">
        <v>63.046480000000003</v>
      </c>
      <c r="BP46" s="763">
        <v>74.11045</v>
      </c>
      <c r="BQ46" s="763">
        <v>81.439660000000003</v>
      </c>
      <c r="BR46" s="763">
        <v>79.278729999999996</v>
      </c>
      <c r="BS46" s="763">
        <v>72.725909999999999</v>
      </c>
      <c r="BT46" s="763">
        <v>65.042619999999999</v>
      </c>
      <c r="BU46" s="763">
        <v>60.22851</v>
      </c>
      <c r="BV46" s="763">
        <v>64.919700000000006</v>
      </c>
    </row>
    <row r="47" spans="1:74" s="116" customFormat="1" ht="11.1" customHeight="1" x14ac:dyDescent="0.2">
      <c r="A47" s="111" t="s">
        <v>1236</v>
      </c>
      <c r="B47" s="204" t="s">
        <v>448</v>
      </c>
      <c r="C47" s="762">
        <v>26.875670700000001</v>
      </c>
      <c r="D47" s="762">
        <v>25.933840459999999</v>
      </c>
      <c r="E47" s="762">
        <v>23.459943679999999</v>
      </c>
      <c r="F47" s="762">
        <v>22.031277660000001</v>
      </c>
      <c r="G47" s="762">
        <v>23.370204749999999</v>
      </c>
      <c r="H47" s="762">
        <v>27.190823859999998</v>
      </c>
      <c r="I47" s="762">
        <v>30.81587553</v>
      </c>
      <c r="J47" s="762">
        <v>31.581361820000001</v>
      </c>
      <c r="K47" s="762">
        <v>29.033570059999999</v>
      </c>
      <c r="L47" s="762">
        <v>24.712503829999999</v>
      </c>
      <c r="M47" s="762">
        <v>22.54533597</v>
      </c>
      <c r="N47" s="762">
        <v>25.03691074</v>
      </c>
      <c r="O47" s="762">
        <v>26.2991095</v>
      </c>
      <c r="P47" s="762">
        <v>22.831425469999999</v>
      </c>
      <c r="Q47" s="762">
        <v>23.43051204</v>
      </c>
      <c r="R47" s="762">
        <v>22.61241991</v>
      </c>
      <c r="S47" s="762">
        <v>24.019231260000002</v>
      </c>
      <c r="T47" s="762">
        <v>26.35436851</v>
      </c>
      <c r="U47" s="762">
        <v>29.83817475</v>
      </c>
      <c r="V47" s="762">
        <v>29.90777653</v>
      </c>
      <c r="W47" s="762">
        <v>26.19192065</v>
      </c>
      <c r="X47" s="762">
        <v>24.26055362</v>
      </c>
      <c r="Y47" s="762">
        <v>22.843550459999999</v>
      </c>
      <c r="Z47" s="762">
        <v>25.355746379999999</v>
      </c>
      <c r="AA47" s="762">
        <v>30.379285509999999</v>
      </c>
      <c r="AB47" s="762">
        <v>25.005865570000001</v>
      </c>
      <c r="AC47" s="762">
        <v>23.711919349999999</v>
      </c>
      <c r="AD47" s="762">
        <v>22.6182476</v>
      </c>
      <c r="AE47" s="762">
        <v>24.715038939999999</v>
      </c>
      <c r="AF47" s="762">
        <v>28.180384790000002</v>
      </c>
      <c r="AG47" s="762">
        <v>30.62573119</v>
      </c>
      <c r="AH47" s="762">
        <v>30.573507029999998</v>
      </c>
      <c r="AI47" s="762">
        <v>28.800269849999999</v>
      </c>
      <c r="AJ47" s="762">
        <v>25.76092203</v>
      </c>
      <c r="AK47" s="762">
        <v>23.82560535</v>
      </c>
      <c r="AL47" s="762">
        <v>25.995565819999999</v>
      </c>
      <c r="AM47" s="762">
        <v>26.748117019999999</v>
      </c>
      <c r="AN47" s="762">
        <v>24.24070085</v>
      </c>
      <c r="AO47" s="762">
        <v>24.037262429999998</v>
      </c>
      <c r="AP47" s="762">
        <v>21.904417779999999</v>
      </c>
      <c r="AQ47" s="762">
        <v>23.944193940000002</v>
      </c>
      <c r="AR47" s="762">
        <v>26.46044668</v>
      </c>
      <c r="AS47" s="762">
        <v>29.71157402</v>
      </c>
      <c r="AT47" s="762">
        <v>29.84428999</v>
      </c>
      <c r="AU47" s="762">
        <v>28.775086680000001</v>
      </c>
      <c r="AV47" s="762">
        <v>24.920352390000001</v>
      </c>
      <c r="AW47" s="762">
        <v>22.930256979999999</v>
      </c>
      <c r="AX47" s="762">
        <v>24.583752579999999</v>
      </c>
      <c r="AY47" s="762">
        <v>25.353017860000001</v>
      </c>
      <c r="AZ47" s="762">
        <v>24.529898840000001</v>
      </c>
      <c r="BA47" s="762">
        <v>23.146046380000001</v>
      </c>
      <c r="BB47" s="762">
        <v>20.443301510000001</v>
      </c>
      <c r="BC47" s="762">
        <v>21.274682370000001</v>
      </c>
      <c r="BD47" s="762">
        <v>25.135594359999999</v>
      </c>
      <c r="BE47" s="762">
        <v>29.481000000000002</v>
      </c>
      <c r="BF47" s="762">
        <v>29.656088</v>
      </c>
      <c r="BG47" s="763">
        <v>26.55866</v>
      </c>
      <c r="BH47" s="763">
        <v>23.344840000000001</v>
      </c>
      <c r="BI47" s="763">
        <v>21.998650000000001</v>
      </c>
      <c r="BJ47" s="763">
        <v>23.943549999999998</v>
      </c>
      <c r="BK47" s="763">
        <v>26.16169</v>
      </c>
      <c r="BL47" s="763">
        <v>23.972259999999999</v>
      </c>
      <c r="BM47" s="763">
        <v>23.29232</v>
      </c>
      <c r="BN47" s="763">
        <v>21.156770000000002</v>
      </c>
      <c r="BO47" s="763">
        <v>22.156310000000001</v>
      </c>
      <c r="BP47" s="763">
        <v>26.39105</v>
      </c>
      <c r="BQ47" s="763">
        <v>29.691299999999998</v>
      </c>
      <c r="BR47" s="763">
        <v>29.950880000000002</v>
      </c>
      <c r="BS47" s="763">
        <v>27.204550000000001</v>
      </c>
      <c r="BT47" s="763">
        <v>23.739090000000001</v>
      </c>
      <c r="BU47" s="763">
        <v>22.210190000000001</v>
      </c>
      <c r="BV47" s="763">
        <v>24.145320000000002</v>
      </c>
    </row>
    <row r="48" spans="1:74" s="116" customFormat="1" ht="11.1" customHeight="1" x14ac:dyDescent="0.2">
      <c r="A48" s="111" t="s">
        <v>1237</v>
      </c>
      <c r="B48" s="204" t="s">
        <v>449</v>
      </c>
      <c r="C48" s="762">
        <v>48.732571440000001</v>
      </c>
      <c r="D48" s="762">
        <v>44.374839729999998</v>
      </c>
      <c r="E48" s="762">
        <v>42.54265444</v>
      </c>
      <c r="F48" s="762">
        <v>41.930012310000002</v>
      </c>
      <c r="G48" s="762">
        <v>45.060467709999998</v>
      </c>
      <c r="H48" s="762">
        <v>53.591898559999997</v>
      </c>
      <c r="I48" s="762">
        <v>61.454486680000002</v>
      </c>
      <c r="J48" s="762">
        <v>62.246458459999999</v>
      </c>
      <c r="K48" s="762">
        <v>57.134886440000002</v>
      </c>
      <c r="L48" s="762">
        <v>50.803936380000003</v>
      </c>
      <c r="M48" s="762">
        <v>43.814361169999998</v>
      </c>
      <c r="N48" s="762">
        <v>46.132887580000002</v>
      </c>
      <c r="O48" s="762">
        <v>48.811700760000001</v>
      </c>
      <c r="P48" s="762">
        <v>41.525760300000002</v>
      </c>
      <c r="Q48" s="762">
        <v>43.85547407</v>
      </c>
      <c r="R48" s="762">
        <v>42.865706269999997</v>
      </c>
      <c r="S48" s="762">
        <v>47.873687189999998</v>
      </c>
      <c r="T48" s="762">
        <v>55.095452690000002</v>
      </c>
      <c r="U48" s="762">
        <v>60.425381600000001</v>
      </c>
      <c r="V48" s="762">
        <v>61.077228120000001</v>
      </c>
      <c r="W48" s="762">
        <v>55.052626699999998</v>
      </c>
      <c r="X48" s="762">
        <v>51.586259400000003</v>
      </c>
      <c r="Y48" s="762">
        <v>44.171651869999998</v>
      </c>
      <c r="Z48" s="762">
        <v>47.323460130000001</v>
      </c>
      <c r="AA48" s="762">
        <v>55.706539100000001</v>
      </c>
      <c r="AB48" s="762">
        <v>46.845019710000003</v>
      </c>
      <c r="AC48" s="762">
        <v>44.423060049999997</v>
      </c>
      <c r="AD48" s="762">
        <v>43.683415969999999</v>
      </c>
      <c r="AE48" s="762">
        <v>50.337115879999999</v>
      </c>
      <c r="AF48" s="762">
        <v>59.638535160000004</v>
      </c>
      <c r="AG48" s="762">
        <v>63.46154362</v>
      </c>
      <c r="AH48" s="762">
        <v>64.13770873</v>
      </c>
      <c r="AI48" s="762">
        <v>58.124018530000001</v>
      </c>
      <c r="AJ48" s="762">
        <v>52.792347769999999</v>
      </c>
      <c r="AK48" s="762">
        <v>45.450341420000001</v>
      </c>
      <c r="AL48" s="762">
        <v>48.183078129999998</v>
      </c>
      <c r="AM48" s="762">
        <v>49.492097360000002</v>
      </c>
      <c r="AN48" s="762">
        <v>45.149523979999998</v>
      </c>
      <c r="AO48" s="762">
        <v>45.111815909999997</v>
      </c>
      <c r="AP48" s="762">
        <v>42.250652000000002</v>
      </c>
      <c r="AQ48" s="762">
        <v>47.68183114</v>
      </c>
      <c r="AR48" s="762">
        <v>54.384878059999998</v>
      </c>
      <c r="AS48" s="762">
        <v>60.959583090000002</v>
      </c>
      <c r="AT48" s="762">
        <v>63.235832930000001</v>
      </c>
      <c r="AU48" s="762">
        <v>59.904546660000001</v>
      </c>
      <c r="AV48" s="762">
        <v>53.186361490000003</v>
      </c>
      <c r="AW48" s="762">
        <v>44.635693379999999</v>
      </c>
      <c r="AX48" s="762">
        <v>46.387006049999997</v>
      </c>
      <c r="AY48" s="762">
        <v>47.581748990000001</v>
      </c>
      <c r="AZ48" s="762">
        <v>45.677521800000001</v>
      </c>
      <c r="BA48" s="762">
        <v>45.79087139</v>
      </c>
      <c r="BB48" s="762">
        <v>42.762120209999999</v>
      </c>
      <c r="BC48" s="762">
        <v>45.123020879999999</v>
      </c>
      <c r="BD48" s="762">
        <v>54.073438279999998</v>
      </c>
      <c r="BE48" s="762">
        <v>61.566002324999999</v>
      </c>
      <c r="BF48" s="762">
        <v>62.569370018999997</v>
      </c>
      <c r="BG48" s="763">
        <v>55.748510000000003</v>
      </c>
      <c r="BH48" s="763">
        <v>50.745730000000002</v>
      </c>
      <c r="BI48" s="763">
        <v>43.909849999999999</v>
      </c>
      <c r="BJ48" s="763">
        <v>45.887009999999997</v>
      </c>
      <c r="BK48" s="763">
        <v>48.196669999999997</v>
      </c>
      <c r="BL48" s="763">
        <v>43.628619999999998</v>
      </c>
      <c r="BM48" s="763">
        <v>45.048920000000003</v>
      </c>
      <c r="BN48" s="763">
        <v>43.754049999999999</v>
      </c>
      <c r="BO48" s="763">
        <v>46.733429999999998</v>
      </c>
      <c r="BP48" s="763">
        <v>55.712090000000003</v>
      </c>
      <c r="BQ48" s="763">
        <v>61.801220000000001</v>
      </c>
      <c r="BR48" s="763">
        <v>62.738759999999999</v>
      </c>
      <c r="BS48" s="763">
        <v>56.48518</v>
      </c>
      <c r="BT48" s="763">
        <v>51.496200000000002</v>
      </c>
      <c r="BU48" s="763">
        <v>44.61786</v>
      </c>
      <c r="BV48" s="763">
        <v>46.617609999999999</v>
      </c>
    </row>
    <row r="49" spans="1:74" s="116" customFormat="1" ht="11.1" customHeight="1" x14ac:dyDescent="0.2">
      <c r="A49" s="111" t="s">
        <v>1238</v>
      </c>
      <c r="B49" s="204" t="s">
        <v>450</v>
      </c>
      <c r="C49" s="762">
        <v>22.743309270000001</v>
      </c>
      <c r="D49" s="762">
        <v>20.36035643</v>
      </c>
      <c r="E49" s="762">
        <v>20.28295717</v>
      </c>
      <c r="F49" s="762">
        <v>19.828793520000001</v>
      </c>
      <c r="G49" s="762">
        <v>21.458032249999999</v>
      </c>
      <c r="H49" s="762">
        <v>26.357126010000002</v>
      </c>
      <c r="I49" s="762">
        <v>29.096432400000001</v>
      </c>
      <c r="J49" s="762">
        <v>28.01150019</v>
      </c>
      <c r="K49" s="762">
        <v>23.615139419999998</v>
      </c>
      <c r="L49" s="762">
        <v>21.80728204</v>
      </c>
      <c r="M49" s="762">
        <v>20.029604429999999</v>
      </c>
      <c r="N49" s="762">
        <v>22.531474129999999</v>
      </c>
      <c r="O49" s="762">
        <v>22.759901630000002</v>
      </c>
      <c r="P49" s="762">
        <v>19.692855309999999</v>
      </c>
      <c r="Q49" s="762">
        <v>20.762512869999998</v>
      </c>
      <c r="R49" s="762">
        <v>20.094410360000001</v>
      </c>
      <c r="S49" s="762">
        <v>22.195784889999999</v>
      </c>
      <c r="T49" s="762">
        <v>26.32317252</v>
      </c>
      <c r="U49" s="762">
        <v>29.547496859999999</v>
      </c>
      <c r="V49" s="762">
        <v>28.297378040000002</v>
      </c>
      <c r="W49" s="762">
        <v>24.481564880000001</v>
      </c>
      <c r="X49" s="762">
        <v>21.60152858</v>
      </c>
      <c r="Y49" s="762">
        <v>20.091942299999999</v>
      </c>
      <c r="Z49" s="762">
        <v>22.165805840000001</v>
      </c>
      <c r="AA49" s="762">
        <v>22.102834980000001</v>
      </c>
      <c r="AB49" s="762">
        <v>19.98837082</v>
      </c>
      <c r="AC49" s="762">
        <v>20.953775419999999</v>
      </c>
      <c r="AD49" s="762">
        <v>20.71857662</v>
      </c>
      <c r="AE49" s="762">
        <v>22.89732463</v>
      </c>
      <c r="AF49" s="762">
        <v>26.165448439999999</v>
      </c>
      <c r="AG49" s="762">
        <v>30.09092369</v>
      </c>
      <c r="AH49" s="762">
        <v>29.526468470000001</v>
      </c>
      <c r="AI49" s="762">
        <v>25.524185760000002</v>
      </c>
      <c r="AJ49" s="762">
        <v>21.631538339999999</v>
      </c>
      <c r="AK49" s="762">
        <v>20.954219299999998</v>
      </c>
      <c r="AL49" s="762">
        <v>22.771426680000001</v>
      </c>
      <c r="AM49" s="762">
        <v>22.824052340000001</v>
      </c>
      <c r="AN49" s="762">
        <v>20.892354409999999</v>
      </c>
      <c r="AO49" s="762">
        <v>21.315858240000001</v>
      </c>
      <c r="AP49" s="762">
        <v>20.523914560000001</v>
      </c>
      <c r="AQ49" s="762">
        <v>21.517608160000002</v>
      </c>
      <c r="AR49" s="762">
        <v>25.040601200000001</v>
      </c>
      <c r="AS49" s="762">
        <v>29.43992415</v>
      </c>
      <c r="AT49" s="762">
        <v>30.025384219999999</v>
      </c>
      <c r="AU49" s="762">
        <v>25.380178650000001</v>
      </c>
      <c r="AV49" s="762">
        <v>22.0027407</v>
      </c>
      <c r="AW49" s="762">
        <v>20.909060490000002</v>
      </c>
      <c r="AX49" s="762">
        <v>22.832998960000001</v>
      </c>
      <c r="AY49" s="762">
        <v>22.939235010000001</v>
      </c>
      <c r="AZ49" s="762">
        <v>21.132076250000001</v>
      </c>
      <c r="BA49" s="762">
        <v>20.95048147</v>
      </c>
      <c r="BB49" s="762">
        <v>19.879124940000001</v>
      </c>
      <c r="BC49" s="762">
        <v>22.923428550000001</v>
      </c>
      <c r="BD49" s="762">
        <v>25.354744700000001</v>
      </c>
      <c r="BE49" s="762">
        <v>29.605001559000002</v>
      </c>
      <c r="BF49" s="762">
        <v>30.042840497</v>
      </c>
      <c r="BG49" s="763">
        <v>25.683879999999998</v>
      </c>
      <c r="BH49" s="763">
        <v>21.933720000000001</v>
      </c>
      <c r="BI49" s="763">
        <v>21.05547</v>
      </c>
      <c r="BJ49" s="763">
        <v>22.842130000000001</v>
      </c>
      <c r="BK49" s="763">
        <v>22.909330000000001</v>
      </c>
      <c r="BL49" s="763">
        <v>20.17878</v>
      </c>
      <c r="BM49" s="763">
        <v>20.956569999999999</v>
      </c>
      <c r="BN49" s="763">
        <v>20.371310000000001</v>
      </c>
      <c r="BO49" s="763">
        <v>23.007390000000001</v>
      </c>
      <c r="BP49" s="763">
        <v>25.756889999999999</v>
      </c>
      <c r="BQ49" s="763">
        <v>29.360600000000002</v>
      </c>
      <c r="BR49" s="763">
        <v>28.706040000000002</v>
      </c>
      <c r="BS49" s="763">
        <v>25.660440000000001</v>
      </c>
      <c r="BT49" s="763">
        <v>22.26614</v>
      </c>
      <c r="BU49" s="763">
        <v>21.360140000000001</v>
      </c>
      <c r="BV49" s="763">
        <v>23.13974</v>
      </c>
    </row>
    <row r="50" spans="1:74" s="116" customFormat="1" ht="11.1" customHeight="1" x14ac:dyDescent="0.2">
      <c r="A50" s="111" t="s">
        <v>1239</v>
      </c>
      <c r="B50" s="204" t="s">
        <v>248</v>
      </c>
      <c r="C50" s="762">
        <v>33.300944880000003</v>
      </c>
      <c r="D50" s="762">
        <v>30.33471076</v>
      </c>
      <c r="E50" s="762">
        <v>31.920715510000001</v>
      </c>
      <c r="F50" s="762">
        <v>29.43634089</v>
      </c>
      <c r="G50" s="762">
        <v>29.66958297</v>
      </c>
      <c r="H50" s="762">
        <v>32.998722149999999</v>
      </c>
      <c r="I50" s="762">
        <v>34.942700549999998</v>
      </c>
      <c r="J50" s="762">
        <v>38.578709859999996</v>
      </c>
      <c r="K50" s="762">
        <v>34.410571709999999</v>
      </c>
      <c r="L50" s="762">
        <v>32.141732920000003</v>
      </c>
      <c r="M50" s="762">
        <v>30.673992519999999</v>
      </c>
      <c r="N50" s="762">
        <v>34.672576319999997</v>
      </c>
      <c r="O50" s="762">
        <v>35.251513289999998</v>
      </c>
      <c r="P50" s="762">
        <v>30.49704908</v>
      </c>
      <c r="Q50" s="762">
        <v>32.129781209999997</v>
      </c>
      <c r="R50" s="762">
        <v>29.503947700000001</v>
      </c>
      <c r="S50" s="762">
        <v>30.826838070000001</v>
      </c>
      <c r="T50" s="762">
        <v>34.007656140000002</v>
      </c>
      <c r="U50" s="762">
        <v>37.026508579999998</v>
      </c>
      <c r="V50" s="762">
        <v>38.5265901</v>
      </c>
      <c r="W50" s="762">
        <v>34.857549740000003</v>
      </c>
      <c r="X50" s="762">
        <v>32.084724919999999</v>
      </c>
      <c r="Y50" s="762">
        <v>31.058537019999999</v>
      </c>
      <c r="Z50" s="762">
        <v>33.489227249999999</v>
      </c>
      <c r="AA50" s="762">
        <v>33.603285040000003</v>
      </c>
      <c r="AB50" s="762">
        <v>30.206545640000002</v>
      </c>
      <c r="AC50" s="762">
        <v>33.825072319999997</v>
      </c>
      <c r="AD50" s="762">
        <v>29.447977030000001</v>
      </c>
      <c r="AE50" s="762">
        <v>30.55914181</v>
      </c>
      <c r="AF50" s="762">
        <v>31.75772431</v>
      </c>
      <c r="AG50" s="762">
        <v>37.158550239999997</v>
      </c>
      <c r="AH50" s="762">
        <v>41.541633419999997</v>
      </c>
      <c r="AI50" s="762">
        <v>30.608247840000001</v>
      </c>
      <c r="AJ50" s="762">
        <v>33.334722640000003</v>
      </c>
      <c r="AK50" s="762">
        <v>29.81349483</v>
      </c>
      <c r="AL50" s="762">
        <v>32.699571859999999</v>
      </c>
      <c r="AM50" s="762">
        <v>34.271998910000001</v>
      </c>
      <c r="AN50" s="762">
        <v>30.13928804</v>
      </c>
      <c r="AO50" s="762">
        <v>31.92945602</v>
      </c>
      <c r="AP50" s="762">
        <v>28.361230719999998</v>
      </c>
      <c r="AQ50" s="762">
        <v>30.309053909999999</v>
      </c>
      <c r="AR50" s="762">
        <v>29.449139519999999</v>
      </c>
      <c r="AS50" s="762">
        <v>35.514103800000001</v>
      </c>
      <c r="AT50" s="762">
        <v>36.9176012</v>
      </c>
      <c r="AU50" s="762">
        <v>32.802877189999997</v>
      </c>
      <c r="AV50" s="762">
        <v>32.930934989999997</v>
      </c>
      <c r="AW50" s="762">
        <v>28.0915797</v>
      </c>
      <c r="AX50" s="762">
        <v>34.219953089999997</v>
      </c>
      <c r="AY50" s="762">
        <v>33.409073669999998</v>
      </c>
      <c r="AZ50" s="762">
        <v>28.698605390000001</v>
      </c>
      <c r="BA50" s="762">
        <v>30.943195410000001</v>
      </c>
      <c r="BB50" s="762">
        <v>27.280994010000001</v>
      </c>
      <c r="BC50" s="762">
        <v>28.468824860000002</v>
      </c>
      <c r="BD50" s="762">
        <v>31.178043079999998</v>
      </c>
      <c r="BE50" s="762">
        <v>35.123002405000001</v>
      </c>
      <c r="BF50" s="762">
        <v>37.600899853000001</v>
      </c>
      <c r="BG50" s="763">
        <v>34.365360000000003</v>
      </c>
      <c r="BH50" s="763">
        <v>33.55245</v>
      </c>
      <c r="BI50" s="763">
        <v>29.004280000000001</v>
      </c>
      <c r="BJ50" s="763">
        <v>33.86403</v>
      </c>
      <c r="BK50" s="763">
        <v>32.911090000000002</v>
      </c>
      <c r="BL50" s="763">
        <v>27.31026</v>
      </c>
      <c r="BM50" s="763">
        <v>30.262550000000001</v>
      </c>
      <c r="BN50" s="763">
        <v>27.271509999999999</v>
      </c>
      <c r="BO50" s="763">
        <v>28.56832</v>
      </c>
      <c r="BP50" s="763">
        <v>31.117640000000002</v>
      </c>
      <c r="BQ50" s="763">
        <v>35.165399999999998</v>
      </c>
      <c r="BR50" s="763">
        <v>36.80236</v>
      </c>
      <c r="BS50" s="763">
        <v>33.294519999999999</v>
      </c>
      <c r="BT50" s="763">
        <v>33.465969999999999</v>
      </c>
      <c r="BU50" s="763">
        <v>28.815529999999999</v>
      </c>
      <c r="BV50" s="763">
        <v>33.640349999999998</v>
      </c>
    </row>
    <row r="51" spans="1:74" s="116" customFormat="1" ht="11.1" customHeight="1" x14ac:dyDescent="0.2">
      <c r="A51" s="111" t="s">
        <v>1240</v>
      </c>
      <c r="B51" s="204" t="s">
        <v>249</v>
      </c>
      <c r="C51" s="762">
        <v>1.3387847100000001</v>
      </c>
      <c r="D51" s="762">
        <v>1.2503762899999999</v>
      </c>
      <c r="E51" s="762">
        <v>1.2696544299999999</v>
      </c>
      <c r="F51" s="762">
        <v>1.23122376</v>
      </c>
      <c r="G51" s="762">
        <v>1.25131273</v>
      </c>
      <c r="H51" s="762">
        <v>1.23640003</v>
      </c>
      <c r="I51" s="762">
        <v>1.30791667</v>
      </c>
      <c r="J51" s="762">
        <v>1.3681010300000001</v>
      </c>
      <c r="K51" s="762">
        <v>1.295644</v>
      </c>
      <c r="L51" s="762">
        <v>1.3421443200000001</v>
      </c>
      <c r="M51" s="762">
        <v>1.29318529</v>
      </c>
      <c r="N51" s="762">
        <v>1.38384778</v>
      </c>
      <c r="O51" s="762">
        <v>1.3486315099999999</v>
      </c>
      <c r="P51" s="762">
        <v>1.22553691</v>
      </c>
      <c r="Q51" s="762">
        <v>1.3250202200000001</v>
      </c>
      <c r="R51" s="762">
        <v>1.2513928999999999</v>
      </c>
      <c r="S51" s="762">
        <v>1.25507956</v>
      </c>
      <c r="T51" s="762">
        <v>1.23707298</v>
      </c>
      <c r="U51" s="762">
        <v>1.31219215</v>
      </c>
      <c r="V51" s="762">
        <v>1.3436526900000001</v>
      </c>
      <c r="W51" s="762">
        <v>1.2956023699999999</v>
      </c>
      <c r="X51" s="762">
        <v>1.3238478300000001</v>
      </c>
      <c r="Y51" s="762">
        <v>1.2915607600000001</v>
      </c>
      <c r="Z51" s="762">
        <v>1.3004101699999999</v>
      </c>
      <c r="AA51" s="762">
        <v>1.32019335</v>
      </c>
      <c r="AB51" s="762">
        <v>1.2299827699999999</v>
      </c>
      <c r="AC51" s="762">
        <v>1.27066481</v>
      </c>
      <c r="AD51" s="762">
        <v>1.23453327</v>
      </c>
      <c r="AE51" s="762">
        <v>1.2268341300000001</v>
      </c>
      <c r="AF51" s="762">
        <v>1.22900666</v>
      </c>
      <c r="AG51" s="762">
        <v>1.30296006</v>
      </c>
      <c r="AH51" s="762">
        <v>1.32623019</v>
      </c>
      <c r="AI51" s="762">
        <v>1.27555664</v>
      </c>
      <c r="AJ51" s="762">
        <v>1.3211627699999999</v>
      </c>
      <c r="AK51" s="762">
        <v>1.2824230400000001</v>
      </c>
      <c r="AL51" s="762">
        <v>1.2900803300000001</v>
      </c>
      <c r="AM51" s="762">
        <v>1.3134777500000001</v>
      </c>
      <c r="AN51" s="762">
        <v>1.13503781</v>
      </c>
      <c r="AO51" s="762">
        <v>1.2019251</v>
      </c>
      <c r="AP51" s="762">
        <v>1.17136402</v>
      </c>
      <c r="AQ51" s="762">
        <v>1.22698923</v>
      </c>
      <c r="AR51" s="762">
        <v>1.2393004700000001</v>
      </c>
      <c r="AS51" s="762">
        <v>1.3209468</v>
      </c>
      <c r="AT51" s="762">
        <v>1.3616565700000001</v>
      </c>
      <c r="AU51" s="762">
        <v>1.30621067</v>
      </c>
      <c r="AV51" s="762">
        <v>1.33421608</v>
      </c>
      <c r="AW51" s="762">
        <v>1.29145344</v>
      </c>
      <c r="AX51" s="762">
        <v>1.3283608899999999</v>
      </c>
      <c r="AY51" s="762">
        <v>1.3593285799999999</v>
      </c>
      <c r="AZ51" s="762">
        <v>1.21066118</v>
      </c>
      <c r="BA51" s="762">
        <v>1.2557038700000001</v>
      </c>
      <c r="BB51" s="762">
        <v>1.0894129699999999</v>
      </c>
      <c r="BC51" s="762">
        <v>1.11112517</v>
      </c>
      <c r="BD51" s="762">
        <v>1.15390104</v>
      </c>
      <c r="BE51" s="762">
        <v>1.2122580999999999</v>
      </c>
      <c r="BF51" s="762">
        <v>1.27692534</v>
      </c>
      <c r="BG51" s="763">
        <v>1.2536369999999999</v>
      </c>
      <c r="BH51" s="763">
        <v>1.2995030000000001</v>
      </c>
      <c r="BI51" s="763">
        <v>1.279118</v>
      </c>
      <c r="BJ51" s="763">
        <v>1.3087569999999999</v>
      </c>
      <c r="BK51" s="763">
        <v>1.343496</v>
      </c>
      <c r="BL51" s="763">
        <v>1.1782619999999999</v>
      </c>
      <c r="BM51" s="763">
        <v>1.272961</v>
      </c>
      <c r="BN51" s="763">
        <v>1.180558</v>
      </c>
      <c r="BO51" s="763">
        <v>1.2026410000000001</v>
      </c>
      <c r="BP51" s="763">
        <v>1.21177</v>
      </c>
      <c r="BQ51" s="763">
        <v>1.322991</v>
      </c>
      <c r="BR51" s="763">
        <v>1.3647929999999999</v>
      </c>
      <c r="BS51" s="763">
        <v>1.3201290000000001</v>
      </c>
      <c r="BT51" s="763">
        <v>1.3523639999999999</v>
      </c>
      <c r="BU51" s="763">
        <v>1.3180460000000001</v>
      </c>
      <c r="BV51" s="763">
        <v>1.3350919999999999</v>
      </c>
    </row>
    <row r="52" spans="1:74" s="116" customFormat="1" ht="11.1" customHeight="1" x14ac:dyDescent="0.2">
      <c r="A52" s="111" t="s">
        <v>1241</v>
      </c>
      <c r="B52" s="205" t="s">
        <v>452</v>
      </c>
      <c r="C52" s="764">
        <v>320.89016289</v>
      </c>
      <c r="D52" s="764">
        <v>296.80576473999997</v>
      </c>
      <c r="E52" s="764">
        <v>285.81236021000001</v>
      </c>
      <c r="F52" s="764">
        <v>269.53123889</v>
      </c>
      <c r="G52" s="764">
        <v>284.70764095999999</v>
      </c>
      <c r="H52" s="764">
        <v>329.87790533999998</v>
      </c>
      <c r="I52" s="764">
        <v>372.17227167999999</v>
      </c>
      <c r="J52" s="764">
        <v>381.19232786999999</v>
      </c>
      <c r="K52" s="764">
        <v>336.75208588999999</v>
      </c>
      <c r="L52" s="764">
        <v>296.68067066999998</v>
      </c>
      <c r="M52" s="764">
        <v>277.31697881999997</v>
      </c>
      <c r="N52" s="764">
        <v>310.72222674</v>
      </c>
      <c r="O52" s="764">
        <v>318.17717861</v>
      </c>
      <c r="P52" s="764">
        <v>275.77713528999999</v>
      </c>
      <c r="Q52" s="764">
        <v>291.44363643999998</v>
      </c>
      <c r="R52" s="764">
        <v>272.80115833000002</v>
      </c>
      <c r="S52" s="764">
        <v>291.87053995000002</v>
      </c>
      <c r="T52" s="764">
        <v>328.58261573999999</v>
      </c>
      <c r="U52" s="764">
        <v>367.61302477999999</v>
      </c>
      <c r="V52" s="764">
        <v>360.26261635999998</v>
      </c>
      <c r="W52" s="764">
        <v>321.72580771000003</v>
      </c>
      <c r="X52" s="764">
        <v>299.53948041000001</v>
      </c>
      <c r="Y52" s="764">
        <v>283.34700346</v>
      </c>
      <c r="Z52" s="764">
        <v>312.21578289000001</v>
      </c>
      <c r="AA52" s="764">
        <v>344.47768812999999</v>
      </c>
      <c r="AB52" s="764">
        <v>292.73228481000001</v>
      </c>
      <c r="AC52" s="764">
        <v>296.99930554000002</v>
      </c>
      <c r="AD52" s="764">
        <v>278.46798732000002</v>
      </c>
      <c r="AE52" s="764">
        <v>303.24800969</v>
      </c>
      <c r="AF52" s="764">
        <v>338.08298767999997</v>
      </c>
      <c r="AG52" s="764">
        <v>375.02342897</v>
      </c>
      <c r="AH52" s="764">
        <v>381.13063082999997</v>
      </c>
      <c r="AI52" s="764">
        <v>337.26254918000001</v>
      </c>
      <c r="AJ52" s="764">
        <v>309.11358574000002</v>
      </c>
      <c r="AK52" s="764">
        <v>290.5071001</v>
      </c>
      <c r="AL52" s="764">
        <v>312.13970977999998</v>
      </c>
      <c r="AM52" s="764">
        <v>323.50695809000001</v>
      </c>
      <c r="AN52" s="764">
        <v>291.06582318</v>
      </c>
      <c r="AO52" s="764">
        <v>296.91634722999999</v>
      </c>
      <c r="AP52" s="764">
        <v>268.85088302999998</v>
      </c>
      <c r="AQ52" s="764">
        <v>291.96727272999999</v>
      </c>
      <c r="AR52" s="764">
        <v>316.08699494000001</v>
      </c>
      <c r="AS52" s="764">
        <v>370.27230230999999</v>
      </c>
      <c r="AT52" s="764">
        <v>366.65132639000001</v>
      </c>
      <c r="AU52" s="764">
        <v>334.88992443000001</v>
      </c>
      <c r="AV52" s="764">
        <v>302.49293998000002</v>
      </c>
      <c r="AW52" s="764">
        <v>281.46364326999998</v>
      </c>
      <c r="AX52" s="764">
        <v>305.37330974999998</v>
      </c>
      <c r="AY52" s="764">
        <v>309.54364246</v>
      </c>
      <c r="AZ52" s="764">
        <v>290.24790494000001</v>
      </c>
      <c r="BA52" s="764">
        <v>285.01893503999997</v>
      </c>
      <c r="BB52" s="764">
        <v>257.95811533</v>
      </c>
      <c r="BC52" s="764">
        <v>270.32474490999999</v>
      </c>
      <c r="BD52" s="764">
        <v>315.60779696999998</v>
      </c>
      <c r="BE52" s="764">
        <v>368.84126344999999</v>
      </c>
      <c r="BF52" s="764">
        <v>367.79511783999999</v>
      </c>
      <c r="BG52" s="765">
        <v>322.0736</v>
      </c>
      <c r="BH52" s="765">
        <v>293.05200000000002</v>
      </c>
      <c r="BI52" s="765">
        <v>275.38569999999999</v>
      </c>
      <c r="BJ52" s="765">
        <v>299.61130000000003</v>
      </c>
      <c r="BK52" s="765">
        <v>311.31049999999999</v>
      </c>
      <c r="BL52" s="765">
        <v>279.08550000000002</v>
      </c>
      <c r="BM52" s="765">
        <v>284.3014</v>
      </c>
      <c r="BN52" s="765">
        <v>263.60480000000001</v>
      </c>
      <c r="BO52" s="765">
        <v>279.89550000000003</v>
      </c>
      <c r="BP52" s="765">
        <v>324.42939999999999</v>
      </c>
      <c r="BQ52" s="765">
        <v>362.62099999999998</v>
      </c>
      <c r="BR52" s="765">
        <v>362.96069999999997</v>
      </c>
      <c r="BS52" s="765">
        <v>324.16480000000001</v>
      </c>
      <c r="BT52" s="765">
        <v>297.34269999999998</v>
      </c>
      <c r="BU52" s="765">
        <v>278.26179999999999</v>
      </c>
      <c r="BV52" s="765">
        <v>302.4452</v>
      </c>
    </row>
    <row r="53" spans="1:74" s="289" customFormat="1" ht="11.1" customHeight="1" x14ac:dyDescent="0.2">
      <c r="A53" s="117"/>
      <c r="C53" s="290"/>
      <c r="D53" s="290"/>
      <c r="E53" s="290"/>
      <c r="F53" s="290"/>
      <c r="G53" s="290"/>
      <c r="H53" s="290"/>
      <c r="I53" s="290"/>
      <c r="J53" s="290"/>
      <c r="K53" s="290"/>
      <c r="L53" s="290"/>
      <c r="M53" s="290"/>
      <c r="N53" s="290"/>
      <c r="O53" s="290"/>
      <c r="P53" s="290"/>
      <c r="Q53" s="290"/>
      <c r="R53" s="290"/>
      <c r="S53" s="290"/>
      <c r="T53" s="290"/>
      <c r="U53" s="290"/>
      <c r="V53" s="290"/>
      <c r="W53" s="290"/>
      <c r="X53" s="290"/>
      <c r="Y53" s="290"/>
      <c r="Z53" s="290"/>
      <c r="AA53" s="290"/>
      <c r="AB53" s="290"/>
      <c r="AC53" s="290"/>
      <c r="AD53" s="290"/>
      <c r="AE53" s="290"/>
      <c r="AF53" s="290"/>
      <c r="AG53" s="290"/>
      <c r="AH53" s="290"/>
      <c r="AI53" s="290"/>
      <c r="AJ53" s="290"/>
      <c r="AK53" s="290"/>
      <c r="AL53" s="290"/>
      <c r="AM53" s="290"/>
      <c r="AN53" s="290"/>
      <c r="AO53" s="290"/>
      <c r="AP53" s="290"/>
      <c r="AQ53" s="290"/>
      <c r="AR53" s="290"/>
      <c r="AS53" s="290"/>
      <c r="AT53" s="290"/>
      <c r="AU53" s="290"/>
      <c r="AV53" s="290"/>
      <c r="AW53" s="290"/>
      <c r="AX53" s="290"/>
      <c r="AY53" s="369"/>
      <c r="AZ53" s="369"/>
      <c r="BA53" s="369"/>
      <c r="BB53" s="369"/>
      <c r="BC53" s="369"/>
      <c r="BD53" s="665"/>
      <c r="BE53" s="665"/>
      <c r="BF53" s="665"/>
      <c r="BG53" s="369"/>
      <c r="BH53" s="235"/>
      <c r="BI53" s="369"/>
      <c r="BJ53" s="369"/>
      <c r="BK53" s="369"/>
      <c r="BL53" s="369"/>
      <c r="BM53" s="369"/>
      <c r="BN53" s="369"/>
      <c r="BO53" s="369"/>
      <c r="BP53" s="369"/>
      <c r="BQ53" s="369"/>
      <c r="BR53" s="369"/>
      <c r="BS53" s="369"/>
      <c r="BT53" s="369"/>
      <c r="BU53" s="369"/>
      <c r="BV53" s="369"/>
    </row>
    <row r="54" spans="1:74" s="289" customFormat="1" ht="12" customHeight="1" x14ac:dyDescent="0.25">
      <c r="A54" s="117"/>
      <c r="B54" s="808" t="s">
        <v>826</v>
      </c>
      <c r="C54" s="805"/>
      <c r="D54" s="805"/>
      <c r="E54" s="805"/>
      <c r="F54" s="805"/>
      <c r="G54" s="805"/>
      <c r="H54" s="805"/>
      <c r="I54" s="805"/>
      <c r="J54" s="805"/>
      <c r="K54" s="805"/>
      <c r="L54" s="805"/>
      <c r="M54" s="805"/>
      <c r="N54" s="805"/>
      <c r="O54" s="805"/>
      <c r="P54" s="805"/>
      <c r="Q54" s="805"/>
      <c r="AY54" s="509"/>
      <c r="AZ54" s="509"/>
      <c r="BA54" s="509"/>
      <c r="BB54" s="509"/>
      <c r="BC54" s="509"/>
      <c r="BD54" s="666"/>
      <c r="BE54" s="666"/>
      <c r="BF54" s="666"/>
      <c r="BG54" s="509"/>
      <c r="BH54" s="257"/>
      <c r="BI54" s="509"/>
      <c r="BJ54" s="509"/>
    </row>
    <row r="55" spans="1:74" s="456" customFormat="1" ht="12" customHeight="1" x14ac:dyDescent="0.2">
      <c r="A55" s="455"/>
      <c r="B55" s="853" t="s">
        <v>895</v>
      </c>
      <c r="C55" s="791"/>
      <c r="D55" s="791"/>
      <c r="E55" s="791"/>
      <c r="F55" s="791"/>
      <c r="G55" s="791"/>
      <c r="H55" s="791"/>
      <c r="I55" s="791"/>
      <c r="J55" s="791"/>
      <c r="K55" s="791"/>
      <c r="L55" s="791"/>
      <c r="M55" s="791"/>
      <c r="N55" s="791"/>
      <c r="O55" s="791"/>
      <c r="P55" s="791"/>
      <c r="Q55" s="791"/>
      <c r="AY55" s="510"/>
      <c r="AZ55" s="510"/>
      <c r="BA55" s="510"/>
      <c r="BB55" s="510"/>
      <c r="BC55" s="510"/>
      <c r="BD55" s="667"/>
      <c r="BE55" s="667"/>
      <c r="BF55" s="667"/>
      <c r="BG55" s="510"/>
      <c r="BH55" s="257"/>
      <c r="BI55" s="510"/>
      <c r="BJ55" s="510"/>
    </row>
    <row r="56" spans="1:74" s="456" customFormat="1" ht="12" customHeight="1" x14ac:dyDescent="0.2">
      <c r="A56" s="455"/>
      <c r="B56" s="794" t="s">
        <v>851</v>
      </c>
      <c r="C56" s="795"/>
      <c r="D56" s="795"/>
      <c r="E56" s="795"/>
      <c r="F56" s="795"/>
      <c r="G56" s="795"/>
      <c r="H56" s="795"/>
      <c r="I56" s="795"/>
      <c r="J56" s="795"/>
      <c r="K56" s="795"/>
      <c r="L56" s="795"/>
      <c r="M56" s="795"/>
      <c r="N56" s="795"/>
      <c r="O56" s="795"/>
      <c r="P56" s="795"/>
      <c r="Q56" s="791"/>
      <c r="AY56" s="510"/>
      <c r="AZ56" s="510"/>
      <c r="BA56" s="510"/>
      <c r="BB56" s="510"/>
      <c r="BC56" s="510"/>
      <c r="BD56" s="667"/>
      <c r="BE56" s="667"/>
      <c r="BF56" s="667"/>
      <c r="BG56" s="510"/>
      <c r="BH56" s="257"/>
      <c r="BI56" s="510"/>
      <c r="BJ56" s="510"/>
    </row>
    <row r="57" spans="1:74" s="456" customFormat="1" ht="12" customHeight="1" x14ac:dyDescent="0.2">
      <c r="A57" s="455"/>
      <c r="B57" s="789" t="s">
        <v>896</v>
      </c>
      <c r="C57" s="795"/>
      <c r="D57" s="795"/>
      <c r="E57" s="795"/>
      <c r="F57" s="795"/>
      <c r="G57" s="795"/>
      <c r="H57" s="795"/>
      <c r="I57" s="795"/>
      <c r="J57" s="795"/>
      <c r="K57" s="795"/>
      <c r="L57" s="795"/>
      <c r="M57" s="795"/>
      <c r="N57" s="795"/>
      <c r="O57" s="795"/>
      <c r="P57" s="795"/>
      <c r="Q57" s="791"/>
      <c r="AY57" s="510"/>
      <c r="AZ57" s="510"/>
      <c r="BA57" s="510"/>
      <c r="BB57" s="510"/>
      <c r="BC57" s="510"/>
      <c r="BD57" s="667"/>
      <c r="BE57" s="667"/>
      <c r="BF57" s="667"/>
      <c r="BG57" s="510"/>
      <c r="BH57" s="257"/>
      <c r="BI57" s="510"/>
      <c r="BJ57" s="510"/>
    </row>
    <row r="58" spans="1:74" s="456" customFormat="1" ht="12" customHeight="1" x14ac:dyDescent="0.2">
      <c r="A58" s="455"/>
      <c r="B58" s="789" t="s">
        <v>887</v>
      </c>
      <c r="C58" s="795"/>
      <c r="D58" s="795"/>
      <c r="E58" s="795"/>
      <c r="F58" s="795"/>
      <c r="G58" s="795"/>
      <c r="H58" s="795"/>
      <c r="I58" s="795"/>
      <c r="J58" s="795"/>
      <c r="K58" s="795"/>
      <c r="L58" s="795"/>
      <c r="M58" s="795"/>
      <c r="N58" s="795"/>
      <c r="O58" s="795"/>
      <c r="P58" s="795"/>
      <c r="Q58" s="791"/>
      <c r="AY58" s="510"/>
      <c r="AZ58" s="510"/>
      <c r="BA58" s="510"/>
      <c r="BB58" s="510"/>
      <c r="BC58" s="510"/>
      <c r="BD58" s="667"/>
      <c r="BE58" s="667"/>
      <c r="BF58" s="667"/>
      <c r="BG58" s="510"/>
      <c r="BH58" s="257"/>
      <c r="BI58" s="510"/>
      <c r="BJ58" s="510"/>
    </row>
    <row r="59" spans="1:74" s="456" customFormat="1" ht="12" customHeight="1" x14ac:dyDescent="0.2">
      <c r="A59" s="455"/>
      <c r="B59" s="838" t="s">
        <v>888</v>
      </c>
      <c r="C59" s="791"/>
      <c r="D59" s="791"/>
      <c r="E59" s="791"/>
      <c r="F59" s="791"/>
      <c r="G59" s="791"/>
      <c r="H59" s="791"/>
      <c r="I59" s="791"/>
      <c r="J59" s="791"/>
      <c r="K59" s="791"/>
      <c r="L59" s="791"/>
      <c r="M59" s="791"/>
      <c r="N59" s="791"/>
      <c r="O59" s="791"/>
      <c r="P59" s="791"/>
      <c r="Q59" s="791"/>
      <c r="AY59" s="510"/>
      <c r="AZ59" s="510"/>
      <c r="BA59" s="510"/>
      <c r="BB59" s="510"/>
      <c r="BC59" s="510"/>
      <c r="BD59" s="667"/>
      <c r="BE59" s="667"/>
      <c r="BF59" s="667"/>
      <c r="BG59" s="510"/>
      <c r="BH59" s="257"/>
      <c r="BI59" s="510"/>
      <c r="BJ59" s="510"/>
    </row>
    <row r="60" spans="1:74" s="456" customFormat="1" ht="22.35" customHeight="1" x14ac:dyDescent="0.2">
      <c r="A60" s="455"/>
      <c r="B60" s="794" t="s">
        <v>897</v>
      </c>
      <c r="C60" s="795"/>
      <c r="D60" s="795"/>
      <c r="E60" s="795"/>
      <c r="F60" s="795"/>
      <c r="G60" s="795"/>
      <c r="H60" s="795"/>
      <c r="I60" s="795"/>
      <c r="J60" s="795"/>
      <c r="K60" s="795"/>
      <c r="L60" s="795"/>
      <c r="M60" s="795"/>
      <c r="N60" s="795"/>
      <c r="O60" s="795"/>
      <c r="P60" s="795"/>
      <c r="Q60" s="791"/>
      <c r="AY60" s="510"/>
      <c r="AZ60" s="510"/>
      <c r="BA60" s="510"/>
      <c r="BB60" s="510"/>
      <c r="BC60" s="510"/>
      <c r="BD60" s="667"/>
      <c r="BE60" s="667"/>
      <c r="BF60" s="667"/>
      <c r="BG60" s="510"/>
      <c r="BH60" s="257"/>
      <c r="BI60" s="510"/>
      <c r="BJ60" s="510"/>
    </row>
    <row r="61" spans="1:74" s="456" customFormat="1" ht="12" customHeight="1" x14ac:dyDescent="0.2">
      <c r="A61" s="455"/>
      <c r="B61" s="789" t="s">
        <v>855</v>
      </c>
      <c r="C61" s="790"/>
      <c r="D61" s="790"/>
      <c r="E61" s="790"/>
      <c r="F61" s="790"/>
      <c r="G61" s="790"/>
      <c r="H61" s="790"/>
      <c r="I61" s="790"/>
      <c r="J61" s="790"/>
      <c r="K61" s="790"/>
      <c r="L61" s="790"/>
      <c r="M61" s="790"/>
      <c r="N61" s="790"/>
      <c r="O61" s="790"/>
      <c r="P61" s="790"/>
      <c r="Q61" s="791"/>
      <c r="AY61" s="510"/>
      <c r="AZ61" s="510"/>
      <c r="BA61" s="510"/>
      <c r="BB61" s="510"/>
      <c r="BC61" s="510"/>
      <c r="BD61" s="667"/>
      <c r="BE61" s="667"/>
      <c r="BF61" s="667"/>
      <c r="BG61" s="510"/>
      <c r="BH61" s="257"/>
      <c r="BI61" s="510"/>
      <c r="BJ61" s="510"/>
    </row>
    <row r="62" spans="1:74" s="454" customFormat="1" ht="12" customHeight="1" x14ac:dyDescent="0.2">
      <c r="A62" s="429"/>
      <c r="B62" s="811" t="s">
        <v>949</v>
      </c>
      <c r="C62" s="791"/>
      <c r="D62" s="791"/>
      <c r="E62" s="791"/>
      <c r="F62" s="791"/>
      <c r="G62" s="791"/>
      <c r="H62" s="791"/>
      <c r="I62" s="791"/>
      <c r="J62" s="791"/>
      <c r="K62" s="791"/>
      <c r="L62" s="791"/>
      <c r="M62" s="791"/>
      <c r="N62" s="791"/>
      <c r="O62" s="791"/>
      <c r="P62" s="791"/>
      <c r="Q62" s="791"/>
      <c r="AY62" s="506"/>
      <c r="AZ62" s="506"/>
      <c r="BA62" s="506"/>
      <c r="BB62" s="506"/>
      <c r="BC62" s="506"/>
      <c r="BD62" s="663"/>
      <c r="BE62" s="663"/>
      <c r="BF62" s="663"/>
      <c r="BG62" s="506"/>
      <c r="BH62" s="257"/>
      <c r="BI62" s="506"/>
      <c r="BJ62" s="506"/>
    </row>
    <row r="63" spans="1:74" x14ac:dyDescent="0.2">
      <c r="BH63" s="257"/>
      <c r="BK63" s="370"/>
      <c r="BL63" s="370"/>
      <c r="BM63" s="370"/>
      <c r="BN63" s="370"/>
      <c r="BO63" s="370"/>
      <c r="BP63" s="370"/>
      <c r="BQ63" s="370"/>
      <c r="BR63" s="370"/>
      <c r="BS63" s="370"/>
      <c r="BT63" s="370"/>
      <c r="BU63" s="370"/>
      <c r="BV63" s="370"/>
    </row>
    <row r="64" spans="1:74" x14ac:dyDescent="0.2">
      <c r="BH64" s="257"/>
      <c r="BK64" s="370"/>
      <c r="BL64" s="370"/>
      <c r="BM64" s="370"/>
      <c r="BN64" s="370"/>
      <c r="BO64" s="370"/>
      <c r="BP64" s="370"/>
      <c r="BQ64" s="370"/>
      <c r="BR64" s="370"/>
      <c r="BS64" s="370"/>
      <c r="BT64" s="370"/>
      <c r="BU64" s="370"/>
      <c r="BV64" s="370"/>
    </row>
    <row r="65" spans="60:74" x14ac:dyDescent="0.2">
      <c r="BH65" s="257"/>
      <c r="BK65" s="370"/>
      <c r="BL65" s="370"/>
      <c r="BM65" s="370"/>
      <c r="BN65" s="370"/>
      <c r="BO65" s="370"/>
      <c r="BP65" s="370"/>
      <c r="BQ65" s="370"/>
      <c r="BR65" s="370"/>
      <c r="BS65" s="370"/>
      <c r="BT65" s="370"/>
      <c r="BU65" s="370"/>
      <c r="BV65" s="370"/>
    </row>
    <row r="66" spans="60:74" x14ac:dyDescent="0.2">
      <c r="BH66" s="257"/>
      <c r="BK66" s="370"/>
      <c r="BL66" s="370"/>
      <c r="BM66" s="370"/>
      <c r="BN66" s="370"/>
      <c r="BO66" s="370"/>
      <c r="BP66" s="370"/>
      <c r="BQ66" s="370"/>
      <c r="BR66" s="370"/>
      <c r="BS66" s="370"/>
      <c r="BT66" s="370"/>
      <c r="BU66" s="370"/>
      <c r="BV66" s="370"/>
    </row>
    <row r="67" spans="60:74" x14ac:dyDescent="0.2">
      <c r="BH67" s="257"/>
      <c r="BK67" s="370"/>
      <c r="BL67" s="370"/>
      <c r="BM67" s="370"/>
      <c r="BN67" s="370"/>
      <c r="BO67" s="370"/>
      <c r="BP67" s="370"/>
      <c r="BQ67" s="370"/>
      <c r="BR67" s="370"/>
      <c r="BS67" s="370"/>
      <c r="BT67" s="370"/>
      <c r="BU67" s="370"/>
      <c r="BV67" s="370"/>
    </row>
    <row r="68" spans="60:74" x14ac:dyDescent="0.2">
      <c r="BK68" s="370"/>
      <c r="BL68" s="370"/>
      <c r="BM68" s="370"/>
      <c r="BN68" s="370"/>
      <c r="BO68" s="370"/>
      <c r="BP68" s="370"/>
      <c r="BQ68" s="370"/>
      <c r="BR68" s="370"/>
      <c r="BS68" s="370"/>
      <c r="BT68" s="370"/>
      <c r="BU68" s="370"/>
      <c r="BV68" s="370"/>
    </row>
    <row r="69" spans="60:74" x14ac:dyDescent="0.2">
      <c r="BK69" s="370"/>
      <c r="BL69" s="370"/>
      <c r="BM69" s="370"/>
      <c r="BN69" s="370"/>
      <c r="BO69" s="370"/>
      <c r="BP69" s="370"/>
      <c r="BQ69" s="370"/>
      <c r="BR69" s="370"/>
      <c r="BS69" s="370"/>
      <c r="BT69" s="370"/>
      <c r="BU69" s="370"/>
      <c r="BV69" s="370"/>
    </row>
    <row r="70" spans="60:74" x14ac:dyDescent="0.2">
      <c r="BK70" s="370"/>
      <c r="BL70" s="370"/>
      <c r="BM70" s="370"/>
      <c r="BN70" s="370"/>
      <c r="BO70" s="370"/>
      <c r="BP70" s="370"/>
      <c r="BQ70" s="370"/>
      <c r="BR70" s="370"/>
      <c r="BS70" s="370"/>
      <c r="BT70" s="370"/>
      <c r="BU70" s="370"/>
      <c r="BV70" s="370"/>
    </row>
    <row r="71" spans="60:74" x14ac:dyDescent="0.2">
      <c r="BK71" s="370"/>
      <c r="BL71" s="370"/>
      <c r="BM71" s="370"/>
      <c r="BN71" s="370"/>
      <c r="BO71" s="370"/>
      <c r="BP71" s="370"/>
      <c r="BQ71" s="370"/>
      <c r="BR71" s="370"/>
      <c r="BS71" s="370"/>
      <c r="BT71" s="370"/>
      <c r="BU71" s="370"/>
      <c r="BV71" s="370"/>
    </row>
    <row r="72" spans="60:74" x14ac:dyDescent="0.2">
      <c r="BK72" s="370"/>
      <c r="BL72" s="370"/>
      <c r="BM72" s="370"/>
      <c r="BN72" s="370"/>
      <c r="BO72" s="370"/>
      <c r="BP72" s="370"/>
      <c r="BQ72" s="370"/>
      <c r="BR72" s="370"/>
      <c r="BS72" s="370"/>
      <c r="BT72" s="370"/>
      <c r="BU72" s="370"/>
      <c r="BV72" s="370"/>
    </row>
    <row r="73" spans="60:74" x14ac:dyDescent="0.2">
      <c r="BK73" s="370"/>
      <c r="BL73" s="370"/>
      <c r="BM73" s="370"/>
      <c r="BN73" s="370"/>
      <c r="BO73" s="370"/>
      <c r="BP73" s="370"/>
      <c r="BQ73" s="370"/>
      <c r="BR73" s="370"/>
      <c r="BS73" s="370"/>
      <c r="BT73" s="370"/>
      <c r="BU73" s="370"/>
      <c r="BV73" s="370"/>
    </row>
    <row r="74" spans="60:74" x14ac:dyDescent="0.2">
      <c r="BK74" s="370"/>
      <c r="BL74" s="370"/>
      <c r="BM74" s="370"/>
      <c r="BN74" s="370"/>
      <c r="BO74" s="370"/>
      <c r="BP74" s="370"/>
      <c r="BQ74" s="370"/>
      <c r="BR74" s="370"/>
      <c r="BS74" s="370"/>
      <c r="BT74" s="370"/>
      <c r="BU74" s="370"/>
      <c r="BV74" s="370"/>
    </row>
    <row r="75" spans="60:74" x14ac:dyDescent="0.2">
      <c r="BK75" s="370"/>
      <c r="BL75" s="370"/>
      <c r="BM75" s="370"/>
      <c r="BN75" s="370"/>
      <c r="BO75" s="370"/>
      <c r="BP75" s="370"/>
      <c r="BQ75" s="370"/>
      <c r="BR75" s="370"/>
      <c r="BS75" s="370"/>
      <c r="BT75" s="370"/>
      <c r="BU75" s="370"/>
      <c r="BV75" s="370"/>
    </row>
    <row r="76" spans="60:74" x14ac:dyDescent="0.2">
      <c r="BK76" s="370"/>
      <c r="BL76" s="370"/>
      <c r="BM76" s="370"/>
      <c r="BN76" s="370"/>
      <c r="BO76" s="370"/>
      <c r="BP76" s="370"/>
      <c r="BQ76" s="370"/>
      <c r="BR76" s="370"/>
      <c r="BS76" s="370"/>
      <c r="BT76" s="370"/>
      <c r="BU76" s="370"/>
      <c r="BV76" s="370"/>
    </row>
    <row r="77" spans="60:74" x14ac:dyDescent="0.2">
      <c r="BK77" s="370"/>
      <c r="BL77" s="370"/>
      <c r="BM77" s="370"/>
      <c r="BN77" s="370"/>
      <c r="BO77" s="370"/>
      <c r="BP77" s="370"/>
      <c r="BQ77" s="370"/>
      <c r="BR77" s="370"/>
      <c r="BS77" s="370"/>
      <c r="BT77" s="370"/>
      <c r="BU77" s="370"/>
      <c r="BV77" s="370"/>
    </row>
    <row r="78" spans="60:74" x14ac:dyDescent="0.2">
      <c r="BK78" s="370"/>
      <c r="BL78" s="370"/>
      <c r="BM78" s="370"/>
      <c r="BN78" s="370"/>
      <c r="BO78" s="370"/>
      <c r="BP78" s="370"/>
      <c r="BQ78" s="370"/>
      <c r="BR78" s="370"/>
      <c r="BS78" s="370"/>
      <c r="BT78" s="370"/>
      <c r="BU78" s="370"/>
      <c r="BV78" s="370"/>
    </row>
    <row r="79" spans="60:74" x14ac:dyDescent="0.2">
      <c r="BK79" s="370"/>
      <c r="BL79" s="370"/>
      <c r="BM79" s="370"/>
      <c r="BN79" s="370"/>
      <c r="BO79" s="370"/>
      <c r="BP79" s="370"/>
      <c r="BQ79" s="370"/>
      <c r="BR79" s="370"/>
      <c r="BS79" s="370"/>
      <c r="BT79" s="370"/>
      <c r="BU79" s="370"/>
      <c r="BV79" s="370"/>
    </row>
    <row r="80" spans="60:74" x14ac:dyDescent="0.2">
      <c r="BK80" s="370"/>
      <c r="BL80" s="370"/>
      <c r="BM80" s="370"/>
      <c r="BN80" s="370"/>
      <c r="BO80" s="370"/>
      <c r="BP80" s="370"/>
      <c r="BQ80" s="370"/>
      <c r="BR80" s="370"/>
      <c r="BS80" s="370"/>
      <c r="BT80" s="370"/>
      <c r="BU80" s="370"/>
      <c r="BV80" s="370"/>
    </row>
    <row r="81" spans="63:74" x14ac:dyDescent="0.2">
      <c r="BK81" s="370"/>
      <c r="BL81" s="370"/>
      <c r="BM81" s="370"/>
      <c r="BN81" s="370"/>
      <c r="BO81" s="370"/>
      <c r="BP81" s="370"/>
      <c r="BQ81" s="370"/>
      <c r="BR81" s="370"/>
      <c r="BS81" s="370"/>
      <c r="BT81" s="370"/>
      <c r="BU81" s="370"/>
      <c r="BV81" s="370"/>
    </row>
    <row r="82" spans="63:74" x14ac:dyDescent="0.2">
      <c r="BK82" s="370"/>
      <c r="BL82" s="370"/>
      <c r="BM82" s="370"/>
      <c r="BN82" s="370"/>
      <c r="BO82" s="370"/>
      <c r="BP82" s="370"/>
      <c r="BQ82" s="370"/>
      <c r="BR82" s="370"/>
      <c r="BS82" s="370"/>
      <c r="BT82" s="370"/>
      <c r="BU82" s="370"/>
      <c r="BV82" s="370"/>
    </row>
    <row r="83" spans="63:74" x14ac:dyDescent="0.2">
      <c r="BK83" s="370"/>
      <c r="BL83" s="370"/>
      <c r="BM83" s="370"/>
      <c r="BN83" s="370"/>
      <c r="BO83" s="370"/>
      <c r="BP83" s="370"/>
      <c r="BQ83" s="370"/>
      <c r="BR83" s="370"/>
      <c r="BS83" s="370"/>
      <c r="BT83" s="370"/>
      <c r="BU83" s="370"/>
      <c r="BV83" s="370"/>
    </row>
    <row r="84" spans="63:74" x14ac:dyDescent="0.2">
      <c r="BK84" s="370"/>
      <c r="BL84" s="370"/>
      <c r="BM84" s="370"/>
      <c r="BN84" s="370"/>
      <c r="BO84" s="370"/>
      <c r="BP84" s="370"/>
      <c r="BQ84" s="370"/>
      <c r="BR84" s="370"/>
      <c r="BS84" s="370"/>
      <c r="BT84" s="370"/>
      <c r="BU84" s="370"/>
      <c r="BV84" s="370"/>
    </row>
    <row r="85" spans="63:74" x14ac:dyDescent="0.2">
      <c r="BK85" s="370"/>
      <c r="BL85" s="370"/>
      <c r="BM85" s="370"/>
      <c r="BN85" s="370"/>
      <c r="BO85" s="370"/>
      <c r="BP85" s="370"/>
      <c r="BQ85" s="370"/>
      <c r="BR85" s="370"/>
      <c r="BS85" s="370"/>
      <c r="BT85" s="370"/>
      <c r="BU85" s="370"/>
      <c r="BV85" s="370"/>
    </row>
    <row r="86" spans="63:74" x14ac:dyDescent="0.2">
      <c r="BK86" s="370"/>
      <c r="BL86" s="370"/>
      <c r="BM86" s="370"/>
      <c r="BN86" s="370"/>
      <c r="BO86" s="370"/>
      <c r="BP86" s="370"/>
      <c r="BQ86" s="370"/>
      <c r="BR86" s="370"/>
      <c r="BS86" s="370"/>
      <c r="BT86" s="370"/>
      <c r="BU86" s="370"/>
      <c r="BV86" s="370"/>
    </row>
    <row r="87" spans="63:74" x14ac:dyDescent="0.2">
      <c r="BK87" s="370"/>
      <c r="BL87" s="370"/>
      <c r="BM87" s="370"/>
      <c r="BN87" s="370"/>
      <c r="BO87" s="370"/>
      <c r="BP87" s="370"/>
      <c r="BQ87" s="370"/>
      <c r="BR87" s="370"/>
      <c r="BS87" s="370"/>
      <c r="BT87" s="370"/>
      <c r="BU87" s="370"/>
      <c r="BV87" s="370"/>
    </row>
    <row r="88" spans="63:74" x14ac:dyDescent="0.2">
      <c r="BK88" s="370"/>
      <c r="BL88" s="370"/>
      <c r="BM88" s="370"/>
      <c r="BN88" s="370"/>
      <c r="BO88" s="370"/>
      <c r="BP88" s="370"/>
      <c r="BQ88" s="370"/>
      <c r="BR88" s="370"/>
      <c r="BS88" s="370"/>
      <c r="BT88" s="370"/>
      <c r="BU88" s="370"/>
      <c r="BV88" s="370"/>
    </row>
    <row r="89" spans="63:74" x14ac:dyDescent="0.2">
      <c r="BK89" s="370"/>
      <c r="BL89" s="370"/>
      <c r="BM89" s="370"/>
      <c r="BN89" s="370"/>
      <c r="BO89" s="370"/>
      <c r="BP89" s="370"/>
      <c r="BQ89" s="370"/>
      <c r="BR89" s="370"/>
      <c r="BS89" s="370"/>
      <c r="BT89" s="370"/>
      <c r="BU89" s="370"/>
      <c r="BV89" s="370"/>
    </row>
    <row r="90" spans="63:74" x14ac:dyDescent="0.2">
      <c r="BK90" s="370"/>
      <c r="BL90" s="370"/>
      <c r="BM90" s="370"/>
      <c r="BN90" s="370"/>
      <c r="BO90" s="370"/>
      <c r="BP90" s="370"/>
      <c r="BQ90" s="370"/>
      <c r="BR90" s="370"/>
      <c r="BS90" s="370"/>
      <c r="BT90" s="370"/>
      <c r="BU90" s="370"/>
      <c r="BV90" s="370"/>
    </row>
    <row r="91" spans="63:74" x14ac:dyDescent="0.2">
      <c r="BK91" s="370"/>
      <c r="BL91" s="370"/>
      <c r="BM91" s="370"/>
      <c r="BN91" s="370"/>
      <c r="BO91" s="370"/>
      <c r="BP91" s="370"/>
      <c r="BQ91" s="370"/>
      <c r="BR91" s="370"/>
      <c r="BS91" s="370"/>
      <c r="BT91" s="370"/>
      <c r="BU91" s="370"/>
      <c r="BV91" s="370"/>
    </row>
    <row r="92" spans="63:74" x14ac:dyDescent="0.2">
      <c r="BK92" s="370"/>
      <c r="BL92" s="370"/>
      <c r="BM92" s="370"/>
      <c r="BN92" s="370"/>
      <c r="BO92" s="370"/>
      <c r="BP92" s="370"/>
      <c r="BQ92" s="370"/>
      <c r="BR92" s="370"/>
      <c r="BS92" s="370"/>
      <c r="BT92" s="370"/>
      <c r="BU92" s="370"/>
      <c r="BV92" s="370"/>
    </row>
    <row r="93" spans="63:74" x14ac:dyDescent="0.2">
      <c r="BK93" s="370"/>
      <c r="BL93" s="370"/>
      <c r="BM93" s="370"/>
      <c r="BN93" s="370"/>
      <c r="BO93" s="370"/>
      <c r="BP93" s="370"/>
      <c r="BQ93" s="370"/>
      <c r="BR93" s="370"/>
      <c r="BS93" s="370"/>
      <c r="BT93" s="370"/>
      <c r="BU93" s="370"/>
      <c r="BV93" s="370"/>
    </row>
    <row r="94" spans="63:74" x14ac:dyDescent="0.2">
      <c r="BK94" s="370"/>
      <c r="BL94" s="370"/>
      <c r="BM94" s="370"/>
      <c r="BN94" s="370"/>
      <c r="BO94" s="370"/>
      <c r="BP94" s="370"/>
      <c r="BQ94" s="370"/>
      <c r="BR94" s="370"/>
      <c r="BS94" s="370"/>
      <c r="BT94" s="370"/>
      <c r="BU94" s="370"/>
      <c r="BV94" s="370"/>
    </row>
    <row r="95" spans="63:74" x14ac:dyDescent="0.2">
      <c r="BK95" s="370"/>
      <c r="BL95" s="370"/>
      <c r="BM95" s="370"/>
      <c r="BN95" s="370"/>
      <c r="BO95" s="370"/>
      <c r="BP95" s="370"/>
      <c r="BQ95" s="370"/>
      <c r="BR95" s="370"/>
      <c r="BS95" s="370"/>
      <c r="BT95" s="370"/>
      <c r="BU95" s="370"/>
      <c r="BV95" s="370"/>
    </row>
    <row r="96" spans="63:74" x14ac:dyDescent="0.2">
      <c r="BK96" s="370"/>
      <c r="BL96" s="370"/>
      <c r="BM96" s="370"/>
      <c r="BN96" s="370"/>
      <c r="BO96" s="370"/>
      <c r="BP96" s="370"/>
      <c r="BQ96" s="370"/>
      <c r="BR96" s="370"/>
      <c r="BS96" s="370"/>
      <c r="BT96" s="370"/>
      <c r="BU96" s="370"/>
      <c r="BV96" s="370"/>
    </row>
    <row r="97" spans="63:74" x14ac:dyDescent="0.2">
      <c r="BK97" s="370"/>
      <c r="BL97" s="370"/>
      <c r="BM97" s="370"/>
      <c r="BN97" s="370"/>
      <c r="BO97" s="370"/>
      <c r="BP97" s="370"/>
      <c r="BQ97" s="370"/>
      <c r="BR97" s="370"/>
      <c r="BS97" s="370"/>
      <c r="BT97" s="370"/>
      <c r="BU97" s="370"/>
      <c r="BV97" s="370"/>
    </row>
    <row r="98" spans="63:74" x14ac:dyDescent="0.2">
      <c r="BK98" s="370"/>
      <c r="BL98" s="370"/>
      <c r="BM98" s="370"/>
      <c r="BN98" s="370"/>
      <c r="BO98" s="370"/>
      <c r="BP98" s="370"/>
      <c r="BQ98" s="370"/>
      <c r="BR98" s="370"/>
      <c r="BS98" s="370"/>
      <c r="BT98" s="370"/>
      <c r="BU98" s="370"/>
      <c r="BV98" s="370"/>
    </row>
    <row r="99" spans="63:74" x14ac:dyDescent="0.2">
      <c r="BK99" s="370"/>
      <c r="BL99" s="370"/>
      <c r="BM99" s="370"/>
      <c r="BN99" s="370"/>
      <c r="BO99" s="370"/>
      <c r="BP99" s="370"/>
      <c r="BQ99" s="370"/>
      <c r="BR99" s="370"/>
      <c r="BS99" s="370"/>
      <c r="BT99" s="370"/>
      <c r="BU99" s="370"/>
      <c r="BV99" s="370"/>
    </row>
    <row r="100" spans="63:74" x14ac:dyDescent="0.2">
      <c r="BK100" s="370"/>
      <c r="BL100" s="370"/>
      <c r="BM100" s="370"/>
      <c r="BN100" s="370"/>
      <c r="BO100" s="370"/>
      <c r="BP100" s="370"/>
      <c r="BQ100" s="370"/>
      <c r="BR100" s="370"/>
      <c r="BS100" s="370"/>
      <c r="BT100" s="370"/>
      <c r="BU100" s="370"/>
      <c r="BV100" s="370"/>
    </row>
    <row r="101" spans="63:74" x14ac:dyDescent="0.2">
      <c r="BK101" s="370"/>
      <c r="BL101" s="370"/>
      <c r="BM101" s="370"/>
      <c r="BN101" s="370"/>
      <c r="BO101" s="370"/>
      <c r="BP101" s="370"/>
      <c r="BQ101" s="370"/>
      <c r="BR101" s="370"/>
      <c r="BS101" s="370"/>
      <c r="BT101" s="370"/>
      <c r="BU101" s="370"/>
      <c r="BV101" s="370"/>
    </row>
    <row r="102" spans="63:74" x14ac:dyDescent="0.2">
      <c r="BK102" s="370"/>
      <c r="BL102" s="370"/>
      <c r="BM102" s="370"/>
      <c r="BN102" s="370"/>
      <c r="BO102" s="370"/>
      <c r="BP102" s="370"/>
      <c r="BQ102" s="370"/>
      <c r="BR102" s="370"/>
      <c r="BS102" s="370"/>
      <c r="BT102" s="370"/>
      <c r="BU102" s="370"/>
      <c r="BV102" s="370"/>
    </row>
    <row r="103" spans="63:74" x14ac:dyDescent="0.2">
      <c r="BK103" s="370"/>
      <c r="BL103" s="370"/>
      <c r="BM103" s="370"/>
      <c r="BN103" s="370"/>
      <c r="BO103" s="370"/>
      <c r="BP103" s="370"/>
      <c r="BQ103" s="370"/>
      <c r="BR103" s="370"/>
      <c r="BS103" s="370"/>
      <c r="BT103" s="370"/>
      <c r="BU103" s="370"/>
      <c r="BV103" s="370"/>
    </row>
    <row r="104" spans="63:74" x14ac:dyDescent="0.2">
      <c r="BK104" s="370"/>
      <c r="BL104" s="370"/>
      <c r="BM104" s="370"/>
      <c r="BN104" s="370"/>
      <c r="BO104" s="370"/>
      <c r="BP104" s="370"/>
      <c r="BQ104" s="370"/>
      <c r="BR104" s="370"/>
      <c r="BS104" s="370"/>
      <c r="BT104" s="370"/>
      <c r="BU104" s="370"/>
      <c r="BV104" s="370"/>
    </row>
    <row r="105" spans="63:74" x14ac:dyDescent="0.2">
      <c r="BK105" s="370"/>
      <c r="BL105" s="370"/>
      <c r="BM105" s="370"/>
      <c r="BN105" s="370"/>
      <c r="BO105" s="370"/>
      <c r="BP105" s="370"/>
      <c r="BQ105" s="370"/>
      <c r="BR105" s="370"/>
      <c r="BS105" s="370"/>
      <c r="BT105" s="370"/>
      <c r="BU105" s="370"/>
      <c r="BV105" s="370"/>
    </row>
    <row r="106" spans="63:74" x14ac:dyDescent="0.2">
      <c r="BK106" s="370"/>
      <c r="BL106" s="370"/>
      <c r="BM106" s="370"/>
      <c r="BN106" s="370"/>
      <c r="BO106" s="370"/>
      <c r="BP106" s="370"/>
      <c r="BQ106" s="370"/>
      <c r="BR106" s="370"/>
      <c r="BS106" s="370"/>
      <c r="BT106" s="370"/>
      <c r="BU106" s="370"/>
      <c r="BV106" s="370"/>
    </row>
    <row r="107" spans="63:74" x14ac:dyDescent="0.2">
      <c r="BK107" s="370"/>
      <c r="BL107" s="370"/>
      <c r="BM107" s="370"/>
      <c r="BN107" s="370"/>
      <c r="BO107" s="370"/>
      <c r="BP107" s="370"/>
      <c r="BQ107" s="370"/>
      <c r="BR107" s="370"/>
      <c r="BS107" s="370"/>
      <c r="BT107" s="370"/>
      <c r="BU107" s="370"/>
      <c r="BV107" s="370"/>
    </row>
    <row r="108" spans="63:74" x14ac:dyDescent="0.2">
      <c r="BK108" s="370"/>
      <c r="BL108" s="370"/>
      <c r="BM108" s="370"/>
      <c r="BN108" s="370"/>
      <c r="BO108" s="370"/>
      <c r="BP108" s="370"/>
      <c r="BQ108" s="370"/>
      <c r="BR108" s="370"/>
      <c r="BS108" s="370"/>
      <c r="BT108" s="370"/>
      <c r="BU108" s="370"/>
      <c r="BV108" s="370"/>
    </row>
    <row r="109" spans="63:74" x14ac:dyDescent="0.2">
      <c r="BK109" s="370"/>
      <c r="BL109" s="370"/>
      <c r="BM109" s="370"/>
      <c r="BN109" s="370"/>
      <c r="BO109" s="370"/>
      <c r="BP109" s="370"/>
      <c r="BQ109" s="370"/>
      <c r="BR109" s="370"/>
      <c r="BS109" s="370"/>
      <c r="BT109" s="370"/>
      <c r="BU109" s="370"/>
      <c r="BV109" s="370"/>
    </row>
    <row r="110" spans="63:74" x14ac:dyDescent="0.2">
      <c r="BK110" s="370"/>
      <c r="BL110" s="370"/>
      <c r="BM110" s="370"/>
      <c r="BN110" s="370"/>
      <c r="BO110" s="370"/>
      <c r="BP110" s="370"/>
      <c r="BQ110" s="370"/>
      <c r="BR110" s="370"/>
      <c r="BS110" s="370"/>
      <c r="BT110" s="370"/>
      <c r="BU110" s="370"/>
      <c r="BV110" s="370"/>
    </row>
    <row r="111" spans="63:74" x14ac:dyDescent="0.2">
      <c r="BK111" s="370"/>
      <c r="BL111" s="370"/>
      <c r="BM111" s="370"/>
      <c r="BN111" s="370"/>
      <c r="BO111" s="370"/>
      <c r="BP111" s="370"/>
      <c r="BQ111" s="370"/>
      <c r="BR111" s="370"/>
      <c r="BS111" s="370"/>
      <c r="BT111" s="370"/>
      <c r="BU111" s="370"/>
      <c r="BV111" s="370"/>
    </row>
    <row r="112" spans="63:74" x14ac:dyDescent="0.2">
      <c r="BK112" s="370"/>
      <c r="BL112" s="370"/>
      <c r="BM112" s="370"/>
      <c r="BN112" s="370"/>
      <c r="BO112" s="370"/>
      <c r="BP112" s="370"/>
      <c r="BQ112" s="370"/>
      <c r="BR112" s="370"/>
      <c r="BS112" s="370"/>
      <c r="BT112" s="370"/>
      <c r="BU112" s="370"/>
      <c r="BV112" s="370"/>
    </row>
    <row r="113" spans="63:74" x14ac:dyDescent="0.2">
      <c r="BK113" s="370"/>
      <c r="BL113" s="370"/>
      <c r="BM113" s="370"/>
      <c r="BN113" s="370"/>
      <c r="BO113" s="370"/>
      <c r="BP113" s="370"/>
      <c r="BQ113" s="370"/>
      <c r="BR113" s="370"/>
      <c r="BS113" s="370"/>
      <c r="BT113" s="370"/>
      <c r="BU113" s="370"/>
      <c r="BV113" s="370"/>
    </row>
    <row r="114" spans="63:74" x14ac:dyDescent="0.2">
      <c r="BK114" s="370"/>
      <c r="BL114" s="370"/>
      <c r="BM114" s="370"/>
      <c r="BN114" s="370"/>
      <c r="BO114" s="370"/>
      <c r="BP114" s="370"/>
      <c r="BQ114" s="370"/>
      <c r="BR114" s="370"/>
      <c r="BS114" s="370"/>
      <c r="BT114" s="370"/>
      <c r="BU114" s="370"/>
      <c r="BV114" s="370"/>
    </row>
    <row r="115" spans="63:74" x14ac:dyDescent="0.2">
      <c r="BK115" s="370"/>
      <c r="BL115" s="370"/>
      <c r="BM115" s="370"/>
      <c r="BN115" s="370"/>
      <c r="BO115" s="370"/>
      <c r="BP115" s="370"/>
      <c r="BQ115" s="370"/>
      <c r="BR115" s="370"/>
      <c r="BS115" s="370"/>
      <c r="BT115" s="370"/>
      <c r="BU115" s="370"/>
      <c r="BV115" s="370"/>
    </row>
    <row r="116" spans="63:74" x14ac:dyDescent="0.2">
      <c r="BK116" s="370"/>
      <c r="BL116" s="370"/>
      <c r="BM116" s="370"/>
      <c r="BN116" s="370"/>
      <c r="BO116" s="370"/>
      <c r="BP116" s="370"/>
      <c r="BQ116" s="370"/>
      <c r="BR116" s="370"/>
      <c r="BS116" s="370"/>
      <c r="BT116" s="370"/>
      <c r="BU116" s="370"/>
      <c r="BV116" s="370"/>
    </row>
    <row r="117" spans="63:74" x14ac:dyDescent="0.2">
      <c r="BK117" s="370"/>
      <c r="BL117" s="370"/>
      <c r="BM117" s="370"/>
      <c r="BN117" s="370"/>
      <c r="BO117" s="370"/>
      <c r="BP117" s="370"/>
      <c r="BQ117" s="370"/>
      <c r="BR117" s="370"/>
      <c r="BS117" s="370"/>
      <c r="BT117" s="370"/>
      <c r="BU117" s="370"/>
      <c r="BV117" s="370"/>
    </row>
    <row r="118" spans="63:74" x14ac:dyDescent="0.2">
      <c r="BK118" s="370"/>
      <c r="BL118" s="370"/>
      <c r="BM118" s="370"/>
      <c r="BN118" s="370"/>
      <c r="BO118" s="370"/>
      <c r="BP118" s="370"/>
      <c r="BQ118" s="370"/>
      <c r="BR118" s="370"/>
      <c r="BS118" s="370"/>
      <c r="BT118" s="370"/>
      <c r="BU118" s="370"/>
      <c r="BV118" s="370"/>
    </row>
    <row r="119" spans="63:74" x14ac:dyDescent="0.2">
      <c r="BK119" s="370"/>
      <c r="BL119" s="370"/>
      <c r="BM119" s="370"/>
      <c r="BN119" s="370"/>
      <c r="BO119" s="370"/>
      <c r="BP119" s="370"/>
      <c r="BQ119" s="370"/>
      <c r="BR119" s="370"/>
      <c r="BS119" s="370"/>
      <c r="BT119" s="370"/>
      <c r="BU119" s="370"/>
      <c r="BV119" s="370"/>
    </row>
    <row r="120" spans="63:74" x14ac:dyDescent="0.2">
      <c r="BK120" s="370"/>
      <c r="BL120" s="370"/>
      <c r="BM120" s="370"/>
      <c r="BN120" s="370"/>
      <c r="BO120" s="370"/>
      <c r="BP120" s="370"/>
      <c r="BQ120" s="370"/>
      <c r="BR120" s="370"/>
      <c r="BS120" s="370"/>
      <c r="BT120" s="370"/>
      <c r="BU120" s="370"/>
      <c r="BV120" s="370"/>
    </row>
    <row r="121" spans="63:74" x14ac:dyDescent="0.2">
      <c r="BK121" s="370"/>
      <c r="BL121" s="370"/>
      <c r="BM121" s="370"/>
      <c r="BN121" s="370"/>
      <c r="BO121" s="370"/>
      <c r="BP121" s="370"/>
      <c r="BQ121" s="370"/>
      <c r="BR121" s="370"/>
      <c r="BS121" s="370"/>
      <c r="BT121" s="370"/>
      <c r="BU121" s="370"/>
      <c r="BV121" s="370"/>
    </row>
    <row r="122" spans="63:74" x14ac:dyDescent="0.2">
      <c r="BK122" s="370"/>
      <c r="BL122" s="370"/>
      <c r="BM122" s="370"/>
      <c r="BN122" s="370"/>
      <c r="BO122" s="370"/>
      <c r="BP122" s="370"/>
      <c r="BQ122" s="370"/>
      <c r="BR122" s="370"/>
      <c r="BS122" s="370"/>
      <c r="BT122" s="370"/>
      <c r="BU122" s="370"/>
      <c r="BV122" s="370"/>
    </row>
    <row r="123" spans="63:74" x14ac:dyDescent="0.2">
      <c r="BK123" s="370"/>
      <c r="BL123" s="370"/>
      <c r="BM123" s="370"/>
      <c r="BN123" s="370"/>
      <c r="BO123" s="370"/>
      <c r="BP123" s="370"/>
      <c r="BQ123" s="370"/>
      <c r="BR123" s="370"/>
      <c r="BS123" s="370"/>
      <c r="BT123" s="370"/>
      <c r="BU123" s="370"/>
      <c r="BV123" s="370"/>
    </row>
    <row r="124" spans="63:74" x14ac:dyDescent="0.2">
      <c r="BK124" s="370"/>
      <c r="BL124" s="370"/>
      <c r="BM124" s="370"/>
      <c r="BN124" s="370"/>
      <c r="BO124" s="370"/>
      <c r="BP124" s="370"/>
      <c r="BQ124" s="370"/>
      <c r="BR124" s="370"/>
      <c r="BS124" s="370"/>
      <c r="BT124" s="370"/>
      <c r="BU124" s="370"/>
      <c r="BV124" s="370"/>
    </row>
    <row r="125" spans="63:74" x14ac:dyDescent="0.2">
      <c r="BK125" s="370"/>
      <c r="BL125" s="370"/>
      <c r="BM125" s="370"/>
      <c r="BN125" s="370"/>
      <c r="BO125" s="370"/>
      <c r="BP125" s="370"/>
      <c r="BQ125" s="370"/>
      <c r="BR125" s="370"/>
      <c r="BS125" s="370"/>
      <c r="BT125" s="370"/>
      <c r="BU125" s="370"/>
      <c r="BV125" s="370"/>
    </row>
    <row r="126" spans="63:74" x14ac:dyDescent="0.2">
      <c r="BK126" s="370"/>
      <c r="BL126" s="370"/>
      <c r="BM126" s="370"/>
      <c r="BN126" s="370"/>
      <c r="BO126" s="370"/>
      <c r="BP126" s="370"/>
      <c r="BQ126" s="370"/>
      <c r="BR126" s="370"/>
      <c r="BS126" s="370"/>
      <c r="BT126" s="370"/>
      <c r="BU126" s="370"/>
      <c r="BV126" s="370"/>
    </row>
    <row r="127" spans="63:74" x14ac:dyDescent="0.2">
      <c r="BK127" s="370"/>
      <c r="BL127" s="370"/>
      <c r="BM127" s="370"/>
      <c r="BN127" s="370"/>
      <c r="BO127" s="370"/>
      <c r="BP127" s="370"/>
      <c r="BQ127" s="370"/>
      <c r="BR127" s="370"/>
      <c r="BS127" s="370"/>
      <c r="BT127" s="370"/>
      <c r="BU127" s="370"/>
      <c r="BV127" s="370"/>
    </row>
    <row r="128" spans="63:74" x14ac:dyDescent="0.2">
      <c r="BK128" s="370"/>
      <c r="BL128" s="370"/>
      <c r="BM128" s="370"/>
      <c r="BN128" s="370"/>
      <c r="BO128" s="370"/>
      <c r="BP128" s="370"/>
      <c r="BQ128" s="370"/>
      <c r="BR128" s="370"/>
      <c r="BS128" s="370"/>
      <c r="BT128" s="370"/>
      <c r="BU128" s="370"/>
      <c r="BV128" s="370"/>
    </row>
    <row r="129" spans="63:74" x14ac:dyDescent="0.2">
      <c r="BK129" s="370"/>
      <c r="BL129" s="370"/>
      <c r="BM129" s="370"/>
      <c r="BN129" s="370"/>
      <c r="BO129" s="370"/>
      <c r="BP129" s="370"/>
      <c r="BQ129" s="370"/>
      <c r="BR129" s="370"/>
      <c r="BS129" s="370"/>
      <c r="BT129" s="370"/>
      <c r="BU129" s="370"/>
      <c r="BV129" s="370"/>
    </row>
    <row r="130" spans="63:74" x14ac:dyDescent="0.2">
      <c r="BK130" s="370"/>
      <c r="BL130" s="370"/>
      <c r="BM130" s="370"/>
      <c r="BN130" s="370"/>
      <c r="BO130" s="370"/>
      <c r="BP130" s="370"/>
      <c r="BQ130" s="370"/>
      <c r="BR130" s="370"/>
      <c r="BS130" s="370"/>
      <c r="BT130" s="370"/>
      <c r="BU130" s="370"/>
      <c r="BV130" s="370"/>
    </row>
    <row r="131" spans="63:74" x14ac:dyDescent="0.2">
      <c r="BK131" s="370"/>
      <c r="BL131" s="370"/>
      <c r="BM131" s="370"/>
      <c r="BN131" s="370"/>
      <c r="BO131" s="370"/>
      <c r="BP131" s="370"/>
      <c r="BQ131" s="370"/>
      <c r="BR131" s="370"/>
      <c r="BS131" s="370"/>
      <c r="BT131" s="370"/>
      <c r="BU131" s="370"/>
      <c r="BV131" s="370"/>
    </row>
    <row r="132" spans="63:74" x14ac:dyDescent="0.2">
      <c r="BK132" s="370"/>
      <c r="BL132" s="370"/>
      <c r="BM132" s="370"/>
      <c r="BN132" s="370"/>
      <c r="BO132" s="370"/>
      <c r="BP132" s="370"/>
      <c r="BQ132" s="370"/>
      <c r="BR132" s="370"/>
      <c r="BS132" s="370"/>
      <c r="BT132" s="370"/>
      <c r="BU132" s="370"/>
      <c r="BV132" s="370"/>
    </row>
    <row r="133" spans="63:74" x14ac:dyDescent="0.2">
      <c r="BK133" s="370"/>
      <c r="BL133" s="370"/>
      <c r="BM133" s="370"/>
      <c r="BN133" s="370"/>
      <c r="BO133" s="370"/>
      <c r="BP133" s="370"/>
      <c r="BQ133" s="370"/>
      <c r="BR133" s="370"/>
      <c r="BS133" s="370"/>
      <c r="BT133" s="370"/>
      <c r="BU133" s="370"/>
      <c r="BV133" s="370"/>
    </row>
    <row r="134" spans="63:74" x14ac:dyDescent="0.2">
      <c r="BK134" s="370"/>
      <c r="BL134" s="370"/>
      <c r="BM134" s="370"/>
      <c r="BN134" s="370"/>
      <c r="BO134" s="370"/>
      <c r="BP134" s="370"/>
      <c r="BQ134" s="370"/>
      <c r="BR134" s="370"/>
      <c r="BS134" s="370"/>
      <c r="BT134" s="370"/>
      <c r="BU134" s="370"/>
      <c r="BV134" s="370"/>
    </row>
    <row r="135" spans="63:74" x14ac:dyDescent="0.2">
      <c r="BK135" s="370"/>
      <c r="BL135" s="370"/>
      <c r="BM135" s="370"/>
      <c r="BN135" s="370"/>
      <c r="BO135" s="370"/>
      <c r="BP135" s="370"/>
      <c r="BQ135" s="370"/>
      <c r="BR135" s="370"/>
      <c r="BS135" s="370"/>
      <c r="BT135" s="370"/>
      <c r="BU135" s="370"/>
      <c r="BV135" s="370"/>
    </row>
    <row r="136" spans="63:74" x14ac:dyDescent="0.2">
      <c r="BK136" s="370"/>
      <c r="BL136" s="370"/>
      <c r="BM136" s="370"/>
      <c r="BN136" s="370"/>
      <c r="BO136" s="370"/>
      <c r="BP136" s="370"/>
      <c r="BQ136" s="370"/>
      <c r="BR136" s="370"/>
      <c r="BS136" s="370"/>
      <c r="BT136" s="370"/>
      <c r="BU136" s="370"/>
      <c r="BV136" s="370"/>
    </row>
    <row r="137" spans="63:74" x14ac:dyDescent="0.2">
      <c r="BK137" s="370"/>
      <c r="BL137" s="370"/>
      <c r="BM137" s="370"/>
      <c r="BN137" s="370"/>
      <c r="BO137" s="370"/>
      <c r="BP137" s="370"/>
      <c r="BQ137" s="370"/>
      <c r="BR137" s="370"/>
      <c r="BS137" s="370"/>
      <c r="BT137" s="370"/>
      <c r="BU137" s="370"/>
      <c r="BV137" s="370"/>
    </row>
    <row r="138" spans="63:74" x14ac:dyDescent="0.2">
      <c r="BK138" s="370"/>
      <c r="BL138" s="370"/>
      <c r="BM138" s="370"/>
      <c r="BN138" s="370"/>
      <c r="BO138" s="370"/>
      <c r="BP138" s="370"/>
      <c r="BQ138" s="370"/>
      <c r="BR138" s="370"/>
      <c r="BS138" s="370"/>
      <c r="BT138" s="370"/>
      <c r="BU138" s="370"/>
      <c r="BV138" s="370"/>
    </row>
    <row r="139" spans="63:74" x14ac:dyDescent="0.2">
      <c r="BK139" s="370"/>
      <c r="BL139" s="370"/>
      <c r="BM139" s="370"/>
      <c r="BN139" s="370"/>
      <c r="BO139" s="370"/>
      <c r="BP139" s="370"/>
      <c r="BQ139" s="370"/>
      <c r="BR139" s="370"/>
      <c r="BS139" s="370"/>
      <c r="BT139" s="370"/>
      <c r="BU139" s="370"/>
      <c r="BV139" s="370"/>
    </row>
    <row r="140" spans="63:74" x14ac:dyDescent="0.2">
      <c r="BK140" s="370"/>
      <c r="BL140" s="370"/>
      <c r="BM140" s="370"/>
      <c r="BN140" s="370"/>
      <c r="BO140" s="370"/>
      <c r="BP140" s="370"/>
      <c r="BQ140" s="370"/>
      <c r="BR140" s="370"/>
      <c r="BS140" s="370"/>
      <c r="BT140" s="370"/>
      <c r="BU140" s="370"/>
      <c r="BV140" s="370"/>
    </row>
    <row r="141" spans="63:74" x14ac:dyDescent="0.2">
      <c r="BK141" s="370"/>
      <c r="BL141" s="370"/>
      <c r="BM141" s="370"/>
      <c r="BN141" s="370"/>
      <c r="BO141" s="370"/>
      <c r="BP141" s="370"/>
      <c r="BQ141" s="370"/>
      <c r="BR141" s="370"/>
      <c r="BS141" s="370"/>
      <c r="BT141" s="370"/>
      <c r="BU141" s="370"/>
      <c r="BV141" s="370"/>
    </row>
    <row r="142" spans="63:74" x14ac:dyDescent="0.2">
      <c r="BK142" s="370"/>
      <c r="BL142" s="370"/>
      <c r="BM142" s="370"/>
      <c r="BN142" s="370"/>
      <c r="BO142" s="370"/>
      <c r="BP142" s="370"/>
      <c r="BQ142" s="370"/>
      <c r="BR142" s="370"/>
      <c r="BS142" s="370"/>
      <c r="BT142" s="370"/>
      <c r="BU142" s="370"/>
      <c r="BV142" s="370"/>
    </row>
    <row r="143" spans="63:74" x14ac:dyDescent="0.2">
      <c r="BK143" s="370"/>
      <c r="BL143" s="370"/>
      <c r="BM143" s="370"/>
      <c r="BN143" s="370"/>
      <c r="BO143" s="370"/>
      <c r="BP143" s="370"/>
      <c r="BQ143" s="370"/>
      <c r="BR143" s="370"/>
      <c r="BS143" s="370"/>
      <c r="BT143" s="370"/>
      <c r="BU143" s="370"/>
      <c r="BV143" s="370"/>
    </row>
  </sheetData>
  <mergeCells count="17">
    <mergeCell ref="A1:A2"/>
    <mergeCell ref="AM3:AX3"/>
    <mergeCell ref="AY3:BJ3"/>
    <mergeCell ref="BK3:BV3"/>
    <mergeCell ref="B1:AL1"/>
    <mergeCell ref="C3:N3"/>
    <mergeCell ref="O3:Z3"/>
    <mergeCell ref="AA3:AL3"/>
    <mergeCell ref="B54:Q54"/>
    <mergeCell ref="B55:Q55"/>
    <mergeCell ref="B56:Q56"/>
    <mergeCell ref="B57:Q57"/>
    <mergeCell ref="B62:Q62"/>
    <mergeCell ref="B58:Q58"/>
    <mergeCell ref="B59:Q59"/>
    <mergeCell ref="B60:Q60"/>
    <mergeCell ref="B61:Q61"/>
  </mergeCells>
  <phoneticPr fontId="6" type="noConversion"/>
  <hyperlinks>
    <hyperlink ref="A1:A2" location="Contents!A1" display="Table of Contents"/>
  </hyperlinks>
  <pageMargins left="0.25" right="0.25" top="0.25" bottom="0.25" header="0.5" footer="0.5"/>
  <pageSetup scale="87" orientation="portrait" horizontalDpi="300" verticalDpi="300" r:id="rId1"/>
  <headerFooter alignWithMargins="0">
    <oddFooter>&amp;L&amp;"Courier,Bold"&amp;14&amp;F&amp;C&amp;6&amp;P&amp;R&amp;"Courier,Bold"&amp;14&amp;D  &amp;T</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7">
    <pageSetUpPr fitToPage="1"/>
  </sheetPr>
  <dimension ref="A1:BV144"/>
  <sheetViews>
    <sheetView showGridLines="0" zoomScaleNormal="100" workbookViewId="0">
      <pane xSplit="2" ySplit="4" topLeftCell="BA5" activePane="bottomRight" state="frozen"/>
      <selection activeCell="BF63" sqref="BF63"/>
      <selection pane="topRight" activeCell="BF63" sqref="BF63"/>
      <selection pane="bottomLeft" activeCell="BF63" sqref="BF63"/>
      <selection pane="bottomRight" activeCell="B1" sqref="B1:AL1"/>
    </sheetView>
  </sheetViews>
  <sheetFormatPr defaultColWidth="9.5546875" defaultRowHeight="10.199999999999999" x14ac:dyDescent="0.2"/>
  <cols>
    <col min="1" max="1" width="10.5546875" style="121" customWidth="1"/>
    <col min="2" max="2" width="16.5546875" style="121" customWidth="1"/>
    <col min="3" max="50" width="6.5546875" style="121" customWidth="1"/>
    <col min="51" max="55" width="6.5546875" style="364" customWidth="1"/>
    <col min="56" max="58" width="6.5546875" style="668" customWidth="1"/>
    <col min="59" max="62" width="6.5546875" style="364" customWidth="1"/>
    <col min="63" max="74" width="6.5546875" style="121" customWidth="1"/>
    <col min="75" max="16384" width="9.5546875" style="121"/>
  </cols>
  <sheetData>
    <row r="1" spans="1:74" ht="13.35" customHeight="1" x14ac:dyDescent="0.25">
      <c r="A1" s="797" t="s">
        <v>809</v>
      </c>
      <c r="B1" s="857" t="s">
        <v>1421</v>
      </c>
      <c r="C1" s="805"/>
      <c r="D1" s="805"/>
      <c r="E1" s="805"/>
      <c r="F1" s="805"/>
      <c r="G1" s="805"/>
      <c r="H1" s="805"/>
      <c r="I1" s="805"/>
      <c r="J1" s="805"/>
      <c r="K1" s="805"/>
      <c r="L1" s="805"/>
      <c r="M1" s="805"/>
      <c r="N1" s="805"/>
      <c r="O1" s="805"/>
      <c r="P1" s="805"/>
      <c r="Q1" s="805"/>
      <c r="R1" s="805"/>
      <c r="S1" s="805"/>
      <c r="T1" s="805"/>
      <c r="U1" s="805"/>
      <c r="V1" s="805"/>
      <c r="W1" s="805"/>
      <c r="X1" s="805"/>
      <c r="Y1" s="805"/>
      <c r="Z1" s="805"/>
      <c r="AA1" s="805"/>
      <c r="AB1" s="805"/>
      <c r="AC1" s="805"/>
      <c r="AD1" s="805"/>
      <c r="AE1" s="805"/>
      <c r="AF1" s="805"/>
      <c r="AG1" s="805"/>
      <c r="AH1" s="805"/>
      <c r="AI1" s="805"/>
      <c r="AJ1" s="805"/>
      <c r="AK1" s="805"/>
      <c r="AL1" s="805"/>
      <c r="AM1" s="120"/>
    </row>
    <row r="2" spans="1:74" s="112" customFormat="1" ht="13.35" customHeight="1" x14ac:dyDescent="0.25">
      <c r="A2" s="798"/>
      <c r="B2" s="532" t="str">
        <f>"U.S. Energy Information Administration  |  Short-Term Energy Outlook  - "&amp;Dates!D1</f>
        <v>U.S. Energy Information Administration  |  Short-Term Energy Outlook  - September 2020</v>
      </c>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c r="AK2" s="533"/>
      <c r="AL2" s="533"/>
      <c r="AM2" s="116"/>
      <c r="AY2" s="370"/>
      <c r="AZ2" s="370"/>
      <c r="BA2" s="370"/>
      <c r="BB2" s="370"/>
      <c r="BC2" s="370"/>
      <c r="BD2" s="664"/>
      <c r="BE2" s="664"/>
      <c r="BF2" s="664"/>
      <c r="BG2" s="370"/>
      <c r="BH2" s="370"/>
      <c r="BI2" s="370"/>
      <c r="BJ2" s="370"/>
    </row>
    <row r="3" spans="1:74" s="12" customFormat="1" ht="13.2" x14ac:dyDescent="0.25">
      <c r="A3" s="14"/>
      <c r="B3" s="15"/>
      <c r="C3" s="806">
        <f>Dates!D3</f>
        <v>2016</v>
      </c>
      <c r="D3" s="802"/>
      <c r="E3" s="802"/>
      <c r="F3" s="802"/>
      <c r="G3" s="802"/>
      <c r="H3" s="802"/>
      <c r="I3" s="802"/>
      <c r="J3" s="802"/>
      <c r="K3" s="802"/>
      <c r="L3" s="802"/>
      <c r="M3" s="802"/>
      <c r="N3" s="803"/>
      <c r="O3" s="806">
        <f>C3+1</f>
        <v>2017</v>
      </c>
      <c r="P3" s="807"/>
      <c r="Q3" s="807"/>
      <c r="R3" s="807"/>
      <c r="S3" s="807"/>
      <c r="T3" s="807"/>
      <c r="U3" s="807"/>
      <c r="V3" s="807"/>
      <c r="W3" s="807"/>
      <c r="X3" s="802"/>
      <c r="Y3" s="802"/>
      <c r="Z3" s="803"/>
      <c r="AA3" s="799">
        <f>O3+1</f>
        <v>2018</v>
      </c>
      <c r="AB3" s="802"/>
      <c r="AC3" s="802"/>
      <c r="AD3" s="802"/>
      <c r="AE3" s="802"/>
      <c r="AF3" s="802"/>
      <c r="AG3" s="802"/>
      <c r="AH3" s="802"/>
      <c r="AI3" s="802"/>
      <c r="AJ3" s="802"/>
      <c r="AK3" s="802"/>
      <c r="AL3" s="803"/>
      <c r="AM3" s="799">
        <f>AA3+1</f>
        <v>2019</v>
      </c>
      <c r="AN3" s="802"/>
      <c r="AO3" s="802"/>
      <c r="AP3" s="802"/>
      <c r="AQ3" s="802"/>
      <c r="AR3" s="802"/>
      <c r="AS3" s="802"/>
      <c r="AT3" s="802"/>
      <c r="AU3" s="802"/>
      <c r="AV3" s="802"/>
      <c r="AW3" s="802"/>
      <c r="AX3" s="803"/>
      <c r="AY3" s="799">
        <f>AM3+1</f>
        <v>2020</v>
      </c>
      <c r="AZ3" s="800"/>
      <c r="BA3" s="800"/>
      <c r="BB3" s="800"/>
      <c r="BC3" s="800"/>
      <c r="BD3" s="800"/>
      <c r="BE3" s="800"/>
      <c r="BF3" s="800"/>
      <c r="BG3" s="800"/>
      <c r="BH3" s="800"/>
      <c r="BI3" s="800"/>
      <c r="BJ3" s="801"/>
      <c r="BK3" s="799">
        <f>AY3+1</f>
        <v>2021</v>
      </c>
      <c r="BL3" s="802"/>
      <c r="BM3" s="802"/>
      <c r="BN3" s="802"/>
      <c r="BO3" s="802"/>
      <c r="BP3" s="802"/>
      <c r="BQ3" s="802"/>
      <c r="BR3" s="802"/>
      <c r="BS3" s="802"/>
      <c r="BT3" s="802"/>
      <c r="BU3" s="802"/>
      <c r="BV3" s="803"/>
    </row>
    <row r="4" spans="1:74" s="12" customFormat="1" x14ac:dyDescent="0.2">
      <c r="A4" s="16"/>
      <c r="B4" s="17"/>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A5" s="119"/>
      <c r="B5" s="122" t="s">
        <v>9</v>
      </c>
      <c r="C5" s="123"/>
      <c r="D5" s="123"/>
      <c r="E5" s="123"/>
      <c r="F5" s="123"/>
      <c r="G5" s="123"/>
      <c r="H5" s="123"/>
      <c r="I5" s="123"/>
      <c r="J5" s="123"/>
      <c r="K5" s="123"/>
      <c r="L5" s="123"/>
      <c r="M5" s="123"/>
      <c r="N5" s="123"/>
      <c r="O5" s="123"/>
      <c r="P5" s="123"/>
      <c r="Q5" s="123"/>
      <c r="R5" s="123"/>
      <c r="S5" s="123"/>
      <c r="T5" s="123"/>
      <c r="U5" s="123"/>
      <c r="V5" s="123"/>
      <c r="W5" s="123"/>
      <c r="X5" s="123"/>
      <c r="Y5" s="123"/>
      <c r="Z5" s="123"/>
      <c r="AA5" s="123"/>
      <c r="AB5" s="123"/>
      <c r="AC5" s="123"/>
      <c r="AD5" s="123"/>
      <c r="AE5" s="123"/>
      <c r="AF5" s="123"/>
      <c r="AG5" s="123"/>
      <c r="AH5" s="123"/>
      <c r="AI5" s="123"/>
      <c r="AJ5" s="123"/>
      <c r="AK5" s="123"/>
      <c r="AL5" s="123"/>
      <c r="AM5" s="123"/>
      <c r="AN5" s="123"/>
      <c r="AO5" s="123"/>
      <c r="AP5" s="123"/>
      <c r="AQ5" s="123"/>
      <c r="AR5" s="123"/>
      <c r="AS5" s="123"/>
      <c r="AT5" s="123"/>
      <c r="AU5" s="123"/>
      <c r="AV5" s="123"/>
      <c r="AW5" s="123"/>
      <c r="AX5" s="123"/>
      <c r="AY5" s="416"/>
      <c r="AZ5" s="416"/>
      <c r="BA5" s="416"/>
      <c r="BB5" s="416"/>
      <c r="BC5" s="416"/>
      <c r="BD5" s="123"/>
      <c r="BE5" s="123"/>
      <c r="BF5" s="123"/>
      <c r="BG5" s="123"/>
      <c r="BH5" s="123"/>
      <c r="BI5" s="123"/>
      <c r="BJ5" s="416"/>
      <c r="BK5" s="416"/>
      <c r="BL5" s="416"/>
      <c r="BM5" s="416"/>
      <c r="BN5" s="416"/>
      <c r="BO5" s="416"/>
      <c r="BP5" s="416"/>
      <c r="BQ5" s="416"/>
      <c r="BR5" s="416"/>
      <c r="BS5" s="416"/>
      <c r="BT5" s="416"/>
      <c r="BU5" s="416"/>
      <c r="BV5" s="416"/>
    </row>
    <row r="6" spans="1:74" ht="11.1" customHeight="1" x14ac:dyDescent="0.2">
      <c r="A6" s="119" t="s">
        <v>631</v>
      </c>
      <c r="B6" s="204" t="s">
        <v>444</v>
      </c>
      <c r="C6" s="213">
        <v>18.807804529999999</v>
      </c>
      <c r="D6" s="213">
        <v>19.247374450999999</v>
      </c>
      <c r="E6" s="213">
        <v>19.228666128</v>
      </c>
      <c r="F6" s="213">
        <v>19.504827613</v>
      </c>
      <c r="G6" s="213">
        <v>19.148086628000001</v>
      </c>
      <c r="H6" s="213">
        <v>18.853991433000001</v>
      </c>
      <c r="I6" s="213">
        <v>18.216490304000001</v>
      </c>
      <c r="J6" s="213">
        <v>18.085193744000001</v>
      </c>
      <c r="K6" s="213">
        <v>19.013898357999999</v>
      </c>
      <c r="L6" s="213">
        <v>18.808374019999999</v>
      </c>
      <c r="M6" s="213">
        <v>18.873722052000002</v>
      </c>
      <c r="N6" s="213">
        <v>18.402742029999999</v>
      </c>
      <c r="O6" s="213">
        <v>18.917408012999999</v>
      </c>
      <c r="P6" s="213">
        <v>19.470641507</v>
      </c>
      <c r="Q6" s="213">
        <v>19.006101580999999</v>
      </c>
      <c r="R6" s="213">
        <v>19.758353182</v>
      </c>
      <c r="S6" s="213">
        <v>19.360352727999999</v>
      </c>
      <c r="T6" s="213">
        <v>19.204122818999998</v>
      </c>
      <c r="U6" s="213">
        <v>19.220074723</v>
      </c>
      <c r="V6" s="213">
        <v>19.315411967999999</v>
      </c>
      <c r="W6" s="213">
        <v>20.003748282</v>
      </c>
      <c r="X6" s="213">
        <v>19.993548484000002</v>
      </c>
      <c r="Y6" s="213">
        <v>19.803592323</v>
      </c>
      <c r="Z6" s="213">
        <v>19.182564920000001</v>
      </c>
      <c r="AA6" s="213">
        <v>20.624341869999999</v>
      </c>
      <c r="AB6" s="213">
        <v>20.947172076000001</v>
      </c>
      <c r="AC6" s="213">
        <v>20.850936086000001</v>
      </c>
      <c r="AD6" s="213">
        <v>20.898225877000002</v>
      </c>
      <c r="AE6" s="213">
        <v>20.69266726</v>
      </c>
      <c r="AF6" s="213">
        <v>20.391959078999999</v>
      </c>
      <c r="AG6" s="213">
        <v>19.973712801000001</v>
      </c>
      <c r="AH6" s="213">
        <v>20.194239823</v>
      </c>
      <c r="AI6" s="213">
        <v>21.227778900000001</v>
      </c>
      <c r="AJ6" s="213">
        <v>20.761036674</v>
      </c>
      <c r="AK6" s="213">
        <v>20.532651025</v>
      </c>
      <c r="AL6" s="213">
        <v>20.515890641999999</v>
      </c>
      <c r="AM6" s="213">
        <v>21.139486942000001</v>
      </c>
      <c r="AN6" s="213">
        <v>21.870846405999998</v>
      </c>
      <c r="AO6" s="213">
        <v>21.630579971</v>
      </c>
      <c r="AP6" s="213">
        <v>21.895334668</v>
      </c>
      <c r="AQ6" s="213">
        <v>21.624018299999999</v>
      </c>
      <c r="AR6" s="213">
        <v>21.197767890000002</v>
      </c>
      <c r="AS6" s="213">
        <v>20.297934350999999</v>
      </c>
      <c r="AT6" s="213">
        <v>20.776986442999998</v>
      </c>
      <c r="AU6" s="213">
        <v>21.161116055000001</v>
      </c>
      <c r="AV6" s="213">
        <v>20.937826142999999</v>
      </c>
      <c r="AW6" s="213">
        <v>20.996641401000002</v>
      </c>
      <c r="AX6" s="213">
        <v>20.720784604999999</v>
      </c>
      <c r="AY6" s="213">
        <v>21.633711614999999</v>
      </c>
      <c r="AZ6" s="213">
        <v>21.979219463</v>
      </c>
      <c r="BA6" s="213">
        <v>21.664097301000002</v>
      </c>
      <c r="BB6" s="213">
        <v>22.024324403000001</v>
      </c>
      <c r="BC6" s="213">
        <v>21.63</v>
      </c>
      <c r="BD6" s="213">
        <v>20.47</v>
      </c>
      <c r="BE6" s="213">
        <v>19.66574</v>
      </c>
      <c r="BF6" s="213">
        <v>20.149999999999999</v>
      </c>
      <c r="BG6" s="351">
        <v>20.585840000000001</v>
      </c>
      <c r="BH6" s="351">
        <v>20.436540000000001</v>
      </c>
      <c r="BI6" s="351">
        <v>20.561209999999999</v>
      </c>
      <c r="BJ6" s="351">
        <v>20.420780000000001</v>
      </c>
      <c r="BK6" s="351">
        <v>21.393599999999999</v>
      </c>
      <c r="BL6" s="351">
        <v>21.814340000000001</v>
      </c>
      <c r="BM6" s="351">
        <v>21.649039999999999</v>
      </c>
      <c r="BN6" s="351">
        <v>22.198360000000001</v>
      </c>
      <c r="BO6" s="351">
        <v>21.955929999999999</v>
      </c>
      <c r="BP6" s="351">
        <v>20.969650000000001</v>
      </c>
      <c r="BQ6" s="351">
        <v>20.342110000000002</v>
      </c>
      <c r="BR6" s="351">
        <v>21.017199999999999</v>
      </c>
      <c r="BS6" s="351">
        <v>21.611719999999998</v>
      </c>
      <c r="BT6" s="351">
        <v>21.595040000000001</v>
      </c>
      <c r="BU6" s="351">
        <v>21.84891</v>
      </c>
      <c r="BV6" s="351">
        <v>21.801110000000001</v>
      </c>
    </row>
    <row r="7" spans="1:74" ht="11.1" customHeight="1" x14ac:dyDescent="0.2">
      <c r="A7" s="119" t="s">
        <v>632</v>
      </c>
      <c r="B7" s="187" t="s">
        <v>477</v>
      </c>
      <c r="C7" s="213">
        <v>15.090541764999999</v>
      </c>
      <c r="D7" s="213">
        <v>15.207471103</v>
      </c>
      <c r="E7" s="213">
        <v>15.270940854999999</v>
      </c>
      <c r="F7" s="213">
        <v>15.629332677000001</v>
      </c>
      <c r="G7" s="213">
        <v>15.809435689000001</v>
      </c>
      <c r="H7" s="213">
        <v>15.872982717999999</v>
      </c>
      <c r="I7" s="213">
        <v>15.878029557</v>
      </c>
      <c r="J7" s="213">
        <v>15.943075353999999</v>
      </c>
      <c r="K7" s="213">
        <v>16.200264473000001</v>
      </c>
      <c r="L7" s="213">
        <v>16.116018617000002</v>
      </c>
      <c r="M7" s="213">
        <v>15.77011821</v>
      </c>
      <c r="N7" s="213">
        <v>15.262683143</v>
      </c>
      <c r="O7" s="213">
        <v>15.397926798</v>
      </c>
      <c r="P7" s="213">
        <v>15.699854754</v>
      </c>
      <c r="Q7" s="213">
        <v>15.407346688000001</v>
      </c>
      <c r="R7" s="213">
        <v>15.752510771000001</v>
      </c>
      <c r="S7" s="213">
        <v>16.467176936000001</v>
      </c>
      <c r="T7" s="213">
        <v>16.439065743</v>
      </c>
      <c r="U7" s="213">
        <v>16.405255880999999</v>
      </c>
      <c r="V7" s="213">
        <v>16.334816443000001</v>
      </c>
      <c r="W7" s="213">
        <v>16.388417959000002</v>
      </c>
      <c r="X7" s="213">
        <v>16.264444566000002</v>
      </c>
      <c r="Y7" s="213">
        <v>15.916445011</v>
      </c>
      <c r="Z7" s="213">
        <v>15.391206723</v>
      </c>
      <c r="AA7" s="213">
        <v>15.384579012</v>
      </c>
      <c r="AB7" s="213">
        <v>15.816790305</v>
      </c>
      <c r="AC7" s="213">
        <v>15.463876959</v>
      </c>
      <c r="AD7" s="213">
        <v>15.756292966</v>
      </c>
      <c r="AE7" s="213">
        <v>16.255337072</v>
      </c>
      <c r="AF7" s="213">
        <v>16.450108631999999</v>
      </c>
      <c r="AG7" s="213">
        <v>16.421705134</v>
      </c>
      <c r="AH7" s="213">
        <v>16.243312875000001</v>
      </c>
      <c r="AI7" s="213">
        <v>16.359095752999998</v>
      </c>
      <c r="AJ7" s="213">
        <v>16.383830171</v>
      </c>
      <c r="AK7" s="213">
        <v>15.779661121</v>
      </c>
      <c r="AL7" s="213">
        <v>15.323638127000001</v>
      </c>
      <c r="AM7" s="213">
        <v>14.833556440000001</v>
      </c>
      <c r="AN7" s="213">
        <v>15.514984245000001</v>
      </c>
      <c r="AO7" s="213">
        <v>15.248912339</v>
      </c>
      <c r="AP7" s="213">
        <v>15.913033433000001</v>
      </c>
      <c r="AQ7" s="213">
        <v>16.009608752999998</v>
      </c>
      <c r="AR7" s="213">
        <v>16.211247771</v>
      </c>
      <c r="AS7" s="213">
        <v>16.211125938999999</v>
      </c>
      <c r="AT7" s="213">
        <v>16.081882857</v>
      </c>
      <c r="AU7" s="213">
        <v>16.165204093</v>
      </c>
      <c r="AV7" s="213">
        <v>16.185889645</v>
      </c>
      <c r="AW7" s="213">
        <v>15.792576092999999</v>
      </c>
      <c r="AX7" s="213">
        <v>15.453429941</v>
      </c>
      <c r="AY7" s="213">
        <v>15.411283450999999</v>
      </c>
      <c r="AZ7" s="213">
        <v>15.454109059</v>
      </c>
      <c r="BA7" s="213">
        <v>15.551237197000001</v>
      </c>
      <c r="BB7" s="213">
        <v>15.531772897</v>
      </c>
      <c r="BC7" s="213">
        <v>16.07</v>
      </c>
      <c r="BD7" s="213">
        <v>16.239999999999998</v>
      </c>
      <c r="BE7" s="213">
        <v>16.03424</v>
      </c>
      <c r="BF7" s="213">
        <v>15.794510000000001</v>
      </c>
      <c r="BG7" s="351">
        <v>15.857939999999999</v>
      </c>
      <c r="BH7" s="351">
        <v>15.897790000000001</v>
      </c>
      <c r="BI7" s="351">
        <v>15.56301</v>
      </c>
      <c r="BJ7" s="351">
        <v>15.31209</v>
      </c>
      <c r="BK7" s="351">
        <v>15.29987</v>
      </c>
      <c r="BL7" s="351">
        <v>15.399570000000001</v>
      </c>
      <c r="BM7" s="351">
        <v>15.596109999999999</v>
      </c>
      <c r="BN7" s="351">
        <v>15.693149999999999</v>
      </c>
      <c r="BO7" s="351">
        <v>16.315329999999999</v>
      </c>
      <c r="BP7" s="351">
        <v>16.55706</v>
      </c>
      <c r="BQ7" s="351">
        <v>16.44528</v>
      </c>
      <c r="BR7" s="351">
        <v>16.240390000000001</v>
      </c>
      <c r="BS7" s="351">
        <v>16.28698</v>
      </c>
      <c r="BT7" s="351">
        <v>16.32001</v>
      </c>
      <c r="BU7" s="351">
        <v>15.967230000000001</v>
      </c>
      <c r="BV7" s="351">
        <v>15.65762</v>
      </c>
    </row>
    <row r="8" spans="1:74" ht="11.1" customHeight="1" x14ac:dyDescent="0.2">
      <c r="A8" s="119" t="s">
        <v>633</v>
      </c>
      <c r="B8" s="204" t="s">
        <v>445</v>
      </c>
      <c r="C8" s="213">
        <v>12.389736957</v>
      </c>
      <c r="D8" s="213">
        <v>12.591232412</v>
      </c>
      <c r="E8" s="213">
        <v>13.066615573</v>
      </c>
      <c r="F8" s="213">
        <v>13.380480373999999</v>
      </c>
      <c r="G8" s="213">
        <v>13.701709281999999</v>
      </c>
      <c r="H8" s="213">
        <v>13.161483191</v>
      </c>
      <c r="I8" s="213">
        <v>13.034499414000001</v>
      </c>
      <c r="J8" s="213">
        <v>13.05704201</v>
      </c>
      <c r="K8" s="213">
        <v>13.138970989000001</v>
      </c>
      <c r="L8" s="213">
        <v>13.516895477</v>
      </c>
      <c r="M8" s="213">
        <v>13.432924733</v>
      </c>
      <c r="N8" s="213">
        <v>12.758934504999999</v>
      </c>
      <c r="O8" s="213">
        <v>12.533160156999999</v>
      </c>
      <c r="P8" s="213">
        <v>13.119151579</v>
      </c>
      <c r="Q8" s="213">
        <v>13.570071001000001</v>
      </c>
      <c r="R8" s="213">
        <v>13.706459329999999</v>
      </c>
      <c r="S8" s="213">
        <v>13.961668625</v>
      </c>
      <c r="T8" s="213">
        <v>13.618328933000001</v>
      </c>
      <c r="U8" s="213">
        <v>13.250365817</v>
      </c>
      <c r="V8" s="213">
        <v>13.446257804</v>
      </c>
      <c r="W8" s="213">
        <v>13.584364227</v>
      </c>
      <c r="X8" s="213">
        <v>13.544804746000001</v>
      </c>
      <c r="Y8" s="213">
        <v>13.573971145</v>
      </c>
      <c r="Z8" s="213">
        <v>12.901504618000001</v>
      </c>
      <c r="AA8" s="213">
        <v>12.784626887</v>
      </c>
      <c r="AB8" s="213">
        <v>13.037765153</v>
      </c>
      <c r="AC8" s="213">
        <v>13.355598599</v>
      </c>
      <c r="AD8" s="213">
        <v>13.576065758</v>
      </c>
      <c r="AE8" s="213">
        <v>13.743034307</v>
      </c>
      <c r="AF8" s="213">
        <v>13.389464494</v>
      </c>
      <c r="AG8" s="213">
        <v>13.26233807</v>
      </c>
      <c r="AH8" s="213">
        <v>13.316738939</v>
      </c>
      <c r="AI8" s="213">
        <v>12.961644381999999</v>
      </c>
      <c r="AJ8" s="213">
        <v>13.57019238</v>
      </c>
      <c r="AK8" s="213">
        <v>13.397436025999999</v>
      </c>
      <c r="AL8" s="213">
        <v>12.909799505000001</v>
      </c>
      <c r="AM8" s="213">
        <v>12.778076689000001</v>
      </c>
      <c r="AN8" s="213">
        <v>12.864443345</v>
      </c>
      <c r="AO8" s="213">
        <v>13.142951452</v>
      </c>
      <c r="AP8" s="213">
        <v>13.83121244</v>
      </c>
      <c r="AQ8" s="213">
        <v>14.065645623</v>
      </c>
      <c r="AR8" s="213">
        <v>13.713320892</v>
      </c>
      <c r="AS8" s="213">
        <v>13.227719923</v>
      </c>
      <c r="AT8" s="213">
        <v>13.419199222</v>
      </c>
      <c r="AU8" s="213">
        <v>13.160195061</v>
      </c>
      <c r="AV8" s="213">
        <v>13.640006903</v>
      </c>
      <c r="AW8" s="213">
        <v>13.403227664999999</v>
      </c>
      <c r="AX8" s="213">
        <v>12.935987322000001</v>
      </c>
      <c r="AY8" s="213">
        <v>12.943744430000001</v>
      </c>
      <c r="AZ8" s="213">
        <v>13.028852596</v>
      </c>
      <c r="BA8" s="213">
        <v>13.364470504</v>
      </c>
      <c r="BB8" s="213">
        <v>13.748609498</v>
      </c>
      <c r="BC8" s="213">
        <v>13.94</v>
      </c>
      <c r="BD8" s="213">
        <v>13.55</v>
      </c>
      <c r="BE8" s="213">
        <v>13.073700000000001</v>
      </c>
      <c r="BF8" s="213">
        <v>13.15461</v>
      </c>
      <c r="BG8" s="351">
        <v>13.089829999999999</v>
      </c>
      <c r="BH8" s="351">
        <v>13.517139999999999</v>
      </c>
      <c r="BI8" s="351">
        <v>13.35516</v>
      </c>
      <c r="BJ8" s="351">
        <v>12.92409</v>
      </c>
      <c r="BK8" s="351">
        <v>12.88275</v>
      </c>
      <c r="BL8" s="351">
        <v>13.071389999999999</v>
      </c>
      <c r="BM8" s="351">
        <v>13.451840000000001</v>
      </c>
      <c r="BN8" s="351">
        <v>13.9275</v>
      </c>
      <c r="BO8" s="351">
        <v>14.10647</v>
      </c>
      <c r="BP8" s="351">
        <v>13.815530000000001</v>
      </c>
      <c r="BQ8" s="351">
        <v>13.505280000000001</v>
      </c>
      <c r="BR8" s="351">
        <v>13.47899</v>
      </c>
      <c r="BS8" s="351">
        <v>13.362159999999999</v>
      </c>
      <c r="BT8" s="351">
        <v>13.797890000000001</v>
      </c>
      <c r="BU8" s="351">
        <v>13.63926</v>
      </c>
      <c r="BV8" s="351">
        <v>13.201560000000001</v>
      </c>
    </row>
    <row r="9" spans="1:74" ht="11.1" customHeight="1" x14ac:dyDescent="0.2">
      <c r="A9" s="119" t="s">
        <v>634</v>
      </c>
      <c r="B9" s="204" t="s">
        <v>446</v>
      </c>
      <c r="C9" s="213">
        <v>10.341453465000001</v>
      </c>
      <c r="D9" s="213">
        <v>10.585878184</v>
      </c>
      <c r="E9" s="213">
        <v>11.20682905</v>
      </c>
      <c r="F9" s="213">
        <v>11.590808300000001</v>
      </c>
      <c r="G9" s="213">
        <v>12.521827582</v>
      </c>
      <c r="H9" s="213">
        <v>12.804921498000001</v>
      </c>
      <c r="I9" s="213">
        <v>12.845141226999999</v>
      </c>
      <c r="J9" s="213">
        <v>12.895724953</v>
      </c>
      <c r="K9" s="213">
        <v>12.445257727</v>
      </c>
      <c r="L9" s="213">
        <v>11.815322735000001</v>
      </c>
      <c r="M9" s="213">
        <v>11.858099068</v>
      </c>
      <c r="N9" s="213">
        <v>10.647080198999999</v>
      </c>
      <c r="O9" s="213">
        <v>10.503811526</v>
      </c>
      <c r="P9" s="213">
        <v>11.140127272000001</v>
      </c>
      <c r="Q9" s="213">
        <v>11.444019948999999</v>
      </c>
      <c r="R9" s="213">
        <v>11.980728029</v>
      </c>
      <c r="S9" s="213">
        <v>12.814817816</v>
      </c>
      <c r="T9" s="213">
        <v>13.411795587</v>
      </c>
      <c r="U9" s="213">
        <v>13.444260597</v>
      </c>
      <c r="V9" s="213">
        <v>13.371123036</v>
      </c>
      <c r="W9" s="213">
        <v>12.729834866999999</v>
      </c>
      <c r="X9" s="213">
        <v>12.030159735</v>
      </c>
      <c r="Y9" s="213">
        <v>11.620320553999999</v>
      </c>
      <c r="Z9" s="213">
        <v>11.096976761000001</v>
      </c>
      <c r="AA9" s="213">
        <v>10.483565192</v>
      </c>
      <c r="AB9" s="213">
        <v>10.919799646</v>
      </c>
      <c r="AC9" s="213">
        <v>11.437563473999999</v>
      </c>
      <c r="AD9" s="213">
        <v>11.560813058999999</v>
      </c>
      <c r="AE9" s="213">
        <v>12.812961222</v>
      </c>
      <c r="AF9" s="213">
        <v>13.267116475</v>
      </c>
      <c r="AG9" s="213">
        <v>13.409768207999999</v>
      </c>
      <c r="AH9" s="213">
        <v>13.283885761000001</v>
      </c>
      <c r="AI9" s="213">
        <v>12.517236308999999</v>
      </c>
      <c r="AJ9" s="213">
        <v>12.090155189000001</v>
      </c>
      <c r="AK9" s="213">
        <v>11.418304754999999</v>
      </c>
      <c r="AL9" s="213">
        <v>10.808431783</v>
      </c>
      <c r="AM9" s="213">
        <v>10.512056932</v>
      </c>
      <c r="AN9" s="213">
        <v>10.659299476999999</v>
      </c>
      <c r="AO9" s="213">
        <v>10.988593270000001</v>
      </c>
      <c r="AP9" s="213">
        <v>12.034962391000001</v>
      </c>
      <c r="AQ9" s="213">
        <v>12.906801457</v>
      </c>
      <c r="AR9" s="213">
        <v>13.286950098</v>
      </c>
      <c r="AS9" s="213">
        <v>13.087196351999999</v>
      </c>
      <c r="AT9" s="213">
        <v>13.141795494</v>
      </c>
      <c r="AU9" s="213">
        <v>12.492313821</v>
      </c>
      <c r="AV9" s="213">
        <v>11.797311436999999</v>
      </c>
      <c r="AW9" s="213">
        <v>11.222276915</v>
      </c>
      <c r="AX9" s="213">
        <v>10.824929126000001</v>
      </c>
      <c r="AY9" s="213">
        <v>10.754052631</v>
      </c>
      <c r="AZ9" s="213">
        <v>10.890970596000001</v>
      </c>
      <c r="BA9" s="213">
        <v>11.383682728</v>
      </c>
      <c r="BB9" s="213">
        <v>11.753332773</v>
      </c>
      <c r="BC9" s="213">
        <v>12.9</v>
      </c>
      <c r="BD9" s="213">
        <v>12.99</v>
      </c>
      <c r="BE9" s="213">
        <v>12.9192</v>
      </c>
      <c r="BF9" s="213">
        <v>13.101430000000001</v>
      </c>
      <c r="BG9" s="351">
        <v>12.87862</v>
      </c>
      <c r="BH9" s="351">
        <v>12.16047</v>
      </c>
      <c r="BI9" s="351">
        <v>11.52464</v>
      </c>
      <c r="BJ9" s="351">
        <v>11.05048</v>
      </c>
      <c r="BK9" s="351">
        <v>10.88611</v>
      </c>
      <c r="BL9" s="351">
        <v>11.065939999999999</v>
      </c>
      <c r="BM9" s="351">
        <v>11.585050000000001</v>
      </c>
      <c r="BN9" s="351">
        <v>11.816039999999999</v>
      </c>
      <c r="BO9" s="351">
        <v>12.738099999999999</v>
      </c>
      <c r="BP9" s="351">
        <v>12.98551</v>
      </c>
      <c r="BQ9" s="351">
        <v>12.96358</v>
      </c>
      <c r="BR9" s="351">
        <v>12.983029999999999</v>
      </c>
      <c r="BS9" s="351">
        <v>12.823259999999999</v>
      </c>
      <c r="BT9" s="351">
        <v>12.02955</v>
      </c>
      <c r="BU9" s="351">
        <v>11.396520000000001</v>
      </c>
      <c r="BV9" s="351">
        <v>10.86665</v>
      </c>
    </row>
    <row r="10" spans="1:74" ht="11.1" customHeight="1" x14ac:dyDescent="0.2">
      <c r="A10" s="119" t="s">
        <v>635</v>
      </c>
      <c r="B10" s="204" t="s">
        <v>447</v>
      </c>
      <c r="C10" s="213">
        <v>11.155829730000001</v>
      </c>
      <c r="D10" s="213">
        <v>11.238329437999999</v>
      </c>
      <c r="E10" s="213">
        <v>11.62820818</v>
      </c>
      <c r="F10" s="213">
        <v>11.659169202999999</v>
      </c>
      <c r="G10" s="213">
        <v>11.562067196999999</v>
      </c>
      <c r="H10" s="213">
        <v>11.825967796</v>
      </c>
      <c r="I10" s="213">
        <v>11.715535855000001</v>
      </c>
      <c r="J10" s="213">
        <v>11.834083416</v>
      </c>
      <c r="K10" s="213">
        <v>11.755506294</v>
      </c>
      <c r="L10" s="213">
        <v>11.600172415999999</v>
      </c>
      <c r="M10" s="213">
        <v>11.570605533</v>
      </c>
      <c r="N10" s="213">
        <v>11.099097785</v>
      </c>
      <c r="O10" s="213">
        <v>11.329036073999999</v>
      </c>
      <c r="P10" s="213">
        <v>11.81706593</v>
      </c>
      <c r="Q10" s="213">
        <v>11.821175322</v>
      </c>
      <c r="R10" s="213">
        <v>11.900917949</v>
      </c>
      <c r="S10" s="213">
        <v>11.88605158</v>
      </c>
      <c r="T10" s="213">
        <v>12.119418995</v>
      </c>
      <c r="U10" s="213">
        <v>12.043915505999999</v>
      </c>
      <c r="V10" s="213">
        <v>12.100600499</v>
      </c>
      <c r="W10" s="213">
        <v>12.232578758000001</v>
      </c>
      <c r="X10" s="213">
        <v>12.022555274</v>
      </c>
      <c r="Y10" s="213">
        <v>11.704915502</v>
      </c>
      <c r="Z10" s="213">
        <v>11.286184679</v>
      </c>
      <c r="AA10" s="213">
        <v>11.252927843</v>
      </c>
      <c r="AB10" s="213">
        <v>11.787202859000001</v>
      </c>
      <c r="AC10" s="213">
        <v>11.727303354</v>
      </c>
      <c r="AD10" s="213">
        <v>11.843931009</v>
      </c>
      <c r="AE10" s="213">
        <v>11.8495051</v>
      </c>
      <c r="AF10" s="213">
        <v>11.954259997999999</v>
      </c>
      <c r="AG10" s="213">
        <v>11.946398292</v>
      </c>
      <c r="AH10" s="213">
        <v>11.710714422000001</v>
      </c>
      <c r="AI10" s="213">
        <v>11.851543940999999</v>
      </c>
      <c r="AJ10" s="213">
        <v>11.839015760000001</v>
      </c>
      <c r="AK10" s="213">
        <v>11.668435533</v>
      </c>
      <c r="AL10" s="213">
        <v>11.082718398000001</v>
      </c>
      <c r="AM10" s="213">
        <v>11.522602216999999</v>
      </c>
      <c r="AN10" s="213">
        <v>11.740406926</v>
      </c>
      <c r="AO10" s="213">
        <v>11.876326718</v>
      </c>
      <c r="AP10" s="213">
        <v>12.276389933999999</v>
      </c>
      <c r="AQ10" s="213">
        <v>11.997529689</v>
      </c>
      <c r="AR10" s="213">
        <v>12.238653292</v>
      </c>
      <c r="AS10" s="213">
        <v>12.118332428</v>
      </c>
      <c r="AT10" s="213">
        <v>12.145452865999999</v>
      </c>
      <c r="AU10" s="213">
        <v>12.065443523000001</v>
      </c>
      <c r="AV10" s="213">
        <v>12.098564473</v>
      </c>
      <c r="AW10" s="213">
        <v>12.039330284</v>
      </c>
      <c r="AX10" s="213">
        <v>11.503985975999999</v>
      </c>
      <c r="AY10" s="213">
        <v>11.62794729</v>
      </c>
      <c r="AZ10" s="213">
        <v>11.820427068000001</v>
      </c>
      <c r="BA10" s="213">
        <v>11.966825296</v>
      </c>
      <c r="BB10" s="213">
        <v>12.058548523000001</v>
      </c>
      <c r="BC10" s="213">
        <v>11.29</v>
      </c>
      <c r="BD10" s="213">
        <v>12.03</v>
      </c>
      <c r="BE10" s="213">
        <v>11.84337</v>
      </c>
      <c r="BF10" s="213">
        <v>11.846439999999999</v>
      </c>
      <c r="BG10" s="351">
        <v>11.905139999999999</v>
      </c>
      <c r="BH10" s="351">
        <v>11.961639999999999</v>
      </c>
      <c r="BI10" s="351">
        <v>11.868639999999999</v>
      </c>
      <c r="BJ10" s="351">
        <v>11.365500000000001</v>
      </c>
      <c r="BK10" s="351">
        <v>11.35431</v>
      </c>
      <c r="BL10" s="351">
        <v>11.56705</v>
      </c>
      <c r="BM10" s="351">
        <v>11.81165</v>
      </c>
      <c r="BN10" s="351">
        <v>12.079050000000001</v>
      </c>
      <c r="BO10" s="351">
        <v>11.30476</v>
      </c>
      <c r="BP10" s="351">
        <v>12.018800000000001</v>
      </c>
      <c r="BQ10" s="351">
        <v>12.00536</v>
      </c>
      <c r="BR10" s="351">
        <v>12.0937</v>
      </c>
      <c r="BS10" s="351">
        <v>12.12712</v>
      </c>
      <c r="BT10" s="351">
        <v>12.203239999999999</v>
      </c>
      <c r="BU10" s="351">
        <v>12.1806</v>
      </c>
      <c r="BV10" s="351">
        <v>11.702579999999999</v>
      </c>
    </row>
    <row r="11" spans="1:74" ht="11.1" customHeight="1" x14ac:dyDescent="0.2">
      <c r="A11" s="119" t="s">
        <v>636</v>
      </c>
      <c r="B11" s="204" t="s">
        <v>448</v>
      </c>
      <c r="C11" s="213">
        <v>10.312938304999999</v>
      </c>
      <c r="D11" s="213">
        <v>10.252757117</v>
      </c>
      <c r="E11" s="213">
        <v>10.725501640999999</v>
      </c>
      <c r="F11" s="213">
        <v>10.999767196000001</v>
      </c>
      <c r="G11" s="213">
        <v>10.986250776</v>
      </c>
      <c r="H11" s="213">
        <v>10.961927018000001</v>
      </c>
      <c r="I11" s="213">
        <v>10.87539404</v>
      </c>
      <c r="J11" s="213">
        <v>10.948778656</v>
      </c>
      <c r="K11" s="213">
        <v>10.989837664</v>
      </c>
      <c r="L11" s="213">
        <v>11.239391501</v>
      </c>
      <c r="M11" s="213">
        <v>11.39799019</v>
      </c>
      <c r="N11" s="213">
        <v>11.000192887000001</v>
      </c>
      <c r="O11" s="213">
        <v>10.867075875999999</v>
      </c>
      <c r="P11" s="213">
        <v>11.267896342</v>
      </c>
      <c r="Q11" s="213">
        <v>11.329143932999999</v>
      </c>
      <c r="R11" s="213">
        <v>11.438765177000001</v>
      </c>
      <c r="S11" s="213">
        <v>11.536458172</v>
      </c>
      <c r="T11" s="213">
        <v>11.497201733000001</v>
      </c>
      <c r="U11" s="213">
        <v>11.328220147</v>
      </c>
      <c r="V11" s="213">
        <v>11.277028879</v>
      </c>
      <c r="W11" s="213">
        <v>11.434133607</v>
      </c>
      <c r="X11" s="213">
        <v>11.366944222000001</v>
      </c>
      <c r="Y11" s="213">
        <v>11.478339156000001</v>
      </c>
      <c r="Z11" s="213">
        <v>10.960223533000001</v>
      </c>
      <c r="AA11" s="213">
        <v>10.444112037</v>
      </c>
      <c r="AB11" s="213">
        <v>10.950284453</v>
      </c>
      <c r="AC11" s="213">
        <v>11.514426609999999</v>
      </c>
      <c r="AD11" s="213">
        <v>11.458740062</v>
      </c>
      <c r="AE11" s="213">
        <v>11.444091775</v>
      </c>
      <c r="AF11" s="213">
        <v>11.301891978</v>
      </c>
      <c r="AG11" s="213">
        <v>11.075428114999999</v>
      </c>
      <c r="AH11" s="213">
        <v>11.194187704000001</v>
      </c>
      <c r="AI11" s="213">
        <v>11.178083689999999</v>
      </c>
      <c r="AJ11" s="213">
        <v>11.276012487999999</v>
      </c>
      <c r="AK11" s="213">
        <v>11.38330373</v>
      </c>
      <c r="AL11" s="213">
        <v>10.950542305000001</v>
      </c>
      <c r="AM11" s="213">
        <v>10.950586564</v>
      </c>
      <c r="AN11" s="213">
        <v>11.146495871000001</v>
      </c>
      <c r="AO11" s="213">
        <v>11.250859483999999</v>
      </c>
      <c r="AP11" s="213">
        <v>11.765349037</v>
      </c>
      <c r="AQ11" s="213">
        <v>11.753418392</v>
      </c>
      <c r="AR11" s="213">
        <v>11.619972757999999</v>
      </c>
      <c r="AS11" s="213">
        <v>11.493880234000001</v>
      </c>
      <c r="AT11" s="213">
        <v>11.398235458</v>
      </c>
      <c r="AU11" s="213">
        <v>11.218946141</v>
      </c>
      <c r="AV11" s="213">
        <v>11.333780529</v>
      </c>
      <c r="AW11" s="213">
        <v>11.468077353</v>
      </c>
      <c r="AX11" s="213">
        <v>10.935267562</v>
      </c>
      <c r="AY11" s="213">
        <v>11.268102690999999</v>
      </c>
      <c r="AZ11" s="213">
        <v>11.088761377999999</v>
      </c>
      <c r="BA11" s="213">
        <v>11.405274228</v>
      </c>
      <c r="BB11" s="213">
        <v>11.569296339999999</v>
      </c>
      <c r="BC11" s="213">
        <v>11.62</v>
      </c>
      <c r="BD11" s="213">
        <v>11.52</v>
      </c>
      <c r="BE11" s="213">
        <v>11.298579999999999</v>
      </c>
      <c r="BF11" s="213">
        <v>11.205880000000001</v>
      </c>
      <c r="BG11" s="351">
        <v>11.287459999999999</v>
      </c>
      <c r="BH11" s="351">
        <v>11.397959999999999</v>
      </c>
      <c r="BI11" s="351">
        <v>11.473229999999999</v>
      </c>
      <c r="BJ11" s="351">
        <v>10.933490000000001</v>
      </c>
      <c r="BK11" s="351">
        <v>11.05297</v>
      </c>
      <c r="BL11" s="351">
        <v>10.98474</v>
      </c>
      <c r="BM11" s="351">
        <v>11.37917</v>
      </c>
      <c r="BN11" s="351">
        <v>11.643179999999999</v>
      </c>
      <c r="BO11" s="351">
        <v>11.73025</v>
      </c>
      <c r="BP11" s="351">
        <v>11.588340000000001</v>
      </c>
      <c r="BQ11" s="351">
        <v>11.5184</v>
      </c>
      <c r="BR11" s="351">
        <v>11.48394</v>
      </c>
      <c r="BS11" s="351">
        <v>11.541840000000001</v>
      </c>
      <c r="BT11" s="351">
        <v>11.689399999999999</v>
      </c>
      <c r="BU11" s="351">
        <v>11.786849999999999</v>
      </c>
      <c r="BV11" s="351">
        <v>11.21993</v>
      </c>
    </row>
    <row r="12" spans="1:74" ht="11.1" customHeight="1" x14ac:dyDescent="0.2">
      <c r="A12" s="119" t="s">
        <v>637</v>
      </c>
      <c r="B12" s="204" t="s">
        <v>449</v>
      </c>
      <c r="C12" s="213">
        <v>10.115803744000001</v>
      </c>
      <c r="D12" s="213">
        <v>10.336409078999999</v>
      </c>
      <c r="E12" s="213">
        <v>10.702720475</v>
      </c>
      <c r="F12" s="213">
        <v>10.880286642</v>
      </c>
      <c r="G12" s="213">
        <v>10.788608013999999</v>
      </c>
      <c r="H12" s="213">
        <v>10.566501507</v>
      </c>
      <c r="I12" s="213">
        <v>10.499817602</v>
      </c>
      <c r="J12" s="213">
        <v>10.672528342</v>
      </c>
      <c r="K12" s="213">
        <v>10.877101908</v>
      </c>
      <c r="L12" s="213">
        <v>10.715967607</v>
      </c>
      <c r="M12" s="213">
        <v>10.6135245</v>
      </c>
      <c r="N12" s="213">
        <v>10.351954162</v>
      </c>
      <c r="O12" s="213">
        <v>10.022071148</v>
      </c>
      <c r="P12" s="213">
        <v>10.838658970999999</v>
      </c>
      <c r="Q12" s="213">
        <v>10.757809042</v>
      </c>
      <c r="R12" s="213">
        <v>10.909416731</v>
      </c>
      <c r="S12" s="213">
        <v>10.869787800999999</v>
      </c>
      <c r="T12" s="213">
        <v>10.903699827000001</v>
      </c>
      <c r="U12" s="213">
        <v>10.726499499999999</v>
      </c>
      <c r="V12" s="213">
        <v>10.788303302999999</v>
      </c>
      <c r="W12" s="213">
        <v>10.946035588000001</v>
      </c>
      <c r="X12" s="213">
        <v>10.853929279000001</v>
      </c>
      <c r="Y12" s="213">
        <v>10.866695483000001</v>
      </c>
      <c r="Z12" s="213">
        <v>10.377400337999999</v>
      </c>
      <c r="AA12" s="213">
        <v>10.089650592</v>
      </c>
      <c r="AB12" s="213">
        <v>10.4364724</v>
      </c>
      <c r="AC12" s="213">
        <v>11.059155568</v>
      </c>
      <c r="AD12" s="213">
        <v>11.071343991000001</v>
      </c>
      <c r="AE12" s="213">
        <v>10.909535643</v>
      </c>
      <c r="AF12" s="213">
        <v>10.864133315</v>
      </c>
      <c r="AG12" s="213">
        <v>10.778603558</v>
      </c>
      <c r="AH12" s="213">
        <v>10.960922376999999</v>
      </c>
      <c r="AI12" s="213">
        <v>10.979771712</v>
      </c>
      <c r="AJ12" s="213">
        <v>10.976830383999999</v>
      </c>
      <c r="AK12" s="213">
        <v>10.949073199000001</v>
      </c>
      <c r="AL12" s="213">
        <v>10.353378274000001</v>
      </c>
      <c r="AM12" s="213">
        <v>10.718398573</v>
      </c>
      <c r="AN12" s="213">
        <v>10.938368726</v>
      </c>
      <c r="AO12" s="213">
        <v>11.014326777000001</v>
      </c>
      <c r="AP12" s="213">
        <v>11.553167669</v>
      </c>
      <c r="AQ12" s="213">
        <v>11.60121172</v>
      </c>
      <c r="AR12" s="213">
        <v>11.389518396</v>
      </c>
      <c r="AS12" s="213">
        <v>11.321675703</v>
      </c>
      <c r="AT12" s="213">
        <v>11.353327234</v>
      </c>
      <c r="AU12" s="213">
        <v>11.394034008</v>
      </c>
      <c r="AV12" s="213">
        <v>11.439978405</v>
      </c>
      <c r="AW12" s="213">
        <v>11.325262188</v>
      </c>
      <c r="AX12" s="213">
        <v>10.913868215999999</v>
      </c>
      <c r="AY12" s="213">
        <v>10.872748828000001</v>
      </c>
      <c r="AZ12" s="213">
        <v>11.051695486</v>
      </c>
      <c r="BA12" s="213">
        <v>11.242284235</v>
      </c>
      <c r="BB12" s="213">
        <v>11.529640275</v>
      </c>
      <c r="BC12" s="213">
        <v>11.36</v>
      </c>
      <c r="BD12" s="213">
        <v>11.38</v>
      </c>
      <c r="BE12" s="213">
        <v>11.15588</v>
      </c>
      <c r="BF12" s="213">
        <v>11.174950000000001</v>
      </c>
      <c r="BG12" s="351">
        <v>11.313599999999999</v>
      </c>
      <c r="BH12" s="351">
        <v>11.18553</v>
      </c>
      <c r="BI12" s="351">
        <v>10.962859999999999</v>
      </c>
      <c r="BJ12" s="351">
        <v>10.57342</v>
      </c>
      <c r="BK12" s="351">
        <v>10.46885</v>
      </c>
      <c r="BL12" s="351">
        <v>10.79172</v>
      </c>
      <c r="BM12" s="351">
        <v>11.07981</v>
      </c>
      <c r="BN12" s="351">
        <v>11.39706</v>
      </c>
      <c r="BO12" s="351">
        <v>11.25095</v>
      </c>
      <c r="BP12" s="351">
        <v>11.33389</v>
      </c>
      <c r="BQ12" s="351">
        <v>11.249320000000001</v>
      </c>
      <c r="BR12" s="351">
        <v>11.353350000000001</v>
      </c>
      <c r="BS12" s="351">
        <v>11.55326</v>
      </c>
      <c r="BT12" s="351">
        <v>11.49671</v>
      </c>
      <c r="BU12" s="351">
        <v>11.272019999999999</v>
      </c>
      <c r="BV12" s="351">
        <v>10.856809999999999</v>
      </c>
    </row>
    <row r="13" spans="1:74" ht="11.1" customHeight="1" x14ac:dyDescent="0.2">
      <c r="A13" s="119" t="s">
        <v>638</v>
      </c>
      <c r="B13" s="204" t="s">
        <v>450</v>
      </c>
      <c r="C13" s="213">
        <v>10.768941576</v>
      </c>
      <c r="D13" s="213">
        <v>11.088484705000001</v>
      </c>
      <c r="E13" s="213">
        <v>11.260212372</v>
      </c>
      <c r="F13" s="213">
        <v>11.559180845</v>
      </c>
      <c r="G13" s="213">
        <v>11.931975229000001</v>
      </c>
      <c r="H13" s="213">
        <v>12.008306489000001</v>
      </c>
      <c r="I13" s="213">
        <v>12.049980953</v>
      </c>
      <c r="J13" s="213">
        <v>12.052815152999999</v>
      </c>
      <c r="K13" s="213">
        <v>12.168520641000001</v>
      </c>
      <c r="L13" s="213">
        <v>11.780031687999999</v>
      </c>
      <c r="M13" s="213">
        <v>11.484839016</v>
      </c>
      <c r="N13" s="213">
        <v>11.078975569000001</v>
      </c>
      <c r="O13" s="213">
        <v>10.988863376999999</v>
      </c>
      <c r="P13" s="213">
        <v>11.339483158</v>
      </c>
      <c r="Q13" s="213">
        <v>11.462883203000001</v>
      </c>
      <c r="R13" s="213">
        <v>11.776318321</v>
      </c>
      <c r="S13" s="213">
        <v>12.131615700999999</v>
      </c>
      <c r="T13" s="213">
        <v>12.295920650999999</v>
      </c>
      <c r="U13" s="213">
        <v>12.236486874000001</v>
      </c>
      <c r="V13" s="213">
        <v>12.201743387</v>
      </c>
      <c r="W13" s="213">
        <v>12.344564981</v>
      </c>
      <c r="X13" s="213">
        <v>12.105340982</v>
      </c>
      <c r="Y13" s="213">
        <v>11.733720214</v>
      </c>
      <c r="Z13" s="213">
        <v>11.542582276999999</v>
      </c>
      <c r="AA13" s="213">
        <v>11.470777977999999</v>
      </c>
      <c r="AB13" s="213">
        <v>11.510565667</v>
      </c>
      <c r="AC13" s="213">
        <v>11.619365117999999</v>
      </c>
      <c r="AD13" s="213">
        <v>12.007489179</v>
      </c>
      <c r="AE13" s="213">
        <v>12.202160852</v>
      </c>
      <c r="AF13" s="213">
        <v>12.273961566000001</v>
      </c>
      <c r="AG13" s="213">
        <v>12.173097921</v>
      </c>
      <c r="AH13" s="213">
        <v>12.164706759</v>
      </c>
      <c r="AI13" s="213">
        <v>12.201798784999999</v>
      </c>
      <c r="AJ13" s="213">
        <v>12.142934629999999</v>
      </c>
      <c r="AK13" s="213">
        <v>11.628877922999999</v>
      </c>
      <c r="AL13" s="213">
        <v>11.423110206</v>
      </c>
      <c r="AM13" s="213">
        <v>11.457865063</v>
      </c>
      <c r="AN13" s="213">
        <v>11.477800135000001</v>
      </c>
      <c r="AO13" s="213">
        <v>11.608731130000001</v>
      </c>
      <c r="AP13" s="213">
        <v>11.979428877</v>
      </c>
      <c r="AQ13" s="213">
        <v>12.201430161999999</v>
      </c>
      <c r="AR13" s="213">
        <v>12.305603416</v>
      </c>
      <c r="AS13" s="213">
        <v>12.288686973000001</v>
      </c>
      <c r="AT13" s="213">
        <v>12.179047894</v>
      </c>
      <c r="AU13" s="213">
        <v>12.211271461999999</v>
      </c>
      <c r="AV13" s="213">
        <v>12.028963374</v>
      </c>
      <c r="AW13" s="213">
        <v>11.495563597</v>
      </c>
      <c r="AX13" s="213">
        <v>11.282553329000001</v>
      </c>
      <c r="AY13" s="213">
        <v>11.322122554</v>
      </c>
      <c r="AZ13" s="213">
        <v>11.405736999</v>
      </c>
      <c r="BA13" s="213">
        <v>11.560786275</v>
      </c>
      <c r="BB13" s="213">
        <v>11.825506406000001</v>
      </c>
      <c r="BC13" s="213">
        <v>12.05</v>
      </c>
      <c r="BD13" s="213">
        <v>12.27</v>
      </c>
      <c r="BE13" s="213">
        <v>12.230230000000001</v>
      </c>
      <c r="BF13" s="213">
        <v>12.125170000000001</v>
      </c>
      <c r="BG13" s="351">
        <v>12.16427</v>
      </c>
      <c r="BH13" s="351">
        <v>11.968360000000001</v>
      </c>
      <c r="BI13" s="351">
        <v>11.429740000000001</v>
      </c>
      <c r="BJ13" s="351">
        <v>11.21678</v>
      </c>
      <c r="BK13" s="351">
        <v>11.260630000000001</v>
      </c>
      <c r="BL13" s="351">
        <v>11.35345</v>
      </c>
      <c r="BM13" s="351">
        <v>11.54945</v>
      </c>
      <c r="BN13" s="351">
        <v>11.83764</v>
      </c>
      <c r="BO13" s="351">
        <v>12.079140000000001</v>
      </c>
      <c r="BP13" s="351">
        <v>12.323370000000001</v>
      </c>
      <c r="BQ13" s="351">
        <v>12.32025</v>
      </c>
      <c r="BR13" s="351">
        <v>12.238860000000001</v>
      </c>
      <c r="BS13" s="351">
        <v>12.2842</v>
      </c>
      <c r="BT13" s="351">
        <v>12.102410000000001</v>
      </c>
      <c r="BU13" s="351">
        <v>11.572609999999999</v>
      </c>
      <c r="BV13" s="351">
        <v>11.37096</v>
      </c>
    </row>
    <row r="14" spans="1:74" ht="11.1" customHeight="1" x14ac:dyDescent="0.2">
      <c r="A14" s="119" t="s">
        <v>639</v>
      </c>
      <c r="B14" s="206" t="s">
        <v>451</v>
      </c>
      <c r="C14" s="213">
        <v>14.176439116999999</v>
      </c>
      <c r="D14" s="213">
        <v>14.168701946000001</v>
      </c>
      <c r="E14" s="213">
        <v>14.222365976000001</v>
      </c>
      <c r="F14" s="213">
        <v>11.413678592</v>
      </c>
      <c r="G14" s="213">
        <v>14.882310858</v>
      </c>
      <c r="H14" s="213">
        <v>15.509237743</v>
      </c>
      <c r="I14" s="213">
        <v>15.981137624</v>
      </c>
      <c r="J14" s="213">
        <v>16.406461673999999</v>
      </c>
      <c r="K14" s="213">
        <v>15.920196214000001</v>
      </c>
      <c r="L14" s="213">
        <v>12.561365194</v>
      </c>
      <c r="M14" s="213">
        <v>14.698629638</v>
      </c>
      <c r="N14" s="213">
        <v>14.178093766</v>
      </c>
      <c r="O14" s="213">
        <v>14.206419012</v>
      </c>
      <c r="P14" s="213">
        <v>14.61209757</v>
      </c>
      <c r="Q14" s="213">
        <v>14.918292763</v>
      </c>
      <c r="R14" s="213">
        <v>12.347768383</v>
      </c>
      <c r="S14" s="213">
        <v>15.124602486000001</v>
      </c>
      <c r="T14" s="213">
        <v>16.324649470000001</v>
      </c>
      <c r="U14" s="213">
        <v>16.135236136</v>
      </c>
      <c r="V14" s="213">
        <v>16.576158142000001</v>
      </c>
      <c r="W14" s="213">
        <v>16.776609683</v>
      </c>
      <c r="X14" s="213">
        <v>13.59891573</v>
      </c>
      <c r="Y14" s="213">
        <v>14.965936228</v>
      </c>
      <c r="Z14" s="213">
        <v>14.452766863000001</v>
      </c>
      <c r="AA14" s="213">
        <v>14.947870658999999</v>
      </c>
      <c r="AB14" s="213">
        <v>14.853458203000001</v>
      </c>
      <c r="AC14" s="213">
        <v>15.015295179000001</v>
      </c>
      <c r="AD14" s="213">
        <v>13.48293464</v>
      </c>
      <c r="AE14" s="213">
        <v>15.824785822999999</v>
      </c>
      <c r="AF14" s="213">
        <v>16.585565893999998</v>
      </c>
      <c r="AG14" s="213">
        <v>16.858564774000001</v>
      </c>
      <c r="AH14" s="213">
        <v>17.510996889000001</v>
      </c>
      <c r="AI14" s="213">
        <v>16.467030239</v>
      </c>
      <c r="AJ14" s="213">
        <v>13.795332325</v>
      </c>
      <c r="AK14" s="213">
        <v>15.328844986</v>
      </c>
      <c r="AL14" s="213">
        <v>15.087805781</v>
      </c>
      <c r="AM14" s="213">
        <v>14.661457072999999</v>
      </c>
      <c r="AN14" s="213">
        <v>14.993726528</v>
      </c>
      <c r="AO14" s="213">
        <v>14.964797451000001</v>
      </c>
      <c r="AP14" s="213">
        <v>14.529754066000001</v>
      </c>
      <c r="AQ14" s="213">
        <v>15.814122268</v>
      </c>
      <c r="AR14" s="213">
        <v>17.205767427000001</v>
      </c>
      <c r="AS14" s="213">
        <v>17.029481285999999</v>
      </c>
      <c r="AT14" s="213">
        <v>17.217752228999998</v>
      </c>
      <c r="AU14" s="213">
        <v>17.706206479999999</v>
      </c>
      <c r="AV14" s="213">
        <v>13.183382196</v>
      </c>
      <c r="AW14" s="213">
        <v>15.532258805</v>
      </c>
      <c r="AX14" s="213">
        <v>15.173364459</v>
      </c>
      <c r="AY14" s="213">
        <v>15.566191883</v>
      </c>
      <c r="AZ14" s="213">
        <v>15.880408794999999</v>
      </c>
      <c r="BA14" s="213">
        <v>15.654875449</v>
      </c>
      <c r="BB14" s="213">
        <v>15.874897369999999</v>
      </c>
      <c r="BC14" s="213">
        <v>15.86</v>
      </c>
      <c r="BD14" s="213">
        <v>16.75</v>
      </c>
      <c r="BE14" s="213">
        <v>17.757940000000001</v>
      </c>
      <c r="BF14" s="213">
        <v>18.06317</v>
      </c>
      <c r="BG14" s="351">
        <v>18.637360000000001</v>
      </c>
      <c r="BH14" s="351">
        <v>13.310359999999999</v>
      </c>
      <c r="BI14" s="351">
        <v>16.325869999999998</v>
      </c>
      <c r="BJ14" s="351">
        <v>15.80509</v>
      </c>
      <c r="BK14" s="351">
        <v>16.184519999999999</v>
      </c>
      <c r="BL14" s="351">
        <v>16.483560000000001</v>
      </c>
      <c r="BM14" s="351">
        <v>16.203800000000001</v>
      </c>
      <c r="BN14" s="351">
        <v>17.314419999999998</v>
      </c>
      <c r="BO14" s="351">
        <v>16.443989999999999</v>
      </c>
      <c r="BP14" s="351">
        <v>17.309830000000002</v>
      </c>
      <c r="BQ14" s="351">
        <v>18.36712</v>
      </c>
      <c r="BR14" s="351">
        <v>18.577909999999999</v>
      </c>
      <c r="BS14" s="351">
        <v>19.177399999999999</v>
      </c>
      <c r="BT14" s="351">
        <v>13.24236</v>
      </c>
      <c r="BU14" s="351">
        <v>16.875910000000001</v>
      </c>
      <c r="BV14" s="351">
        <v>16.342970000000001</v>
      </c>
    </row>
    <row r="15" spans="1:74" ht="11.1" customHeight="1" x14ac:dyDescent="0.2">
      <c r="A15" s="119" t="s">
        <v>640</v>
      </c>
      <c r="B15" s="206" t="s">
        <v>425</v>
      </c>
      <c r="C15" s="213">
        <v>11.99</v>
      </c>
      <c r="D15" s="213">
        <v>12.14</v>
      </c>
      <c r="E15" s="213">
        <v>12.56</v>
      </c>
      <c r="F15" s="213">
        <v>12.43</v>
      </c>
      <c r="G15" s="213">
        <v>12.79</v>
      </c>
      <c r="H15" s="213">
        <v>12.73</v>
      </c>
      <c r="I15" s="213">
        <v>12.68</v>
      </c>
      <c r="J15" s="213">
        <v>12.88</v>
      </c>
      <c r="K15" s="213">
        <v>12.87</v>
      </c>
      <c r="L15" s="213">
        <v>12.46</v>
      </c>
      <c r="M15" s="213">
        <v>12.75</v>
      </c>
      <c r="N15" s="213">
        <v>12.23</v>
      </c>
      <c r="O15" s="213">
        <v>12.21</v>
      </c>
      <c r="P15" s="213">
        <v>12.79</v>
      </c>
      <c r="Q15" s="213">
        <v>12.89</v>
      </c>
      <c r="R15" s="213">
        <v>12.72</v>
      </c>
      <c r="S15" s="213">
        <v>13.07</v>
      </c>
      <c r="T15" s="213">
        <v>13.2</v>
      </c>
      <c r="U15" s="213">
        <v>13.08</v>
      </c>
      <c r="V15" s="213">
        <v>13.15</v>
      </c>
      <c r="W15" s="213">
        <v>13.28</v>
      </c>
      <c r="X15" s="213">
        <v>12.8</v>
      </c>
      <c r="Y15" s="213">
        <v>12.94</v>
      </c>
      <c r="Z15" s="213">
        <v>12.45</v>
      </c>
      <c r="AA15" s="213">
        <v>12.22</v>
      </c>
      <c r="AB15" s="213">
        <v>12.63</v>
      </c>
      <c r="AC15" s="213">
        <v>12.97</v>
      </c>
      <c r="AD15" s="213">
        <v>12.88</v>
      </c>
      <c r="AE15" s="213">
        <v>13.12</v>
      </c>
      <c r="AF15" s="213">
        <v>13.03</v>
      </c>
      <c r="AG15" s="213">
        <v>13.13</v>
      </c>
      <c r="AH15" s="213">
        <v>13.26</v>
      </c>
      <c r="AI15" s="213">
        <v>13.01</v>
      </c>
      <c r="AJ15" s="213">
        <v>12.85</v>
      </c>
      <c r="AK15" s="213">
        <v>12.9</v>
      </c>
      <c r="AL15" s="213">
        <v>12.43</v>
      </c>
      <c r="AM15" s="213">
        <v>12.48</v>
      </c>
      <c r="AN15" s="213">
        <v>12.73</v>
      </c>
      <c r="AO15" s="213">
        <v>12.86</v>
      </c>
      <c r="AP15" s="213">
        <v>13.29</v>
      </c>
      <c r="AQ15" s="213">
        <v>13.34</v>
      </c>
      <c r="AR15" s="213">
        <v>13.36</v>
      </c>
      <c r="AS15" s="213">
        <v>13.29</v>
      </c>
      <c r="AT15" s="213">
        <v>13.33</v>
      </c>
      <c r="AU15" s="213">
        <v>13.18</v>
      </c>
      <c r="AV15" s="213">
        <v>12.84</v>
      </c>
      <c r="AW15" s="213">
        <v>13.04</v>
      </c>
      <c r="AX15" s="213">
        <v>12.69</v>
      </c>
      <c r="AY15" s="213">
        <v>12.79</v>
      </c>
      <c r="AZ15" s="213">
        <v>12.85</v>
      </c>
      <c r="BA15" s="213">
        <v>13.08</v>
      </c>
      <c r="BB15" s="213">
        <v>13.28</v>
      </c>
      <c r="BC15" s="213">
        <v>13.14</v>
      </c>
      <c r="BD15" s="213">
        <v>13.28</v>
      </c>
      <c r="BE15" s="213">
        <v>13.18318</v>
      </c>
      <c r="BF15" s="213">
        <v>13.26825</v>
      </c>
      <c r="BG15" s="351">
        <v>13.363340000000001</v>
      </c>
      <c r="BH15" s="351">
        <v>12.818809999999999</v>
      </c>
      <c r="BI15" s="351">
        <v>13.07624</v>
      </c>
      <c r="BJ15" s="351">
        <v>12.66483</v>
      </c>
      <c r="BK15" s="351">
        <v>12.66208</v>
      </c>
      <c r="BL15" s="351">
        <v>12.810890000000001</v>
      </c>
      <c r="BM15" s="351">
        <v>13.11731</v>
      </c>
      <c r="BN15" s="351">
        <v>13.478820000000001</v>
      </c>
      <c r="BO15" s="351">
        <v>13.245089999999999</v>
      </c>
      <c r="BP15" s="351">
        <v>13.36896</v>
      </c>
      <c r="BQ15" s="351">
        <v>13.391489999999999</v>
      </c>
      <c r="BR15" s="351">
        <v>13.492649999999999</v>
      </c>
      <c r="BS15" s="351">
        <v>13.61229</v>
      </c>
      <c r="BT15" s="351">
        <v>13.06284</v>
      </c>
      <c r="BU15" s="351">
        <v>13.409319999999999</v>
      </c>
      <c r="BV15" s="351">
        <v>12.98724</v>
      </c>
    </row>
    <row r="16" spans="1:74" ht="11.1" customHeight="1" x14ac:dyDescent="0.2">
      <c r="A16" s="119"/>
      <c r="B16" s="122" t="s">
        <v>10</v>
      </c>
      <c r="C16" s="483"/>
      <c r="D16" s="483"/>
      <c r="E16" s="483"/>
      <c r="F16" s="483"/>
      <c r="G16" s="483"/>
      <c r="H16" s="483"/>
      <c r="I16" s="483"/>
      <c r="J16" s="483"/>
      <c r="K16" s="483"/>
      <c r="L16" s="483"/>
      <c r="M16" s="483"/>
      <c r="N16" s="483"/>
      <c r="O16" s="483"/>
      <c r="P16" s="483"/>
      <c r="Q16" s="483"/>
      <c r="R16" s="483"/>
      <c r="S16" s="483"/>
      <c r="T16" s="483"/>
      <c r="U16" s="483"/>
      <c r="V16" s="483"/>
      <c r="W16" s="483"/>
      <c r="X16" s="483"/>
      <c r="Y16" s="483"/>
      <c r="Z16" s="483"/>
      <c r="AA16" s="483"/>
      <c r="AB16" s="483"/>
      <c r="AC16" s="483"/>
      <c r="AD16" s="483"/>
      <c r="AE16" s="483"/>
      <c r="AF16" s="483"/>
      <c r="AG16" s="483"/>
      <c r="AH16" s="483"/>
      <c r="AI16" s="483"/>
      <c r="AJ16" s="483"/>
      <c r="AK16" s="483"/>
      <c r="AL16" s="483"/>
      <c r="AM16" s="483"/>
      <c r="AN16" s="483"/>
      <c r="AO16" s="483"/>
      <c r="AP16" s="483"/>
      <c r="AQ16" s="483"/>
      <c r="AR16" s="483"/>
      <c r="AS16" s="483"/>
      <c r="AT16" s="483"/>
      <c r="AU16" s="483"/>
      <c r="AV16" s="483"/>
      <c r="AW16" s="483"/>
      <c r="AX16" s="483"/>
      <c r="AY16" s="483"/>
      <c r="AZ16" s="483"/>
      <c r="BA16" s="483"/>
      <c r="BB16" s="483"/>
      <c r="BC16" s="483"/>
      <c r="BD16" s="483"/>
      <c r="BE16" s="483"/>
      <c r="BF16" s="483"/>
      <c r="BG16" s="484"/>
      <c r="BH16" s="484"/>
      <c r="BI16" s="484"/>
      <c r="BJ16" s="484"/>
      <c r="BK16" s="484"/>
      <c r="BL16" s="484"/>
      <c r="BM16" s="484"/>
      <c r="BN16" s="484"/>
      <c r="BO16" s="484"/>
      <c r="BP16" s="484"/>
      <c r="BQ16" s="484"/>
      <c r="BR16" s="484"/>
      <c r="BS16" s="484"/>
      <c r="BT16" s="484"/>
      <c r="BU16" s="484"/>
      <c r="BV16" s="484"/>
    </row>
    <row r="17" spans="1:74" ht="11.1" customHeight="1" x14ac:dyDescent="0.2">
      <c r="A17" s="119" t="s">
        <v>641</v>
      </c>
      <c r="B17" s="204" t="s">
        <v>444</v>
      </c>
      <c r="C17" s="213">
        <v>15.104742558</v>
      </c>
      <c r="D17" s="213">
        <v>15.602033486</v>
      </c>
      <c r="E17" s="213">
        <v>15.331411805</v>
      </c>
      <c r="F17" s="213">
        <v>15.181022395999999</v>
      </c>
      <c r="G17" s="213">
        <v>14.942792387000001</v>
      </c>
      <c r="H17" s="213">
        <v>15.159099721</v>
      </c>
      <c r="I17" s="213">
        <v>15.152492327999999</v>
      </c>
      <c r="J17" s="213">
        <v>15.177783594999999</v>
      </c>
      <c r="K17" s="213">
        <v>15.471025470000001</v>
      </c>
      <c r="L17" s="213">
        <v>15.39705715</v>
      </c>
      <c r="M17" s="213">
        <v>14.910925379</v>
      </c>
      <c r="N17" s="213">
        <v>14.693993809</v>
      </c>
      <c r="O17" s="213">
        <v>15.156987846</v>
      </c>
      <c r="P17" s="213">
        <v>15.563060744</v>
      </c>
      <c r="Q17" s="213">
        <v>14.981477511</v>
      </c>
      <c r="R17" s="213">
        <v>15.138973014999999</v>
      </c>
      <c r="S17" s="213">
        <v>14.938683792000001</v>
      </c>
      <c r="T17" s="213">
        <v>15.608395574999999</v>
      </c>
      <c r="U17" s="213">
        <v>15.764434634000001</v>
      </c>
      <c r="V17" s="213">
        <v>15.635785082</v>
      </c>
      <c r="W17" s="213">
        <v>16.007322855000002</v>
      </c>
      <c r="X17" s="213">
        <v>15.749851913000001</v>
      </c>
      <c r="Y17" s="213">
        <v>15.586935175000001</v>
      </c>
      <c r="Z17" s="213">
        <v>15.548240291000001</v>
      </c>
      <c r="AA17" s="213">
        <v>16.571271005</v>
      </c>
      <c r="AB17" s="213">
        <v>17.102231623000002</v>
      </c>
      <c r="AC17" s="213">
        <v>17.052349036999999</v>
      </c>
      <c r="AD17" s="213">
        <v>16.181518157999999</v>
      </c>
      <c r="AE17" s="213">
        <v>16.106089801</v>
      </c>
      <c r="AF17" s="213">
        <v>15.894128714000001</v>
      </c>
      <c r="AG17" s="213">
        <v>16.084538952999999</v>
      </c>
      <c r="AH17" s="213">
        <v>16.138825644000001</v>
      </c>
      <c r="AI17" s="213">
        <v>16.89059121</v>
      </c>
      <c r="AJ17" s="213">
        <v>16.569384453000001</v>
      </c>
      <c r="AK17" s="213">
        <v>16.356897666999998</v>
      </c>
      <c r="AL17" s="213">
        <v>16.67001608</v>
      </c>
      <c r="AM17" s="213">
        <v>16.729500901000002</v>
      </c>
      <c r="AN17" s="213">
        <v>16.908232927</v>
      </c>
      <c r="AO17" s="213">
        <v>16.850411746999999</v>
      </c>
      <c r="AP17" s="213">
        <v>16.282508743000001</v>
      </c>
      <c r="AQ17" s="213">
        <v>16.075947731999999</v>
      </c>
      <c r="AR17" s="213">
        <v>16.346927092000001</v>
      </c>
      <c r="AS17" s="213">
        <v>15.868110499</v>
      </c>
      <c r="AT17" s="213">
        <v>16.034374630999999</v>
      </c>
      <c r="AU17" s="213">
        <v>16.020538421000001</v>
      </c>
      <c r="AV17" s="213">
        <v>15.866083559</v>
      </c>
      <c r="AW17" s="213">
        <v>15.618636886999999</v>
      </c>
      <c r="AX17" s="213">
        <v>15.783584631</v>
      </c>
      <c r="AY17" s="213">
        <v>16.252586065999999</v>
      </c>
      <c r="AZ17" s="213">
        <v>16.392563773999999</v>
      </c>
      <c r="BA17" s="213">
        <v>16.041603852000001</v>
      </c>
      <c r="BB17" s="213">
        <v>16.151647580999999</v>
      </c>
      <c r="BC17" s="213">
        <v>15.49</v>
      </c>
      <c r="BD17" s="213">
        <v>15.39</v>
      </c>
      <c r="BE17" s="213">
        <v>15.07475</v>
      </c>
      <c r="BF17" s="213">
        <v>15.27585</v>
      </c>
      <c r="BG17" s="351">
        <v>15.36464</v>
      </c>
      <c r="BH17" s="351">
        <v>15.332850000000001</v>
      </c>
      <c r="BI17" s="351">
        <v>15.204800000000001</v>
      </c>
      <c r="BJ17" s="351">
        <v>15.44004</v>
      </c>
      <c r="BK17" s="351">
        <v>15.97772</v>
      </c>
      <c r="BL17" s="351">
        <v>16.224489999999999</v>
      </c>
      <c r="BM17" s="351">
        <v>15.98353</v>
      </c>
      <c r="BN17" s="351">
        <v>16.192640000000001</v>
      </c>
      <c r="BO17" s="351">
        <v>15.62912</v>
      </c>
      <c r="BP17" s="351">
        <v>15.660310000000001</v>
      </c>
      <c r="BQ17" s="351">
        <v>15.543509999999999</v>
      </c>
      <c r="BR17" s="351">
        <v>15.826169999999999</v>
      </c>
      <c r="BS17" s="351">
        <v>15.93878</v>
      </c>
      <c r="BT17" s="351">
        <v>15.956709999999999</v>
      </c>
      <c r="BU17" s="351">
        <v>15.867139999999999</v>
      </c>
      <c r="BV17" s="351">
        <v>16.134779999999999</v>
      </c>
    </row>
    <row r="18" spans="1:74" ht="11.1" customHeight="1" x14ac:dyDescent="0.2">
      <c r="A18" s="119" t="s">
        <v>642</v>
      </c>
      <c r="B18" s="187" t="s">
        <v>477</v>
      </c>
      <c r="C18" s="213">
        <v>11.882508424999999</v>
      </c>
      <c r="D18" s="213">
        <v>11.964558072999999</v>
      </c>
      <c r="E18" s="213">
        <v>12.018360296999999</v>
      </c>
      <c r="F18" s="213">
        <v>12.1301044</v>
      </c>
      <c r="G18" s="213">
        <v>12.057739166999999</v>
      </c>
      <c r="H18" s="213">
        <v>13.011075419999999</v>
      </c>
      <c r="I18" s="213">
        <v>13.259329985999999</v>
      </c>
      <c r="J18" s="213">
        <v>13.194758229</v>
      </c>
      <c r="K18" s="213">
        <v>13.250050395000001</v>
      </c>
      <c r="L18" s="213">
        <v>12.544548915</v>
      </c>
      <c r="M18" s="213">
        <v>12.081446328</v>
      </c>
      <c r="N18" s="213">
        <v>11.897382086</v>
      </c>
      <c r="O18" s="213">
        <v>12.00031312</v>
      </c>
      <c r="P18" s="213">
        <v>11.975014612000001</v>
      </c>
      <c r="Q18" s="213">
        <v>12.171478540000001</v>
      </c>
      <c r="R18" s="213">
        <v>12.131689080999999</v>
      </c>
      <c r="S18" s="213">
        <v>12.626260727</v>
      </c>
      <c r="T18" s="213">
        <v>13.405996774</v>
      </c>
      <c r="U18" s="213">
        <v>13.362204097999999</v>
      </c>
      <c r="V18" s="213">
        <v>13.360599757999999</v>
      </c>
      <c r="W18" s="213">
        <v>13.26677935</v>
      </c>
      <c r="X18" s="213">
        <v>12.491535376</v>
      </c>
      <c r="Y18" s="213">
        <v>11.995394642999999</v>
      </c>
      <c r="Z18" s="213">
        <v>11.719537403</v>
      </c>
      <c r="AA18" s="213">
        <v>12.413819976999999</v>
      </c>
      <c r="AB18" s="213">
        <v>12.244146242999999</v>
      </c>
      <c r="AC18" s="213">
        <v>11.660665474</v>
      </c>
      <c r="AD18" s="213">
        <v>11.691150263000001</v>
      </c>
      <c r="AE18" s="213">
        <v>12.064825410999999</v>
      </c>
      <c r="AF18" s="213">
        <v>12.852264872999999</v>
      </c>
      <c r="AG18" s="213">
        <v>13.257640432000001</v>
      </c>
      <c r="AH18" s="213">
        <v>13.025448656</v>
      </c>
      <c r="AI18" s="213">
        <v>13.225259076</v>
      </c>
      <c r="AJ18" s="213">
        <v>12.529253539000001</v>
      </c>
      <c r="AK18" s="213">
        <v>11.994522257</v>
      </c>
      <c r="AL18" s="213">
        <v>11.715407622000001</v>
      </c>
      <c r="AM18" s="213">
        <v>11.40231339</v>
      </c>
      <c r="AN18" s="213">
        <v>11.76402524</v>
      </c>
      <c r="AO18" s="213">
        <v>11.544192189</v>
      </c>
      <c r="AP18" s="213">
        <v>11.808141025999999</v>
      </c>
      <c r="AQ18" s="213">
        <v>11.971357437</v>
      </c>
      <c r="AR18" s="213">
        <v>12.713000897000001</v>
      </c>
      <c r="AS18" s="213">
        <v>13.068084101</v>
      </c>
      <c r="AT18" s="213">
        <v>12.946174855000001</v>
      </c>
      <c r="AU18" s="213">
        <v>13.085065562</v>
      </c>
      <c r="AV18" s="213">
        <v>12.337367462</v>
      </c>
      <c r="AW18" s="213">
        <v>11.869515109</v>
      </c>
      <c r="AX18" s="213">
        <v>11.707458898000001</v>
      </c>
      <c r="AY18" s="213">
        <v>11.600385728999999</v>
      </c>
      <c r="AZ18" s="213">
        <v>11.630299258999999</v>
      </c>
      <c r="BA18" s="213">
        <v>11.836492191</v>
      </c>
      <c r="BB18" s="213">
        <v>11.880806743999999</v>
      </c>
      <c r="BC18" s="213">
        <v>12.3</v>
      </c>
      <c r="BD18" s="213">
        <v>13.31</v>
      </c>
      <c r="BE18" s="213">
        <v>13.020189999999999</v>
      </c>
      <c r="BF18" s="213">
        <v>12.609970000000001</v>
      </c>
      <c r="BG18" s="351">
        <v>12.57329</v>
      </c>
      <c r="BH18" s="351">
        <v>11.807270000000001</v>
      </c>
      <c r="BI18" s="351">
        <v>11.369339999999999</v>
      </c>
      <c r="BJ18" s="351">
        <v>11.27061</v>
      </c>
      <c r="BK18" s="351">
        <v>11.21607</v>
      </c>
      <c r="BL18" s="351">
        <v>11.328049999999999</v>
      </c>
      <c r="BM18" s="351">
        <v>11.67624</v>
      </c>
      <c r="BN18" s="351">
        <v>11.934010000000001</v>
      </c>
      <c r="BO18" s="351">
        <v>12.45571</v>
      </c>
      <c r="BP18" s="351">
        <v>13.53238</v>
      </c>
      <c r="BQ18" s="351">
        <v>13.11605</v>
      </c>
      <c r="BR18" s="351">
        <v>12.7356</v>
      </c>
      <c r="BS18" s="351">
        <v>12.81875</v>
      </c>
      <c r="BT18" s="351">
        <v>12.050560000000001</v>
      </c>
      <c r="BU18" s="351">
        <v>11.558730000000001</v>
      </c>
      <c r="BV18" s="351">
        <v>11.37307</v>
      </c>
    </row>
    <row r="19" spans="1:74" ht="11.1" customHeight="1" x14ac:dyDescent="0.2">
      <c r="A19" s="119" t="s">
        <v>643</v>
      </c>
      <c r="B19" s="204" t="s">
        <v>445</v>
      </c>
      <c r="C19" s="213">
        <v>9.6059627195000008</v>
      </c>
      <c r="D19" s="213">
        <v>9.8082229446000007</v>
      </c>
      <c r="E19" s="213">
        <v>9.8374674377000009</v>
      </c>
      <c r="F19" s="213">
        <v>9.8830967594000008</v>
      </c>
      <c r="G19" s="213">
        <v>10.039406247000001</v>
      </c>
      <c r="H19" s="213">
        <v>9.9865964138999992</v>
      </c>
      <c r="I19" s="213">
        <v>9.9875006478999993</v>
      </c>
      <c r="J19" s="213">
        <v>10.010501974</v>
      </c>
      <c r="K19" s="213">
        <v>10.079436661000001</v>
      </c>
      <c r="L19" s="213">
        <v>10.142913457000001</v>
      </c>
      <c r="M19" s="213">
        <v>10.144413363</v>
      </c>
      <c r="N19" s="213">
        <v>9.9560592799999998</v>
      </c>
      <c r="O19" s="213">
        <v>9.8068424724999996</v>
      </c>
      <c r="P19" s="213">
        <v>10.095937994</v>
      </c>
      <c r="Q19" s="213">
        <v>10.396066415</v>
      </c>
      <c r="R19" s="213">
        <v>10.247059937</v>
      </c>
      <c r="S19" s="213">
        <v>10.43630308</v>
      </c>
      <c r="T19" s="213">
        <v>10.2857305</v>
      </c>
      <c r="U19" s="213">
        <v>10.066073252000001</v>
      </c>
      <c r="V19" s="213">
        <v>10.223378031999999</v>
      </c>
      <c r="W19" s="213">
        <v>10.154097082</v>
      </c>
      <c r="X19" s="213">
        <v>10.137790732999999</v>
      </c>
      <c r="Y19" s="213">
        <v>10.153511655000001</v>
      </c>
      <c r="Z19" s="213">
        <v>9.9147053347000007</v>
      </c>
      <c r="AA19" s="213">
        <v>10.135052009000001</v>
      </c>
      <c r="AB19" s="213">
        <v>10.252255063</v>
      </c>
      <c r="AC19" s="213">
        <v>10.186748156</v>
      </c>
      <c r="AD19" s="213">
        <v>10.25826603</v>
      </c>
      <c r="AE19" s="213">
        <v>10.275907794</v>
      </c>
      <c r="AF19" s="213">
        <v>10.168537951999999</v>
      </c>
      <c r="AG19" s="213">
        <v>10.244197856</v>
      </c>
      <c r="AH19" s="213">
        <v>10.118931042</v>
      </c>
      <c r="AI19" s="213">
        <v>10.175367496</v>
      </c>
      <c r="AJ19" s="213">
        <v>10.346462649999999</v>
      </c>
      <c r="AK19" s="213">
        <v>10.287822717999999</v>
      </c>
      <c r="AL19" s="213">
        <v>9.9036732679000004</v>
      </c>
      <c r="AM19" s="213">
        <v>9.9608862118000001</v>
      </c>
      <c r="AN19" s="213">
        <v>10.279751594</v>
      </c>
      <c r="AO19" s="213">
        <v>10.203415297999999</v>
      </c>
      <c r="AP19" s="213">
        <v>10.313749445999999</v>
      </c>
      <c r="AQ19" s="213">
        <v>10.272364015000001</v>
      </c>
      <c r="AR19" s="213">
        <v>10.271917253</v>
      </c>
      <c r="AS19" s="213">
        <v>10.122160156</v>
      </c>
      <c r="AT19" s="213">
        <v>10.078892314000001</v>
      </c>
      <c r="AU19" s="213">
        <v>10.075663784</v>
      </c>
      <c r="AV19" s="213">
        <v>10.161730195000001</v>
      </c>
      <c r="AW19" s="213">
        <v>10.155720488</v>
      </c>
      <c r="AX19" s="213">
        <v>9.8402883429999992</v>
      </c>
      <c r="AY19" s="213">
        <v>9.9028298972000002</v>
      </c>
      <c r="AZ19" s="213">
        <v>9.8808538120999998</v>
      </c>
      <c r="BA19" s="213">
        <v>10.077385282</v>
      </c>
      <c r="BB19" s="213">
        <v>10.314115685999999</v>
      </c>
      <c r="BC19" s="213">
        <v>10.27</v>
      </c>
      <c r="BD19" s="213">
        <v>10.51</v>
      </c>
      <c r="BE19" s="213">
        <v>10.08685</v>
      </c>
      <c r="BF19" s="213">
        <v>9.9954660000000004</v>
      </c>
      <c r="BG19" s="351">
        <v>9.9949150000000007</v>
      </c>
      <c r="BH19" s="351">
        <v>10.112220000000001</v>
      </c>
      <c r="BI19" s="351">
        <v>10.14743</v>
      </c>
      <c r="BJ19" s="351">
        <v>9.8798159999999999</v>
      </c>
      <c r="BK19" s="351">
        <v>9.982742</v>
      </c>
      <c r="BL19" s="351">
        <v>9.9917789999999993</v>
      </c>
      <c r="BM19" s="351">
        <v>10.235749999999999</v>
      </c>
      <c r="BN19" s="351">
        <v>10.516489999999999</v>
      </c>
      <c r="BO19" s="351">
        <v>10.50183</v>
      </c>
      <c r="BP19" s="351">
        <v>10.76177</v>
      </c>
      <c r="BQ19" s="351">
        <v>10.335380000000001</v>
      </c>
      <c r="BR19" s="351">
        <v>10.259209999999999</v>
      </c>
      <c r="BS19" s="351">
        <v>10.26704</v>
      </c>
      <c r="BT19" s="351">
        <v>10.38294</v>
      </c>
      <c r="BU19" s="351">
        <v>10.400309999999999</v>
      </c>
      <c r="BV19" s="351">
        <v>10.08802</v>
      </c>
    </row>
    <row r="20" spans="1:74" ht="11.1" customHeight="1" x14ac:dyDescent="0.2">
      <c r="A20" s="119" t="s">
        <v>644</v>
      </c>
      <c r="B20" s="204" t="s">
        <v>446</v>
      </c>
      <c r="C20" s="213">
        <v>8.7949072140000002</v>
      </c>
      <c r="D20" s="213">
        <v>8.9784210425000008</v>
      </c>
      <c r="E20" s="213">
        <v>9.0223215413000002</v>
      </c>
      <c r="F20" s="213">
        <v>9.1636530003000001</v>
      </c>
      <c r="G20" s="213">
        <v>9.6858538451000005</v>
      </c>
      <c r="H20" s="213">
        <v>10.325402219000001</v>
      </c>
      <c r="I20" s="213">
        <v>10.303674568</v>
      </c>
      <c r="J20" s="213">
        <v>10.390038774000001</v>
      </c>
      <c r="K20" s="213">
        <v>9.9161274533999997</v>
      </c>
      <c r="L20" s="213">
        <v>9.2869511938000002</v>
      </c>
      <c r="M20" s="213">
        <v>9.2697753763000001</v>
      </c>
      <c r="N20" s="213">
        <v>8.9218862330000004</v>
      </c>
      <c r="O20" s="213">
        <v>8.8768808277000009</v>
      </c>
      <c r="P20" s="213">
        <v>9.4363060092000008</v>
      </c>
      <c r="Q20" s="213">
        <v>9.1559729313999991</v>
      </c>
      <c r="R20" s="213">
        <v>9.4874038021999993</v>
      </c>
      <c r="S20" s="213">
        <v>10.075402232</v>
      </c>
      <c r="T20" s="213">
        <v>10.763631525999999</v>
      </c>
      <c r="U20" s="213">
        <v>10.809409045000001</v>
      </c>
      <c r="V20" s="213">
        <v>10.837356102999999</v>
      </c>
      <c r="W20" s="213">
        <v>10.113164827</v>
      </c>
      <c r="X20" s="213">
        <v>9.5614326694000003</v>
      </c>
      <c r="Y20" s="213">
        <v>9.2435446369999994</v>
      </c>
      <c r="Z20" s="213">
        <v>8.9815770103000006</v>
      </c>
      <c r="AA20" s="213">
        <v>9.0496987365999999</v>
      </c>
      <c r="AB20" s="213">
        <v>9.2848044510999994</v>
      </c>
      <c r="AC20" s="213">
        <v>9.3465763771999999</v>
      </c>
      <c r="AD20" s="213">
        <v>9.3390045925000003</v>
      </c>
      <c r="AE20" s="213">
        <v>10.067154449</v>
      </c>
      <c r="AF20" s="213">
        <v>10.737714739999999</v>
      </c>
      <c r="AG20" s="213">
        <v>10.786064510999999</v>
      </c>
      <c r="AH20" s="213">
        <v>10.570473219</v>
      </c>
      <c r="AI20" s="213">
        <v>10.028886089</v>
      </c>
      <c r="AJ20" s="213">
        <v>9.5559895361000002</v>
      </c>
      <c r="AK20" s="213">
        <v>9.2322388484999998</v>
      </c>
      <c r="AL20" s="213">
        <v>9.0389579389999994</v>
      </c>
      <c r="AM20" s="213">
        <v>8.7373696001999992</v>
      </c>
      <c r="AN20" s="213">
        <v>9.0245101486999992</v>
      </c>
      <c r="AO20" s="213">
        <v>9.1745367445999992</v>
      </c>
      <c r="AP20" s="213">
        <v>9.3604318296999995</v>
      </c>
      <c r="AQ20" s="213">
        <v>10.007308978999999</v>
      </c>
      <c r="AR20" s="213">
        <v>10.675736939</v>
      </c>
      <c r="AS20" s="213">
        <v>10.592632413</v>
      </c>
      <c r="AT20" s="213">
        <v>10.557775594000001</v>
      </c>
      <c r="AU20" s="213">
        <v>10.045654981</v>
      </c>
      <c r="AV20" s="213">
        <v>9.3082267881000007</v>
      </c>
      <c r="AW20" s="213">
        <v>9.1260850915000002</v>
      </c>
      <c r="AX20" s="213">
        <v>8.9049334417000008</v>
      </c>
      <c r="AY20" s="213">
        <v>8.9052332311000004</v>
      </c>
      <c r="AZ20" s="213">
        <v>9.0925813407000007</v>
      </c>
      <c r="BA20" s="213">
        <v>9.2210889474000002</v>
      </c>
      <c r="BB20" s="213">
        <v>9.5031185142000005</v>
      </c>
      <c r="BC20" s="213">
        <v>10.119999999999999</v>
      </c>
      <c r="BD20" s="213">
        <v>10.62</v>
      </c>
      <c r="BE20" s="213">
        <v>10.83508</v>
      </c>
      <c r="BF20" s="213">
        <v>10.827540000000001</v>
      </c>
      <c r="BG20" s="351">
        <v>10.428129999999999</v>
      </c>
      <c r="BH20" s="351">
        <v>9.5995410000000003</v>
      </c>
      <c r="BI20" s="351">
        <v>9.3810149999999997</v>
      </c>
      <c r="BJ20" s="351">
        <v>9.1086399999999994</v>
      </c>
      <c r="BK20" s="351">
        <v>9.1108809999999991</v>
      </c>
      <c r="BL20" s="351">
        <v>9.2950199999999992</v>
      </c>
      <c r="BM20" s="351">
        <v>9.4533290000000001</v>
      </c>
      <c r="BN20" s="351">
        <v>9.6541040000000002</v>
      </c>
      <c r="BO20" s="351">
        <v>10.13189</v>
      </c>
      <c r="BP20" s="351">
        <v>10.665559999999999</v>
      </c>
      <c r="BQ20" s="351">
        <v>10.877079999999999</v>
      </c>
      <c r="BR20" s="351">
        <v>10.83816</v>
      </c>
      <c r="BS20" s="351">
        <v>10.50483</v>
      </c>
      <c r="BT20" s="351">
        <v>9.615081</v>
      </c>
      <c r="BU20" s="351">
        <v>9.3782759999999996</v>
      </c>
      <c r="BV20" s="351">
        <v>9.0298010000000009</v>
      </c>
    </row>
    <row r="21" spans="1:74" ht="11.1" customHeight="1" x14ac:dyDescent="0.2">
      <c r="A21" s="119" t="s">
        <v>645</v>
      </c>
      <c r="B21" s="204" t="s">
        <v>447</v>
      </c>
      <c r="C21" s="213">
        <v>9.3205561284999998</v>
      </c>
      <c r="D21" s="213">
        <v>9.4463814847999998</v>
      </c>
      <c r="E21" s="213">
        <v>9.2287710311000009</v>
      </c>
      <c r="F21" s="213">
        <v>9.1692888617000001</v>
      </c>
      <c r="G21" s="213">
        <v>9.1984099296000004</v>
      </c>
      <c r="H21" s="213">
        <v>9.3105224857</v>
      </c>
      <c r="I21" s="213">
        <v>9.2265688929999996</v>
      </c>
      <c r="J21" s="213">
        <v>9.2161903181000007</v>
      </c>
      <c r="K21" s="213">
        <v>9.2031148117000008</v>
      </c>
      <c r="L21" s="213">
        <v>9.2352254334000001</v>
      </c>
      <c r="M21" s="213">
        <v>9.2332733702999992</v>
      </c>
      <c r="N21" s="213">
        <v>9.1434315697000006</v>
      </c>
      <c r="O21" s="213">
        <v>9.3016836072999993</v>
      </c>
      <c r="P21" s="213">
        <v>9.4568581853999998</v>
      </c>
      <c r="Q21" s="213">
        <v>9.3903384501999998</v>
      </c>
      <c r="R21" s="213">
        <v>9.3687279603999993</v>
      </c>
      <c r="S21" s="213">
        <v>9.3196901930999996</v>
      </c>
      <c r="T21" s="213">
        <v>9.3391684581999996</v>
      </c>
      <c r="U21" s="213">
        <v>9.3712894600999999</v>
      </c>
      <c r="V21" s="213">
        <v>9.4052422432</v>
      </c>
      <c r="W21" s="213">
        <v>9.5156722935999998</v>
      </c>
      <c r="X21" s="213">
        <v>9.5165879196999992</v>
      </c>
      <c r="Y21" s="213">
        <v>9.3562371358000007</v>
      </c>
      <c r="Z21" s="213">
        <v>9.3607272437999995</v>
      </c>
      <c r="AA21" s="213">
        <v>9.5856704018999999</v>
      </c>
      <c r="AB21" s="213">
        <v>9.6523029432000005</v>
      </c>
      <c r="AC21" s="213">
        <v>9.2953135608000004</v>
      </c>
      <c r="AD21" s="213">
        <v>9.3284743287000005</v>
      </c>
      <c r="AE21" s="213">
        <v>9.1831770759999998</v>
      </c>
      <c r="AF21" s="213">
        <v>9.2835576578999994</v>
      </c>
      <c r="AG21" s="213">
        <v>9.2566834768999993</v>
      </c>
      <c r="AH21" s="213">
        <v>9.0761006828999999</v>
      </c>
      <c r="AI21" s="213">
        <v>9.1561700517000002</v>
      </c>
      <c r="AJ21" s="213">
        <v>9.3116434453999997</v>
      </c>
      <c r="AK21" s="213">
        <v>9.3763192314000001</v>
      </c>
      <c r="AL21" s="213">
        <v>9.2231956063999991</v>
      </c>
      <c r="AM21" s="213">
        <v>9.3273793338999997</v>
      </c>
      <c r="AN21" s="213">
        <v>9.5796025782999994</v>
      </c>
      <c r="AO21" s="213">
        <v>9.4209659273999993</v>
      </c>
      <c r="AP21" s="213">
        <v>9.4844433208000005</v>
      </c>
      <c r="AQ21" s="213">
        <v>9.3033033833999994</v>
      </c>
      <c r="AR21" s="213">
        <v>9.3325590393999995</v>
      </c>
      <c r="AS21" s="213">
        <v>9.3835740883999996</v>
      </c>
      <c r="AT21" s="213">
        <v>9.3148656966000001</v>
      </c>
      <c r="AU21" s="213">
        <v>9.3510234979</v>
      </c>
      <c r="AV21" s="213">
        <v>9.3558842262000006</v>
      </c>
      <c r="AW21" s="213">
        <v>9.5144761433999996</v>
      </c>
      <c r="AX21" s="213">
        <v>9.1661261566000007</v>
      </c>
      <c r="AY21" s="213">
        <v>9.1949239416000008</v>
      </c>
      <c r="AZ21" s="213">
        <v>9.3008736222999993</v>
      </c>
      <c r="BA21" s="213">
        <v>9.2916617990999999</v>
      </c>
      <c r="BB21" s="213">
        <v>9.3060039334999995</v>
      </c>
      <c r="BC21" s="213">
        <v>8.68</v>
      </c>
      <c r="BD21" s="213">
        <v>9.09</v>
      </c>
      <c r="BE21" s="213">
        <v>9.1618549999999992</v>
      </c>
      <c r="BF21" s="213">
        <v>9.0566040000000001</v>
      </c>
      <c r="BG21" s="351">
        <v>9.0986580000000004</v>
      </c>
      <c r="BH21" s="351">
        <v>9.0922710000000002</v>
      </c>
      <c r="BI21" s="351">
        <v>9.2420840000000002</v>
      </c>
      <c r="BJ21" s="351">
        <v>8.9118890000000004</v>
      </c>
      <c r="BK21" s="351">
        <v>8.9802490000000006</v>
      </c>
      <c r="BL21" s="351">
        <v>9.1311199999999992</v>
      </c>
      <c r="BM21" s="351">
        <v>9.1861280000000001</v>
      </c>
      <c r="BN21" s="351">
        <v>9.2628730000000008</v>
      </c>
      <c r="BO21" s="351">
        <v>8.6644249999999996</v>
      </c>
      <c r="BP21" s="351">
        <v>9.1233459999999997</v>
      </c>
      <c r="BQ21" s="351">
        <v>9.2613900000000005</v>
      </c>
      <c r="BR21" s="351">
        <v>9.2043040000000005</v>
      </c>
      <c r="BS21" s="351">
        <v>9.2910570000000003</v>
      </c>
      <c r="BT21" s="351">
        <v>9.3064210000000003</v>
      </c>
      <c r="BU21" s="351">
        <v>9.4678749999999994</v>
      </c>
      <c r="BV21" s="351">
        <v>9.1190350000000002</v>
      </c>
    </row>
    <row r="22" spans="1:74" ht="11.1" customHeight="1" x14ac:dyDescent="0.2">
      <c r="A22" s="119" t="s">
        <v>646</v>
      </c>
      <c r="B22" s="204" t="s">
        <v>448</v>
      </c>
      <c r="C22" s="213">
        <v>9.9693226834999997</v>
      </c>
      <c r="D22" s="213">
        <v>10.000310733999999</v>
      </c>
      <c r="E22" s="213">
        <v>10.010074657000001</v>
      </c>
      <c r="F22" s="213">
        <v>9.9939415844999999</v>
      </c>
      <c r="G22" s="213">
        <v>9.9280274829999993</v>
      </c>
      <c r="H22" s="213">
        <v>10.26148686</v>
      </c>
      <c r="I22" s="213">
        <v>10.232529728999999</v>
      </c>
      <c r="J22" s="213">
        <v>10.210977285</v>
      </c>
      <c r="K22" s="213">
        <v>10.299693940999999</v>
      </c>
      <c r="L22" s="213">
        <v>10.393426496</v>
      </c>
      <c r="M22" s="213">
        <v>10.453388109</v>
      </c>
      <c r="N22" s="213">
        <v>10.542033696000001</v>
      </c>
      <c r="O22" s="213">
        <v>10.505013047</v>
      </c>
      <c r="P22" s="213">
        <v>10.682125572</v>
      </c>
      <c r="Q22" s="213">
        <v>10.600890358999999</v>
      </c>
      <c r="R22" s="213">
        <v>10.509807350999999</v>
      </c>
      <c r="S22" s="213">
        <v>10.495705541</v>
      </c>
      <c r="T22" s="213">
        <v>10.734287952000001</v>
      </c>
      <c r="U22" s="213">
        <v>10.615406162999999</v>
      </c>
      <c r="V22" s="213">
        <v>10.597739946000001</v>
      </c>
      <c r="W22" s="213">
        <v>10.727172348</v>
      </c>
      <c r="X22" s="213">
        <v>10.503359146999999</v>
      </c>
      <c r="Y22" s="213">
        <v>10.69653512</v>
      </c>
      <c r="Z22" s="213">
        <v>10.567096673</v>
      </c>
      <c r="AA22" s="213">
        <v>10.326085472000001</v>
      </c>
      <c r="AB22" s="213">
        <v>10.621206147000001</v>
      </c>
      <c r="AC22" s="213">
        <v>10.781160549000001</v>
      </c>
      <c r="AD22" s="213">
        <v>10.629836315</v>
      </c>
      <c r="AE22" s="213">
        <v>10.456703439</v>
      </c>
      <c r="AF22" s="213">
        <v>10.525404978999999</v>
      </c>
      <c r="AG22" s="213">
        <v>10.366825970000001</v>
      </c>
      <c r="AH22" s="213">
        <v>10.426353352</v>
      </c>
      <c r="AI22" s="213">
        <v>10.418471617</v>
      </c>
      <c r="AJ22" s="213">
        <v>10.391783078</v>
      </c>
      <c r="AK22" s="213">
        <v>10.769508717000001</v>
      </c>
      <c r="AL22" s="213">
        <v>10.6463038</v>
      </c>
      <c r="AM22" s="213">
        <v>10.596246529</v>
      </c>
      <c r="AN22" s="213">
        <v>10.821503828000001</v>
      </c>
      <c r="AO22" s="213">
        <v>10.700117833</v>
      </c>
      <c r="AP22" s="213">
        <v>10.724437356999999</v>
      </c>
      <c r="AQ22" s="213">
        <v>10.636850366999999</v>
      </c>
      <c r="AR22" s="213">
        <v>10.748805754999999</v>
      </c>
      <c r="AS22" s="213">
        <v>10.738076746000001</v>
      </c>
      <c r="AT22" s="213">
        <v>10.66048928</v>
      </c>
      <c r="AU22" s="213">
        <v>10.538198734</v>
      </c>
      <c r="AV22" s="213">
        <v>10.493882054</v>
      </c>
      <c r="AW22" s="213">
        <v>10.901640688000001</v>
      </c>
      <c r="AX22" s="213">
        <v>10.493631638</v>
      </c>
      <c r="AY22" s="213">
        <v>10.789513531000001</v>
      </c>
      <c r="AZ22" s="213">
        <v>10.689198791000001</v>
      </c>
      <c r="BA22" s="213">
        <v>10.774223396</v>
      </c>
      <c r="BB22" s="213">
        <v>10.786526887999999</v>
      </c>
      <c r="BC22" s="213">
        <v>10.88</v>
      </c>
      <c r="BD22" s="213">
        <v>10.82</v>
      </c>
      <c r="BE22" s="213">
        <v>10.69783</v>
      </c>
      <c r="BF22" s="213">
        <v>10.586980000000001</v>
      </c>
      <c r="BG22" s="351">
        <v>10.641489999999999</v>
      </c>
      <c r="BH22" s="351">
        <v>10.5426</v>
      </c>
      <c r="BI22" s="351">
        <v>10.90437</v>
      </c>
      <c r="BJ22" s="351">
        <v>10.4642</v>
      </c>
      <c r="BK22" s="351">
        <v>10.778</v>
      </c>
      <c r="BL22" s="351">
        <v>10.73151</v>
      </c>
      <c r="BM22" s="351">
        <v>10.86449</v>
      </c>
      <c r="BN22" s="351">
        <v>10.850490000000001</v>
      </c>
      <c r="BO22" s="351">
        <v>10.905099999999999</v>
      </c>
      <c r="BP22" s="351">
        <v>10.87978</v>
      </c>
      <c r="BQ22" s="351">
        <v>10.909230000000001</v>
      </c>
      <c r="BR22" s="351">
        <v>10.814299999999999</v>
      </c>
      <c r="BS22" s="351">
        <v>10.877039999999999</v>
      </c>
      <c r="BT22" s="351">
        <v>10.802239999999999</v>
      </c>
      <c r="BU22" s="351">
        <v>11.189629999999999</v>
      </c>
      <c r="BV22" s="351">
        <v>10.727349999999999</v>
      </c>
    </row>
    <row r="23" spans="1:74" ht="11.1" customHeight="1" x14ac:dyDescent="0.2">
      <c r="A23" s="119" t="s">
        <v>647</v>
      </c>
      <c r="B23" s="204" t="s">
        <v>449</v>
      </c>
      <c r="C23" s="213">
        <v>8.1755482692000001</v>
      </c>
      <c r="D23" s="213">
        <v>8.2672297176999994</v>
      </c>
      <c r="E23" s="213">
        <v>8.2812295918000007</v>
      </c>
      <c r="F23" s="213">
        <v>8.1543240160000003</v>
      </c>
      <c r="G23" s="213">
        <v>8.1957976135999999</v>
      </c>
      <c r="H23" s="213">
        <v>8.2710036457000005</v>
      </c>
      <c r="I23" s="213">
        <v>8.1658976023999994</v>
      </c>
      <c r="J23" s="213">
        <v>8.2227453885999999</v>
      </c>
      <c r="K23" s="213">
        <v>8.3298132034000005</v>
      </c>
      <c r="L23" s="213">
        <v>8.3416221890000006</v>
      </c>
      <c r="M23" s="213">
        <v>8.1617750828000002</v>
      </c>
      <c r="N23" s="213">
        <v>8.2222224835999995</v>
      </c>
      <c r="O23" s="213">
        <v>8.1837244055999996</v>
      </c>
      <c r="P23" s="213">
        <v>8.5284943652000003</v>
      </c>
      <c r="Q23" s="213">
        <v>8.3276331340999992</v>
      </c>
      <c r="R23" s="213">
        <v>8.3797701587999995</v>
      </c>
      <c r="S23" s="213">
        <v>8.3562124220000005</v>
      </c>
      <c r="T23" s="213">
        <v>8.5286452552000007</v>
      </c>
      <c r="U23" s="213">
        <v>8.4070348823999996</v>
      </c>
      <c r="V23" s="213">
        <v>8.3282682109999993</v>
      </c>
      <c r="W23" s="213">
        <v>8.3395751196999992</v>
      </c>
      <c r="X23" s="213">
        <v>8.2672742182000007</v>
      </c>
      <c r="Y23" s="213">
        <v>8.3416489781000003</v>
      </c>
      <c r="Z23" s="213">
        <v>8.1245910273999993</v>
      </c>
      <c r="AA23" s="213">
        <v>8.2744505578999998</v>
      </c>
      <c r="AB23" s="213">
        <v>8.5578313186999999</v>
      </c>
      <c r="AC23" s="213">
        <v>8.4581397773999996</v>
      </c>
      <c r="AD23" s="213">
        <v>8.2587332962000009</v>
      </c>
      <c r="AE23" s="213">
        <v>8.1713080133999991</v>
      </c>
      <c r="AF23" s="213">
        <v>8.2686824323000003</v>
      </c>
      <c r="AG23" s="213">
        <v>8.1653751182000001</v>
      </c>
      <c r="AH23" s="213">
        <v>8.3063856987999998</v>
      </c>
      <c r="AI23" s="213">
        <v>8.0873388427999995</v>
      </c>
      <c r="AJ23" s="213">
        <v>8.0042747718000005</v>
      </c>
      <c r="AK23" s="213">
        <v>8.1848480943999995</v>
      </c>
      <c r="AL23" s="213">
        <v>7.8606613000000003</v>
      </c>
      <c r="AM23" s="213">
        <v>7.9826068609999998</v>
      </c>
      <c r="AN23" s="213">
        <v>8.1513511644999994</v>
      </c>
      <c r="AO23" s="213">
        <v>8.2218150155000007</v>
      </c>
      <c r="AP23" s="213">
        <v>8.1254781643000005</v>
      </c>
      <c r="AQ23" s="213">
        <v>7.9021179299000002</v>
      </c>
      <c r="AR23" s="213">
        <v>7.9856512149999999</v>
      </c>
      <c r="AS23" s="213">
        <v>8.0029284188999998</v>
      </c>
      <c r="AT23" s="213">
        <v>8.3815143832000008</v>
      </c>
      <c r="AU23" s="213">
        <v>8.5022270276</v>
      </c>
      <c r="AV23" s="213">
        <v>8.1672926498000002</v>
      </c>
      <c r="AW23" s="213">
        <v>7.9604224015999998</v>
      </c>
      <c r="AX23" s="213">
        <v>8.0443119794999998</v>
      </c>
      <c r="AY23" s="213">
        <v>7.7909555742999999</v>
      </c>
      <c r="AZ23" s="213">
        <v>7.9792676305999999</v>
      </c>
      <c r="BA23" s="213">
        <v>7.8982027689000001</v>
      </c>
      <c r="BB23" s="213">
        <v>7.9022940819</v>
      </c>
      <c r="BC23" s="213">
        <v>7.79</v>
      </c>
      <c r="BD23" s="213">
        <v>7.88</v>
      </c>
      <c r="BE23" s="213">
        <v>7.6713880000000003</v>
      </c>
      <c r="BF23" s="213">
        <v>7.9172099999999999</v>
      </c>
      <c r="BG23" s="351">
        <v>8.2594200000000004</v>
      </c>
      <c r="BH23" s="351">
        <v>8.1726779999999994</v>
      </c>
      <c r="BI23" s="351">
        <v>8.05199</v>
      </c>
      <c r="BJ23" s="351">
        <v>8.1847860000000008</v>
      </c>
      <c r="BK23" s="351">
        <v>7.9381969999999997</v>
      </c>
      <c r="BL23" s="351">
        <v>8.1458379999999995</v>
      </c>
      <c r="BM23" s="351">
        <v>8.1077080000000006</v>
      </c>
      <c r="BN23" s="351">
        <v>8.169511</v>
      </c>
      <c r="BO23" s="351">
        <v>8.1066210000000005</v>
      </c>
      <c r="BP23" s="351">
        <v>8.2279660000000003</v>
      </c>
      <c r="BQ23" s="351">
        <v>8.0196149999999999</v>
      </c>
      <c r="BR23" s="351">
        <v>8.2734850000000009</v>
      </c>
      <c r="BS23" s="351">
        <v>8.4566389999999991</v>
      </c>
      <c r="BT23" s="351">
        <v>8.156879</v>
      </c>
      <c r="BU23" s="351">
        <v>7.9950950000000001</v>
      </c>
      <c r="BV23" s="351">
        <v>8.1260440000000003</v>
      </c>
    </row>
    <row r="24" spans="1:74" ht="11.1" customHeight="1" x14ac:dyDescent="0.2">
      <c r="A24" s="119" t="s">
        <v>648</v>
      </c>
      <c r="B24" s="204" t="s">
        <v>450</v>
      </c>
      <c r="C24" s="213">
        <v>8.7985608436000007</v>
      </c>
      <c r="D24" s="213">
        <v>9.0390374805999993</v>
      </c>
      <c r="E24" s="213">
        <v>9.0286367993999992</v>
      </c>
      <c r="F24" s="213">
        <v>9.2138058906999998</v>
      </c>
      <c r="G24" s="213">
        <v>9.6978887407999999</v>
      </c>
      <c r="H24" s="213">
        <v>10.058980314999999</v>
      </c>
      <c r="I24" s="213">
        <v>9.9069955044999993</v>
      </c>
      <c r="J24" s="213">
        <v>9.9297190688000008</v>
      </c>
      <c r="K24" s="213">
        <v>10.01473665</v>
      </c>
      <c r="L24" s="213">
        <v>9.6159147603000008</v>
      </c>
      <c r="M24" s="213">
        <v>9.2062749112999995</v>
      </c>
      <c r="N24" s="213">
        <v>8.9676399135999993</v>
      </c>
      <c r="O24" s="213">
        <v>8.9184787960000005</v>
      </c>
      <c r="P24" s="213">
        <v>9.1451565277999993</v>
      </c>
      <c r="Q24" s="213">
        <v>9.1966350315999996</v>
      </c>
      <c r="R24" s="213">
        <v>9.3613606390000008</v>
      </c>
      <c r="S24" s="213">
        <v>9.9024306801000002</v>
      </c>
      <c r="T24" s="213">
        <v>10.191916329</v>
      </c>
      <c r="U24" s="213">
        <v>10.140595766000001</v>
      </c>
      <c r="V24" s="213">
        <v>9.9266288518000003</v>
      </c>
      <c r="W24" s="213">
        <v>9.8336111615000004</v>
      </c>
      <c r="X24" s="213">
        <v>9.8874692836999998</v>
      </c>
      <c r="Y24" s="213">
        <v>9.2738173024999995</v>
      </c>
      <c r="Z24" s="213">
        <v>9.1102557064000003</v>
      </c>
      <c r="AA24" s="213">
        <v>9.0160194981000004</v>
      </c>
      <c r="AB24" s="213">
        <v>9.2550665136999992</v>
      </c>
      <c r="AC24" s="213">
        <v>9.2471794535999994</v>
      </c>
      <c r="AD24" s="213">
        <v>9.4400546678000001</v>
      </c>
      <c r="AE24" s="213">
        <v>9.8375279198999994</v>
      </c>
      <c r="AF24" s="213">
        <v>10.029677682000001</v>
      </c>
      <c r="AG24" s="213">
        <v>9.9727562140000003</v>
      </c>
      <c r="AH24" s="213">
        <v>9.9674361450000006</v>
      </c>
      <c r="AI24" s="213">
        <v>9.7902898099000009</v>
      </c>
      <c r="AJ24" s="213">
        <v>9.6951900439000003</v>
      </c>
      <c r="AK24" s="213">
        <v>9.1967178474000004</v>
      </c>
      <c r="AL24" s="213">
        <v>8.8806673651000008</v>
      </c>
      <c r="AM24" s="213">
        <v>9.0191763955000006</v>
      </c>
      <c r="AN24" s="213">
        <v>9.3538213860999999</v>
      </c>
      <c r="AO24" s="213">
        <v>9.2433802883999991</v>
      </c>
      <c r="AP24" s="213">
        <v>9.3061098051000002</v>
      </c>
      <c r="AQ24" s="213">
        <v>9.6405189699000005</v>
      </c>
      <c r="AR24" s="213">
        <v>10.147076672000001</v>
      </c>
      <c r="AS24" s="213">
        <v>10.113995933</v>
      </c>
      <c r="AT24" s="213">
        <v>10.019801993</v>
      </c>
      <c r="AU24" s="213">
        <v>9.8650687465000004</v>
      </c>
      <c r="AV24" s="213">
        <v>9.5555470765999999</v>
      </c>
      <c r="AW24" s="213">
        <v>9.0865920241999998</v>
      </c>
      <c r="AX24" s="213">
        <v>8.8900341333000004</v>
      </c>
      <c r="AY24" s="213">
        <v>8.8687998482000001</v>
      </c>
      <c r="AZ24" s="213">
        <v>9.0166106539000008</v>
      </c>
      <c r="BA24" s="213">
        <v>9.0890096597000003</v>
      </c>
      <c r="BB24" s="213">
        <v>9.3937334509999992</v>
      </c>
      <c r="BC24" s="213">
        <v>9.76</v>
      </c>
      <c r="BD24" s="213">
        <v>10.220000000000001</v>
      </c>
      <c r="BE24" s="213">
        <v>10.14878</v>
      </c>
      <c r="BF24" s="213">
        <v>10.02891</v>
      </c>
      <c r="BG24" s="351">
        <v>9.8978110000000008</v>
      </c>
      <c r="BH24" s="351">
        <v>9.6046390000000006</v>
      </c>
      <c r="BI24" s="351">
        <v>9.1303820000000009</v>
      </c>
      <c r="BJ24" s="351">
        <v>8.9257399999999993</v>
      </c>
      <c r="BK24" s="351">
        <v>8.9193370000000005</v>
      </c>
      <c r="BL24" s="351">
        <v>9.0700109999999992</v>
      </c>
      <c r="BM24" s="351">
        <v>9.1315869999999997</v>
      </c>
      <c r="BN24" s="351">
        <v>9.4575890000000005</v>
      </c>
      <c r="BO24" s="351">
        <v>9.8825109999999992</v>
      </c>
      <c r="BP24" s="351">
        <v>10.38331</v>
      </c>
      <c r="BQ24" s="351">
        <v>10.35413</v>
      </c>
      <c r="BR24" s="351">
        <v>10.247780000000001</v>
      </c>
      <c r="BS24" s="351">
        <v>10.049480000000001</v>
      </c>
      <c r="BT24" s="351">
        <v>9.7257219999999993</v>
      </c>
      <c r="BU24" s="351">
        <v>9.2258239999999994</v>
      </c>
      <c r="BV24" s="351">
        <v>9.0175140000000003</v>
      </c>
    </row>
    <row r="25" spans="1:74" ht="11.1" customHeight="1" x14ac:dyDescent="0.2">
      <c r="A25" s="119" t="s">
        <v>649</v>
      </c>
      <c r="B25" s="206" t="s">
        <v>451</v>
      </c>
      <c r="C25" s="213">
        <v>12.063060734</v>
      </c>
      <c r="D25" s="213">
        <v>12.229446346</v>
      </c>
      <c r="E25" s="213">
        <v>12.35304792</v>
      </c>
      <c r="F25" s="213">
        <v>12.256009513</v>
      </c>
      <c r="G25" s="213">
        <v>12.869049537</v>
      </c>
      <c r="H25" s="213">
        <v>13.971058669</v>
      </c>
      <c r="I25" s="213">
        <v>14.570504486999999</v>
      </c>
      <c r="J25" s="213">
        <v>14.749562432999999</v>
      </c>
      <c r="K25" s="213">
        <v>14.683351270999999</v>
      </c>
      <c r="L25" s="213">
        <v>13.873913225000001</v>
      </c>
      <c r="M25" s="213">
        <v>12.743183347</v>
      </c>
      <c r="N25" s="213">
        <v>12.23942055</v>
      </c>
      <c r="O25" s="213">
        <v>12.180746256999999</v>
      </c>
      <c r="P25" s="213">
        <v>12.592083952999999</v>
      </c>
      <c r="Q25" s="213">
        <v>12.778686368000001</v>
      </c>
      <c r="R25" s="213">
        <v>12.268920512999999</v>
      </c>
      <c r="S25" s="213">
        <v>13.168300628000001</v>
      </c>
      <c r="T25" s="213">
        <v>14.837654941</v>
      </c>
      <c r="U25" s="213">
        <v>15.010835578</v>
      </c>
      <c r="V25" s="213">
        <v>15.232866805</v>
      </c>
      <c r="W25" s="213">
        <v>15.587652650000001</v>
      </c>
      <c r="X25" s="213">
        <v>14.786768735000001</v>
      </c>
      <c r="Y25" s="213">
        <v>13.256161876</v>
      </c>
      <c r="Z25" s="213">
        <v>12.554975109000001</v>
      </c>
      <c r="AA25" s="213">
        <v>12.775239257000001</v>
      </c>
      <c r="AB25" s="213">
        <v>12.792936924999999</v>
      </c>
      <c r="AC25" s="213">
        <v>13.028551917</v>
      </c>
      <c r="AD25" s="213">
        <v>13.023494317999999</v>
      </c>
      <c r="AE25" s="213">
        <v>13.584921553999999</v>
      </c>
      <c r="AF25" s="213">
        <v>15.242711383</v>
      </c>
      <c r="AG25" s="213">
        <v>15.923991055</v>
      </c>
      <c r="AH25" s="213">
        <v>16.336530929999999</v>
      </c>
      <c r="AI25" s="213">
        <v>14.709594266</v>
      </c>
      <c r="AJ25" s="213">
        <v>15.047869337</v>
      </c>
      <c r="AK25" s="213">
        <v>13.703727838000001</v>
      </c>
      <c r="AL25" s="213">
        <v>13.261645355000001</v>
      </c>
      <c r="AM25" s="213">
        <v>12.994961515</v>
      </c>
      <c r="AN25" s="213">
        <v>13.107537732999999</v>
      </c>
      <c r="AO25" s="213">
        <v>12.853274647999999</v>
      </c>
      <c r="AP25" s="213">
        <v>13.135292486999999</v>
      </c>
      <c r="AQ25" s="213">
        <v>13.727331251000001</v>
      </c>
      <c r="AR25" s="213">
        <v>15.610634735</v>
      </c>
      <c r="AS25" s="213">
        <v>16.310701311999999</v>
      </c>
      <c r="AT25" s="213">
        <v>16.279132958000002</v>
      </c>
      <c r="AU25" s="213">
        <v>16.458870116</v>
      </c>
      <c r="AV25" s="213">
        <v>15.535696250999999</v>
      </c>
      <c r="AW25" s="213">
        <v>14.401091762</v>
      </c>
      <c r="AX25" s="213">
        <v>13.357694224999999</v>
      </c>
      <c r="AY25" s="213">
        <v>13.371237174999999</v>
      </c>
      <c r="AZ25" s="213">
        <v>13.568709174</v>
      </c>
      <c r="BA25" s="213">
        <v>13.617040202</v>
      </c>
      <c r="BB25" s="213">
        <v>13.244914892000001</v>
      </c>
      <c r="BC25" s="213">
        <v>14.5</v>
      </c>
      <c r="BD25" s="213">
        <v>16.440000000000001</v>
      </c>
      <c r="BE25" s="213">
        <v>16.234220000000001</v>
      </c>
      <c r="BF25" s="213">
        <v>16.158259999999999</v>
      </c>
      <c r="BG25" s="351">
        <v>16.327999999999999</v>
      </c>
      <c r="BH25" s="351">
        <v>15.426679999999999</v>
      </c>
      <c r="BI25" s="351">
        <v>14.363849999999999</v>
      </c>
      <c r="BJ25" s="351">
        <v>13.344620000000001</v>
      </c>
      <c r="BK25" s="351">
        <v>13.391859999999999</v>
      </c>
      <c r="BL25" s="351">
        <v>13.57179</v>
      </c>
      <c r="BM25" s="351">
        <v>13.55664</v>
      </c>
      <c r="BN25" s="351">
        <v>13.417770000000001</v>
      </c>
      <c r="BO25" s="351">
        <v>14.80226</v>
      </c>
      <c r="BP25" s="351">
        <v>16.904949999999999</v>
      </c>
      <c r="BQ25" s="351">
        <v>16.770859999999999</v>
      </c>
      <c r="BR25" s="351">
        <v>16.722650000000002</v>
      </c>
      <c r="BS25" s="351">
        <v>16.79196</v>
      </c>
      <c r="BT25" s="351">
        <v>15.89429</v>
      </c>
      <c r="BU25" s="351">
        <v>14.72864</v>
      </c>
      <c r="BV25" s="351">
        <v>13.64241</v>
      </c>
    </row>
    <row r="26" spans="1:74" ht="11.1" customHeight="1" x14ac:dyDescent="0.2">
      <c r="A26" s="119" t="s">
        <v>650</v>
      </c>
      <c r="B26" s="206" t="s">
        <v>425</v>
      </c>
      <c r="C26" s="213">
        <v>10.08</v>
      </c>
      <c r="D26" s="213">
        <v>10.25</v>
      </c>
      <c r="E26" s="213">
        <v>10.23</v>
      </c>
      <c r="F26" s="213">
        <v>10.19</v>
      </c>
      <c r="G26" s="213">
        <v>10.31</v>
      </c>
      <c r="H26" s="213">
        <v>10.66</v>
      </c>
      <c r="I26" s="213">
        <v>10.68</v>
      </c>
      <c r="J26" s="213">
        <v>10.76</v>
      </c>
      <c r="K26" s="213">
        <v>10.77</v>
      </c>
      <c r="L26" s="213">
        <v>10.55</v>
      </c>
      <c r="M26" s="213">
        <v>10.32</v>
      </c>
      <c r="N26" s="213">
        <v>10.17</v>
      </c>
      <c r="O26" s="213">
        <v>10.210000000000001</v>
      </c>
      <c r="P26" s="213">
        <v>10.48</v>
      </c>
      <c r="Q26" s="213">
        <v>10.46</v>
      </c>
      <c r="R26" s="213">
        <v>10.4</v>
      </c>
      <c r="S26" s="213">
        <v>10.59</v>
      </c>
      <c r="T26" s="213">
        <v>11.01</v>
      </c>
      <c r="U26" s="213">
        <v>10.97</v>
      </c>
      <c r="V26" s="213">
        <v>11.01</v>
      </c>
      <c r="W26" s="213">
        <v>11.03</v>
      </c>
      <c r="X26" s="213">
        <v>10.78</v>
      </c>
      <c r="Y26" s="213">
        <v>10.49</v>
      </c>
      <c r="Z26" s="213">
        <v>10.28</v>
      </c>
      <c r="AA26" s="213">
        <v>10.49</v>
      </c>
      <c r="AB26" s="213">
        <v>10.65</v>
      </c>
      <c r="AC26" s="213">
        <v>10.51</v>
      </c>
      <c r="AD26" s="213">
        <v>10.46</v>
      </c>
      <c r="AE26" s="213">
        <v>10.51</v>
      </c>
      <c r="AF26" s="213">
        <v>10.84</v>
      </c>
      <c r="AG26" s="213">
        <v>11</v>
      </c>
      <c r="AH26" s="213">
        <v>11.03</v>
      </c>
      <c r="AI26" s="213">
        <v>10.72</v>
      </c>
      <c r="AJ26" s="213">
        <v>10.77</v>
      </c>
      <c r="AK26" s="213">
        <v>10.54</v>
      </c>
      <c r="AL26" s="213">
        <v>10.33</v>
      </c>
      <c r="AM26" s="213">
        <v>10.3</v>
      </c>
      <c r="AN26" s="213">
        <v>10.54</v>
      </c>
      <c r="AO26" s="213">
        <v>10.45</v>
      </c>
      <c r="AP26" s="213">
        <v>10.51</v>
      </c>
      <c r="AQ26" s="213">
        <v>10.51</v>
      </c>
      <c r="AR26" s="213">
        <v>10.88</v>
      </c>
      <c r="AS26" s="213">
        <v>11.01</v>
      </c>
      <c r="AT26" s="213">
        <v>11.01</v>
      </c>
      <c r="AU26" s="213">
        <v>10.97</v>
      </c>
      <c r="AV26" s="213">
        <v>10.74</v>
      </c>
      <c r="AW26" s="213">
        <v>10.52</v>
      </c>
      <c r="AX26" s="213">
        <v>10.31</v>
      </c>
      <c r="AY26" s="213">
        <v>10.28</v>
      </c>
      <c r="AZ26" s="213">
        <v>10.36</v>
      </c>
      <c r="BA26" s="213">
        <v>10.41</v>
      </c>
      <c r="BB26" s="213">
        <v>10.42</v>
      </c>
      <c r="BC26" s="213">
        <v>10.44</v>
      </c>
      <c r="BD26" s="213">
        <v>10.96</v>
      </c>
      <c r="BE26" s="213">
        <v>10.803050000000001</v>
      </c>
      <c r="BF26" s="213">
        <v>10.761380000000001</v>
      </c>
      <c r="BG26" s="351">
        <v>10.80964</v>
      </c>
      <c r="BH26" s="351">
        <v>10.5908</v>
      </c>
      <c r="BI26" s="351">
        <v>10.38025</v>
      </c>
      <c r="BJ26" s="351">
        <v>10.178879999999999</v>
      </c>
      <c r="BK26" s="351">
        <v>10.1845</v>
      </c>
      <c r="BL26" s="351">
        <v>10.3124</v>
      </c>
      <c r="BM26" s="351">
        <v>10.415760000000001</v>
      </c>
      <c r="BN26" s="351">
        <v>10.5344</v>
      </c>
      <c r="BO26" s="351">
        <v>10.574249999999999</v>
      </c>
      <c r="BP26" s="351">
        <v>11.13115</v>
      </c>
      <c r="BQ26" s="351">
        <v>11.02619</v>
      </c>
      <c r="BR26" s="351">
        <v>10.99741</v>
      </c>
      <c r="BS26" s="351">
        <v>11.037750000000001</v>
      </c>
      <c r="BT26" s="351">
        <v>10.802149999999999</v>
      </c>
      <c r="BU26" s="351">
        <v>10.571210000000001</v>
      </c>
      <c r="BV26" s="351">
        <v>10.33799</v>
      </c>
    </row>
    <row r="27" spans="1:74" ht="11.1" customHeight="1" x14ac:dyDescent="0.2">
      <c r="A27" s="119"/>
      <c r="B27" s="122" t="s">
        <v>31</v>
      </c>
      <c r="C27" s="483"/>
      <c r="D27" s="483"/>
      <c r="E27" s="483"/>
      <c r="F27" s="483"/>
      <c r="G27" s="483"/>
      <c r="H27" s="483"/>
      <c r="I27" s="483"/>
      <c r="J27" s="483"/>
      <c r="K27" s="483"/>
      <c r="L27" s="483"/>
      <c r="M27" s="483"/>
      <c r="N27" s="483"/>
      <c r="O27" s="483"/>
      <c r="P27" s="483"/>
      <c r="Q27" s="483"/>
      <c r="R27" s="483"/>
      <c r="S27" s="483"/>
      <c r="T27" s="483"/>
      <c r="U27" s="483"/>
      <c r="V27" s="483"/>
      <c r="W27" s="483"/>
      <c r="X27" s="483"/>
      <c r="Y27" s="483"/>
      <c r="Z27" s="483"/>
      <c r="AA27" s="483"/>
      <c r="AB27" s="483"/>
      <c r="AC27" s="483"/>
      <c r="AD27" s="483"/>
      <c r="AE27" s="483"/>
      <c r="AF27" s="483"/>
      <c r="AG27" s="483"/>
      <c r="AH27" s="483"/>
      <c r="AI27" s="483"/>
      <c r="AJ27" s="483"/>
      <c r="AK27" s="483"/>
      <c r="AL27" s="483"/>
      <c r="AM27" s="483"/>
      <c r="AN27" s="483"/>
      <c r="AO27" s="483"/>
      <c r="AP27" s="483"/>
      <c r="AQ27" s="483"/>
      <c r="AR27" s="483"/>
      <c r="AS27" s="483"/>
      <c r="AT27" s="483"/>
      <c r="AU27" s="483"/>
      <c r="AV27" s="483"/>
      <c r="AW27" s="483"/>
      <c r="AX27" s="483"/>
      <c r="AY27" s="483"/>
      <c r="AZ27" s="483"/>
      <c r="BA27" s="483"/>
      <c r="BB27" s="483"/>
      <c r="BC27" s="483"/>
      <c r="BD27" s="483"/>
      <c r="BE27" s="483"/>
      <c r="BF27" s="483"/>
      <c r="BG27" s="484"/>
      <c r="BH27" s="484"/>
      <c r="BI27" s="484"/>
      <c r="BJ27" s="484"/>
      <c r="BK27" s="484"/>
      <c r="BL27" s="484"/>
      <c r="BM27" s="484"/>
      <c r="BN27" s="484"/>
      <c r="BO27" s="484"/>
      <c r="BP27" s="484"/>
      <c r="BQ27" s="484"/>
      <c r="BR27" s="484"/>
      <c r="BS27" s="484"/>
      <c r="BT27" s="484"/>
      <c r="BU27" s="484"/>
      <c r="BV27" s="484"/>
    </row>
    <row r="28" spans="1:74" ht="11.1" customHeight="1" x14ac:dyDescent="0.2">
      <c r="A28" s="119" t="s">
        <v>651</v>
      </c>
      <c r="B28" s="204" t="s">
        <v>444</v>
      </c>
      <c r="C28" s="213">
        <v>12.221913176999999</v>
      </c>
      <c r="D28" s="213">
        <v>12.351034458000001</v>
      </c>
      <c r="E28" s="213">
        <v>12.268488891000001</v>
      </c>
      <c r="F28" s="213">
        <v>11.992099654</v>
      </c>
      <c r="G28" s="213">
        <v>11.882656556000001</v>
      </c>
      <c r="H28" s="213">
        <v>11.969740572999999</v>
      </c>
      <c r="I28" s="213">
        <v>12.409880997</v>
      </c>
      <c r="J28" s="213">
        <v>12.449153411999999</v>
      </c>
      <c r="K28" s="213">
        <v>12.33454957</v>
      </c>
      <c r="L28" s="213">
        <v>12.074569305000001</v>
      </c>
      <c r="M28" s="213">
        <v>12.065797656000001</v>
      </c>
      <c r="N28" s="213">
        <v>12.309073605</v>
      </c>
      <c r="O28" s="213">
        <v>12.582858787999999</v>
      </c>
      <c r="P28" s="213">
        <v>12.429948617999999</v>
      </c>
      <c r="Q28" s="213">
        <v>12.428291076000001</v>
      </c>
      <c r="R28" s="213">
        <v>12.274060553</v>
      </c>
      <c r="S28" s="213">
        <v>12.138303944</v>
      </c>
      <c r="T28" s="213">
        <v>12.508081369999999</v>
      </c>
      <c r="U28" s="213">
        <v>12.828689370999999</v>
      </c>
      <c r="V28" s="213">
        <v>12.755233370999999</v>
      </c>
      <c r="W28" s="213">
        <v>12.660213646000001</v>
      </c>
      <c r="X28" s="213">
        <v>12.316445468</v>
      </c>
      <c r="Y28" s="213">
        <v>12.560435927</v>
      </c>
      <c r="Z28" s="213">
        <v>12.885526641</v>
      </c>
      <c r="AA28" s="213">
        <v>13.743459837</v>
      </c>
      <c r="AB28" s="213">
        <v>13.987010441000001</v>
      </c>
      <c r="AC28" s="213">
        <v>13.037393857</v>
      </c>
      <c r="AD28" s="213">
        <v>12.974206239000001</v>
      </c>
      <c r="AE28" s="213">
        <v>12.691192719</v>
      </c>
      <c r="AF28" s="213">
        <v>13.178389618000001</v>
      </c>
      <c r="AG28" s="213">
        <v>13.112714295</v>
      </c>
      <c r="AH28" s="213">
        <v>13.028683445</v>
      </c>
      <c r="AI28" s="213">
        <v>13.134027527000001</v>
      </c>
      <c r="AJ28" s="213">
        <v>12.898097559</v>
      </c>
      <c r="AK28" s="213">
        <v>13.044944564</v>
      </c>
      <c r="AL28" s="213">
        <v>13.610097356000001</v>
      </c>
      <c r="AM28" s="213">
        <v>13.269264594999999</v>
      </c>
      <c r="AN28" s="213">
        <v>13.970263465</v>
      </c>
      <c r="AO28" s="213">
        <v>13.192337621</v>
      </c>
      <c r="AP28" s="213">
        <v>13.102740324999999</v>
      </c>
      <c r="AQ28" s="213">
        <v>12.499757495000001</v>
      </c>
      <c r="AR28" s="213">
        <v>13.111206412</v>
      </c>
      <c r="AS28" s="213">
        <v>12.595517953</v>
      </c>
      <c r="AT28" s="213">
        <v>12.643510137</v>
      </c>
      <c r="AU28" s="213">
        <v>12.768149062999999</v>
      </c>
      <c r="AV28" s="213">
        <v>12.342065740000001</v>
      </c>
      <c r="AW28" s="213">
        <v>12.952240010000001</v>
      </c>
      <c r="AX28" s="213">
        <v>12.825563623000001</v>
      </c>
      <c r="AY28" s="213">
        <v>12.813443752</v>
      </c>
      <c r="AZ28" s="213">
        <v>12.874270717</v>
      </c>
      <c r="BA28" s="213">
        <v>12.528331575999999</v>
      </c>
      <c r="BB28" s="213">
        <v>12.680098679</v>
      </c>
      <c r="BC28" s="213">
        <v>12.86</v>
      </c>
      <c r="BD28" s="213">
        <v>12.38</v>
      </c>
      <c r="BE28" s="213">
        <v>11.99424</v>
      </c>
      <c r="BF28" s="213">
        <v>12.16376</v>
      </c>
      <c r="BG28" s="351">
        <v>12.4025</v>
      </c>
      <c r="BH28" s="351">
        <v>12.069520000000001</v>
      </c>
      <c r="BI28" s="351">
        <v>12.732620000000001</v>
      </c>
      <c r="BJ28" s="351">
        <v>12.66375</v>
      </c>
      <c r="BK28" s="351">
        <v>12.707190000000001</v>
      </c>
      <c r="BL28" s="351">
        <v>12.82437</v>
      </c>
      <c r="BM28" s="351">
        <v>12.54538</v>
      </c>
      <c r="BN28" s="351">
        <v>12.79034</v>
      </c>
      <c r="BO28" s="351">
        <v>13.02012</v>
      </c>
      <c r="BP28" s="351">
        <v>12.563560000000001</v>
      </c>
      <c r="BQ28" s="351">
        <v>12.200189999999999</v>
      </c>
      <c r="BR28" s="351">
        <v>12.405060000000001</v>
      </c>
      <c r="BS28" s="351">
        <v>12.664709999999999</v>
      </c>
      <c r="BT28" s="351">
        <v>12.33606</v>
      </c>
      <c r="BU28" s="351">
        <v>13.018179999999999</v>
      </c>
      <c r="BV28" s="351">
        <v>12.94589</v>
      </c>
    </row>
    <row r="29" spans="1:74" ht="11.1" customHeight="1" x14ac:dyDescent="0.2">
      <c r="A29" s="119" t="s">
        <v>652</v>
      </c>
      <c r="B29" s="187" t="s">
        <v>477</v>
      </c>
      <c r="C29" s="213">
        <v>6.9299799727</v>
      </c>
      <c r="D29" s="213">
        <v>7.1016222220999996</v>
      </c>
      <c r="E29" s="213">
        <v>7.0573750647000004</v>
      </c>
      <c r="F29" s="213">
        <v>6.9335188709000004</v>
      </c>
      <c r="G29" s="213">
        <v>6.9132971323000003</v>
      </c>
      <c r="H29" s="213">
        <v>7.1956887252000001</v>
      </c>
      <c r="I29" s="213">
        <v>6.9793618853000003</v>
      </c>
      <c r="J29" s="213">
        <v>7.2841146095999996</v>
      </c>
      <c r="K29" s="213">
        <v>7.1408326621000002</v>
      </c>
      <c r="L29" s="213">
        <v>6.8895679289</v>
      </c>
      <c r="M29" s="213">
        <v>7.0329963282000003</v>
      </c>
      <c r="N29" s="213">
        <v>6.8793157254999997</v>
      </c>
      <c r="O29" s="213">
        <v>7.0673160975</v>
      </c>
      <c r="P29" s="213">
        <v>6.7646632134000004</v>
      </c>
      <c r="Q29" s="213">
        <v>7.0068870563000001</v>
      </c>
      <c r="R29" s="213">
        <v>6.9294253252000004</v>
      </c>
      <c r="S29" s="213">
        <v>6.9815101049999999</v>
      </c>
      <c r="T29" s="213">
        <v>6.9452886984999997</v>
      </c>
      <c r="U29" s="213">
        <v>6.8826226487</v>
      </c>
      <c r="V29" s="213">
        <v>6.9230049550999997</v>
      </c>
      <c r="W29" s="213">
        <v>6.8991358996000001</v>
      </c>
      <c r="X29" s="213">
        <v>6.9182513247999999</v>
      </c>
      <c r="Y29" s="213">
        <v>6.6799544610000003</v>
      </c>
      <c r="Z29" s="213">
        <v>6.7946066517999997</v>
      </c>
      <c r="AA29" s="213">
        <v>7.7015788498999997</v>
      </c>
      <c r="AB29" s="213">
        <v>7.4247497699</v>
      </c>
      <c r="AC29" s="213">
        <v>6.6332644272000003</v>
      </c>
      <c r="AD29" s="213">
        <v>6.6897881906999999</v>
      </c>
      <c r="AE29" s="213">
        <v>6.9264165220000002</v>
      </c>
      <c r="AF29" s="213">
        <v>6.9221354017000003</v>
      </c>
      <c r="AG29" s="213">
        <v>6.9547638714</v>
      </c>
      <c r="AH29" s="213">
        <v>6.9322286193</v>
      </c>
      <c r="AI29" s="213">
        <v>6.8551611817999998</v>
      </c>
      <c r="AJ29" s="213">
        <v>6.8860219965000002</v>
      </c>
      <c r="AK29" s="213">
        <v>6.8106240491000003</v>
      </c>
      <c r="AL29" s="213">
        <v>6.7859536605999997</v>
      </c>
      <c r="AM29" s="213">
        <v>6.7924882494999999</v>
      </c>
      <c r="AN29" s="213">
        <v>6.7176068527000004</v>
      </c>
      <c r="AO29" s="213">
        <v>6.6638606848000004</v>
      </c>
      <c r="AP29" s="213">
        <v>6.5540371444999996</v>
      </c>
      <c r="AQ29" s="213">
        <v>6.6651426193000001</v>
      </c>
      <c r="AR29" s="213">
        <v>6.3589111281999999</v>
      </c>
      <c r="AS29" s="213">
        <v>6.5431087002000003</v>
      </c>
      <c r="AT29" s="213">
        <v>6.6305776808000001</v>
      </c>
      <c r="AU29" s="213">
        <v>6.4482193641999999</v>
      </c>
      <c r="AV29" s="213">
        <v>6.4282367362999997</v>
      </c>
      <c r="AW29" s="213">
        <v>6.3774059407000001</v>
      </c>
      <c r="AX29" s="213">
        <v>6.3917452349000001</v>
      </c>
      <c r="AY29" s="213">
        <v>6.3669286133999998</v>
      </c>
      <c r="AZ29" s="213">
        <v>6.3911356067999998</v>
      </c>
      <c r="BA29" s="213">
        <v>6.2722273595000004</v>
      </c>
      <c r="BB29" s="213">
        <v>6.3075977135999999</v>
      </c>
      <c r="BC29" s="213">
        <v>6.34</v>
      </c>
      <c r="BD29" s="213">
        <v>6.39</v>
      </c>
      <c r="BE29" s="213">
        <v>6.4684429999999997</v>
      </c>
      <c r="BF29" s="213">
        <v>6.5069980000000003</v>
      </c>
      <c r="BG29" s="351">
        <v>6.2899390000000004</v>
      </c>
      <c r="BH29" s="351">
        <v>6.2644710000000003</v>
      </c>
      <c r="BI29" s="351">
        <v>6.1275110000000002</v>
      </c>
      <c r="BJ29" s="351">
        <v>6.2444689999999996</v>
      </c>
      <c r="BK29" s="351">
        <v>6.3121780000000003</v>
      </c>
      <c r="BL29" s="351">
        <v>6.4126640000000004</v>
      </c>
      <c r="BM29" s="351">
        <v>6.298915</v>
      </c>
      <c r="BN29" s="351">
        <v>6.3443610000000001</v>
      </c>
      <c r="BO29" s="351">
        <v>6.3709470000000001</v>
      </c>
      <c r="BP29" s="351">
        <v>6.3713189999999997</v>
      </c>
      <c r="BQ29" s="351">
        <v>6.3103610000000003</v>
      </c>
      <c r="BR29" s="351">
        <v>6.415578</v>
      </c>
      <c r="BS29" s="351">
        <v>6.1863809999999999</v>
      </c>
      <c r="BT29" s="351">
        <v>6.1645459999999996</v>
      </c>
      <c r="BU29" s="351">
        <v>6.018268</v>
      </c>
      <c r="BV29" s="351">
        <v>6.1483169999999996</v>
      </c>
    </row>
    <row r="30" spans="1:74" ht="11.1" customHeight="1" x14ac:dyDescent="0.2">
      <c r="A30" s="119" t="s">
        <v>653</v>
      </c>
      <c r="B30" s="204" t="s">
        <v>445</v>
      </c>
      <c r="C30" s="213">
        <v>6.7740946143</v>
      </c>
      <c r="D30" s="213">
        <v>6.7778260385999998</v>
      </c>
      <c r="E30" s="213">
        <v>6.7744088622999996</v>
      </c>
      <c r="F30" s="213">
        <v>6.8127669921000003</v>
      </c>
      <c r="G30" s="213">
        <v>6.8884283041999996</v>
      </c>
      <c r="H30" s="213">
        <v>6.9342707492000004</v>
      </c>
      <c r="I30" s="213">
        <v>7.0494780884999999</v>
      </c>
      <c r="J30" s="213">
        <v>7.0821145040999998</v>
      </c>
      <c r="K30" s="213">
        <v>7.0184065671000004</v>
      </c>
      <c r="L30" s="213">
        <v>7.0420186406000003</v>
      </c>
      <c r="M30" s="213">
        <v>6.9740846014000004</v>
      </c>
      <c r="N30" s="213">
        <v>6.9314147523000003</v>
      </c>
      <c r="O30" s="213">
        <v>7.1330343986000004</v>
      </c>
      <c r="P30" s="213">
        <v>7.0626941391000004</v>
      </c>
      <c r="Q30" s="213">
        <v>7.1562811689999997</v>
      </c>
      <c r="R30" s="213">
        <v>6.9980036305000004</v>
      </c>
      <c r="S30" s="213">
        <v>7.1054968610999998</v>
      </c>
      <c r="T30" s="213">
        <v>7.1457101978999997</v>
      </c>
      <c r="U30" s="213">
        <v>7.1589745894999997</v>
      </c>
      <c r="V30" s="213">
        <v>7.0752464170999998</v>
      </c>
      <c r="W30" s="213">
        <v>7.0606976809999997</v>
      </c>
      <c r="X30" s="213">
        <v>7.0017160234000002</v>
      </c>
      <c r="Y30" s="213">
        <v>7.0389506416999996</v>
      </c>
      <c r="Z30" s="213">
        <v>6.9573190289999998</v>
      </c>
      <c r="AA30" s="213">
        <v>7.4038972962000003</v>
      </c>
      <c r="AB30" s="213">
        <v>7.1158958564999999</v>
      </c>
      <c r="AC30" s="213">
        <v>6.9322158692000002</v>
      </c>
      <c r="AD30" s="213">
        <v>7.0171455253000001</v>
      </c>
      <c r="AE30" s="213">
        <v>7.0336994200999996</v>
      </c>
      <c r="AF30" s="213">
        <v>7.063906792</v>
      </c>
      <c r="AG30" s="213">
        <v>7.1323499839000002</v>
      </c>
      <c r="AH30" s="213">
        <v>7.0649102207999999</v>
      </c>
      <c r="AI30" s="213">
        <v>7.0201144563</v>
      </c>
      <c r="AJ30" s="213">
        <v>7.1197258566999997</v>
      </c>
      <c r="AK30" s="213">
        <v>7.1006128182000001</v>
      </c>
      <c r="AL30" s="213">
        <v>7.2444218226999997</v>
      </c>
      <c r="AM30" s="213">
        <v>7.0072963784000004</v>
      </c>
      <c r="AN30" s="213">
        <v>7.0559193281999999</v>
      </c>
      <c r="AO30" s="213">
        <v>7.0403784672</v>
      </c>
      <c r="AP30" s="213">
        <v>6.9567896410000003</v>
      </c>
      <c r="AQ30" s="213">
        <v>6.789361424</v>
      </c>
      <c r="AR30" s="213">
        <v>6.7763910592999999</v>
      </c>
      <c r="AS30" s="213">
        <v>6.9111214979</v>
      </c>
      <c r="AT30" s="213">
        <v>6.8686281915</v>
      </c>
      <c r="AU30" s="213">
        <v>6.6988320071</v>
      </c>
      <c r="AV30" s="213">
        <v>6.8714725435000004</v>
      </c>
      <c r="AW30" s="213">
        <v>6.8726438439999997</v>
      </c>
      <c r="AX30" s="213">
        <v>6.5342629426999999</v>
      </c>
      <c r="AY30" s="213">
        <v>6.5064373282999997</v>
      </c>
      <c r="AZ30" s="213">
        <v>6.5583766074999996</v>
      </c>
      <c r="BA30" s="213">
        <v>6.4566315297000001</v>
      </c>
      <c r="BB30" s="213">
        <v>6.6901005125999999</v>
      </c>
      <c r="BC30" s="213">
        <v>6.73</v>
      </c>
      <c r="BD30" s="213">
        <v>6.92</v>
      </c>
      <c r="BE30" s="213">
        <v>7.0402069999999997</v>
      </c>
      <c r="BF30" s="213">
        <v>7.0046239999999997</v>
      </c>
      <c r="BG30" s="351">
        <v>6.7649080000000001</v>
      </c>
      <c r="BH30" s="351">
        <v>6.9550270000000003</v>
      </c>
      <c r="BI30" s="351">
        <v>6.9060940000000004</v>
      </c>
      <c r="BJ30" s="351">
        <v>6.624733</v>
      </c>
      <c r="BK30" s="351">
        <v>6.631005</v>
      </c>
      <c r="BL30" s="351">
        <v>6.7190630000000002</v>
      </c>
      <c r="BM30" s="351">
        <v>6.629518</v>
      </c>
      <c r="BN30" s="351">
        <v>6.8739189999999999</v>
      </c>
      <c r="BO30" s="351">
        <v>6.8872710000000001</v>
      </c>
      <c r="BP30" s="351">
        <v>7.0713809999999997</v>
      </c>
      <c r="BQ30" s="351">
        <v>7.1056109999999997</v>
      </c>
      <c r="BR30" s="351">
        <v>7.1013869999999999</v>
      </c>
      <c r="BS30" s="351">
        <v>6.8453010000000001</v>
      </c>
      <c r="BT30" s="351">
        <v>7.0362549999999997</v>
      </c>
      <c r="BU30" s="351">
        <v>6.9842399999999998</v>
      </c>
      <c r="BV30" s="351">
        <v>6.712555</v>
      </c>
    </row>
    <row r="31" spans="1:74" ht="11.1" customHeight="1" x14ac:dyDescent="0.2">
      <c r="A31" s="119" t="s">
        <v>654</v>
      </c>
      <c r="B31" s="204" t="s">
        <v>446</v>
      </c>
      <c r="C31" s="213">
        <v>6.6044842514999997</v>
      </c>
      <c r="D31" s="213">
        <v>6.6583585854000003</v>
      </c>
      <c r="E31" s="213">
        <v>6.8606939714999999</v>
      </c>
      <c r="F31" s="213">
        <v>6.5705424102999999</v>
      </c>
      <c r="G31" s="213">
        <v>6.9594603451000001</v>
      </c>
      <c r="H31" s="213">
        <v>7.8202853599999997</v>
      </c>
      <c r="I31" s="213">
        <v>8.0453237482999995</v>
      </c>
      <c r="J31" s="213">
        <v>7.9605418764999998</v>
      </c>
      <c r="K31" s="213">
        <v>7.3779774449</v>
      </c>
      <c r="L31" s="213">
        <v>6.8760797340000002</v>
      </c>
      <c r="M31" s="213">
        <v>6.6968937689999999</v>
      </c>
      <c r="N31" s="213">
        <v>6.7277644740999998</v>
      </c>
      <c r="O31" s="213">
        <v>6.7246987712999999</v>
      </c>
      <c r="P31" s="213">
        <v>6.7894122776000003</v>
      </c>
      <c r="Q31" s="213">
        <v>6.8840373297999999</v>
      </c>
      <c r="R31" s="213">
        <v>6.8914836042000003</v>
      </c>
      <c r="S31" s="213">
        <v>6.9727418524000004</v>
      </c>
      <c r="T31" s="213">
        <v>7.7631670897999996</v>
      </c>
      <c r="U31" s="213">
        <v>8.1508646356999996</v>
      </c>
      <c r="V31" s="213">
        <v>7.9451002839999996</v>
      </c>
      <c r="W31" s="213">
        <v>7.6366086352</v>
      </c>
      <c r="X31" s="213">
        <v>6.8404593278999997</v>
      </c>
      <c r="Y31" s="213">
        <v>6.7718628728999999</v>
      </c>
      <c r="Z31" s="213">
        <v>6.4163575178999999</v>
      </c>
      <c r="AA31" s="213">
        <v>6.8690717096</v>
      </c>
      <c r="AB31" s="213">
        <v>7.0549150577999997</v>
      </c>
      <c r="AC31" s="213">
        <v>6.9788118078999997</v>
      </c>
      <c r="AD31" s="213">
        <v>6.7386380810000004</v>
      </c>
      <c r="AE31" s="213">
        <v>7.1789870447000004</v>
      </c>
      <c r="AF31" s="213">
        <v>7.9058580155999998</v>
      </c>
      <c r="AG31" s="213">
        <v>8.1680137433999995</v>
      </c>
      <c r="AH31" s="213">
        <v>7.9233628528000004</v>
      </c>
      <c r="AI31" s="213">
        <v>7.7044271603999999</v>
      </c>
      <c r="AJ31" s="213">
        <v>6.9565736746000004</v>
      </c>
      <c r="AK31" s="213">
        <v>6.8587843203999999</v>
      </c>
      <c r="AL31" s="213">
        <v>6.7425682765000001</v>
      </c>
      <c r="AM31" s="213">
        <v>6.8602872245000004</v>
      </c>
      <c r="AN31" s="213">
        <v>7.2382895305000003</v>
      </c>
      <c r="AO31" s="213">
        <v>7.3174085524999999</v>
      </c>
      <c r="AP31" s="213">
        <v>6.8679391670000003</v>
      </c>
      <c r="AQ31" s="213">
        <v>7.1755995437999998</v>
      </c>
      <c r="AR31" s="213">
        <v>7.9564330955000004</v>
      </c>
      <c r="AS31" s="213">
        <v>8.1620128792000006</v>
      </c>
      <c r="AT31" s="213">
        <v>8.2081236618000002</v>
      </c>
      <c r="AU31" s="213">
        <v>7.9035103342999999</v>
      </c>
      <c r="AV31" s="213">
        <v>7.0618087053999998</v>
      </c>
      <c r="AW31" s="213">
        <v>6.8138851309000001</v>
      </c>
      <c r="AX31" s="213">
        <v>6.7221402317000001</v>
      </c>
      <c r="AY31" s="213">
        <v>6.7726770819000004</v>
      </c>
      <c r="AZ31" s="213">
        <v>6.9189032562000001</v>
      </c>
      <c r="BA31" s="213">
        <v>7.1151609467999997</v>
      </c>
      <c r="BB31" s="213">
        <v>7.0338016276999999</v>
      </c>
      <c r="BC31" s="213">
        <v>7.16</v>
      </c>
      <c r="BD31" s="213">
        <v>7.71</v>
      </c>
      <c r="BE31" s="213">
        <v>8.3071219999999997</v>
      </c>
      <c r="BF31" s="213">
        <v>8.4839190000000002</v>
      </c>
      <c r="BG31" s="351">
        <v>8.1192519999999995</v>
      </c>
      <c r="BH31" s="351">
        <v>7.2956979999999998</v>
      </c>
      <c r="BI31" s="351">
        <v>7.0207059999999997</v>
      </c>
      <c r="BJ31" s="351">
        <v>6.9478879999999998</v>
      </c>
      <c r="BK31" s="351">
        <v>7.020302</v>
      </c>
      <c r="BL31" s="351">
        <v>7.1644680000000003</v>
      </c>
      <c r="BM31" s="351">
        <v>7.3642380000000003</v>
      </c>
      <c r="BN31" s="351">
        <v>7.168285</v>
      </c>
      <c r="BO31" s="351">
        <v>7.2833730000000001</v>
      </c>
      <c r="BP31" s="351">
        <v>7.8771050000000002</v>
      </c>
      <c r="BQ31" s="351">
        <v>8.4586210000000008</v>
      </c>
      <c r="BR31" s="351">
        <v>8.6189909999999994</v>
      </c>
      <c r="BS31" s="351">
        <v>8.2362719999999996</v>
      </c>
      <c r="BT31" s="351">
        <v>7.395918</v>
      </c>
      <c r="BU31" s="351">
        <v>7.1118569999999997</v>
      </c>
      <c r="BV31" s="351">
        <v>7.0495830000000002</v>
      </c>
    </row>
    <row r="32" spans="1:74" ht="11.1" customHeight="1" x14ac:dyDescent="0.2">
      <c r="A32" s="119" t="s">
        <v>655</v>
      </c>
      <c r="B32" s="204" t="s">
        <v>447</v>
      </c>
      <c r="C32" s="213">
        <v>6.3852516911999997</v>
      </c>
      <c r="D32" s="213">
        <v>6.2149133831999999</v>
      </c>
      <c r="E32" s="213">
        <v>5.9887051896000001</v>
      </c>
      <c r="F32" s="213">
        <v>6.2276023999000003</v>
      </c>
      <c r="G32" s="213">
        <v>6.2326217847000001</v>
      </c>
      <c r="H32" s="213">
        <v>6.6911160598999997</v>
      </c>
      <c r="I32" s="213">
        <v>7.0106394923000002</v>
      </c>
      <c r="J32" s="213">
        <v>6.7252428932999999</v>
      </c>
      <c r="K32" s="213">
        <v>6.7496581439999996</v>
      </c>
      <c r="L32" s="213">
        <v>6.4286508056000002</v>
      </c>
      <c r="M32" s="213">
        <v>6.2605158209000003</v>
      </c>
      <c r="N32" s="213">
        <v>6.4377111517000003</v>
      </c>
      <c r="O32" s="213">
        <v>6.3614569642000003</v>
      </c>
      <c r="P32" s="213">
        <v>6.3832892744</v>
      </c>
      <c r="Q32" s="213">
        <v>6.3875779357000004</v>
      </c>
      <c r="R32" s="213">
        <v>6.3845338442999999</v>
      </c>
      <c r="S32" s="213">
        <v>6.3175940765999998</v>
      </c>
      <c r="T32" s="213">
        <v>6.5980363468999998</v>
      </c>
      <c r="U32" s="213">
        <v>6.9454571645999996</v>
      </c>
      <c r="V32" s="213">
        <v>6.7331692360000002</v>
      </c>
      <c r="W32" s="213">
        <v>6.7730171843000004</v>
      </c>
      <c r="X32" s="213">
        <v>6.4468618693000002</v>
      </c>
      <c r="Y32" s="213">
        <v>6.3273894163</v>
      </c>
      <c r="Z32" s="213">
        <v>6.3091567579000003</v>
      </c>
      <c r="AA32" s="213">
        <v>7.0003253875000002</v>
      </c>
      <c r="AB32" s="213">
        <v>6.4437217431000002</v>
      </c>
      <c r="AC32" s="213">
        <v>6.2580873235999999</v>
      </c>
      <c r="AD32" s="213">
        <v>6.327934409</v>
      </c>
      <c r="AE32" s="213">
        <v>6.2831371840000001</v>
      </c>
      <c r="AF32" s="213">
        <v>6.6677145532999997</v>
      </c>
      <c r="AG32" s="213">
        <v>6.7696614496</v>
      </c>
      <c r="AH32" s="213">
        <v>6.4907889610999998</v>
      </c>
      <c r="AI32" s="213">
        <v>6.6885250873000004</v>
      </c>
      <c r="AJ32" s="213">
        <v>6.2597714393999997</v>
      </c>
      <c r="AK32" s="213">
        <v>6.7000793882999998</v>
      </c>
      <c r="AL32" s="213">
        <v>6.3344873702999998</v>
      </c>
      <c r="AM32" s="213">
        <v>6.1672989613000002</v>
      </c>
      <c r="AN32" s="213">
        <v>6.1956927896999998</v>
      </c>
      <c r="AO32" s="213">
        <v>6.2930323877000003</v>
      </c>
      <c r="AP32" s="213">
        <v>6.0627581526999998</v>
      </c>
      <c r="AQ32" s="213">
        <v>6.2897073960999998</v>
      </c>
      <c r="AR32" s="213">
        <v>6.4882625241999996</v>
      </c>
      <c r="AS32" s="213">
        <v>6.8165110409</v>
      </c>
      <c r="AT32" s="213">
        <v>6.7559997346999996</v>
      </c>
      <c r="AU32" s="213">
        <v>6.5788938418000003</v>
      </c>
      <c r="AV32" s="213">
        <v>6.2875528430000003</v>
      </c>
      <c r="AW32" s="213">
        <v>6.2626141587999999</v>
      </c>
      <c r="AX32" s="213">
        <v>5.9893907118999996</v>
      </c>
      <c r="AY32" s="213">
        <v>5.9413708388000002</v>
      </c>
      <c r="AZ32" s="213">
        <v>6.0591013322</v>
      </c>
      <c r="BA32" s="213">
        <v>5.9010192501000001</v>
      </c>
      <c r="BB32" s="213">
        <v>6.1692478683000003</v>
      </c>
      <c r="BC32" s="213">
        <v>5.75</v>
      </c>
      <c r="BD32" s="213">
        <v>6.29</v>
      </c>
      <c r="BE32" s="213">
        <v>6.6251990000000003</v>
      </c>
      <c r="BF32" s="213">
        <v>6.6524039999999998</v>
      </c>
      <c r="BG32" s="351">
        <v>6.5163609999999998</v>
      </c>
      <c r="BH32" s="351">
        <v>6.2674289999999999</v>
      </c>
      <c r="BI32" s="351">
        <v>6.2436429999999996</v>
      </c>
      <c r="BJ32" s="351">
        <v>5.97133</v>
      </c>
      <c r="BK32" s="351">
        <v>5.9567249999999996</v>
      </c>
      <c r="BL32" s="351">
        <v>6.0897199999999998</v>
      </c>
      <c r="BM32" s="351">
        <v>6.0177339999999999</v>
      </c>
      <c r="BN32" s="351">
        <v>6.4187440000000002</v>
      </c>
      <c r="BO32" s="351">
        <v>5.9976649999999996</v>
      </c>
      <c r="BP32" s="351">
        <v>6.5505750000000003</v>
      </c>
      <c r="BQ32" s="351">
        <v>6.7877179999999999</v>
      </c>
      <c r="BR32" s="351">
        <v>6.733174</v>
      </c>
      <c r="BS32" s="351">
        <v>6.5551279999999998</v>
      </c>
      <c r="BT32" s="351">
        <v>6.3092639999999998</v>
      </c>
      <c r="BU32" s="351">
        <v>6.2531040000000004</v>
      </c>
      <c r="BV32" s="351">
        <v>5.9891899999999998</v>
      </c>
    </row>
    <row r="33" spans="1:74" ht="11.1" customHeight="1" x14ac:dyDescent="0.2">
      <c r="A33" s="119" t="s">
        <v>656</v>
      </c>
      <c r="B33" s="204" t="s">
        <v>448</v>
      </c>
      <c r="C33" s="213">
        <v>5.5217609884999996</v>
      </c>
      <c r="D33" s="213">
        <v>5.3442734031999999</v>
      </c>
      <c r="E33" s="213">
        <v>5.4304246950000001</v>
      </c>
      <c r="F33" s="213">
        <v>5.5330276490000001</v>
      </c>
      <c r="G33" s="213">
        <v>5.5022050013000001</v>
      </c>
      <c r="H33" s="213">
        <v>6.0362518168000001</v>
      </c>
      <c r="I33" s="213">
        <v>6.1853353148999997</v>
      </c>
      <c r="J33" s="213">
        <v>6.1007624229999999</v>
      </c>
      <c r="K33" s="213">
        <v>6.0941219157999997</v>
      </c>
      <c r="L33" s="213">
        <v>5.9742779896</v>
      </c>
      <c r="M33" s="213">
        <v>5.8261900474999999</v>
      </c>
      <c r="N33" s="213">
        <v>6.1199847395000004</v>
      </c>
      <c r="O33" s="213">
        <v>5.8149235504999996</v>
      </c>
      <c r="P33" s="213">
        <v>5.8865849346000001</v>
      </c>
      <c r="Q33" s="213">
        <v>5.8716025557</v>
      </c>
      <c r="R33" s="213">
        <v>5.8060998424000001</v>
      </c>
      <c r="S33" s="213">
        <v>5.8131304521000002</v>
      </c>
      <c r="T33" s="213">
        <v>6.0713337342000004</v>
      </c>
      <c r="U33" s="213">
        <v>6.2064986331999998</v>
      </c>
      <c r="V33" s="213">
        <v>6.0785904996999998</v>
      </c>
      <c r="W33" s="213">
        <v>6.0875000409000002</v>
      </c>
      <c r="X33" s="213">
        <v>5.8172973648999999</v>
      </c>
      <c r="Y33" s="213">
        <v>5.8759969423999996</v>
      </c>
      <c r="Z33" s="213">
        <v>5.8020745356000001</v>
      </c>
      <c r="AA33" s="213">
        <v>5.8339369442000004</v>
      </c>
      <c r="AB33" s="213">
        <v>5.7024163877999996</v>
      </c>
      <c r="AC33" s="213">
        <v>5.6224713183999997</v>
      </c>
      <c r="AD33" s="213">
        <v>5.6697491477000002</v>
      </c>
      <c r="AE33" s="213">
        <v>5.8840932351999999</v>
      </c>
      <c r="AF33" s="213">
        <v>6.1054309913000004</v>
      </c>
      <c r="AG33" s="213">
        <v>5.9170219610999997</v>
      </c>
      <c r="AH33" s="213">
        <v>5.9018390924000004</v>
      </c>
      <c r="AI33" s="213">
        <v>5.9215446014999999</v>
      </c>
      <c r="AJ33" s="213">
        <v>5.7275136784000003</v>
      </c>
      <c r="AK33" s="213">
        <v>5.9641862106000003</v>
      </c>
      <c r="AL33" s="213">
        <v>5.8739027826000001</v>
      </c>
      <c r="AM33" s="213">
        <v>5.7212133154</v>
      </c>
      <c r="AN33" s="213">
        <v>5.7006001019000001</v>
      </c>
      <c r="AO33" s="213">
        <v>5.6622282034999998</v>
      </c>
      <c r="AP33" s="213">
        <v>5.7093635929</v>
      </c>
      <c r="AQ33" s="213">
        <v>5.8129142433999998</v>
      </c>
      <c r="AR33" s="213">
        <v>5.8070565203999998</v>
      </c>
      <c r="AS33" s="213">
        <v>6.0034586244000003</v>
      </c>
      <c r="AT33" s="213">
        <v>5.8921128064000001</v>
      </c>
      <c r="AU33" s="213">
        <v>5.9620521500999999</v>
      </c>
      <c r="AV33" s="213">
        <v>5.5647728604999998</v>
      </c>
      <c r="AW33" s="213">
        <v>5.8331021499000002</v>
      </c>
      <c r="AX33" s="213">
        <v>5.4256273613000001</v>
      </c>
      <c r="AY33" s="213">
        <v>5.4856611477000001</v>
      </c>
      <c r="AZ33" s="213">
        <v>5.4781135021000003</v>
      </c>
      <c r="BA33" s="213">
        <v>5.3842666786000004</v>
      </c>
      <c r="BB33" s="213">
        <v>5.4284898305000002</v>
      </c>
      <c r="BC33" s="213">
        <v>5.43</v>
      </c>
      <c r="BD33" s="213">
        <v>5.61</v>
      </c>
      <c r="BE33" s="213">
        <v>5.8708330000000002</v>
      </c>
      <c r="BF33" s="213">
        <v>5.8086539999999998</v>
      </c>
      <c r="BG33" s="351">
        <v>5.9125009999999998</v>
      </c>
      <c r="BH33" s="351">
        <v>5.5336470000000002</v>
      </c>
      <c r="BI33" s="351">
        <v>5.7794509999999999</v>
      </c>
      <c r="BJ33" s="351">
        <v>5.3842080000000001</v>
      </c>
      <c r="BK33" s="351">
        <v>5.4579579999999996</v>
      </c>
      <c r="BL33" s="351">
        <v>5.4831560000000001</v>
      </c>
      <c r="BM33" s="351">
        <v>5.4728880000000002</v>
      </c>
      <c r="BN33" s="351">
        <v>5.5368719999999998</v>
      </c>
      <c r="BO33" s="351">
        <v>5.5252129999999999</v>
      </c>
      <c r="BP33" s="351">
        <v>5.7396029999999998</v>
      </c>
      <c r="BQ33" s="351">
        <v>5.9538679999999999</v>
      </c>
      <c r="BR33" s="351">
        <v>5.861548</v>
      </c>
      <c r="BS33" s="351">
        <v>5.916855</v>
      </c>
      <c r="BT33" s="351">
        <v>5.5401030000000002</v>
      </c>
      <c r="BU33" s="351">
        <v>5.7703930000000003</v>
      </c>
      <c r="BV33" s="351">
        <v>5.3803869999999998</v>
      </c>
    </row>
    <row r="34" spans="1:74" ht="11.1" customHeight="1" x14ac:dyDescent="0.2">
      <c r="A34" s="119" t="s">
        <v>657</v>
      </c>
      <c r="B34" s="204" t="s">
        <v>449</v>
      </c>
      <c r="C34" s="213">
        <v>5.1820360868000002</v>
      </c>
      <c r="D34" s="213">
        <v>5.1050500896999997</v>
      </c>
      <c r="E34" s="213">
        <v>5.2029957991</v>
      </c>
      <c r="F34" s="213">
        <v>5.0427350534000004</v>
      </c>
      <c r="G34" s="213">
        <v>5.1467947360000004</v>
      </c>
      <c r="H34" s="213">
        <v>5.3191057466</v>
      </c>
      <c r="I34" s="213">
        <v>5.4603491361999996</v>
      </c>
      <c r="J34" s="213">
        <v>5.5167238074</v>
      </c>
      <c r="K34" s="213">
        <v>5.6050211455000003</v>
      </c>
      <c r="L34" s="213">
        <v>5.3882807590999997</v>
      </c>
      <c r="M34" s="213">
        <v>5.3225988960999997</v>
      </c>
      <c r="N34" s="213">
        <v>5.4203498838000002</v>
      </c>
      <c r="O34" s="213">
        <v>5.1593206141000003</v>
      </c>
      <c r="P34" s="213">
        <v>5.3403576656</v>
      </c>
      <c r="Q34" s="213">
        <v>5.3821733183999996</v>
      </c>
      <c r="R34" s="213">
        <v>5.3975078194000004</v>
      </c>
      <c r="S34" s="213">
        <v>5.5262809046000001</v>
      </c>
      <c r="T34" s="213">
        <v>5.6142178283000002</v>
      </c>
      <c r="U34" s="213">
        <v>5.7689608707</v>
      </c>
      <c r="V34" s="213">
        <v>5.5769746991</v>
      </c>
      <c r="W34" s="213">
        <v>5.6007644922999997</v>
      </c>
      <c r="X34" s="213">
        <v>5.4304743879000004</v>
      </c>
      <c r="Y34" s="213">
        <v>5.3118826983999998</v>
      </c>
      <c r="Z34" s="213">
        <v>5.2102966420000003</v>
      </c>
      <c r="AA34" s="213">
        <v>5.4916181898999996</v>
      </c>
      <c r="AB34" s="213">
        <v>5.3453260453000002</v>
      </c>
      <c r="AC34" s="213">
        <v>5.2930942292000003</v>
      </c>
      <c r="AD34" s="213">
        <v>5.1694811862999996</v>
      </c>
      <c r="AE34" s="213">
        <v>5.3785664182000001</v>
      </c>
      <c r="AF34" s="213">
        <v>5.6193993002999996</v>
      </c>
      <c r="AG34" s="213">
        <v>5.9142445166000002</v>
      </c>
      <c r="AH34" s="213">
        <v>5.6407986271999997</v>
      </c>
      <c r="AI34" s="213">
        <v>5.2450019610999998</v>
      </c>
      <c r="AJ34" s="213">
        <v>5.2158666593999996</v>
      </c>
      <c r="AK34" s="213">
        <v>5.3290778126999996</v>
      </c>
      <c r="AL34" s="213">
        <v>5.1073072724999999</v>
      </c>
      <c r="AM34" s="213">
        <v>5.1971684757999999</v>
      </c>
      <c r="AN34" s="213">
        <v>5.1842631426999999</v>
      </c>
      <c r="AO34" s="213">
        <v>5.3777063958999998</v>
      </c>
      <c r="AP34" s="213">
        <v>5.1933995596999996</v>
      </c>
      <c r="AQ34" s="213">
        <v>5.3094014714000002</v>
      </c>
      <c r="AR34" s="213">
        <v>5.3217529551</v>
      </c>
      <c r="AS34" s="213">
        <v>5.5694084166</v>
      </c>
      <c r="AT34" s="213">
        <v>6.8023359668000003</v>
      </c>
      <c r="AU34" s="213">
        <v>5.7457139399999999</v>
      </c>
      <c r="AV34" s="213">
        <v>5.4814824647</v>
      </c>
      <c r="AW34" s="213">
        <v>5.4056407536000002</v>
      </c>
      <c r="AX34" s="213">
        <v>4.9809992841000001</v>
      </c>
      <c r="AY34" s="213">
        <v>4.9300035256000001</v>
      </c>
      <c r="AZ34" s="213">
        <v>5.1043234653000003</v>
      </c>
      <c r="BA34" s="213">
        <v>5.1221879696999997</v>
      </c>
      <c r="BB34" s="213">
        <v>4.9727976204999997</v>
      </c>
      <c r="BC34" s="213">
        <v>4.7699999999999996</v>
      </c>
      <c r="BD34" s="213">
        <v>5.0599999999999996</v>
      </c>
      <c r="BE34" s="213">
        <v>5.2749030000000001</v>
      </c>
      <c r="BF34" s="213">
        <v>6.1574429999999998</v>
      </c>
      <c r="BG34" s="351">
        <v>5.1374230000000001</v>
      </c>
      <c r="BH34" s="351">
        <v>5.3572329999999999</v>
      </c>
      <c r="BI34" s="351">
        <v>5.3886789999999998</v>
      </c>
      <c r="BJ34" s="351">
        <v>5.0547449999999996</v>
      </c>
      <c r="BK34" s="351">
        <v>5.0782049999999996</v>
      </c>
      <c r="BL34" s="351">
        <v>5.1800470000000001</v>
      </c>
      <c r="BM34" s="351">
        <v>5.0686119999999999</v>
      </c>
      <c r="BN34" s="351">
        <v>4.8156569999999999</v>
      </c>
      <c r="BO34" s="351">
        <v>4.6960249999999997</v>
      </c>
      <c r="BP34" s="351">
        <v>5.0311849999999998</v>
      </c>
      <c r="BQ34" s="351">
        <v>5.2271559999999999</v>
      </c>
      <c r="BR34" s="351">
        <v>5.8522860000000003</v>
      </c>
      <c r="BS34" s="351">
        <v>5.0347549999999996</v>
      </c>
      <c r="BT34" s="351">
        <v>5.2200389999999999</v>
      </c>
      <c r="BU34" s="351">
        <v>5.2107679999999998</v>
      </c>
      <c r="BV34" s="351">
        <v>4.9104939999999999</v>
      </c>
    </row>
    <row r="35" spans="1:74" s="120" customFormat="1" ht="11.1" customHeight="1" x14ac:dyDescent="0.2">
      <c r="A35" s="119" t="s">
        <v>658</v>
      </c>
      <c r="B35" s="204" t="s">
        <v>450</v>
      </c>
      <c r="C35" s="213">
        <v>5.8334736812000001</v>
      </c>
      <c r="D35" s="213">
        <v>5.8972449047</v>
      </c>
      <c r="E35" s="213">
        <v>5.9098078233000004</v>
      </c>
      <c r="F35" s="213">
        <v>5.9691439794000001</v>
      </c>
      <c r="G35" s="213">
        <v>6.1227806584</v>
      </c>
      <c r="H35" s="213">
        <v>6.8115690543999996</v>
      </c>
      <c r="I35" s="213">
        <v>7.1596605395999999</v>
      </c>
      <c r="J35" s="213">
        <v>7.1099751383000003</v>
      </c>
      <c r="K35" s="213">
        <v>6.9219673614000001</v>
      </c>
      <c r="L35" s="213">
        <v>6.5230546006000001</v>
      </c>
      <c r="M35" s="213">
        <v>5.7787142420000004</v>
      </c>
      <c r="N35" s="213">
        <v>6.0385924759999998</v>
      </c>
      <c r="O35" s="213">
        <v>6.0131854254999997</v>
      </c>
      <c r="P35" s="213">
        <v>6.1367556565000001</v>
      </c>
      <c r="Q35" s="213">
        <v>6.2470914781999998</v>
      </c>
      <c r="R35" s="213">
        <v>6.0832461157999997</v>
      </c>
      <c r="S35" s="213">
        <v>6.4843956441000001</v>
      </c>
      <c r="T35" s="213">
        <v>7.1671016299000003</v>
      </c>
      <c r="U35" s="213">
        <v>7.2276296645000002</v>
      </c>
      <c r="V35" s="213">
        <v>7.2475426034000003</v>
      </c>
      <c r="W35" s="213">
        <v>7.0492265628000004</v>
      </c>
      <c r="X35" s="213">
        <v>6.4389484180999998</v>
      </c>
      <c r="Y35" s="213">
        <v>6.1192063806999997</v>
      </c>
      <c r="Z35" s="213">
        <v>5.9797980826000003</v>
      </c>
      <c r="AA35" s="213">
        <v>6.0659690642999999</v>
      </c>
      <c r="AB35" s="213">
        <v>6.2066140629</v>
      </c>
      <c r="AC35" s="213">
        <v>6.1582705567999998</v>
      </c>
      <c r="AD35" s="213">
        <v>6.0981743399999999</v>
      </c>
      <c r="AE35" s="213">
        <v>6.4631410891999996</v>
      </c>
      <c r="AF35" s="213">
        <v>6.8974971807000003</v>
      </c>
      <c r="AG35" s="213">
        <v>7.0219595445999996</v>
      </c>
      <c r="AH35" s="213">
        <v>7.1709579748000003</v>
      </c>
      <c r="AI35" s="213">
        <v>6.7137118599000001</v>
      </c>
      <c r="AJ35" s="213">
        <v>6.3496661387</v>
      </c>
      <c r="AK35" s="213">
        <v>5.9479963513999996</v>
      </c>
      <c r="AL35" s="213">
        <v>5.9736211709000004</v>
      </c>
      <c r="AM35" s="213">
        <v>5.8578158972000001</v>
      </c>
      <c r="AN35" s="213">
        <v>6.3384315311000003</v>
      </c>
      <c r="AO35" s="213">
        <v>6.2361719693</v>
      </c>
      <c r="AP35" s="213">
        <v>5.9589591989999997</v>
      </c>
      <c r="AQ35" s="213">
        <v>6.0962431060000002</v>
      </c>
      <c r="AR35" s="213">
        <v>6.6420045161000001</v>
      </c>
      <c r="AS35" s="213">
        <v>6.7695745002000001</v>
      </c>
      <c r="AT35" s="213">
        <v>6.9384085872999997</v>
      </c>
      <c r="AU35" s="213">
        <v>6.6344250023000004</v>
      </c>
      <c r="AV35" s="213">
        <v>6.0887575521999997</v>
      </c>
      <c r="AW35" s="213">
        <v>5.8717952268999998</v>
      </c>
      <c r="AX35" s="213">
        <v>5.7104808714999997</v>
      </c>
      <c r="AY35" s="213">
        <v>5.6540503726000004</v>
      </c>
      <c r="AZ35" s="213">
        <v>5.7907218690000004</v>
      </c>
      <c r="BA35" s="213">
        <v>5.7471262824</v>
      </c>
      <c r="BB35" s="213">
        <v>5.7437417254999996</v>
      </c>
      <c r="BC35" s="213">
        <v>6.11</v>
      </c>
      <c r="BD35" s="213">
        <v>6.57</v>
      </c>
      <c r="BE35" s="213">
        <v>6.685613</v>
      </c>
      <c r="BF35" s="213">
        <v>7.1235889999999999</v>
      </c>
      <c r="BG35" s="351">
        <v>6.565347</v>
      </c>
      <c r="BH35" s="351">
        <v>6.0223310000000003</v>
      </c>
      <c r="BI35" s="351">
        <v>5.8560169999999996</v>
      </c>
      <c r="BJ35" s="351">
        <v>5.7412080000000003</v>
      </c>
      <c r="BK35" s="351">
        <v>5.7080510000000002</v>
      </c>
      <c r="BL35" s="351">
        <v>5.8789300000000004</v>
      </c>
      <c r="BM35" s="351">
        <v>5.8155070000000002</v>
      </c>
      <c r="BN35" s="351">
        <v>5.9066239999999999</v>
      </c>
      <c r="BO35" s="351">
        <v>6.2860290000000001</v>
      </c>
      <c r="BP35" s="351">
        <v>6.654452</v>
      </c>
      <c r="BQ35" s="351">
        <v>6.7036850000000001</v>
      </c>
      <c r="BR35" s="351">
        <v>6.9124699999999999</v>
      </c>
      <c r="BS35" s="351">
        <v>6.6343030000000001</v>
      </c>
      <c r="BT35" s="351">
        <v>6.0835319999999999</v>
      </c>
      <c r="BU35" s="351">
        <v>5.9029210000000001</v>
      </c>
      <c r="BV35" s="351">
        <v>5.8092889999999997</v>
      </c>
    </row>
    <row r="36" spans="1:74" s="120" customFormat="1" ht="11.1" customHeight="1" x14ac:dyDescent="0.2">
      <c r="A36" s="119" t="s">
        <v>659</v>
      </c>
      <c r="B36" s="206" t="s">
        <v>451</v>
      </c>
      <c r="C36" s="213">
        <v>7.6987706936000002</v>
      </c>
      <c r="D36" s="213">
        <v>7.7489934837999996</v>
      </c>
      <c r="E36" s="213">
        <v>7.9256788951999999</v>
      </c>
      <c r="F36" s="213">
        <v>8.0555463793000008</v>
      </c>
      <c r="G36" s="213">
        <v>8.5691209557000008</v>
      </c>
      <c r="H36" s="213">
        <v>9.9075253108000005</v>
      </c>
      <c r="I36" s="213">
        <v>10.306360959999999</v>
      </c>
      <c r="J36" s="213">
        <v>10.392962916</v>
      </c>
      <c r="K36" s="213">
        <v>10.279197339</v>
      </c>
      <c r="L36" s="213">
        <v>8.2889192301999994</v>
      </c>
      <c r="M36" s="213">
        <v>8.9337565880999996</v>
      </c>
      <c r="N36" s="213">
        <v>8.1369997788999999</v>
      </c>
      <c r="O36" s="213">
        <v>7.9190484406000001</v>
      </c>
      <c r="P36" s="213">
        <v>8.0288173099000009</v>
      </c>
      <c r="Q36" s="213">
        <v>8.2011075357000003</v>
      </c>
      <c r="R36" s="213">
        <v>7.6751617175</v>
      </c>
      <c r="S36" s="213">
        <v>8.932352453</v>
      </c>
      <c r="T36" s="213">
        <v>10.71691362</v>
      </c>
      <c r="U36" s="213">
        <v>10.373329936999999</v>
      </c>
      <c r="V36" s="213">
        <v>10.603914230000001</v>
      </c>
      <c r="W36" s="213">
        <v>10.526235914000001</v>
      </c>
      <c r="X36" s="213">
        <v>10.509296689999999</v>
      </c>
      <c r="Y36" s="213">
        <v>9.4924522578000001</v>
      </c>
      <c r="Z36" s="213">
        <v>8.3150749027999993</v>
      </c>
      <c r="AA36" s="213">
        <v>8.3062974579999995</v>
      </c>
      <c r="AB36" s="213">
        <v>8.4115012282000006</v>
      </c>
      <c r="AC36" s="213">
        <v>8.6198852433000006</v>
      </c>
      <c r="AD36" s="213">
        <v>8.2714701579999996</v>
      </c>
      <c r="AE36" s="213">
        <v>9.0496763310000006</v>
      </c>
      <c r="AF36" s="213">
        <v>10.461004025999999</v>
      </c>
      <c r="AG36" s="213">
        <v>10.735866114</v>
      </c>
      <c r="AH36" s="213">
        <v>11.149826041000001</v>
      </c>
      <c r="AI36" s="213">
        <v>10.804989625999999</v>
      </c>
      <c r="AJ36" s="213">
        <v>10.453052883</v>
      </c>
      <c r="AK36" s="213">
        <v>9.6611005087000006</v>
      </c>
      <c r="AL36" s="213">
        <v>8.6074536419999994</v>
      </c>
      <c r="AM36" s="213">
        <v>8.3387913075999993</v>
      </c>
      <c r="AN36" s="213">
        <v>8.9308750948999993</v>
      </c>
      <c r="AO36" s="213">
        <v>8.7041162257</v>
      </c>
      <c r="AP36" s="213">
        <v>8.2990893406000001</v>
      </c>
      <c r="AQ36" s="213">
        <v>9.4292218820000002</v>
      </c>
      <c r="AR36" s="213">
        <v>10.544026175000001</v>
      </c>
      <c r="AS36" s="213">
        <v>11.117127118000001</v>
      </c>
      <c r="AT36" s="213">
        <v>11.370856499</v>
      </c>
      <c r="AU36" s="213">
        <v>11.279495269</v>
      </c>
      <c r="AV36" s="213">
        <v>11.104530518000001</v>
      </c>
      <c r="AW36" s="213">
        <v>10.303692318</v>
      </c>
      <c r="AX36" s="213">
        <v>8.9854958474999993</v>
      </c>
      <c r="AY36" s="213">
        <v>8.7704997640000002</v>
      </c>
      <c r="AZ36" s="213">
        <v>8.899775816</v>
      </c>
      <c r="BA36" s="213">
        <v>9.2324222895000005</v>
      </c>
      <c r="BB36" s="213">
        <v>8.8630200321999997</v>
      </c>
      <c r="BC36" s="213">
        <v>10.07</v>
      </c>
      <c r="BD36" s="213">
        <v>11.87</v>
      </c>
      <c r="BE36" s="213">
        <v>12.02829</v>
      </c>
      <c r="BF36" s="213">
        <v>12.52083</v>
      </c>
      <c r="BG36" s="351">
        <v>11.77087</v>
      </c>
      <c r="BH36" s="351">
        <v>11.495100000000001</v>
      </c>
      <c r="BI36" s="351">
        <v>10.66968</v>
      </c>
      <c r="BJ36" s="351">
        <v>9.3413819999999994</v>
      </c>
      <c r="BK36" s="351">
        <v>9.1433370000000007</v>
      </c>
      <c r="BL36" s="351">
        <v>9.3196689999999993</v>
      </c>
      <c r="BM36" s="351">
        <v>9.618131</v>
      </c>
      <c r="BN36" s="351">
        <v>9.3371259999999996</v>
      </c>
      <c r="BO36" s="351">
        <v>10.61774</v>
      </c>
      <c r="BP36" s="351">
        <v>12.354609999999999</v>
      </c>
      <c r="BQ36" s="351">
        <v>12.39386</v>
      </c>
      <c r="BR36" s="351">
        <v>12.44106</v>
      </c>
      <c r="BS36" s="351">
        <v>12.180350000000001</v>
      </c>
      <c r="BT36" s="351">
        <v>11.88339</v>
      </c>
      <c r="BU36" s="351">
        <v>11.00461</v>
      </c>
      <c r="BV36" s="351">
        <v>9.6676199999999994</v>
      </c>
    </row>
    <row r="37" spans="1:74" s="120" customFormat="1" ht="11.1" customHeight="1" x14ac:dyDescent="0.2">
      <c r="A37" s="119" t="s">
        <v>660</v>
      </c>
      <c r="B37" s="206" t="s">
        <v>425</v>
      </c>
      <c r="C37" s="213">
        <v>6.44</v>
      </c>
      <c r="D37" s="213">
        <v>6.42</v>
      </c>
      <c r="E37" s="213">
        <v>6.46</v>
      </c>
      <c r="F37" s="213">
        <v>6.44</v>
      </c>
      <c r="G37" s="213">
        <v>6.57</v>
      </c>
      <c r="H37" s="213">
        <v>7.03</v>
      </c>
      <c r="I37" s="213">
        <v>7.23</v>
      </c>
      <c r="J37" s="213">
        <v>7.23</v>
      </c>
      <c r="K37" s="213">
        <v>7.14</v>
      </c>
      <c r="L37" s="213">
        <v>6.73</v>
      </c>
      <c r="M37" s="213">
        <v>6.66</v>
      </c>
      <c r="N37" s="213">
        <v>6.67</v>
      </c>
      <c r="O37" s="213">
        <v>6.59</v>
      </c>
      <c r="P37" s="213">
        <v>6.63</v>
      </c>
      <c r="Q37" s="213">
        <v>6.71</v>
      </c>
      <c r="R37" s="213">
        <v>6.6</v>
      </c>
      <c r="S37" s="213">
        <v>6.78</v>
      </c>
      <c r="T37" s="213">
        <v>7.19</v>
      </c>
      <c r="U37" s="213">
        <v>7.31</v>
      </c>
      <c r="V37" s="213">
        <v>7.22</v>
      </c>
      <c r="W37" s="213">
        <v>7.17</v>
      </c>
      <c r="X37" s="213">
        <v>6.91</v>
      </c>
      <c r="Y37" s="213">
        <v>6.73</v>
      </c>
      <c r="Z37" s="213">
        <v>6.54</v>
      </c>
      <c r="AA37" s="213">
        <v>6.94</v>
      </c>
      <c r="AB37" s="213">
        <v>6.78</v>
      </c>
      <c r="AC37" s="213">
        <v>6.63</v>
      </c>
      <c r="AD37" s="213">
        <v>6.57</v>
      </c>
      <c r="AE37" s="213">
        <v>6.79</v>
      </c>
      <c r="AF37" s="213">
        <v>7.17</v>
      </c>
      <c r="AG37" s="213">
        <v>7.32</v>
      </c>
      <c r="AH37" s="213">
        <v>7.25</v>
      </c>
      <c r="AI37" s="213">
        <v>7.05</v>
      </c>
      <c r="AJ37" s="213">
        <v>6.87</v>
      </c>
      <c r="AK37" s="213">
        <v>6.85</v>
      </c>
      <c r="AL37" s="213">
        <v>6.67</v>
      </c>
      <c r="AM37" s="213">
        <v>6.58</v>
      </c>
      <c r="AN37" s="213">
        <v>6.69</v>
      </c>
      <c r="AO37" s="213">
        <v>6.72</v>
      </c>
      <c r="AP37" s="213">
        <v>6.52</v>
      </c>
      <c r="AQ37" s="213">
        <v>6.7</v>
      </c>
      <c r="AR37" s="213">
        <v>6.91</v>
      </c>
      <c r="AS37" s="213">
        <v>7.19</v>
      </c>
      <c r="AT37" s="213">
        <v>7.45</v>
      </c>
      <c r="AU37" s="213">
        <v>7.1</v>
      </c>
      <c r="AV37" s="213">
        <v>6.86</v>
      </c>
      <c r="AW37" s="213">
        <v>6.73</v>
      </c>
      <c r="AX37" s="213">
        <v>6.37</v>
      </c>
      <c r="AY37" s="213">
        <v>6.33</v>
      </c>
      <c r="AZ37" s="213">
        <v>6.42</v>
      </c>
      <c r="BA37" s="213">
        <v>6.4</v>
      </c>
      <c r="BB37" s="213">
        <v>6.41</v>
      </c>
      <c r="BC37" s="213">
        <v>6.48</v>
      </c>
      <c r="BD37" s="213">
        <v>6.95</v>
      </c>
      <c r="BE37" s="213">
        <v>7.2121120000000003</v>
      </c>
      <c r="BF37" s="213">
        <v>7.482901</v>
      </c>
      <c r="BG37" s="351">
        <v>7.0373830000000002</v>
      </c>
      <c r="BH37" s="351">
        <v>6.884271</v>
      </c>
      <c r="BI37" s="351">
        <v>6.7493020000000001</v>
      </c>
      <c r="BJ37" s="351">
        <v>6.4317840000000004</v>
      </c>
      <c r="BK37" s="351">
        <v>6.4288970000000001</v>
      </c>
      <c r="BL37" s="351">
        <v>6.5308799999999998</v>
      </c>
      <c r="BM37" s="351">
        <v>6.5051310000000004</v>
      </c>
      <c r="BN37" s="351">
        <v>6.5065119999999999</v>
      </c>
      <c r="BO37" s="351">
        <v>6.6021599999999996</v>
      </c>
      <c r="BP37" s="351">
        <v>7.078125</v>
      </c>
      <c r="BQ37" s="351">
        <v>7.2805689999999998</v>
      </c>
      <c r="BR37" s="351">
        <v>7.4260710000000003</v>
      </c>
      <c r="BS37" s="351">
        <v>7.0710470000000001</v>
      </c>
      <c r="BT37" s="351">
        <v>6.9030149999999999</v>
      </c>
      <c r="BU37" s="351">
        <v>6.744802</v>
      </c>
      <c r="BV37" s="351">
        <v>6.4430800000000001</v>
      </c>
    </row>
    <row r="38" spans="1:74" ht="11.1" customHeight="1" x14ac:dyDescent="0.2">
      <c r="A38" s="119"/>
      <c r="B38" s="122" t="s">
        <v>250</v>
      </c>
      <c r="C38" s="483"/>
      <c r="D38" s="483"/>
      <c r="E38" s="483"/>
      <c r="F38" s="483"/>
      <c r="G38" s="483"/>
      <c r="H38" s="483"/>
      <c r="I38" s="483"/>
      <c r="J38" s="483"/>
      <c r="K38" s="483"/>
      <c r="L38" s="483"/>
      <c r="M38" s="483"/>
      <c r="N38" s="483"/>
      <c r="O38" s="483"/>
      <c r="P38" s="483"/>
      <c r="Q38" s="483"/>
      <c r="R38" s="483"/>
      <c r="S38" s="483"/>
      <c r="T38" s="483"/>
      <c r="U38" s="483"/>
      <c r="V38" s="483"/>
      <c r="W38" s="483"/>
      <c r="X38" s="483"/>
      <c r="Y38" s="483"/>
      <c r="Z38" s="483"/>
      <c r="AA38" s="483"/>
      <c r="AB38" s="483"/>
      <c r="AC38" s="483"/>
      <c r="AD38" s="483"/>
      <c r="AE38" s="483"/>
      <c r="AF38" s="483"/>
      <c r="AG38" s="483"/>
      <c r="AH38" s="483"/>
      <c r="AI38" s="483"/>
      <c r="AJ38" s="483"/>
      <c r="AK38" s="483"/>
      <c r="AL38" s="483"/>
      <c r="AM38" s="483"/>
      <c r="AN38" s="483"/>
      <c r="AO38" s="483"/>
      <c r="AP38" s="483"/>
      <c r="AQ38" s="483"/>
      <c r="AR38" s="483"/>
      <c r="AS38" s="483"/>
      <c r="AT38" s="483"/>
      <c r="AU38" s="483"/>
      <c r="AV38" s="483"/>
      <c r="AW38" s="483"/>
      <c r="AX38" s="483"/>
      <c r="AY38" s="483"/>
      <c r="AZ38" s="483"/>
      <c r="BA38" s="483"/>
      <c r="BB38" s="483"/>
      <c r="BC38" s="483"/>
      <c r="BD38" s="483"/>
      <c r="BE38" s="483"/>
      <c r="BF38" s="483"/>
      <c r="BG38" s="484"/>
      <c r="BH38" s="484"/>
      <c r="BI38" s="484"/>
      <c r="BJ38" s="484"/>
      <c r="BK38" s="484"/>
      <c r="BL38" s="484"/>
      <c r="BM38" s="484"/>
      <c r="BN38" s="484"/>
      <c r="BO38" s="484"/>
      <c r="BP38" s="484"/>
      <c r="BQ38" s="484"/>
      <c r="BR38" s="484"/>
      <c r="BS38" s="484"/>
      <c r="BT38" s="484"/>
      <c r="BU38" s="484"/>
      <c r="BV38" s="484"/>
    </row>
    <row r="39" spans="1:74" ht="11.1" customHeight="1" x14ac:dyDescent="0.2">
      <c r="A39" s="263" t="s">
        <v>193</v>
      </c>
      <c r="B39" s="204" t="s">
        <v>444</v>
      </c>
      <c r="C39" s="259">
        <v>16.225829396999998</v>
      </c>
      <c r="D39" s="259">
        <v>16.606979820999999</v>
      </c>
      <c r="E39" s="259">
        <v>16.357681349</v>
      </c>
      <c r="F39" s="259">
        <v>16.256933607000001</v>
      </c>
      <c r="G39" s="259">
        <v>15.883431049</v>
      </c>
      <c r="H39" s="259">
        <v>15.978756298</v>
      </c>
      <c r="I39" s="259">
        <v>15.990349514</v>
      </c>
      <c r="J39" s="259">
        <v>16.028572158999999</v>
      </c>
      <c r="K39" s="259">
        <v>16.422082495000002</v>
      </c>
      <c r="L39" s="259">
        <v>16.033653480000002</v>
      </c>
      <c r="M39" s="259">
        <v>15.871025081000001</v>
      </c>
      <c r="N39" s="259">
        <v>15.845880518</v>
      </c>
      <c r="O39" s="259">
        <v>16.411166227999999</v>
      </c>
      <c r="P39" s="259">
        <v>16.69715892</v>
      </c>
      <c r="Q39" s="259">
        <v>16.189465037000002</v>
      </c>
      <c r="R39" s="259">
        <v>16.474666986999999</v>
      </c>
      <c r="S39" s="259">
        <v>16.068820038999998</v>
      </c>
      <c r="T39" s="259">
        <v>16.480907834</v>
      </c>
      <c r="U39" s="259">
        <v>16.750683528</v>
      </c>
      <c r="V39" s="259">
        <v>16.680256921000002</v>
      </c>
      <c r="W39" s="259">
        <v>16.959381315000002</v>
      </c>
      <c r="X39" s="259">
        <v>16.666948237</v>
      </c>
      <c r="Y39" s="259">
        <v>16.704016787</v>
      </c>
      <c r="Z39" s="259">
        <v>16.744647749999999</v>
      </c>
      <c r="AA39" s="259">
        <v>17.993693939</v>
      </c>
      <c r="AB39" s="259">
        <v>18.239518190999998</v>
      </c>
      <c r="AC39" s="259">
        <v>17.954005657</v>
      </c>
      <c r="AD39" s="259">
        <v>17.482760233</v>
      </c>
      <c r="AE39" s="259">
        <v>17.132728341</v>
      </c>
      <c r="AF39" s="259">
        <v>17.143251293999999</v>
      </c>
      <c r="AG39" s="259">
        <v>17.341840204</v>
      </c>
      <c r="AH39" s="259">
        <v>17.395811818999999</v>
      </c>
      <c r="AI39" s="259">
        <v>18.079576928000002</v>
      </c>
      <c r="AJ39" s="259">
        <v>17.452025246000002</v>
      </c>
      <c r="AK39" s="259">
        <v>17.468031792000001</v>
      </c>
      <c r="AL39" s="259">
        <v>17.879795184999999</v>
      </c>
      <c r="AM39" s="259">
        <v>18.163328134</v>
      </c>
      <c r="AN39" s="259">
        <v>18.668578708999998</v>
      </c>
      <c r="AO39" s="259">
        <v>18.259764537999999</v>
      </c>
      <c r="AP39" s="259">
        <v>17.916178118000001</v>
      </c>
      <c r="AQ39" s="259">
        <v>17.522389158999999</v>
      </c>
      <c r="AR39" s="259">
        <v>17.725013745999998</v>
      </c>
      <c r="AS39" s="259">
        <v>17.326125431000001</v>
      </c>
      <c r="AT39" s="259">
        <v>17.635152737999999</v>
      </c>
      <c r="AU39" s="259">
        <v>17.550187761</v>
      </c>
      <c r="AV39" s="259">
        <v>17.133581896999999</v>
      </c>
      <c r="AW39" s="259">
        <v>17.274399447</v>
      </c>
      <c r="AX39" s="259">
        <v>17.565677333</v>
      </c>
      <c r="AY39" s="259">
        <v>18.143772508000001</v>
      </c>
      <c r="AZ39" s="259">
        <v>18.220348076000001</v>
      </c>
      <c r="BA39" s="259">
        <v>17.828183318000001</v>
      </c>
      <c r="BB39" s="259">
        <v>18.228154928999999</v>
      </c>
      <c r="BC39" s="259">
        <v>17.690000000000001</v>
      </c>
      <c r="BD39" s="259">
        <v>17.16</v>
      </c>
      <c r="BE39" s="259">
        <v>16.874749999999999</v>
      </c>
      <c r="BF39" s="259">
        <v>17.2851</v>
      </c>
      <c r="BG39" s="378">
        <v>17.27636</v>
      </c>
      <c r="BH39" s="378">
        <v>16.928360000000001</v>
      </c>
      <c r="BI39" s="378">
        <v>17.129190000000001</v>
      </c>
      <c r="BJ39" s="378">
        <v>17.344149999999999</v>
      </c>
      <c r="BK39" s="378">
        <v>18.084029999999998</v>
      </c>
      <c r="BL39" s="378">
        <v>18.259969999999999</v>
      </c>
      <c r="BM39" s="378">
        <v>17.934920000000002</v>
      </c>
      <c r="BN39" s="378">
        <v>18.365379999999998</v>
      </c>
      <c r="BO39" s="378">
        <v>17.890779999999999</v>
      </c>
      <c r="BP39" s="378">
        <v>17.498259999999998</v>
      </c>
      <c r="BQ39" s="378">
        <v>17.302289999999999</v>
      </c>
      <c r="BR39" s="378">
        <v>17.867360000000001</v>
      </c>
      <c r="BS39" s="378">
        <v>18.022870000000001</v>
      </c>
      <c r="BT39" s="378">
        <v>17.75403</v>
      </c>
      <c r="BU39" s="378">
        <v>18.029869999999999</v>
      </c>
      <c r="BV39" s="378">
        <v>18.315550000000002</v>
      </c>
    </row>
    <row r="40" spans="1:74" ht="11.1" customHeight="1" x14ac:dyDescent="0.2">
      <c r="A40" s="263" t="s">
        <v>194</v>
      </c>
      <c r="B40" s="187" t="s">
        <v>477</v>
      </c>
      <c r="C40" s="259">
        <v>12.158868701999999</v>
      </c>
      <c r="D40" s="259">
        <v>12.229037018</v>
      </c>
      <c r="E40" s="259">
        <v>12.133290450000001</v>
      </c>
      <c r="F40" s="259">
        <v>12.145797399999999</v>
      </c>
      <c r="G40" s="259">
        <v>12.129694615</v>
      </c>
      <c r="H40" s="259">
        <v>12.842353541</v>
      </c>
      <c r="I40" s="259">
        <v>13.177121395</v>
      </c>
      <c r="J40" s="259">
        <v>13.312404211</v>
      </c>
      <c r="K40" s="259">
        <v>13.214819138999999</v>
      </c>
      <c r="L40" s="259">
        <v>12.475485256000001</v>
      </c>
      <c r="M40" s="259">
        <v>12.226639183</v>
      </c>
      <c r="N40" s="259">
        <v>12.156250775</v>
      </c>
      <c r="O40" s="259">
        <v>12.387283756</v>
      </c>
      <c r="P40" s="259">
        <v>12.235478246</v>
      </c>
      <c r="Q40" s="259">
        <v>12.292025966000001</v>
      </c>
      <c r="R40" s="259">
        <v>12.142377669</v>
      </c>
      <c r="S40" s="259">
        <v>12.582338209</v>
      </c>
      <c r="T40" s="259">
        <v>13.160471338000001</v>
      </c>
      <c r="U40" s="259">
        <v>13.354413308</v>
      </c>
      <c r="V40" s="259">
        <v>13.223182012000001</v>
      </c>
      <c r="W40" s="259">
        <v>13.047336834999999</v>
      </c>
      <c r="X40" s="259">
        <v>12.503062654000001</v>
      </c>
      <c r="Y40" s="259">
        <v>12.120859167000001</v>
      </c>
      <c r="Z40" s="259">
        <v>12.139663585999999</v>
      </c>
      <c r="AA40" s="259">
        <v>12.738832969000001</v>
      </c>
      <c r="AB40" s="259">
        <v>12.572860779999999</v>
      </c>
      <c r="AC40" s="259">
        <v>12.027103851</v>
      </c>
      <c r="AD40" s="259">
        <v>12.001604159999999</v>
      </c>
      <c r="AE40" s="259">
        <v>12.28342559</v>
      </c>
      <c r="AF40" s="259">
        <v>12.954228837</v>
      </c>
      <c r="AG40" s="259">
        <v>13.342139291000001</v>
      </c>
      <c r="AH40" s="259">
        <v>13.150821686</v>
      </c>
      <c r="AI40" s="259">
        <v>13.137814347999999</v>
      </c>
      <c r="AJ40" s="259">
        <v>12.618776766</v>
      </c>
      <c r="AK40" s="259">
        <v>12.204377823</v>
      </c>
      <c r="AL40" s="259">
        <v>12.032633947000001</v>
      </c>
      <c r="AM40" s="259">
        <v>11.872979794000001</v>
      </c>
      <c r="AN40" s="259">
        <v>12.236171213</v>
      </c>
      <c r="AO40" s="259">
        <v>11.941371669</v>
      </c>
      <c r="AP40" s="259">
        <v>12.005847441</v>
      </c>
      <c r="AQ40" s="259">
        <v>12.120546599000001</v>
      </c>
      <c r="AR40" s="259">
        <v>12.630478751</v>
      </c>
      <c r="AS40" s="259">
        <v>13.131050135000001</v>
      </c>
      <c r="AT40" s="259">
        <v>13.000147306000001</v>
      </c>
      <c r="AU40" s="259">
        <v>12.816721077</v>
      </c>
      <c r="AV40" s="259">
        <v>12.220060734</v>
      </c>
      <c r="AW40" s="259">
        <v>11.992286346</v>
      </c>
      <c r="AX40" s="259">
        <v>12.100759205999999</v>
      </c>
      <c r="AY40" s="259">
        <v>12.007318571000001</v>
      </c>
      <c r="AZ40" s="259">
        <v>11.953815396</v>
      </c>
      <c r="BA40" s="259">
        <v>11.940809013000001</v>
      </c>
      <c r="BB40" s="259">
        <v>12.08515351</v>
      </c>
      <c r="BC40" s="259">
        <v>12.47</v>
      </c>
      <c r="BD40" s="259">
        <v>13.11</v>
      </c>
      <c r="BE40" s="259">
        <v>13.257149999999999</v>
      </c>
      <c r="BF40" s="259">
        <v>12.989129999999999</v>
      </c>
      <c r="BG40" s="378">
        <v>12.650679999999999</v>
      </c>
      <c r="BH40" s="378">
        <v>12.0207</v>
      </c>
      <c r="BI40" s="378">
        <v>11.783149999999999</v>
      </c>
      <c r="BJ40" s="378">
        <v>11.90545</v>
      </c>
      <c r="BK40" s="378">
        <v>11.96564</v>
      </c>
      <c r="BL40" s="378">
        <v>11.97819</v>
      </c>
      <c r="BM40" s="378">
        <v>12.01821</v>
      </c>
      <c r="BN40" s="378">
        <v>12.130750000000001</v>
      </c>
      <c r="BO40" s="378">
        <v>12.57554</v>
      </c>
      <c r="BP40" s="378">
        <v>13.28851</v>
      </c>
      <c r="BQ40" s="378">
        <v>13.276770000000001</v>
      </c>
      <c r="BR40" s="378">
        <v>13.026759999999999</v>
      </c>
      <c r="BS40" s="378">
        <v>12.830909999999999</v>
      </c>
      <c r="BT40" s="378">
        <v>12.226000000000001</v>
      </c>
      <c r="BU40" s="378">
        <v>11.952970000000001</v>
      </c>
      <c r="BV40" s="378">
        <v>12.037509999999999</v>
      </c>
    </row>
    <row r="41" spans="1:74" ht="11.1" customHeight="1" x14ac:dyDescent="0.2">
      <c r="A41" s="263" t="s">
        <v>195</v>
      </c>
      <c r="B41" s="204" t="s">
        <v>445</v>
      </c>
      <c r="C41" s="259">
        <v>9.7235569550999994</v>
      </c>
      <c r="D41" s="259">
        <v>9.7205937432000002</v>
      </c>
      <c r="E41" s="259">
        <v>9.6974702943000004</v>
      </c>
      <c r="F41" s="259">
        <v>9.7376903995999999</v>
      </c>
      <c r="G41" s="259">
        <v>9.8915104375999992</v>
      </c>
      <c r="H41" s="259">
        <v>10.018803639</v>
      </c>
      <c r="I41" s="259">
        <v>10.18477128</v>
      </c>
      <c r="J41" s="259">
        <v>10.225991233</v>
      </c>
      <c r="K41" s="259">
        <v>10.033247995</v>
      </c>
      <c r="L41" s="259">
        <v>9.9410443412999996</v>
      </c>
      <c r="M41" s="259">
        <v>9.9594638610999997</v>
      </c>
      <c r="N41" s="259">
        <v>9.9891884435999998</v>
      </c>
      <c r="O41" s="259">
        <v>9.9396742223000007</v>
      </c>
      <c r="P41" s="259">
        <v>10.006458747</v>
      </c>
      <c r="Q41" s="259">
        <v>10.232113160999999</v>
      </c>
      <c r="R41" s="259">
        <v>10.000012444999999</v>
      </c>
      <c r="S41" s="259">
        <v>10.172265475</v>
      </c>
      <c r="T41" s="259">
        <v>10.303650233999999</v>
      </c>
      <c r="U41" s="259">
        <v>10.287180595000001</v>
      </c>
      <c r="V41" s="259">
        <v>10.217151665999999</v>
      </c>
      <c r="W41" s="259">
        <v>10.120672152999999</v>
      </c>
      <c r="X41" s="259">
        <v>9.9396324896999992</v>
      </c>
      <c r="Y41" s="259">
        <v>10.123270312000001</v>
      </c>
      <c r="Z41" s="259">
        <v>10.055494935</v>
      </c>
      <c r="AA41" s="259">
        <v>10.300424705999999</v>
      </c>
      <c r="AB41" s="259">
        <v>10.141877875</v>
      </c>
      <c r="AC41" s="259">
        <v>10.042957940999999</v>
      </c>
      <c r="AD41" s="259">
        <v>10.099059055</v>
      </c>
      <c r="AE41" s="259">
        <v>10.121564415</v>
      </c>
      <c r="AF41" s="259">
        <v>10.201120003</v>
      </c>
      <c r="AG41" s="259">
        <v>10.391078390000001</v>
      </c>
      <c r="AH41" s="259">
        <v>10.263818802999999</v>
      </c>
      <c r="AI41" s="259">
        <v>10.011471548999999</v>
      </c>
      <c r="AJ41" s="259">
        <v>10.102982951</v>
      </c>
      <c r="AK41" s="259">
        <v>10.170463079999999</v>
      </c>
      <c r="AL41" s="259">
        <v>10.076267339999999</v>
      </c>
      <c r="AM41" s="259">
        <v>10.085372338000001</v>
      </c>
      <c r="AN41" s="259">
        <v>10.166567174000001</v>
      </c>
      <c r="AO41" s="259">
        <v>10.1523871</v>
      </c>
      <c r="AP41" s="259">
        <v>10.115238375000001</v>
      </c>
      <c r="AQ41" s="259">
        <v>10.065476797000001</v>
      </c>
      <c r="AR41" s="259">
        <v>10.178040266</v>
      </c>
      <c r="AS41" s="259">
        <v>10.368868739</v>
      </c>
      <c r="AT41" s="259">
        <v>10.240465959</v>
      </c>
      <c r="AU41" s="259">
        <v>9.9627485699000005</v>
      </c>
      <c r="AV41" s="259">
        <v>10.022644242</v>
      </c>
      <c r="AW41" s="259">
        <v>10.144823018</v>
      </c>
      <c r="AX41" s="259">
        <v>9.9203186446</v>
      </c>
      <c r="AY41" s="259">
        <v>9.9178038967000006</v>
      </c>
      <c r="AZ41" s="259">
        <v>9.8949592437000007</v>
      </c>
      <c r="BA41" s="259">
        <v>9.9019177813999999</v>
      </c>
      <c r="BB41" s="259">
        <v>10.34106527</v>
      </c>
      <c r="BC41" s="259">
        <v>10.42</v>
      </c>
      <c r="BD41" s="259">
        <v>10.6</v>
      </c>
      <c r="BE41" s="259">
        <v>10.62799</v>
      </c>
      <c r="BF41" s="259">
        <v>10.519489999999999</v>
      </c>
      <c r="BG41" s="378">
        <v>10.15089</v>
      </c>
      <c r="BH41" s="378">
        <v>10.26634</v>
      </c>
      <c r="BI41" s="378">
        <v>10.3607</v>
      </c>
      <c r="BJ41" s="378">
        <v>10.15457</v>
      </c>
      <c r="BK41" s="378">
        <v>10.210649999999999</v>
      </c>
      <c r="BL41" s="378">
        <v>10.18454</v>
      </c>
      <c r="BM41" s="378">
        <v>10.20173</v>
      </c>
      <c r="BN41" s="378">
        <v>10.53641</v>
      </c>
      <c r="BO41" s="378">
        <v>10.652430000000001</v>
      </c>
      <c r="BP41" s="378">
        <v>10.86749</v>
      </c>
      <c r="BQ41" s="378">
        <v>10.835140000000001</v>
      </c>
      <c r="BR41" s="378">
        <v>10.75437</v>
      </c>
      <c r="BS41" s="378">
        <v>10.40826</v>
      </c>
      <c r="BT41" s="378">
        <v>10.526579999999999</v>
      </c>
      <c r="BU41" s="378">
        <v>10.61576</v>
      </c>
      <c r="BV41" s="378">
        <v>10.396459999999999</v>
      </c>
    </row>
    <row r="42" spans="1:74" ht="11.1" customHeight="1" x14ac:dyDescent="0.2">
      <c r="A42" s="263" t="s">
        <v>196</v>
      </c>
      <c r="B42" s="204" t="s">
        <v>446</v>
      </c>
      <c r="C42" s="259">
        <v>8.8275866761999993</v>
      </c>
      <c r="D42" s="259">
        <v>8.8940170901000002</v>
      </c>
      <c r="E42" s="259">
        <v>9.0695600211999992</v>
      </c>
      <c r="F42" s="259">
        <v>9.0426343508000002</v>
      </c>
      <c r="G42" s="259">
        <v>9.5982114545999995</v>
      </c>
      <c r="H42" s="259">
        <v>10.484066761999999</v>
      </c>
      <c r="I42" s="259">
        <v>10.640113510000001</v>
      </c>
      <c r="J42" s="259">
        <v>10.61912893</v>
      </c>
      <c r="K42" s="259">
        <v>9.9834773742999996</v>
      </c>
      <c r="L42" s="259">
        <v>9.2507127089000001</v>
      </c>
      <c r="M42" s="259">
        <v>9.1853315966999993</v>
      </c>
      <c r="N42" s="259">
        <v>8.9830778428000002</v>
      </c>
      <c r="O42" s="259">
        <v>8.946964736</v>
      </c>
      <c r="P42" s="259">
        <v>9.2194029022000006</v>
      </c>
      <c r="Q42" s="259">
        <v>9.1827662665999998</v>
      </c>
      <c r="R42" s="259">
        <v>9.3514321869000003</v>
      </c>
      <c r="S42" s="259">
        <v>9.8130804084999994</v>
      </c>
      <c r="T42" s="259">
        <v>10.720952318</v>
      </c>
      <c r="U42" s="259">
        <v>11.006127286</v>
      </c>
      <c r="V42" s="259">
        <v>10.786761083</v>
      </c>
      <c r="W42" s="259">
        <v>10.160803567</v>
      </c>
      <c r="X42" s="259">
        <v>9.3793230756000003</v>
      </c>
      <c r="Y42" s="259">
        <v>9.1843876787000003</v>
      </c>
      <c r="Z42" s="259">
        <v>9.0237716543000008</v>
      </c>
      <c r="AA42" s="259">
        <v>9.0613619212999996</v>
      </c>
      <c r="AB42" s="259">
        <v>9.2680506371</v>
      </c>
      <c r="AC42" s="259">
        <v>9.3464184668999994</v>
      </c>
      <c r="AD42" s="259">
        <v>9.2180914569999999</v>
      </c>
      <c r="AE42" s="259">
        <v>9.9971398121000004</v>
      </c>
      <c r="AF42" s="259">
        <v>10.834240545</v>
      </c>
      <c r="AG42" s="259">
        <v>11.007346446</v>
      </c>
      <c r="AH42" s="259">
        <v>10.748513707000001</v>
      </c>
      <c r="AI42" s="259">
        <v>10.116792115000001</v>
      </c>
      <c r="AJ42" s="259">
        <v>9.4523908999999993</v>
      </c>
      <c r="AK42" s="259">
        <v>9.2073167436999999</v>
      </c>
      <c r="AL42" s="259">
        <v>9.0320436526000005</v>
      </c>
      <c r="AM42" s="259">
        <v>8.9350477385999998</v>
      </c>
      <c r="AN42" s="259">
        <v>9.1917548281000006</v>
      </c>
      <c r="AO42" s="259">
        <v>9.3184705444000002</v>
      </c>
      <c r="AP42" s="259">
        <v>9.3409113058000006</v>
      </c>
      <c r="AQ42" s="259">
        <v>9.9422882725000008</v>
      </c>
      <c r="AR42" s="259">
        <v>10.735324792</v>
      </c>
      <c r="AS42" s="259">
        <v>10.848661331000001</v>
      </c>
      <c r="AT42" s="259">
        <v>10.808805758</v>
      </c>
      <c r="AU42" s="259">
        <v>10.234775624999999</v>
      </c>
      <c r="AV42" s="259">
        <v>9.3926607149999999</v>
      </c>
      <c r="AW42" s="259">
        <v>9.1123114502</v>
      </c>
      <c r="AX42" s="259">
        <v>9.0167738146000005</v>
      </c>
      <c r="AY42" s="259">
        <v>9.0360062215999992</v>
      </c>
      <c r="AZ42" s="259">
        <v>9.1259347787999996</v>
      </c>
      <c r="BA42" s="259">
        <v>9.3157562827000007</v>
      </c>
      <c r="BB42" s="259">
        <v>9.4938272355999995</v>
      </c>
      <c r="BC42" s="259">
        <v>10.11</v>
      </c>
      <c r="BD42" s="259">
        <v>10.71</v>
      </c>
      <c r="BE42" s="259">
        <v>11.06654</v>
      </c>
      <c r="BF42" s="259">
        <v>11.13916</v>
      </c>
      <c r="BG42" s="378">
        <v>10.59957</v>
      </c>
      <c r="BH42" s="378">
        <v>9.732253</v>
      </c>
      <c r="BI42" s="378">
        <v>9.4091400000000007</v>
      </c>
      <c r="BJ42" s="378">
        <v>9.2857000000000003</v>
      </c>
      <c r="BK42" s="378">
        <v>9.2985869999999995</v>
      </c>
      <c r="BL42" s="378">
        <v>9.3814840000000004</v>
      </c>
      <c r="BM42" s="378">
        <v>9.592746</v>
      </c>
      <c r="BN42" s="378">
        <v>9.6066420000000008</v>
      </c>
      <c r="BO42" s="378">
        <v>10.1457</v>
      </c>
      <c r="BP42" s="378">
        <v>10.7661</v>
      </c>
      <c r="BQ42" s="378">
        <v>11.12936</v>
      </c>
      <c r="BR42" s="378">
        <v>11.15713</v>
      </c>
      <c r="BS42" s="378">
        <v>10.666869999999999</v>
      </c>
      <c r="BT42" s="378">
        <v>9.7586150000000007</v>
      </c>
      <c r="BU42" s="378">
        <v>9.4185490000000005</v>
      </c>
      <c r="BV42" s="378">
        <v>9.2371490000000005</v>
      </c>
    </row>
    <row r="43" spans="1:74" ht="11.1" customHeight="1" x14ac:dyDescent="0.2">
      <c r="A43" s="263" t="s">
        <v>197</v>
      </c>
      <c r="B43" s="204" t="s">
        <v>447</v>
      </c>
      <c r="C43" s="259">
        <v>9.7164810962000008</v>
      </c>
      <c r="D43" s="259">
        <v>9.7412390301999991</v>
      </c>
      <c r="E43" s="259">
        <v>9.6268939448000008</v>
      </c>
      <c r="F43" s="259">
        <v>9.5348894611000006</v>
      </c>
      <c r="G43" s="259">
        <v>9.5702859277000005</v>
      </c>
      <c r="H43" s="259">
        <v>10.013318178</v>
      </c>
      <c r="I43" s="259">
        <v>10.097223001</v>
      </c>
      <c r="J43" s="259">
        <v>10.080974786000001</v>
      </c>
      <c r="K43" s="259">
        <v>9.9793311433999996</v>
      </c>
      <c r="L43" s="259">
        <v>9.6797463491000002</v>
      </c>
      <c r="M43" s="259">
        <v>9.5959473710999994</v>
      </c>
      <c r="N43" s="259">
        <v>9.5762073307000009</v>
      </c>
      <c r="O43" s="259">
        <v>9.7612588959999993</v>
      </c>
      <c r="P43" s="259">
        <v>9.8879011087999995</v>
      </c>
      <c r="Q43" s="259">
        <v>9.8251884280000006</v>
      </c>
      <c r="R43" s="259">
        <v>9.7850185466999999</v>
      </c>
      <c r="S43" s="259">
        <v>9.7956693818999998</v>
      </c>
      <c r="T43" s="259">
        <v>10.105596155000001</v>
      </c>
      <c r="U43" s="259">
        <v>10.262871225</v>
      </c>
      <c r="V43" s="259">
        <v>10.215284752000001</v>
      </c>
      <c r="W43" s="259">
        <v>10.243364914000001</v>
      </c>
      <c r="X43" s="259">
        <v>9.9905149632000008</v>
      </c>
      <c r="Y43" s="259">
        <v>9.7436208267000008</v>
      </c>
      <c r="Z43" s="259">
        <v>9.7186668550000004</v>
      </c>
      <c r="AA43" s="259">
        <v>10.057808205000001</v>
      </c>
      <c r="AB43" s="259">
        <v>10.06542754</v>
      </c>
      <c r="AC43" s="259">
        <v>9.7501432750999992</v>
      </c>
      <c r="AD43" s="259">
        <v>9.7733894420999992</v>
      </c>
      <c r="AE43" s="259">
        <v>9.7011686458999993</v>
      </c>
      <c r="AF43" s="259">
        <v>10.051530035000001</v>
      </c>
      <c r="AG43" s="259">
        <v>10.118221655999999</v>
      </c>
      <c r="AH43" s="259">
        <v>9.8719263948999991</v>
      </c>
      <c r="AI43" s="259">
        <v>9.9719938290000005</v>
      </c>
      <c r="AJ43" s="259">
        <v>9.8291094688000005</v>
      </c>
      <c r="AK43" s="259">
        <v>9.8610024240000005</v>
      </c>
      <c r="AL43" s="259">
        <v>9.6054985895999998</v>
      </c>
      <c r="AM43" s="259">
        <v>9.8398846352000007</v>
      </c>
      <c r="AN43" s="259">
        <v>10.001178479</v>
      </c>
      <c r="AO43" s="259">
        <v>9.9182451270000005</v>
      </c>
      <c r="AP43" s="259">
        <v>9.9317870931000005</v>
      </c>
      <c r="AQ43" s="259">
        <v>9.8900024479000006</v>
      </c>
      <c r="AR43" s="259">
        <v>10.19197273</v>
      </c>
      <c r="AS43" s="259">
        <v>10.300873318000001</v>
      </c>
      <c r="AT43" s="259">
        <v>10.249726379</v>
      </c>
      <c r="AU43" s="259">
        <v>10.163538377</v>
      </c>
      <c r="AV43" s="259">
        <v>9.9717020520999995</v>
      </c>
      <c r="AW43" s="259">
        <v>10.012459296999999</v>
      </c>
      <c r="AX43" s="259">
        <v>9.7124014472999995</v>
      </c>
      <c r="AY43" s="259">
        <v>9.7514582074000007</v>
      </c>
      <c r="AZ43" s="259">
        <v>9.8631794016000001</v>
      </c>
      <c r="BA43" s="259">
        <v>9.8008260075999996</v>
      </c>
      <c r="BB43" s="259">
        <v>9.9840079945000006</v>
      </c>
      <c r="BC43" s="259">
        <v>9.34</v>
      </c>
      <c r="BD43" s="259">
        <v>10.09</v>
      </c>
      <c r="BE43" s="259">
        <v>10.17225</v>
      </c>
      <c r="BF43" s="259">
        <v>10.118819999999999</v>
      </c>
      <c r="BG43" s="378">
        <v>10.065659999999999</v>
      </c>
      <c r="BH43" s="378">
        <v>9.8709419999999994</v>
      </c>
      <c r="BI43" s="378">
        <v>9.9102610000000002</v>
      </c>
      <c r="BJ43" s="378">
        <v>9.6094480000000004</v>
      </c>
      <c r="BK43" s="378">
        <v>9.6811059999999998</v>
      </c>
      <c r="BL43" s="378">
        <v>9.802899</v>
      </c>
      <c r="BM43" s="378">
        <v>9.790737</v>
      </c>
      <c r="BN43" s="378">
        <v>9.9742890000000006</v>
      </c>
      <c r="BO43" s="378">
        <v>9.3498160000000006</v>
      </c>
      <c r="BP43" s="378">
        <v>10.144590000000001</v>
      </c>
      <c r="BQ43" s="378">
        <v>10.287129999999999</v>
      </c>
      <c r="BR43" s="378">
        <v>10.254300000000001</v>
      </c>
      <c r="BS43" s="378">
        <v>10.23035</v>
      </c>
      <c r="BT43" s="378">
        <v>10.05979</v>
      </c>
      <c r="BU43" s="378">
        <v>10.11458</v>
      </c>
      <c r="BV43" s="378">
        <v>9.8276070000000004</v>
      </c>
    </row>
    <row r="44" spans="1:74" ht="11.1" customHeight="1" x14ac:dyDescent="0.2">
      <c r="A44" s="263" t="s">
        <v>198</v>
      </c>
      <c r="B44" s="204" t="s">
        <v>448</v>
      </c>
      <c r="C44" s="259">
        <v>8.7700196997000006</v>
      </c>
      <c r="D44" s="259">
        <v>8.6744082347999996</v>
      </c>
      <c r="E44" s="259">
        <v>8.6802342304</v>
      </c>
      <c r="F44" s="259">
        <v>8.6594477151000007</v>
      </c>
      <c r="G44" s="259">
        <v>8.6585608501000006</v>
      </c>
      <c r="H44" s="259">
        <v>9.1959633829000005</v>
      </c>
      <c r="I44" s="259">
        <v>9.3629862560999992</v>
      </c>
      <c r="J44" s="259">
        <v>9.3519368894999992</v>
      </c>
      <c r="K44" s="259">
        <v>9.3588308522000005</v>
      </c>
      <c r="L44" s="259">
        <v>9.1751703220999996</v>
      </c>
      <c r="M44" s="259">
        <v>9.0827522617999996</v>
      </c>
      <c r="N44" s="259">
        <v>9.2765964123</v>
      </c>
      <c r="O44" s="259">
        <v>9.1564860947</v>
      </c>
      <c r="P44" s="259">
        <v>9.2432793814000007</v>
      </c>
      <c r="Q44" s="259">
        <v>9.1287102542999996</v>
      </c>
      <c r="R44" s="259">
        <v>9.0782279199999998</v>
      </c>
      <c r="S44" s="259">
        <v>9.1206237925</v>
      </c>
      <c r="T44" s="259">
        <v>9.4720078801999996</v>
      </c>
      <c r="U44" s="259">
        <v>9.5761099536999996</v>
      </c>
      <c r="V44" s="259">
        <v>9.4761309251999997</v>
      </c>
      <c r="W44" s="259">
        <v>9.4837478747000006</v>
      </c>
      <c r="X44" s="259">
        <v>9.1807961038000006</v>
      </c>
      <c r="Y44" s="259">
        <v>9.2260905301000005</v>
      </c>
      <c r="Z44" s="259">
        <v>9.1810935926999999</v>
      </c>
      <c r="AA44" s="259">
        <v>9.1669086876999994</v>
      </c>
      <c r="AB44" s="259">
        <v>9.2482887092000006</v>
      </c>
      <c r="AC44" s="259">
        <v>9.2091689161999994</v>
      </c>
      <c r="AD44" s="259">
        <v>9.1348928811000007</v>
      </c>
      <c r="AE44" s="259">
        <v>9.2329296716999991</v>
      </c>
      <c r="AF44" s="259">
        <v>9.5156381440000004</v>
      </c>
      <c r="AG44" s="259">
        <v>9.3930597301999992</v>
      </c>
      <c r="AH44" s="259">
        <v>9.3941389666999999</v>
      </c>
      <c r="AI44" s="259">
        <v>9.3776977822000003</v>
      </c>
      <c r="AJ44" s="259">
        <v>9.1178229571999996</v>
      </c>
      <c r="AK44" s="259">
        <v>9.3153786878999991</v>
      </c>
      <c r="AL44" s="259">
        <v>9.2533199439999994</v>
      </c>
      <c r="AM44" s="259">
        <v>9.2796932737999995</v>
      </c>
      <c r="AN44" s="259">
        <v>9.3677943088000006</v>
      </c>
      <c r="AO44" s="259">
        <v>9.2534519946000007</v>
      </c>
      <c r="AP44" s="259">
        <v>9.2880132821999997</v>
      </c>
      <c r="AQ44" s="259">
        <v>9.3728465395999994</v>
      </c>
      <c r="AR44" s="259">
        <v>9.6061140909000002</v>
      </c>
      <c r="AS44" s="259">
        <v>9.7467434811999993</v>
      </c>
      <c r="AT44" s="259">
        <v>9.6367705837000006</v>
      </c>
      <c r="AU44" s="259">
        <v>9.5643338266000004</v>
      </c>
      <c r="AV44" s="259">
        <v>9.2581865783000001</v>
      </c>
      <c r="AW44" s="259">
        <v>9.4587046788000002</v>
      </c>
      <c r="AX44" s="259">
        <v>9.1052847833000001</v>
      </c>
      <c r="AY44" s="259">
        <v>9.3315752221999997</v>
      </c>
      <c r="AZ44" s="259">
        <v>9.2256577302</v>
      </c>
      <c r="BA44" s="259">
        <v>9.1967904991000005</v>
      </c>
      <c r="BB44" s="259">
        <v>9.254466442</v>
      </c>
      <c r="BC44" s="259">
        <v>9.34</v>
      </c>
      <c r="BD44" s="259">
        <v>9.59</v>
      </c>
      <c r="BE44" s="259">
        <v>9.7179289999999998</v>
      </c>
      <c r="BF44" s="259">
        <v>9.6376080000000002</v>
      </c>
      <c r="BG44" s="378">
        <v>9.6238390000000003</v>
      </c>
      <c r="BH44" s="378">
        <v>9.3225390000000008</v>
      </c>
      <c r="BI44" s="378">
        <v>9.521471</v>
      </c>
      <c r="BJ44" s="378">
        <v>9.1760350000000006</v>
      </c>
      <c r="BK44" s="378">
        <v>9.4276660000000003</v>
      </c>
      <c r="BL44" s="378">
        <v>9.3445009999999993</v>
      </c>
      <c r="BM44" s="378">
        <v>9.3534699999999997</v>
      </c>
      <c r="BN44" s="378">
        <v>9.3040350000000007</v>
      </c>
      <c r="BO44" s="378">
        <v>9.4108230000000006</v>
      </c>
      <c r="BP44" s="378">
        <v>9.7354070000000004</v>
      </c>
      <c r="BQ44" s="378">
        <v>9.9077889999999993</v>
      </c>
      <c r="BR44" s="378">
        <v>9.8208210000000005</v>
      </c>
      <c r="BS44" s="378">
        <v>9.8046989999999994</v>
      </c>
      <c r="BT44" s="378">
        <v>9.4974369999999997</v>
      </c>
      <c r="BU44" s="378">
        <v>9.691827</v>
      </c>
      <c r="BV44" s="378">
        <v>9.3383269999999996</v>
      </c>
    </row>
    <row r="45" spans="1:74" ht="11.1" customHeight="1" x14ac:dyDescent="0.2">
      <c r="A45" s="263" t="s">
        <v>199</v>
      </c>
      <c r="B45" s="204" t="s">
        <v>449</v>
      </c>
      <c r="C45" s="259">
        <v>7.9826758053000004</v>
      </c>
      <c r="D45" s="259">
        <v>7.9978511977000002</v>
      </c>
      <c r="E45" s="259">
        <v>7.9758277706999996</v>
      </c>
      <c r="F45" s="259">
        <v>7.8616534920000003</v>
      </c>
      <c r="G45" s="259">
        <v>8.0096294393999994</v>
      </c>
      <c r="H45" s="259">
        <v>8.2736713551999994</v>
      </c>
      <c r="I45" s="259">
        <v>8.4499587267000003</v>
      </c>
      <c r="J45" s="259">
        <v>8.5353161053999997</v>
      </c>
      <c r="K45" s="259">
        <v>8.5873875700000006</v>
      </c>
      <c r="L45" s="259">
        <v>8.2618322785</v>
      </c>
      <c r="M45" s="259">
        <v>7.9597636293000003</v>
      </c>
      <c r="N45" s="259">
        <v>8.0586585617999997</v>
      </c>
      <c r="O45" s="259">
        <v>7.9128723879000002</v>
      </c>
      <c r="P45" s="259">
        <v>8.1715961830000001</v>
      </c>
      <c r="Q45" s="259">
        <v>8.0430949844999997</v>
      </c>
      <c r="R45" s="259">
        <v>8.0985772342000004</v>
      </c>
      <c r="S45" s="259">
        <v>8.2127721012000006</v>
      </c>
      <c r="T45" s="259">
        <v>8.5105058555999999</v>
      </c>
      <c r="U45" s="259">
        <v>8.6133539590999995</v>
      </c>
      <c r="V45" s="259">
        <v>8.5513984166999997</v>
      </c>
      <c r="W45" s="259">
        <v>8.5246060336999996</v>
      </c>
      <c r="X45" s="259">
        <v>8.2623755112000001</v>
      </c>
      <c r="Y45" s="259">
        <v>8.0394780187000006</v>
      </c>
      <c r="Z45" s="259">
        <v>7.9004460238999998</v>
      </c>
      <c r="AA45" s="259">
        <v>8.2501485461000001</v>
      </c>
      <c r="AB45" s="259">
        <v>8.2475510291000003</v>
      </c>
      <c r="AC45" s="259">
        <v>8.1691613707999995</v>
      </c>
      <c r="AD45" s="259">
        <v>7.9855799071</v>
      </c>
      <c r="AE45" s="259">
        <v>8.1296865573999995</v>
      </c>
      <c r="AF45" s="259">
        <v>8.5365980113000006</v>
      </c>
      <c r="AG45" s="259">
        <v>8.6208520667999995</v>
      </c>
      <c r="AH45" s="259">
        <v>8.6350604652000005</v>
      </c>
      <c r="AI45" s="259">
        <v>8.3564498803999996</v>
      </c>
      <c r="AJ45" s="259">
        <v>8.0945426885000007</v>
      </c>
      <c r="AK45" s="259">
        <v>8.0548516322000001</v>
      </c>
      <c r="AL45" s="259">
        <v>7.8360555169000001</v>
      </c>
      <c r="AM45" s="259">
        <v>8.1741865076</v>
      </c>
      <c r="AN45" s="259">
        <v>8.2171381021999998</v>
      </c>
      <c r="AO45" s="259">
        <v>8.2633011836999994</v>
      </c>
      <c r="AP45" s="259">
        <v>8.1094446493000003</v>
      </c>
      <c r="AQ45" s="259">
        <v>8.2295216734000007</v>
      </c>
      <c r="AR45" s="259">
        <v>8.4679269660000003</v>
      </c>
      <c r="AS45" s="259">
        <v>8.6757724887999998</v>
      </c>
      <c r="AT45" s="259">
        <v>9.1972201179000006</v>
      </c>
      <c r="AU45" s="259">
        <v>8.9437045953999998</v>
      </c>
      <c r="AV45" s="259">
        <v>8.5583891550000004</v>
      </c>
      <c r="AW45" s="259">
        <v>8.1907076621999995</v>
      </c>
      <c r="AX45" s="259">
        <v>8.0472136274999997</v>
      </c>
      <c r="AY45" s="259">
        <v>7.9920532514999998</v>
      </c>
      <c r="AZ45" s="259">
        <v>8.1129168650000008</v>
      </c>
      <c r="BA45" s="259">
        <v>8.0279739873999993</v>
      </c>
      <c r="BB45" s="259">
        <v>8.0988389934999994</v>
      </c>
      <c r="BC45" s="259">
        <v>8.1199999999999992</v>
      </c>
      <c r="BD45" s="259">
        <v>8.5</v>
      </c>
      <c r="BE45" s="259">
        <v>8.5877499999999998</v>
      </c>
      <c r="BF45" s="259">
        <v>8.9213920000000009</v>
      </c>
      <c r="BG45" s="378">
        <v>8.6691190000000002</v>
      </c>
      <c r="BH45" s="378">
        <v>8.4583329999999997</v>
      </c>
      <c r="BI45" s="378">
        <v>8.1673819999999999</v>
      </c>
      <c r="BJ45" s="378">
        <v>8.0640450000000001</v>
      </c>
      <c r="BK45" s="378">
        <v>8.0571710000000003</v>
      </c>
      <c r="BL45" s="378">
        <v>8.1563210000000002</v>
      </c>
      <c r="BM45" s="378">
        <v>8.0321079999999991</v>
      </c>
      <c r="BN45" s="378">
        <v>8.0151889999999995</v>
      </c>
      <c r="BO45" s="378">
        <v>8.1167350000000003</v>
      </c>
      <c r="BP45" s="378">
        <v>8.5790699999999998</v>
      </c>
      <c r="BQ45" s="378">
        <v>8.6945840000000008</v>
      </c>
      <c r="BR45" s="378">
        <v>8.9873320000000003</v>
      </c>
      <c r="BS45" s="378">
        <v>8.7648329999999994</v>
      </c>
      <c r="BT45" s="378">
        <v>8.4865770000000005</v>
      </c>
      <c r="BU45" s="378">
        <v>8.1541689999999996</v>
      </c>
      <c r="BV45" s="378">
        <v>8.0625499999999999</v>
      </c>
    </row>
    <row r="46" spans="1:74" s="120" customFormat="1" ht="11.1" customHeight="1" x14ac:dyDescent="0.2">
      <c r="A46" s="263" t="s">
        <v>200</v>
      </c>
      <c r="B46" s="204" t="s">
        <v>450</v>
      </c>
      <c r="C46" s="259">
        <v>8.6819844744000001</v>
      </c>
      <c r="D46" s="259">
        <v>8.7367812879999995</v>
      </c>
      <c r="E46" s="259">
        <v>8.7370038575999995</v>
      </c>
      <c r="F46" s="259">
        <v>8.8491311422999992</v>
      </c>
      <c r="G46" s="259">
        <v>9.2458550771999999</v>
      </c>
      <c r="H46" s="259">
        <v>9.8651229237999996</v>
      </c>
      <c r="I46" s="259">
        <v>10.007925885000001</v>
      </c>
      <c r="J46" s="259">
        <v>9.9862174737</v>
      </c>
      <c r="K46" s="259">
        <v>9.8540021325999998</v>
      </c>
      <c r="L46" s="259">
        <v>9.3116308238999999</v>
      </c>
      <c r="M46" s="259">
        <v>8.8294577402000005</v>
      </c>
      <c r="N46" s="259">
        <v>8.8818303708999995</v>
      </c>
      <c r="O46" s="259">
        <v>8.8751906337000008</v>
      </c>
      <c r="P46" s="259">
        <v>8.9620494291000004</v>
      </c>
      <c r="Q46" s="259">
        <v>9.0049081222999998</v>
      </c>
      <c r="R46" s="259">
        <v>9.0695961040000004</v>
      </c>
      <c r="S46" s="259">
        <v>9.5585648106000001</v>
      </c>
      <c r="T46" s="259">
        <v>10.128077184</v>
      </c>
      <c r="U46" s="259">
        <v>10.217574259999999</v>
      </c>
      <c r="V46" s="259">
        <v>10.079898836</v>
      </c>
      <c r="W46" s="259">
        <v>9.9118748076000003</v>
      </c>
      <c r="X46" s="259">
        <v>9.5399949930000005</v>
      </c>
      <c r="Y46" s="259">
        <v>9.0633304362999993</v>
      </c>
      <c r="Z46" s="259">
        <v>9.0533001804000008</v>
      </c>
      <c r="AA46" s="259">
        <v>9.0149185559999996</v>
      </c>
      <c r="AB46" s="259">
        <v>9.1148574800999995</v>
      </c>
      <c r="AC46" s="259">
        <v>9.0759045963999991</v>
      </c>
      <c r="AD46" s="259">
        <v>9.2030582457999994</v>
      </c>
      <c r="AE46" s="259">
        <v>9.5757057858000003</v>
      </c>
      <c r="AF46" s="259">
        <v>9.9817700804000005</v>
      </c>
      <c r="AG46" s="259">
        <v>10.065367733</v>
      </c>
      <c r="AH46" s="259">
        <v>10.07659102</v>
      </c>
      <c r="AI46" s="259">
        <v>9.7881387480999997</v>
      </c>
      <c r="AJ46" s="259">
        <v>9.3942080531999999</v>
      </c>
      <c r="AK46" s="259">
        <v>8.9245668953999999</v>
      </c>
      <c r="AL46" s="259">
        <v>8.9248728604000007</v>
      </c>
      <c r="AM46" s="259">
        <v>9.0044574378999993</v>
      </c>
      <c r="AN46" s="259">
        <v>9.2439964426000003</v>
      </c>
      <c r="AO46" s="259">
        <v>9.1082224692999993</v>
      </c>
      <c r="AP46" s="259">
        <v>9.0704213118000006</v>
      </c>
      <c r="AQ46" s="259">
        <v>9.2859361472999993</v>
      </c>
      <c r="AR46" s="259">
        <v>9.8458425719000005</v>
      </c>
      <c r="AS46" s="259">
        <v>10.060044637000001</v>
      </c>
      <c r="AT46" s="259">
        <v>10.062392046999999</v>
      </c>
      <c r="AU46" s="259">
        <v>9.7750405636999993</v>
      </c>
      <c r="AV46" s="259">
        <v>9.2664682157999998</v>
      </c>
      <c r="AW46" s="259">
        <v>8.8528750386000006</v>
      </c>
      <c r="AX46" s="259">
        <v>8.8103524058999998</v>
      </c>
      <c r="AY46" s="259">
        <v>8.7936343567000002</v>
      </c>
      <c r="AZ46" s="259">
        <v>8.8617242774000005</v>
      </c>
      <c r="BA46" s="259">
        <v>8.8343337031000004</v>
      </c>
      <c r="BB46" s="259">
        <v>9.0667725900999994</v>
      </c>
      <c r="BC46" s="259">
        <v>9.5500000000000007</v>
      </c>
      <c r="BD46" s="259">
        <v>10.01</v>
      </c>
      <c r="BE46" s="259">
        <v>10.187950000000001</v>
      </c>
      <c r="BF46" s="259">
        <v>10.24244</v>
      </c>
      <c r="BG46" s="378">
        <v>9.9111820000000002</v>
      </c>
      <c r="BH46" s="378">
        <v>9.3587389999999999</v>
      </c>
      <c r="BI46" s="378">
        <v>8.9447829999999993</v>
      </c>
      <c r="BJ46" s="378">
        <v>8.87059</v>
      </c>
      <c r="BK46" s="378">
        <v>8.8625000000000007</v>
      </c>
      <c r="BL46" s="378">
        <v>8.9105950000000007</v>
      </c>
      <c r="BM46" s="378">
        <v>8.8744969999999999</v>
      </c>
      <c r="BN46" s="378">
        <v>9.1043610000000008</v>
      </c>
      <c r="BO46" s="378">
        <v>9.5751659999999994</v>
      </c>
      <c r="BP46" s="378">
        <v>10.082850000000001</v>
      </c>
      <c r="BQ46" s="378">
        <v>10.24765</v>
      </c>
      <c r="BR46" s="378">
        <v>10.19882</v>
      </c>
      <c r="BS46" s="378">
        <v>9.9751290000000008</v>
      </c>
      <c r="BT46" s="378">
        <v>9.4399169999999994</v>
      </c>
      <c r="BU46" s="378">
        <v>9.016413</v>
      </c>
      <c r="BV46" s="378">
        <v>8.9527619999999999</v>
      </c>
    </row>
    <row r="47" spans="1:74" s="120" customFormat="1" ht="11.1" customHeight="1" x14ac:dyDescent="0.2">
      <c r="A47" s="263" t="s">
        <v>201</v>
      </c>
      <c r="B47" s="206" t="s">
        <v>451</v>
      </c>
      <c r="C47" s="259">
        <v>12.081372213</v>
      </c>
      <c r="D47" s="259">
        <v>12.002573949</v>
      </c>
      <c r="E47" s="259">
        <v>11.989813861</v>
      </c>
      <c r="F47" s="259">
        <v>10.962573969999999</v>
      </c>
      <c r="G47" s="259">
        <v>12.450028684999999</v>
      </c>
      <c r="H47" s="259">
        <v>13.503010263</v>
      </c>
      <c r="I47" s="259">
        <v>14.068066259</v>
      </c>
      <c r="J47" s="259">
        <v>14.382511969999999</v>
      </c>
      <c r="K47" s="259">
        <v>14.059625924000001</v>
      </c>
      <c r="L47" s="259">
        <v>12.115473398000001</v>
      </c>
      <c r="M47" s="259">
        <v>12.520949219</v>
      </c>
      <c r="N47" s="259">
        <v>12.191356553</v>
      </c>
      <c r="O47" s="259">
        <v>12.254538738000001</v>
      </c>
      <c r="P47" s="259">
        <v>12.415525027999999</v>
      </c>
      <c r="Q47" s="259">
        <v>12.598219672999999</v>
      </c>
      <c r="R47" s="259">
        <v>11.21484734</v>
      </c>
      <c r="S47" s="259">
        <v>12.851437862999999</v>
      </c>
      <c r="T47" s="259">
        <v>14.374265238</v>
      </c>
      <c r="U47" s="259">
        <v>14.412456614</v>
      </c>
      <c r="V47" s="259">
        <v>14.705804235</v>
      </c>
      <c r="W47" s="259">
        <v>14.898019624</v>
      </c>
      <c r="X47" s="259">
        <v>13.380792171</v>
      </c>
      <c r="Y47" s="259">
        <v>13.038590367999999</v>
      </c>
      <c r="Z47" s="259">
        <v>12.451982851</v>
      </c>
      <c r="AA47" s="259">
        <v>12.718737967999999</v>
      </c>
      <c r="AB47" s="259">
        <v>12.611400462000001</v>
      </c>
      <c r="AC47" s="259">
        <v>12.885511320000001</v>
      </c>
      <c r="AD47" s="259">
        <v>12.095473923</v>
      </c>
      <c r="AE47" s="259">
        <v>13.216141688</v>
      </c>
      <c r="AF47" s="259">
        <v>14.488364332</v>
      </c>
      <c r="AG47" s="259">
        <v>15.087853882999999</v>
      </c>
      <c r="AH47" s="259">
        <v>15.679013337000001</v>
      </c>
      <c r="AI47" s="259">
        <v>14.318370801</v>
      </c>
      <c r="AJ47" s="259">
        <v>13.529580115</v>
      </c>
      <c r="AK47" s="259">
        <v>13.305983696</v>
      </c>
      <c r="AL47" s="259">
        <v>13.013860902999999</v>
      </c>
      <c r="AM47" s="259">
        <v>12.776016793</v>
      </c>
      <c r="AN47" s="259">
        <v>13.013040336</v>
      </c>
      <c r="AO47" s="259">
        <v>12.844337415</v>
      </c>
      <c r="AP47" s="259">
        <v>12.490803305</v>
      </c>
      <c r="AQ47" s="259">
        <v>13.406137551</v>
      </c>
      <c r="AR47" s="259">
        <v>14.946685418</v>
      </c>
      <c r="AS47" s="259">
        <v>15.389800585</v>
      </c>
      <c r="AT47" s="259">
        <v>15.559817419</v>
      </c>
      <c r="AU47" s="259">
        <v>15.728306614999999</v>
      </c>
      <c r="AV47" s="259">
        <v>13.719846544999999</v>
      </c>
      <c r="AW47" s="259">
        <v>13.881058946</v>
      </c>
      <c r="AX47" s="259">
        <v>13.24470765</v>
      </c>
      <c r="AY47" s="259">
        <v>13.388910177</v>
      </c>
      <c r="AZ47" s="259">
        <v>13.413964944</v>
      </c>
      <c r="BA47" s="259">
        <v>13.451300384</v>
      </c>
      <c r="BB47" s="259">
        <v>13.211596708</v>
      </c>
      <c r="BC47" s="259">
        <v>14.02</v>
      </c>
      <c r="BD47" s="259">
        <v>15.52</v>
      </c>
      <c r="BE47" s="259">
        <v>15.88391</v>
      </c>
      <c r="BF47" s="259">
        <v>16.213650000000001</v>
      </c>
      <c r="BG47" s="378">
        <v>16.338249999999999</v>
      </c>
      <c r="BH47" s="378">
        <v>13.745559999999999</v>
      </c>
      <c r="BI47" s="378">
        <v>14.396649999999999</v>
      </c>
      <c r="BJ47" s="378">
        <v>13.63683</v>
      </c>
      <c r="BK47" s="378">
        <v>13.809609999999999</v>
      </c>
      <c r="BL47" s="378">
        <v>13.81127</v>
      </c>
      <c r="BM47" s="378">
        <v>13.739280000000001</v>
      </c>
      <c r="BN47" s="378">
        <v>13.902229999999999</v>
      </c>
      <c r="BO47" s="378">
        <v>14.49084</v>
      </c>
      <c r="BP47" s="378">
        <v>16.02506</v>
      </c>
      <c r="BQ47" s="378">
        <v>16.420680000000001</v>
      </c>
      <c r="BR47" s="378">
        <v>16.57985</v>
      </c>
      <c r="BS47" s="378">
        <v>16.775929999999999</v>
      </c>
      <c r="BT47" s="378">
        <v>13.978630000000001</v>
      </c>
      <c r="BU47" s="378">
        <v>14.83347</v>
      </c>
      <c r="BV47" s="378">
        <v>14.047890000000001</v>
      </c>
    </row>
    <row r="48" spans="1:74" s="120" customFormat="1" ht="11.1" customHeight="1" x14ac:dyDescent="0.2">
      <c r="A48" s="263" t="s">
        <v>202</v>
      </c>
      <c r="B48" s="207" t="s">
        <v>425</v>
      </c>
      <c r="C48" s="214">
        <v>9.9700000000000006</v>
      </c>
      <c r="D48" s="214">
        <v>10</v>
      </c>
      <c r="E48" s="214">
        <v>10</v>
      </c>
      <c r="F48" s="214">
        <v>9.83</v>
      </c>
      <c r="G48" s="214">
        <v>10.06</v>
      </c>
      <c r="H48" s="214">
        <v>10.52</v>
      </c>
      <c r="I48" s="214">
        <v>10.7</v>
      </c>
      <c r="J48" s="214">
        <v>10.81</v>
      </c>
      <c r="K48" s="214">
        <v>10.68</v>
      </c>
      <c r="L48" s="214">
        <v>10.15</v>
      </c>
      <c r="M48" s="214">
        <v>10.1</v>
      </c>
      <c r="N48" s="214">
        <v>10.09</v>
      </c>
      <c r="O48" s="214">
        <v>10.130000000000001</v>
      </c>
      <c r="P48" s="214">
        <v>10.28</v>
      </c>
      <c r="Q48" s="214">
        <v>10.28</v>
      </c>
      <c r="R48" s="214">
        <v>10.07</v>
      </c>
      <c r="S48" s="214">
        <v>10.34</v>
      </c>
      <c r="T48" s="214">
        <v>10.83</v>
      </c>
      <c r="U48" s="214">
        <v>10.95</v>
      </c>
      <c r="V48" s="214">
        <v>10.91</v>
      </c>
      <c r="W48" s="214">
        <v>10.86</v>
      </c>
      <c r="X48" s="214">
        <v>10.4</v>
      </c>
      <c r="Y48" s="214">
        <v>10.28</v>
      </c>
      <c r="Z48" s="214">
        <v>10.17</v>
      </c>
      <c r="AA48" s="214">
        <v>10.41</v>
      </c>
      <c r="AB48" s="214">
        <v>10.42</v>
      </c>
      <c r="AC48" s="214">
        <v>10.34</v>
      </c>
      <c r="AD48" s="214">
        <v>10.18</v>
      </c>
      <c r="AE48" s="214">
        <v>10.35</v>
      </c>
      <c r="AF48" s="214">
        <v>10.75</v>
      </c>
      <c r="AG48" s="214">
        <v>10.99</v>
      </c>
      <c r="AH48" s="214">
        <v>11.01</v>
      </c>
      <c r="AI48" s="214">
        <v>10.66</v>
      </c>
      <c r="AJ48" s="214">
        <v>10.41</v>
      </c>
      <c r="AK48" s="214">
        <v>10.35</v>
      </c>
      <c r="AL48" s="214">
        <v>10.210000000000001</v>
      </c>
      <c r="AM48" s="214">
        <v>10.29</v>
      </c>
      <c r="AN48" s="214">
        <v>10.45</v>
      </c>
      <c r="AO48" s="214">
        <v>10.39</v>
      </c>
      <c r="AP48" s="214">
        <v>10.3</v>
      </c>
      <c r="AQ48" s="214">
        <v>10.42</v>
      </c>
      <c r="AR48" s="214">
        <v>10.8</v>
      </c>
      <c r="AS48" s="214">
        <v>11.06</v>
      </c>
      <c r="AT48" s="214">
        <v>11.12</v>
      </c>
      <c r="AU48" s="214">
        <v>10.89</v>
      </c>
      <c r="AV48" s="214">
        <v>10.46</v>
      </c>
      <c r="AW48" s="214">
        <v>10.41</v>
      </c>
      <c r="AX48" s="214">
        <v>10.27</v>
      </c>
      <c r="AY48" s="214">
        <v>10.29</v>
      </c>
      <c r="AZ48" s="214">
        <v>10.29</v>
      </c>
      <c r="BA48" s="214">
        <v>10.29</v>
      </c>
      <c r="BB48" s="214">
        <v>10.42</v>
      </c>
      <c r="BC48" s="214">
        <v>10.45</v>
      </c>
      <c r="BD48" s="214">
        <v>10.97</v>
      </c>
      <c r="BE48" s="214">
        <v>11.108840000000001</v>
      </c>
      <c r="BF48" s="214">
        <v>11.190849999999999</v>
      </c>
      <c r="BG48" s="380">
        <v>10.99737</v>
      </c>
      <c r="BH48" s="380">
        <v>10.49804</v>
      </c>
      <c r="BI48" s="380">
        <v>10.49614</v>
      </c>
      <c r="BJ48" s="380">
        <v>10.31823</v>
      </c>
      <c r="BK48" s="380">
        <v>10.37767</v>
      </c>
      <c r="BL48" s="380">
        <v>10.40178</v>
      </c>
      <c r="BM48" s="380">
        <v>10.41145</v>
      </c>
      <c r="BN48" s="380">
        <v>10.52487</v>
      </c>
      <c r="BO48" s="380">
        <v>10.55311</v>
      </c>
      <c r="BP48" s="380">
        <v>11.109669999999999</v>
      </c>
      <c r="BQ48" s="380">
        <v>11.25667</v>
      </c>
      <c r="BR48" s="380">
        <v>11.30808</v>
      </c>
      <c r="BS48" s="380">
        <v>11.17193</v>
      </c>
      <c r="BT48" s="380">
        <v>10.67013</v>
      </c>
      <c r="BU48" s="380">
        <v>10.68083</v>
      </c>
      <c r="BV48" s="380">
        <v>10.49945</v>
      </c>
    </row>
    <row r="49" spans="1:74" s="293" customFormat="1" ht="11.1" customHeight="1" x14ac:dyDescent="0.2">
      <c r="A49" s="119"/>
      <c r="B49" s="291"/>
      <c r="C49" s="292"/>
      <c r="D49" s="292"/>
      <c r="E49" s="292"/>
      <c r="F49" s="292"/>
      <c r="G49" s="292"/>
      <c r="H49" s="292"/>
      <c r="I49" s="292"/>
      <c r="J49" s="292"/>
      <c r="K49" s="292"/>
      <c r="L49" s="292"/>
      <c r="M49" s="292"/>
      <c r="N49" s="292"/>
      <c r="O49" s="292"/>
      <c r="P49" s="292"/>
      <c r="Q49" s="292"/>
      <c r="R49" s="292"/>
      <c r="S49" s="292"/>
      <c r="T49" s="292"/>
      <c r="U49" s="292"/>
      <c r="V49" s="292"/>
      <c r="W49" s="292"/>
      <c r="X49" s="292"/>
      <c r="Y49" s="292"/>
      <c r="Z49" s="292"/>
      <c r="AA49" s="292"/>
      <c r="AB49" s="292"/>
      <c r="AC49" s="292"/>
      <c r="AD49" s="292"/>
      <c r="AE49" s="292"/>
      <c r="AF49" s="292"/>
      <c r="AG49" s="292"/>
      <c r="AH49" s="292"/>
      <c r="AI49" s="292"/>
      <c r="AJ49" s="292"/>
      <c r="AK49" s="292"/>
      <c r="AL49" s="292"/>
      <c r="AM49" s="292"/>
      <c r="AN49" s="292"/>
      <c r="AO49" s="292"/>
      <c r="AP49" s="292"/>
      <c r="AQ49" s="292"/>
      <c r="AR49" s="292"/>
      <c r="AS49" s="292"/>
      <c r="AT49" s="292"/>
      <c r="AU49" s="292"/>
      <c r="AV49" s="292"/>
      <c r="AW49" s="292"/>
      <c r="AX49" s="292"/>
      <c r="AY49" s="362"/>
      <c r="AZ49" s="362"/>
      <c r="BA49" s="362"/>
      <c r="BB49" s="362"/>
      <c r="BC49" s="362"/>
      <c r="BD49" s="362"/>
      <c r="BE49" s="362"/>
      <c r="BF49" s="362"/>
      <c r="BG49" s="362"/>
      <c r="BH49" s="362"/>
      <c r="BI49" s="362"/>
      <c r="BJ49" s="362"/>
      <c r="BK49" s="362"/>
      <c r="BL49" s="362"/>
      <c r="BM49" s="362"/>
      <c r="BN49" s="362"/>
      <c r="BO49" s="362"/>
      <c r="BP49" s="362"/>
      <c r="BQ49" s="362"/>
      <c r="BR49" s="362"/>
      <c r="BS49" s="362"/>
      <c r="BT49" s="362"/>
      <c r="BU49" s="362"/>
      <c r="BV49" s="362"/>
    </row>
    <row r="50" spans="1:74" s="293" customFormat="1" ht="12" customHeight="1" x14ac:dyDescent="0.25">
      <c r="A50" s="119"/>
      <c r="B50" s="808" t="s">
        <v>826</v>
      </c>
      <c r="C50" s="805"/>
      <c r="D50" s="805"/>
      <c r="E50" s="805"/>
      <c r="F50" s="805"/>
      <c r="G50" s="805"/>
      <c r="H50" s="805"/>
      <c r="I50" s="805"/>
      <c r="J50" s="805"/>
      <c r="K50" s="805"/>
      <c r="L50" s="805"/>
      <c r="M50" s="805"/>
      <c r="N50" s="805"/>
      <c r="O50" s="805"/>
      <c r="P50" s="805"/>
      <c r="Q50" s="805"/>
      <c r="AY50" s="507"/>
      <c r="AZ50" s="507"/>
      <c r="BA50" s="507"/>
      <c r="BB50" s="507"/>
      <c r="BC50" s="507"/>
      <c r="BD50" s="669"/>
      <c r="BE50" s="669"/>
      <c r="BF50" s="669"/>
      <c r="BG50" s="507"/>
      <c r="BH50" s="507"/>
      <c r="BI50" s="507"/>
      <c r="BJ50" s="507"/>
    </row>
    <row r="51" spans="1:74" s="293" customFormat="1" ht="12" customHeight="1" x14ac:dyDescent="0.25">
      <c r="A51" s="119"/>
      <c r="B51" s="810" t="s">
        <v>131</v>
      </c>
      <c r="C51" s="805"/>
      <c r="D51" s="805"/>
      <c r="E51" s="805"/>
      <c r="F51" s="805"/>
      <c r="G51" s="805"/>
      <c r="H51" s="805"/>
      <c r="I51" s="805"/>
      <c r="J51" s="805"/>
      <c r="K51" s="805"/>
      <c r="L51" s="805"/>
      <c r="M51" s="805"/>
      <c r="N51" s="805"/>
      <c r="O51" s="805"/>
      <c r="P51" s="805"/>
      <c r="Q51" s="805"/>
      <c r="AY51" s="507"/>
      <c r="AZ51" s="507"/>
      <c r="BA51" s="507"/>
      <c r="BB51" s="507"/>
      <c r="BC51" s="507"/>
      <c r="BD51" s="669"/>
      <c r="BE51" s="669"/>
      <c r="BF51" s="669"/>
      <c r="BG51" s="507"/>
      <c r="BH51" s="507"/>
      <c r="BI51" s="507"/>
      <c r="BJ51" s="507"/>
    </row>
    <row r="52" spans="1:74" s="458" customFormat="1" ht="12" customHeight="1" x14ac:dyDescent="0.25">
      <c r="A52" s="457"/>
      <c r="B52" s="856" t="s">
        <v>898</v>
      </c>
      <c r="C52" s="791"/>
      <c r="D52" s="791"/>
      <c r="E52" s="791"/>
      <c r="F52" s="791"/>
      <c r="G52" s="791"/>
      <c r="H52" s="791"/>
      <c r="I52" s="791"/>
      <c r="J52" s="791"/>
      <c r="K52" s="791"/>
      <c r="L52" s="791"/>
      <c r="M52" s="791"/>
      <c r="N52" s="791"/>
      <c r="O52" s="791"/>
      <c r="P52" s="791"/>
      <c r="Q52" s="791"/>
      <c r="AY52" s="508"/>
      <c r="AZ52" s="508"/>
      <c r="BA52" s="508"/>
      <c r="BB52" s="508"/>
      <c r="BC52" s="508"/>
      <c r="BD52" s="670"/>
      <c r="BE52" s="670"/>
      <c r="BF52" s="670"/>
      <c r="BG52" s="508"/>
      <c r="BH52" s="508"/>
      <c r="BI52" s="508"/>
      <c r="BJ52" s="508"/>
    </row>
    <row r="53" spans="1:74" s="458" customFormat="1" ht="12" customHeight="1" x14ac:dyDescent="0.25">
      <c r="A53" s="459"/>
      <c r="B53" s="794" t="s">
        <v>851</v>
      </c>
      <c r="C53" s="795"/>
      <c r="D53" s="795"/>
      <c r="E53" s="795"/>
      <c r="F53" s="795"/>
      <c r="G53" s="795"/>
      <c r="H53" s="795"/>
      <c r="I53" s="795"/>
      <c r="J53" s="795"/>
      <c r="K53" s="795"/>
      <c r="L53" s="795"/>
      <c r="M53" s="795"/>
      <c r="N53" s="795"/>
      <c r="O53" s="795"/>
      <c r="P53" s="795"/>
      <c r="Q53" s="791"/>
      <c r="AY53" s="508"/>
      <c r="AZ53" s="508"/>
      <c r="BA53" s="508"/>
      <c r="BB53" s="508"/>
      <c r="BC53" s="508"/>
      <c r="BD53" s="670"/>
      <c r="BE53" s="670"/>
      <c r="BF53" s="670"/>
      <c r="BG53" s="508"/>
      <c r="BH53" s="508"/>
      <c r="BI53" s="508"/>
      <c r="BJ53" s="508"/>
    </row>
    <row r="54" spans="1:74" s="458" customFormat="1" ht="12" customHeight="1" x14ac:dyDescent="0.25">
      <c r="A54" s="459"/>
      <c r="B54" s="789" t="s">
        <v>887</v>
      </c>
      <c r="C54" s="795"/>
      <c r="D54" s="795"/>
      <c r="E54" s="795"/>
      <c r="F54" s="795"/>
      <c r="G54" s="795"/>
      <c r="H54" s="795"/>
      <c r="I54" s="795"/>
      <c r="J54" s="795"/>
      <c r="K54" s="795"/>
      <c r="L54" s="795"/>
      <c r="M54" s="795"/>
      <c r="N54" s="795"/>
      <c r="O54" s="795"/>
      <c r="P54" s="795"/>
      <c r="Q54" s="791"/>
      <c r="AY54" s="508"/>
      <c r="AZ54" s="508"/>
      <c r="BA54" s="508"/>
      <c r="BB54" s="508"/>
      <c r="BC54" s="508"/>
      <c r="BD54" s="670"/>
      <c r="BE54" s="670"/>
      <c r="BF54" s="670"/>
      <c r="BG54" s="508"/>
      <c r="BH54" s="508"/>
      <c r="BI54" s="508"/>
      <c r="BJ54" s="508"/>
    </row>
    <row r="55" spans="1:74" s="458" customFormat="1" ht="12" customHeight="1" x14ac:dyDescent="0.25">
      <c r="A55" s="459"/>
      <c r="B55" s="838" t="s">
        <v>888</v>
      </c>
      <c r="C55" s="791"/>
      <c r="D55" s="791"/>
      <c r="E55" s="791"/>
      <c r="F55" s="791"/>
      <c r="G55" s="791"/>
      <c r="H55" s="791"/>
      <c r="I55" s="791"/>
      <c r="J55" s="791"/>
      <c r="K55" s="791"/>
      <c r="L55" s="791"/>
      <c r="M55" s="791"/>
      <c r="N55" s="791"/>
      <c r="O55" s="791"/>
      <c r="P55" s="791"/>
      <c r="Q55" s="791"/>
      <c r="AY55" s="508"/>
      <c r="AZ55" s="508"/>
      <c r="BA55" s="508"/>
      <c r="BB55" s="508"/>
      <c r="BC55" s="508"/>
      <c r="BD55" s="670"/>
      <c r="BE55" s="670"/>
      <c r="BF55" s="670"/>
      <c r="BG55" s="508"/>
      <c r="BH55" s="508"/>
      <c r="BI55" s="508"/>
      <c r="BJ55" s="508"/>
    </row>
    <row r="56" spans="1:74" s="458" customFormat="1" ht="22.35" customHeight="1" x14ac:dyDescent="0.25">
      <c r="A56" s="459"/>
      <c r="B56" s="794" t="s">
        <v>894</v>
      </c>
      <c r="C56" s="795"/>
      <c r="D56" s="795"/>
      <c r="E56" s="795"/>
      <c r="F56" s="795"/>
      <c r="G56" s="795"/>
      <c r="H56" s="795"/>
      <c r="I56" s="795"/>
      <c r="J56" s="795"/>
      <c r="K56" s="795"/>
      <c r="L56" s="795"/>
      <c r="M56" s="795"/>
      <c r="N56" s="795"/>
      <c r="O56" s="795"/>
      <c r="P56" s="795"/>
      <c r="Q56" s="791"/>
      <c r="AY56" s="508"/>
      <c r="AZ56" s="508"/>
      <c r="BA56" s="508"/>
      <c r="BB56" s="508"/>
      <c r="BC56" s="508"/>
      <c r="BD56" s="670"/>
      <c r="BE56" s="670"/>
      <c r="BF56" s="670"/>
      <c r="BG56" s="508"/>
      <c r="BH56" s="508"/>
      <c r="BI56" s="508"/>
      <c r="BJ56" s="508"/>
    </row>
    <row r="57" spans="1:74" s="458" customFormat="1" ht="12" customHeight="1" x14ac:dyDescent="0.25">
      <c r="A57" s="459"/>
      <c r="B57" s="789" t="s">
        <v>855</v>
      </c>
      <c r="C57" s="790"/>
      <c r="D57" s="790"/>
      <c r="E57" s="790"/>
      <c r="F57" s="790"/>
      <c r="G57" s="790"/>
      <c r="H57" s="790"/>
      <c r="I57" s="790"/>
      <c r="J57" s="790"/>
      <c r="K57" s="790"/>
      <c r="L57" s="790"/>
      <c r="M57" s="790"/>
      <c r="N57" s="790"/>
      <c r="O57" s="790"/>
      <c r="P57" s="790"/>
      <c r="Q57" s="791"/>
      <c r="AY57" s="508"/>
      <c r="AZ57" s="508"/>
      <c r="BA57" s="508"/>
      <c r="BB57" s="508"/>
      <c r="BC57" s="508"/>
      <c r="BD57" s="670"/>
      <c r="BE57" s="670"/>
      <c r="BF57" s="670"/>
      <c r="BG57" s="508"/>
      <c r="BH57" s="508"/>
      <c r="BI57" s="508"/>
      <c r="BJ57" s="508"/>
    </row>
    <row r="58" spans="1:74" s="454" customFormat="1" ht="12" customHeight="1" x14ac:dyDescent="0.25">
      <c r="A58" s="429"/>
      <c r="B58" s="811" t="s">
        <v>949</v>
      </c>
      <c r="C58" s="791"/>
      <c r="D58" s="791"/>
      <c r="E58" s="791"/>
      <c r="F58" s="791"/>
      <c r="G58" s="791"/>
      <c r="H58" s="791"/>
      <c r="I58" s="791"/>
      <c r="J58" s="791"/>
      <c r="K58" s="791"/>
      <c r="L58" s="791"/>
      <c r="M58" s="791"/>
      <c r="N58" s="791"/>
      <c r="O58" s="791"/>
      <c r="P58" s="791"/>
      <c r="Q58" s="791"/>
      <c r="AY58" s="506"/>
      <c r="AZ58" s="506"/>
      <c r="BA58" s="506"/>
      <c r="BB58" s="506"/>
      <c r="BC58" s="506"/>
      <c r="BD58" s="663"/>
      <c r="BE58" s="663"/>
      <c r="BF58" s="663"/>
      <c r="BG58" s="506"/>
      <c r="BH58" s="506"/>
      <c r="BI58" s="506"/>
      <c r="BJ58" s="506"/>
    </row>
    <row r="59" spans="1:74" x14ac:dyDescent="0.2">
      <c r="A59" s="124"/>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125"/>
      <c r="AD59" s="125"/>
      <c r="AE59" s="125"/>
      <c r="AF59" s="125"/>
      <c r="AG59" s="125"/>
      <c r="AH59" s="125"/>
      <c r="AI59" s="125"/>
      <c r="AJ59" s="125"/>
      <c r="AK59" s="125"/>
      <c r="AL59" s="125"/>
      <c r="AM59" s="125"/>
      <c r="AN59" s="125"/>
      <c r="AO59" s="125"/>
      <c r="AP59" s="125"/>
      <c r="AQ59" s="125"/>
      <c r="AR59" s="125"/>
      <c r="AS59" s="125"/>
      <c r="AT59" s="125"/>
      <c r="AU59" s="125"/>
      <c r="AV59" s="125"/>
      <c r="AW59" s="125"/>
      <c r="AX59" s="125"/>
      <c r="AY59" s="363"/>
      <c r="AZ59" s="363"/>
      <c r="BA59" s="363"/>
      <c r="BB59" s="363"/>
      <c r="BC59" s="363"/>
      <c r="BD59" s="671"/>
      <c r="BE59" s="671"/>
      <c r="BF59" s="671"/>
      <c r="BG59" s="363"/>
      <c r="BH59" s="363"/>
      <c r="BI59" s="363"/>
      <c r="BJ59" s="363"/>
      <c r="BK59" s="363"/>
      <c r="BL59" s="363"/>
      <c r="BM59" s="363"/>
      <c r="BN59" s="363"/>
      <c r="BO59" s="363"/>
      <c r="BP59" s="363"/>
      <c r="BQ59" s="363"/>
      <c r="BR59" s="363"/>
      <c r="BS59" s="363"/>
      <c r="BT59" s="363"/>
      <c r="BU59" s="363"/>
      <c r="BV59" s="363"/>
    </row>
    <row r="60" spans="1:74" x14ac:dyDescent="0.2">
      <c r="A60" s="124"/>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125"/>
      <c r="AD60" s="125"/>
      <c r="AE60" s="125"/>
      <c r="AF60" s="125"/>
      <c r="AG60" s="125"/>
      <c r="AH60" s="125"/>
      <c r="AI60" s="125"/>
      <c r="AJ60" s="125"/>
      <c r="AK60" s="125"/>
      <c r="AL60" s="125"/>
      <c r="AM60" s="125"/>
      <c r="AN60" s="125"/>
      <c r="AO60" s="125"/>
      <c r="AP60" s="125"/>
      <c r="AQ60" s="125"/>
      <c r="AR60" s="125"/>
      <c r="AS60" s="125"/>
      <c r="AT60" s="125"/>
      <c r="AU60" s="125"/>
      <c r="AV60" s="125"/>
      <c r="AW60" s="125"/>
      <c r="AX60" s="125"/>
      <c r="AY60" s="363"/>
      <c r="AZ60" s="363"/>
      <c r="BA60" s="363"/>
      <c r="BB60" s="363"/>
      <c r="BC60" s="363"/>
      <c r="BD60" s="671"/>
      <c r="BE60" s="671"/>
      <c r="BF60" s="671"/>
      <c r="BG60" s="363"/>
      <c r="BH60" s="363"/>
      <c r="BI60" s="363"/>
      <c r="BJ60" s="363"/>
      <c r="BK60" s="363"/>
      <c r="BL60" s="363"/>
      <c r="BM60" s="363"/>
      <c r="BN60" s="363"/>
      <c r="BO60" s="363"/>
      <c r="BP60" s="363"/>
      <c r="BQ60" s="363"/>
      <c r="BR60" s="363"/>
      <c r="BS60" s="363"/>
      <c r="BT60" s="363"/>
      <c r="BU60" s="363"/>
      <c r="BV60" s="363"/>
    </row>
    <row r="61" spans="1:74" x14ac:dyDescent="0.2">
      <c r="A61" s="124"/>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c r="AC61" s="125"/>
      <c r="AD61" s="125"/>
      <c r="AE61" s="125"/>
      <c r="AF61" s="125"/>
      <c r="AG61" s="125"/>
      <c r="AH61" s="125"/>
      <c r="AI61" s="125"/>
      <c r="AJ61" s="125"/>
      <c r="AK61" s="125"/>
      <c r="AL61" s="125"/>
      <c r="AM61" s="125"/>
      <c r="AN61" s="125"/>
      <c r="AO61" s="125"/>
      <c r="AP61" s="125"/>
      <c r="AQ61" s="125"/>
      <c r="AR61" s="125"/>
      <c r="AS61" s="125"/>
      <c r="AT61" s="125"/>
      <c r="AU61" s="125"/>
      <c r="AV61" s="125"/>
      <c r="AW61" s="125"/>
      <c r="AX61" s="125"/>
      <c r="AY61" s="363"/>
      <c r="AZ61" s="363"/>
      <c r="BA61" s="363"/>
      <c r="BB61" s="363"/>
      <c r="BC61" s="363"/>
      <c r="BD61" s="671"/>
      <c r="BE61" s="671"/>
      <c r="BF61" s="671"/>
      <c r="BG61" s="363"/>
      <c r="BH61" s="363"/>
      <c r="BI61" s="363"/>
      <c r="BJ61" s="363"/>
      <c r="BK61" s="363"/>
      <c r="BL61" s="363"/>
      <c r="BM61" s="363"/>
      <c r="BN61" s="363"/>
      <c r="BO61" s="363"/>
      <c r="BP61" s="363"/>
      <c r="BQ61" s="363"/>
      <c r="BR61" s="363"/>
      <c r="BS61" s="363"/>
      <c r="BT61" s="363"/>
      <c r="BU61" s="363"/>
      <c r="BV61" s="363"/>
    </row>
    <row r="62" spans="1:74" x14ac:dyDescent="0.2">
      <c r="A62" s="124"/>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c r="AA62" s="125"/>
      <c r="AB62" s="125"/>
      <c r="AC62" s="125"/>
      <c r="AD62" s="125"/>
      <c r="AE62" s="125"/>
      <c r="AF62" s="125"/>
      <c r="AG62" s="125"/>
      <c r="AH62" s="125"/>
      <c r="AI62" s="125"/>
      <c r="AJ62" s="125"/>
      <c r="AK62" s="125"/>
      <c r="AL62" s="125"/>
      <c r="AM62" s="125"/>
      <c r="AN62" s="125"/>
      <c r="AO62" s="125"/>
      <c r="AP62" s="125"/>
      <c r="AQ62" s="125"/>
      <c r="AR62" s="125"/>
      <c r="AS62" s="125"/>
      <c r="AT62" s="125"/>
      <c r="AU62" s="125"/>
      <c r="AV62" s="125"/>
      <c r="AW62" s="125"/>
      <c r="AX62" s="125"/>
      <c r="AY62" s="363"/>
      <c r="AZ62" s="363"/>
      <c r="BA62" s="363"/>
      <c r="BB62" s="363"/>
      <c r="BC62" s="363"/>
      <c r="BD62" s="671"/>
      <c r="BE62" s="671"/>
      <c r="BF62" s="671"/>
      <c r="BG62" s="363"/>
      <c r="BH62" s="363"/>
      <c r="BI62" s="363"/>
      <c r="BJ62" s="363"/>
      <c r="BK62" s="363"/>
      <c r="BL62" s="363"/>
      <c r="BM62" s="363"/>
      <c r="BN62" s="363"/>
      <c r="BO62" s="363"/>
      <c r="BP62" s="363"/>
      <c r="BQ62" s="363"/>
      <c r="BR62" s="363"/>
      <c r="BS62" s="363"/>
      <c r="BT62" s="363"/>
      <c r="BU62" s="363"/>
      <c r="BV62" s="363"/>
    </row>
    <row r="63" spans="1:74" x14ac:dyDescent="0.2">
      <c r="A63" s="124"/>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c r="AA63" s="125"/>
      <c r="AB63" s="125"/>
      <c r="AC63" s="125"/>
      <c r="AD63" s="125"/>
      <c r="AE63" s="125"/>
      <c r="AF63" s="125"/>
      <c r="AG63" s="125"/>
      <c r="AH63" s="125"/>
      <c r="AI63" s="125"/>
      <c r="AJ63" s="125"/>
      <c r="AK63" s="125"/>
      <c r="AL63" s="125"/>
      <c r="AM63" s="125"/>
      <c r="AN63" s="125"/>
      <c r="AO63" s="125"/>
      <c r="AP63" s="125"/>
      <c r="AQ63" s="125"/>
      <c r="AR63" s="125"/>
      <c r="AS63" s="125"/>
      <c r="AT63" s="125"/>
      <c r="AU63" s="125"/>
      <c r="AV63" s="125"/>
      <c r="AW63" s="125"/>
      <c r="AX63" s="125"/>
      <c r="AY63" s="363"/>
      <c r="AZ63" s="363"/>
      <c r="BA63" s="363"/>
      <c r="BB63" s="363"/>
      <c r="BC63" s="363"/>
      <c r="BD63" s="671"/>
      <c r="BE63" s="671"/>
      <c r="BF63" s="671"/>
      <c r="BG63" s="363"/>
      <c r="BH63" s="363"/>
      <c r="BI63" s="363"/>
      <c r="BJ63" s="363"/>
      <c r="BK63" s="363"/>
      <c r="BL63" s="363"/>
      <c r="BM63" s="363"/>
      <c r="BN63" s="363"/>
      <c r="BO63" s="363"/>
      <c r="BP63" s="363"/>
      <c r="BQ63" s="363"/>
      <c r="BR63" s="363"/>
      <c r="BS63" s="363"/>
      <c r="BT63" s="363"/>
      <c r="BU63" s="363"/>
      <c r="BV63" s="363"/>
    </row>
    <row r="64" spans="1:74" x14ac:dyDescent="0.2">
      <c r="A64" s="124"/>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c r="AA64" s="125"/>
      <c r="AB64" s="125"/>
      <c r="AC64" s="125"/>
      <c r="AD64" s="125"/>
      <c r="AE64" s="125"/>
      <c r="AF64" s="125"/>
      <c r="AG64" s="125"/>
      <c r="AH64" s="125"/>
      <c r="AI64" s="125"/>
      <c r="AJ64" s="125"/>
      <c r="AK64" s="125"/>
      <c r="AL64" s="125"/>
      <c r="AM64" s="125"/>
      <c r="AN64" s="125"/>
      <c r="AO64" s="125"/>
      <c r="AP64" s="125"/>
      <c r="AQ64" s="125"/>
      <c r="AR64" s="125"/>
      <c r="AS64" s="125"/>
      <c r="AT64" s="125"/>
      <c r="AU64" s="125"/>
      <c r="AV64" s="125"/>
      <c r="AW64" s="125"/>
      <c r="AX64" s="125"/>
      <c r="AY64" s="363"/>
      <c r="AZ64" s="363"/>
      <c r="BA64" s="363"/>
      <c r="BB64" s="363"/>
      <c r="BC64" s="363"/>
      <c r="BD64" s="671"/>
      <c r="BE64" s="671"/>
      <c r="BF64" s="671"/>
      <c r="BG64" s="363"/>
      <c r="BH64" s="363"/>
      <c r="BI64" s="363"/>
      <c r="BJ64" s="363"/>
      <c r="BK64" s="363"/>
      <c r="BL64" s="363"/>
      <c r="BM64" s="363"/>
      <c r="BN64" s="363"/>
      <c r="BO64" s="363"/>
      <c r="BP64" s="363"/>
      <c r="BQ64" s="363"/>
      <c r="BR64" s="363"/>
      <c r="BS64" s="363"/>
      <c r="BT64" s="363"/>
      <c r="BU64" s="363"/>
      <c r="BV64" s="363"/>
    </row>
    <row r="65" spans="1:74" x14ac:dyDescent="0.2">
      <c r="A65" s="124"/>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c r="AC65" s="125"/>
      <c r="AD65" s="125"/>
      <c r="AE65" s="125"/>
      <c r="AF65" s="125"/>
      <c r="AG65" s="125"/>
      <c r="AH65" s="125"/>
      <c r="AI65" s="125"/>
      <c r="AJ65" s="125"/>
      <c r="AK65" s="125"/>
      <c r="AL65" s="125"/>
      <c r="AM65" s="125"/>
      <c r="AN65" s="125"/>
      <c r="AO65" s="125"/>
      <c r="AP65" s="125"/>
      <c r="AQ65" s="125"/>
      <c r="AR65" s="125"/>
      <c r="AS65" s="125"/>
      <c r="AT65" s="125"/>
      <c r="AU65" s="125"/>
      <c r="AV65" s="125"/>
      <c r="AW65" s="125"/>
      <c r="AX65" s="125"/>
      <c r="AY65" s="363"/>
      <c r="AZ65" s="363"/>
      <c r="BA65" s="363"/>
      <c r="BB65" s="363"/>
      <c r="BC65" s="363"/>
      <c r="BD65" s="671"/>
      <c r="BE65" s="671"/>
      <c r="BF65" s="671"/>
      <c r="BG65" s="363"/>
      <c r="BH65" s="363"/>
      <c r="BI65" s="363"/>
      <c r="BJ65" s="363"/>
      <c r="BK65" s="363"/>
      <c r="BL65" s="363"/>
      <c r="BM65" s="363"/>
      <c r="BN65" s="363"/>
      <c r="BO65" s="363"/>
      <c r="BP65" s="363"/>
      <c r="BQ65" s="363"/>
      <c r="BR65" s="363"/>
      <c r="BS65" s="363"/>
      <c r="BT65" s="363"/>
      <c r="BU65" s="363"/>
      <c r="BV65" s="363"/>
    </row>
    <row r="66" spans="1:74" x14ac:dyDescent="0.2">
      <c r="A66" s="124"/>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c r="AC66" s="125"/>
      <c r="AD66" s="125"/>
      <c r="AE66" s="125"/>
      <c r="AF66" s="125"/>
      <c r="AG66" s="125"/>
      <c r="AH66" s="125"/>
      <c r="AI66" s="125"/>
      <c r="AJ66" s="125"/>
      <c r="AK66" s="125"/>
      <c r="AL66" s="125"/>
      <c r="AM66" s="125"/>
      <c r="AN66" s="125"/>
      <c r="AO66" s="125"/>
      <c r="AP66" s="125"/>
      <c r="AQ66" s="125"/>
      <c r="AR66" s="125"/>
      <c r="AS66" s="125"/>
      <c r="AT66" s="125"/>
      <c r="AU66" s="125"/>
      <c r="AV66" s="125"/>
      <c r="AW66" s="125"/>
      <c r="AX66" s="125"/>
      <c r="AY66" s="363"/>
      <c r="AZ66" s="363"/>
      <c r="BA66" s="363"/>
      <c r="BB66" s="363"/>
      <c r="BC66" s="363"/>
      <c r="BD66" s="671"/>
      <c r="BE66" s="671"/>
      <c r="BF66" s="671"/>
      <c r="BG66" s="363"/>
      <c r="BH66" s="363"/>
      <c r="BI66" s="363"/>
      <c r="BJ66" s="363"/>
      <c r="BK66" s="363"/>
      <c r="BL66" s="363"/>
      <c r="BM66" s="363"/>
      <c r="BN66" s="363"/>
      <c r="BO66" s="363"/>
      <c r="BP66" s="363"/>
      <c r="BQ66" s="363"/>
      <c r="BR66" s="363"/>
      <c r="BS66" s="363"/>
      <c r="BT66" s="363"/>
      <c r="BU66" s="363"/>
      <c r="BV66" s="363"/>
    </row>
    <row r="67" spans="1:74" x14ac:dyDescent="0.2">
      <c r="A67" s="124"/>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c r="AC67" s="125"/>
      <c r="AD67" s="125"/>
      <c r="AE67" s="125"/>
      <c r="AF67" s="125"/>
      <c r="AG67" s="125"/>
      <c r="AH67" s="125"/>
      <c r="AI67" s="125"/>
      <c r="AJ67" s="125"/>
      <c r="AK67" s="125"/>
      <c r="AL67" s="125"/>
      <c r="AM67" s="125"/>
      <c r="AN67" s="125"/>
      <c r="AO67" s="125"/>
      <c r="AP67" s="125"/>
      <c r="AQ67" s="125"/>
      <c r="AR67" s="125"/>
      <c r="AS67" s="125"/>
      <c r="AT67" s="125"/>
      <c r="AU67" s="125"/>
      <c r="AV67" s="125"/>
      <c r="AW67" s="125"/>
      <c r="AX67" s="125"/>
      <c r="AY67" s="363"/>
      <c r="AZ67" s="363"/>
      <c r="BA67" s="363"/>
      <c r="BB67" s="363"/>
      <c r="BC67" s="363"/>
      <c r="BD67" s="671"/>
      <c r="BE67" s="671"/>
      <c r="BF67" s="671"/>
      <c r="BG67" s="363"/>
      <c r="BH67" s="363"/>
      <c r="BI67" s="363"/>
      <c r="BJ67" s="363"/>
      <c r="BK67" s="363"/>
      <c r="BL67" s="363"/>
      <c r="BM67" s="363"/>
      <c r="BN67" s="363"/>
      <c r="BO67" s="363"/>
      <c r="BP67" s="363"/>
      <c r="BQ67" s="363"/>
      <c r="BR67" s="363"/>
      <c r="BS67" s="363"/>
      <c r="BT67" s="363"/>
      <c r="BU67" s="363"/>
      <c r="BV67" s="363"/>
    </row>
    <row r="68" spans="1:74" x14ac:dyDescent="0.2">
      <c r="BK68" s="364"/>
      <c r="BL68" s="364"/>
      <c r="BM68" s="364"/>
      <c r="BN68" s="364"/>
      <c r="BO68" s="364"/>
      <c r="BP68" s="364"/>
      <c r="BQ68" s="364"/>
      <c r="BR68" s="364"/>
      <c r="BS68" s="364"/>
      <c r="BT68" s="364"/>
      <c r="BU68" s="364"/>
      <c r="BV68" s="364"/>
    </row>
    <row r="69" spans="1:74" x14ac:dyDescent="0.2">
      <c r="A69" s="124"/>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363"/>
      <c r="AZ69" s="363"/>
      <c r="BA69" s="363"/>
      <c r="BB69" s="363"/>
      <c r="BC69" s="363"/>
      <c r="BD69" s="671"/>
      <c r="BE69" s="671"/>
      <c r="BF69" s="671"/>
      <c r="BG69" s="363"/>
      <c r="BH69" s="363"/>
      <c r="BI69" s="363"/>
      <c r="BJ69" s="363"/>
      <c r="BK69" s="363"/>
      <c r="BL69" s="363"/>
      <c r="BM69" s="363"/>
      <c r="BN69" s="363"/>
      <c r="BO69" s="363"/>
      <c r="BP69" s="363"/>
      <c r="BQ69" s="363"/>
      <c r="BR69" s="363"/>
      <c r="BS69" s="363"/>
      <c r="BT69" s="363"/>
      <c r="BU69" s="363"/>
      <c r="BV69" s="363"/>
    </row>
    <row r="70" spans="1:74" x14ac:dyDescent="0.2">
      <c r="A70" s="124"/>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125"/>
      <c r="AD70" s="125"/>
      <c r="AE70" s="125"/>
      <c r="AF70" s="125"/>
      <c r="AG70" s="125"/>
      <c r="AH70" s="125"/>
      <c r="AI70" s="125"/>
      <c r="AJ70" s="125"/>
      <c r="AK70" s="125"/>
      <c r="AL70" s="125"/>
      <c r="AM70" s="125"/>
      <c r="AN70" s="125"/>
      <c r="AO70" s="125"/>
      <c r="AP70" s="125"/>
      <c r="AQ70" s="125"/>
      <c r="AR70" s="125"/>
      <c r="AS70" s="125"/>
      <c r="AT70" s="125"/>
      <c r="AU70" s="125"/>
      <c r="AV70" s="125"/>
      <c r="AW70" s="125"/>
      <c r="AX70" s="125"/>
      <c r="AY70" s="363"/>
      <c r="AZ70" s="363"/>
      <c r="BA70" s="363"/>
      <c r="BB70" s="363"/>
      <c r="BC70" s="363"/>
      <c r="BD70" s="671"/>
      <c r="BE70" s="671"/>
      <c r="BF70" s="671"/>
      <c r="BG70" s="363"/>
      <c r="BH70" s="363"/>
      <c r="BI70" s="363"/>
      <c r="BJ70" s="363"/>
      <c r="BK70" s="363"/>
      <c r="BL70" s="363"/>
      <c r="BM70" s="363"/>
      <c r="BN70" s="363"/>
      <c r="BO70" s="363"/>
      <c r="BP70" s="363"/>
      <c r="BQ70" s="363"/>
      <c r="BR70" s="363"/>
      <c r="BS70" s="363"/>
      <c r="BT70" s="363"/>
      <c r="BU70" s="363"/>
      <c r="BV70" s="363"/>
    </row>
    <row r="71" spans="1:74" x14ac:dyDescent="0.2">
      <c r="A71" s="124"/>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c r="AC71" s="125"/>
      <c r="AD71" s="125"/>
      <c r="AE71" s="125"/>
      <c r="AF71" s="125"/>
      <c r="AG71" s="125"/>
      <c r="AH71" s="125"/>
      <c r="AI71" s="125"/>
      <c r="AJ71" s="125"/>
      <c r="AK71" s="125"/>
      <c r="AL71" s="125"/>
      <c r="AM71" s="125"/>
      <c r="AN71" s="125"/>
      <c r="AO71" s="125"/>
      <c r="AP71" s="125"/>
      <c r="AQ71" s="125"/>
      <c r="AR71" s="125"/>
      <c r="AS71" s="125"/>
      <c r="AT71" s="125"/>
      <c r="AU71" s="125"/>
      <c r="AV71" s="125"/>
      <c r="AW71" s="125"/>
      <c r="AX71" s="125"/>
      <c r="AY71" s="363"/>
      <c r="AZ71" s="363"/>
      <c r="BA71" s="363"/>
      <c r="BB71" s="363"/>
      <c r="BC71" s="363"/>
      <c r="BD71" s="671"/>
      <c r="BE71" s="671"/>
      <c r="BF71" s="671"/>
      <c r="BG71" s="363"/>
      <c r="BH71" s="363"/>
      <c r="BI71" s="363"/>
      <c r="BJ71" s="363"/>
      <c r="BK71" s="363"/>
      <c r="BL71" s="363"/>
      <c r="BM71" s="363"/>
      <c r="BN71" s="363"/>
      <c r="BO71" s="363"/>
      <c r="BP71" s="363"/>
      <c r="BQ71" s="363"/>
      <c r="BR71" s="363"/>
      <c r="BS71" s="363"/>
      <c r="BT71" s="363"/>
      <c r="BU71" s="363"/>
      <c r="BV71" s="363"/>
    </row>
    <row r="72" spans="1:74" x14ac:dyDescent="0.2">
      <c r="A72" s="124"/>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B72" s="125"/>
      <c r="AC72" s="125"/>
      <c r="AD72" s="125"/>
      <c r="AE72" s="125"/>
      <c r="AF72" s="125"/>
      <c r="AG72" s="125"/>
      <c r="AH72" s="125"/>
      <c r="AI72" s="125"/>
      <c r="AJ72" s="125"/>
      <c r="AK72" s="125"/>
      <c r="AL72" s="125"/>
      <c r="AM72" s="125"/>
      <c r="AN72" s="125"/>
      <c r="AO72" s="125"/>
      <c r="AP72" s="125"/>
      <c r="AQ72" s="125"/>
      <c r="AR72" s="125"/>
      <c r="AS72" s="125"/>
      <c r="AT72" s="125"/>
      <c r="AU72" s="125"/>
      <c r="AV72" s="125"/>
      <c r="AW72" s="125"/>
      <c r="AX72" s="125"/>
      <c r="AY72" s="363"/>
      <c r="AZ72" s="363"/>
      <c r="BA72" s="363"/>
      <c r="BB72" s="363"/>
      <c r="BC72" s="363"/>
      <c r="BD72" s="671"/>
      <c r="BE72" s="671"/>
      <c r="BF72" s="671"/>
      <c r="BG72" s="363"/>
      <c r="BH72" s="363"/>
      <c r="BI72" s="363"/>
      <c r="BJ72" s="363"/>
      <c r="BK72" s="363"/>
      <c r="BL72" s="363"/>
      <c r="BM72" s="363"/>
      <c r="BN72" s="363"/>
      <c r="BO72" s="363"/>
      <c r="BP72" s="363"/>
      <c r="BQ72" s="363"/>
      <c r="BR72" s="363"/>
      <c r="BS72" s="363"/>
      <c r="BT72" s="363"/>
      <c r="BU72" s="363"/>
      <c r="BV72" s="363"/>
    </row>
    <row r="73" spans="1:74" x14ac:dyDescent="0.2">
      <c r="A73" s="124"/>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125"/>
      <c r="AD73" s="125"/>
      <c r="AE73" s="125"/>
      <c r="AF73" s="125"/>
      <c r="AG73" s="125"/>
      <c r="AH73" s="125"/>
      <c r="AI73" s="125"/>
      <c r="AJ73" s="125"/>
      <c r="AK73" s="125"/>
      <c r="AL73" s="125"/>
      <c r="AM73" s="125"/>
      <c r="AN73" s="125"/>
      <c r="AO73" s="125"/>
      <c r="AP73" s="125"/>
      <c r="AQ73" s="125"/>
      <c r="AR73" s="125"/>
      <c r="AS73" s="125"/>
      <c r="AT73" s="125"/>
      <c r="AU73" s="125"/>
      <c r="AV73" s="125"/>
      <c r="AW73" s="125"/>
      <c r="AX73" s="125"/>
      <c r="AY73" s="363"/>
      <c r="AZ73" s="363"/>
      <c r="BA73" s="363"/>
      <c r="BB73" s="363"/>
      <c r="BC73" s="363"/>
      <c r="BD73" s="671"/>
      <c r="BE73" s="671"/>
      <c r="BF73" s="671"/>
      <c r="BG73" s="363"/>
      <c r="BH73" s="363"/>
      <c r="BI73" s="363"/>
      <c r="BJ73" s="363"/>
      <c r="BK73" s="363"/>
      <c r="BL73" s="363"/>
      <c r="BM73" s="363"/>
      <c r="BN73" s="363"/>
      <c r="BO73" s="363"/>
      <c r="BP73" s="363"/>
      <c r="BQ73" s="363"/>
      <c r="BR73" s="363"/>
      <c r="BS73" s="363"/>
      <c r="BT73" s="363"/>
      <c r="BU73" s="363"/>
      <c r="BV73" s="363"/>
    </row>
    <row r="74" spans="1:74" x14ac:dyDescent="0.2">
      <c r="A74" s="124"/>
      <c r="C74" s="125"/>
      <c r="D74" s="125"/>
      <c r="E74" s="125"/>
      <c r="F74" s="125"/>
      <c r="G74" s="125"/>
      <c r="H74" s="125"/>
      <c r="I74" s="125"/>
      <c r="J74" s="125"/>
      <c r="K74" s="125"/>
      <c r="L74" s="125"/>
      <c r="M74" s="125"/>
      <c r="N74" s="125"/>
      <c r="O74" s="125"/>
      <c r="P74" s="125"/>
      <c r="Q74" s="125"/>
      <c r="R74" s="125"/>
      <c r="S74" s="125"/>
      <c r="T74" s="125"/>
      <c r="U74" s="125"/>
      <c r="V74" s="125"/>
      <c r="W74" s="125"/>
      <c r="X74" s="125"/>
      <c r="Y74" s="125"/>
      <c r="Z74" s="125"/>
      <c r="AA74" s="125"/>
      <c r="AB74" s="125"/>
      <c r="AC74" s="125"/>
      <c r="AD74" s="125"/>
      <c r="AE74" s="125"/>
      <c r="AF74" s="125"/>
      <c r="AG74" s="125"/>
      <c r="AH74" s="125"/>
      <c r="AI74" s="125"/>
      <c r="AJ74" s="125"/>
      <c r="AK74" s="125"/>
      <c r="AL74" s="125"/>
      <c r="AM74" s="125"/>
      <c r="AN74" s="125"/>
      <c r="AO74" s="125"/>
      <c r="AP74" s="125"/>
      <c r="AQ74" s="125"/>
      <c r="AR74" s="125"/>
      <c r="AS74" s="125"/>
      <c r="AT74" s="125"/>
      <c r="AU74" s="125"/>
      <c r="AV74" s="125"/>
      <c r="AW74" s="125"/>
      <c r="AX74" s="125"/>
      <c r="AY74" s="363"/>
      <c r="AZ74" s="363"/>
      <c r="BA74" s="363"/>
      <c r="BB74" s="363"/>
      <c r="BC74" s="363"/>
      <c r="BD74" s="671"/>
      <c r="BE74" s="671"/>
      <c r="BF74" s="671"/>
      <c r="BG74" s="363"/>
      <c r="BH74" s="363"/>
      <c r="BI74" s="363"/>
      <c r="BJ74" s="363"/>
      <c r="BK74" s="363"/>
      <c r="BL74" s="363"/>
      <c r="BM74" s="363"/>
      <c r="BN74" s="363"/>
      <c r="BO74" s="363"/>
      <c r="BP74" s="363"/>
      <c r="BQ74" s="363"/>
      <c r="BR74" s="363"/>
      <c r="BS74" s="363"/>
      <c r="BT74" s="363"/>
      <c r="BU74" s="363"/>
      <c r="BV74" s="363"/>
    </row>
    <row r="75" spans="1:74" x14ac:dyDescent="0.2">
      <c r="A75" s="124"/>
      <c r="C75" s="125"/>
      <c r="D75" s="125"/>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c r="AC75" s="125"/>
      <c r="AD75" s="125"/>
      <c r="AE75" s="125"/>
      <c r="AF75" s="125"/>
      <c r="AG75" s="125"/>
      <c r="AH75" s="125"/>
      <c r="AI75" s="125"/>
      <c r="AJ75" s="125"/>
      <c r="AK75" s="125"/>
      <c r="AL75" s="125"/>
      <c r="AM75" s="125"/>
      <c r="AN75" s="125"/>
      <c r="AO75" s="125"/>
      <c r="AP75" s="125"/>
      <c r="AQ75" s="125"/>
      <c r="AR75" s="125"/>
      <c r="AS75" s="125"/>
      <c r="AT75" s="125"/>
      <c r="AU75" s="125"/>
      <c r="AV75" s="125"/>
      <c r="AW75" s="125"/>
      <c r="AX75" s="125"/>
      <c r="AY75" s="363"/>
      <c r="AZ75" s="363"/>
      <c r="BA75" s="363"/>
      <c r="BB75" s="363"/>
      <c r="BC75" s="363"/>
      <c r="BD75" s="671"/>
      <c r="BE75" s="671"/>
      <c r="BF75" s="671"/>
      <c r="BG75" s="363"/>
      <c r="BH75" s="363"/>
      <c r="BI75" s="363"/>
      <c r="BJ75" s="363"/>
      <c r="BK75" s="363"/>
      <c r="BL75" s="363"/>
      <c r="BM75" s="363"/>
      <c r="BN75" s="363"/>
      <c r="BO75" s="363"/>
      <c r="BP75" s="363"/>
      <c r="BQ75" s="363"/>
      <c r="BR75" s="363"/>
      <c r="BS75" s="363"/>
      <c r="BT75" s="363"/>
      <c r="BU75" s="363"/>
      <c r="BV75" s="363"/>
    </row>
    <row r="76" spans="1:74" x14ac:dyDescent="0.2">
      <c r="A76" s="124"/>
      <c r="C76" s="125"/>
      <c r="D76" s="125"/>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363"/>
      <c r="AZ76" s="363"/>
      <c r="BA76" s="363"/>
      <c r="BB76" s="363"/>
      <c r="BC76" s="363"/>
      <c r="BD76" s="671"/>
      <c r="BE76" s="671"/>
      <c r="BF76" s="671"/>
      <c r="BG76" s="363"/>
      <c r="BH76" s="363"/>
      <c r="BI76" s="363"/>
      <c r="BJ76" s="363"/>
      <c r="BK76" s="363"/>
      <c r="BL76" s="363"/>
      <c r="BM76" s="363"/>
      <c r="BN76" s="363"/>
      <c r="BO76" s="363"/>
      <c r="BP76" s="363"/>
      <c r="BQ76" s="363"/>
      <c r="BR76" s="363"/>
      <c r="BS76" s="363"/>
      <c r="BT76" s="363"/>
      <c r="BU76" s="363"/>
      <c r="BV76" s="363"/>
    </row>
    <row r="77" spans="1:74" x14ac:dyDescent="0.2">
      <c r="A77" s="124"/>
      <c r="C77" s="125"/>
      <c r="D77" s="125"/>
      <c r="E77" s="125"/>
      <c r="F77" s="125"/>
      <c r="G77" s="125"/>
      <c r="H77" s="125"/>
      <c r="I77" s="125"/>
      <c r="J77" s="125"/>
      <c r="K77" s="125"/>
      <c r="L77" s="125"/>
      <c r="M77" s="125"/>
      <c r="N77" s="125"/>
      <c r="O77" s="125"/>
      <c r="P77" s="125"/>
      <c r="Q77" s="125"/>
      <c r="R77" s="125"/>
      <c r="S77" s="125"/>
      <c r="T77" s="125"/>
      <c r="U77" s="125"/>
      <c r="V77" s="125"/>
      <c r="W77" s="125"/>
      <c r="X77" s="125"/>
      <c r="Y77" s="125"/>
      <c r="Z77" s="125"/>
      <c r="AA77" s="125"/>
      <c r="AB77" s="125"/>
      <c r="AC77" s="125"/>
      <c r="AD77" s="125"/>
      <c r="AE77" s="125"/>
      <c r="AF77" s="125"/>
      <c r="AG77" s="125"/>
      <c r="AH77" s="125"/>
      <c r="AI77" s="125"/>
      <c r="AJ77" s="125"/>
      <c r="AK77" s="125"/>
      <c r="AL77" s="125"/>
      <c r="AM77" s="125"/>
      <c r="AN77" s="125"/>
      <c r="AO77" s="125"/>
      <c r="AP77" s="125"/>
      <c r="AQ77" s="125"/>
      <c r="AR77" s="125"/>
      <c r="AS77" s="125"/>
      <c r="AT77" s="125"/>
      <c r="AU77" s="125"/>
      <c r="AV77" s="125"/>
      <c r="AW77" s="125"/>
      <c r="AX77" s="125"/>
      <c r="AY77" s="363"/>
      <c r="AZ77" s="363"/>
      <c r="BA77" s="363"/>
      <c r="BB77" s="363"/>
      <c r="BC77" s="363"/>
      <c r="BD77" s="671"/>
      <c r="BE77" s="671"/>
      <c r="BF77" s="671"/>
      <c r="BG77" s="363"/>
      <c r="BH77" s="363"/>
      <c r="BI77" s="363"/>
      <c r="BJ77" s="363"/>
      <c r="BK77" s="363"/>
      <c r="BL77" s="363"/>
      <c r="BM77" s="363"/>
      <c r="BN77" s="363"/>
      <c r="BO77" s="363"/>
      <c r="BP77" s="363"/>
      <c r="BQ77" s="363"/>
      <c r="BR77" s="363"/>
      <c r="BS77" s="363"/>
      <c r="BT77" s="363"/>
      <c r="BU77" s="363"/>
      <c r="BV77" s="363"/>
    </row>
    <row r="78" spans="1:74" x14ac:dyDescent="0.2">
      <c r="BK78" s="364"/>
      <c r="BL78" s="364"/>
      <c r="BM78" s="364"/>
      <c r="BN78" s="364"/>
      <c r="BO78" s="364"/>
      <c r="BP78" s="364"/>
      <c r="BQ78" s="364"/>
      <c r="BR78" s="364"/>
      <c r="BS78" s="364"/>
      <c r="BT78" s="364"/>
      <c r="BU78" s="364"/>
      <c r="BV78" s="364"/>
    </row>
    <row r="79" spans="1:74" x14ac:dyDescent="0.2">
      <c r="BK79" s="364"/>
      <c r="BL79" s="364"/>
      <c r="BM79" s="364"/>
      <c r="BN79" s="364"/>
      <c r="BO79" s="364"/>
      <c r="BP79" s="364"/>
      <c r="BQ79" s="364"/>
      <c r="BR79" s="364"/>
      <c r="BS79" s="364"/>
      <c r="BT79" s="364"/>
      <c r="BU79" s="364"/>
      <c r="BV79" s="364"/>
    </row>
    <row r="80" spans="1:74" x14ac:dyDescent="0.2">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c r="AA80" s="126"/>
      <c r="AB80" s="126"/>
      <c r="AC80" s="126"/>
      <c r="AD80" s="126"/>
      <c r="AE80" s="126"/>
      <c r="AF80" s="126"/>
      <c r="AG80" s="126"/>
      <c r="AH80" s="126"/>
      <c r="AI80" s="126"/>
      <c r="AJ80" s="126"/>
      <c r="AK80" s="126"/>
      <c r="AL80" s="126"/>
      <c r="AM80" s="126"/>
      <c r="AN80" s="126"/>
      <c r="AO80" s="126"/>
      <c r="AP80" s="126"/>
      <c r="AQ80" s="126"/>
      <c r="AR80" s="126"/>
      <c r="AS80" s="126"/>
      <c r="AT80" s="126"/>
      <c r="AU80" s="126"/>
      <c r="AV80" s="126"/>
      <c r="AW80" s="126"/>
      <c r="AX80" s="126"/>
      <c r="AY80" s="365"/>
      <c r="AZ80" s="365"/>
      <c r="BA80" s="365"/>
      <c r="BB80" s="365"/>
      <c r="BC80" s="365"/>
      <c r="BD80" s="672"/>
      <c r="BE80" s="672"/>
      <c r="BF80" s="672"/>
      <c r="BG80" s="365"/>
      <c r="BH80" s="365"/>
      <c r="BI80" s="365"/>
      <c r="BJ80" s="365"/>
      <c r="BK80" s="365"/>
      <c r="BL80" s="365"/>
      <c r="BM80" s="365"/>
      <c r="BN80" s="365"/>
      <c r="BO80" s="365"/>
      <c r="BP80" s="365"/>
      <c r="BQ80" s="365"/>
      <c r="BR80" s="365"/>
      <c r="BS80" s="365"/>
      <c r="BT80" s="365"/>
      <c r="BU80" s="365"/>
      <c r="BV80" s="365"/>
    </row>
    <row r="81" spans="3:74" x14ac:dyDescent="0.2">
      <c r="BK81" s="364"/>
      <c r="BL81" s="364"/>
      <c r="BM81" s="364"/>
      <c r="BN81" s="364"/>
      <c r="BO81" s="364"/>
      <c r="BP81" s="364"/>
      <c r="BQ81" s="364"/>
      <c r="BR81" s="364"/>
      <c r="BS81" s="364"/>
      <c r="BT81" s="364"/>
      <c r="BU81" s="364"/>
      <c r="BV81" s="364"/>
    </row>
    <row r="82" spans="3:74" x14ac:dyDescent="0.2">
      <c r="BK82" s="364"/>
      <c r="BL82" s="364"/>
      <c r="BM82" s="364"/>
      <c r="BN82" s="364"/>
      <c r="BO82" s="364"/>
      <c r="BP82" s="364"/>
      <c r="BQ82" s="364"/>
      <c r="BR82" s="364"/>
      <c r="BS82" s="364"/>
      <c r="BT82" s="364"/>
      <c r="BU82" s="364"/>
      <c r="BV82" s="364"/>
    </row>
    <row r="83" spans="3:74" x14ac:dyDescent="0.2">
      <c r="BK83" s="364"/>
      <c r="BL83" s="364"/>
      <c r="BM83" s="364"/>
      <c r="BN83" s="364"/>
      <c r="BO83" s="364"/>
      <c r="BP83" s="364"/>
      <c r="BQ83" s="364"/>
      <c r="BR83" s="364"/>
      <c r="BS83" s="364"/>
      <c r="BT83" s="364"/>
      <c r="BU83" s="364"/>
      <c r="BV83" s="364"/>
    </row>
    <row r="84" spans="3:74" x14ac:dyDescent="0.2">
      <c r="BK84" s="364"/>
      <c r="BL84" s="364"/>
      <c r="BM84" s="364"/>
      <c r="BN84" s="364"/>
      <c r="BO84" s="364"/>
      <c r="BP84" s="364"/>
      <c r="BQ84" s="364"/>
      <c r="BR84" s="364"/>
      <c r="BS84" s="364"/>
      <c r="BT84" s="364"/>
      <c r="BU84" s="364"/>
      <c r="BV84" s="364"/>
    </row>
    <row r="85" spans="3:74" x14ac:dyDescent="0.2">
      <c r="BK85" s="364"/>
      <c r="BL85" s="364"/>
      <c r="BM85" s="364"/>
      <c r="BN85" s="364"/>
      <c r="BO85" s="364"/>
      <c r="BP85" s="364"/>
      <c r="BQ85" s="364"/>
      <c r="BR85" s="364"/>
      <c r="BS85" s="364"/>
      <c r="BT85" s="364"/>
      <c r="BU85" s="364"/>
      <c r="BV85" s="364"/>
    </row>
    <row r="86" spans="3:74" x14ac:dyDescent="0.2">
      <c r="BK86" s="364"/>
      <c r="BL86" s="364"/>
      <c r="BM86" s="364"/>
      <c r="BN86" s="364"/>
      <c r="BO86" s="364"/>
      <c r="BP86" s="364"/>
      <c r="BQ86" s="364"/>
      <c r="BR86" s="364"/>
      <c r="BS86" s="364"/>
      <c r="BT86" s="364"/>
      <c r="BU86" s="364"/>
      <c r="BV86" s="364"/>
    </row>
    <row r="87" spans="3:74" x14ac:dyDescent="0.2">
      <c r="BK87" s="364"/>
      <c r="BL87" s="364"/>
      <c r="BM87" s="364"/>
      <c r="BN87" s="364"/>
      <c r="BO87" s="364"/>
      <c r="BP87" s="364"/>
      <c r="BQ87" s="364"/>
      <c r="BR87" s="364"/>
      <c r="BS87" s="364"/>
      <c r="BT87" s="364"/>
      <c r="BU87" s="364"/>
      <c r="BV87" s="364"/>
    </row>
    <row r="88" spans="3:74" x14ac:dyDescent="0.2">
      <c r="BK88" s="364"/>
      <c r="BL88" s="364"/>
      <c r="BM88" s="364"/>
      <c r="BN88" s="364"/>
      <c r="BO88" s="364"/>
      <c r="BP88" s="364"/>
      <c r="BQ88" s="364"/>
      <c r="BR88" s="364"/>
      <c r="BS88" s="364"/>
      <c r="BT88" s="364"/>
      <c r="BU88" s="364"/>
      <c r="BV88" s="364"/>
    </row>
    <row r="89" spans="3:74" x14ac:dyDescent="0.2">
      <c r="BK89" s="364"/>
      <c r="BL89" s="364"/>
      <c r="BM89" s="364"/>
      <c r="BN89" s="364"/>
      <c r="BO89" s="364"/>
      <c r="BP89" s="364"/>
      <c r="BQ89" s="364"/>
      <c r="BR89" s="364"/>
      <c r="BS89" s="364"/>
      <c r="BT89" s="364"/>
      <c r="BU89" s="364"/>
      <c r="BV89" s="364"/>
    </row>
    <row r="90" spans="3:74" x14ac:dyDescent="0.2">
      <c r="C90" s="127"/>
      <c r="D90" s="127"/>
      <c r="E90" s="127"/>
      <c r="F90" s="127"/>
      <c r="G90" s="127"/>
      <c r="H90" s="127"/>
      <c r="I90" s="127"/>
      <c r="J90" s="127"/>
      <c r="K90" s="127"/>
      <c r="L90" s="127"/>
      <c r="M90" s="127"/>
      <c r="N90" s="127"/>
      <c r="O90" s="127"/>
      <c r="P90" s="127"/>
      <c r="Q90" s="127"/>
      <c r="R90" s="127"/>
      <c r="S90" s="127"/>
      <c r="T90" s="127"/>
      <c r="U90" s="127"/>
      <c r="V90" s="127"/>
      <c r="W90" s="127"/>
      <c r="X90" s="127"/>
      <c r="Y90" s="127"/>
      <c r="Z90" s="127"/>
      <c r="AA90" s="127"/>
      <c r="AB90" s="127"/>
      <c r="AC90" s="127"/>
      <c r="AD90" s="127"/>
      <c r="AE90" s="127"/>
      <c r="AF90" s="127"/>
      <c r="AG90" s="127"/>
      <c r="AH90" s="127"/>
      <c r="AI90" s="127"/>
      <c r="AJ90" s="127"/>
      <c r="AK90" s="127"/>
      <c r="AL90" s="127"/>
      <c r="AM90" s="127"/>
      <c r="AN90" s="127"/>
      <c r="AO90" s="127"/>
      <c r="AP90" s="127"/>
      <c r="AQ90" s="127"/>
      <c r="AR90" s="127"/>
      <c r="AS90" s="127"/>
      <c r="AT90" s="127"/>
      <c r="AU90" s="127"/>
      <c r="AV90" s="127"/>
      <c r="AW90" s="127"/>
      <c r="AX90" s="127"/>
      <c r="AY90" s="366"/>
      <c r="AZ90" s="366"/>
      <c r="BA90" s="366"/>
      <c r="BB90" s="366"/>
      <c r="BC90" s="366"/>
      <c r="BD90" s="673"/>
      <c r="BE90" s="673"/>
      <c r="BF90" s="673"/>
      <c r="BG90" s="366"/>
      <c r="BH90" s="366"/>
      <c r="BI90" s="366"/>
      <c r="BJ90" s="366"/>
      <c r="BK90" s="366"/>
      <c r="BL90" s="366"/>
      <c r="BM90" s="366"/>
      <c r="BN90" s="366"/>
      <c r="BO90" s="366"/>
      <c r="BP90" s="366"/>
      <c r="BQ90" s="366"/>
      <c r="BR90" s="366"/>
      <c r="BS90" s="366"/>
      <c r="BT90" s="366"/>
      <c r="BU90" s="366"/>
      <c r="BV90" s="366"/>
    </row>
    <row r="91" spans="3:74" x14ac:dyDescent="0.2">
      <c r="C91" s="127"/>
      <c r="D91" s="127"/>
      <c r="E91" s="127"/>
      <c r="F91" s="127"/>
      <c r="G91" s="127"/>
      <c r="H91" s="127"/>
      <c r="I91" s="127"/>
      <c r="J91" s="127"/>
      <c r="K91" s="127"/>
      <c r="L91" s="127"/>
      <c r="M91" s="127"/>
      <c r="N91" s="127"/>
      <c r="O91" s="127"/>
      <c r="P91" s="127"/>
      <c r="Q91" s="127"/>
      <c r="R91" s="127"/>
      <c r="S91" s="127"/>
      <c r="T91" s="127"/>
      <c r="U91" s="127"/>
      <c r="V91" s="127"/>
      <c r="W91" s="127"/>
      <c r="X91" s="127"/>
      <c r="Y91" s="127"/>
      <c r="Z91" s="127"/>
      <c r="AA91" s="127"/>
      <c r="AB91" s="127"/>
      <c r="AC91" s="127"/>
      <c r="AD91" s="127"/>
      <c r="AE91" s="127"/>
      <c r="AF91" s="127"/>
      <c r="AG91" s="127"/>
      <c r="AH91" s="127"/>
      <c r="AI91" s="127"/>
      <c r="AJ91" s="127"/>
      <c r="AK91" s="127"/>
      <c r="AL91" s="127"/>
      <c r="AM91" s="127"/>
      <c r="AN91" s="127"/>
      <c r="AO91" s="127"/>
      <c r="AP91" s="127"/>
      <c r="AQ91" s="127"/>
      <c r="AR91" s="127"/>
      <c r="AS91" s="127"/>
      <c r="AT91" s="127"/>
      <c r="AU91" s="127"/>
      <c r="AV91" s="127"/>
      <c r="AW91" s="127"/>
      <c r="AX91" s="127"/>
      <c r="AY91" s="366"/>
      <c r="AZ91" s="366"/>
      <c r="BA91" s="366"/>
      <c r="BB91" s="366"/>
      <c r="BC91" s="366"/>
      <c r="BD91" s="673"/>
      <c r="BE91" s="673"/>
      <c r="BF91" s="673"/>
      <c r="BG91" s="366"/>
      <c r="BH91" s="366"/>
      <c r="BI91" s="366"/>
      <c r="BJ91" s="366"/>
      <c r="BK91" s="366"/>
      <c r="BL91" s="366"/>
      <c r="BM91" s="366"/>
      <c r="BN91" s="366"/>
      <c r="BO91" s="366"/>
      <c r="BP91" s="366"/>
      <c r="BQ91" s="366"/>
      <c r="BR91" s="366"/>
      <c r="BS91" s="366"/>
      <c r="BT91" s="366"/>
      <c r="BU91" s="366"/>
      <c r="BV91" s="366"/>
    </row>
    <row r="92" spans="3:74" x14ac:dyDescent="0.2">
      <c r="C92" s="127"/>
      <c r="D92" s="127"/>
      <c r="E92" s="127"/>
      <c r="F92" s="127"/>
      <c r="G92" s="127"/>
      <c r="H92" s="127"/>
      <c r="I92" s="127"/>
      <c r="J92" s="127"/>
      <c r="K92" s="127"/>
      <c r="L92" s="127"/>
      <c r="M92" s="127"/>
      <c r="N92" s="127"/>
      <c r="O92" s="127"/>
      <c r="P92" s="127"/>
      <c r="Q92" s="127"/>
      <c r="R92" s="127"/>
      <c r="S92" s="127"/>
      <c r="T92" s="127"/>
      <c r="U92" s="127"/>
      <c r="V92" s="127"/>
      <c r="W92" s="127"/>
      <c r="X92" s="127"/>
      <c r="Y92" s="127"/>
      <c r="Z92" s="127"/>
      <c r="AA92" s="127"/>
      <c r="AB92" s="127"/>
      <c r="AC92" s="127"/>
      <c r="AD92" s="127"/>
      <c r="AE92" s="127"/>
      <c r="AF92" s="127"/>
      <c r="AG92" s="127"/>
      <c r="AH92" s="127"/>
      <c r="AI92" s="127"/>
      <c r="AJ92" s="127"/>
      <c r="AK92" s="127"/>
      <c r="AL92" s="127"/>
      <c r="AM92" s="127"/>
      <c r="AN92" s="127"/>
      <c r="AO92" s="127"/>
      <c r="AP92" s="127"/>
      <c r="AQ92" s="127"/>
      <c r="AR92" s="127"/>
      <c r="AS92" s="127"/>
      <c r="AT92" s="127"/>
      <c r="AU92" s="127"/>
      <c r="AV92" s="127"/>
      <c r="AW92" s="127"/>
      <c r="AX92" s="127"/>
      <c r="AY92" s="366"/>
      <c r="AZ92" s="366"/>
      <c r="BA92" s="366"/>
      <c r="BB92" s="366"/>
      <c r="BC92" s="366"/>
      <c r="BD92" s="673"/>
      <c r="BE92" s="673"/>
      <c r="BF92" s="673"/>
      <c r="BG92" s="366"/>
      <c r="BH92" s="366"/>
      <c r="BI92" s="366"/>
      <c r="BJ92" s="366"/>
      <c r="BK92" s="366"/>
      <c r="BL92" s="366"/>
      <c r="BM92" s="366"/>
      <c r="BN92" s="366"/>
      <c r="BO92" s="366"/>
      <c r="BP92" s="366"/>
      <c r="BQ92" s="366"/>
      <c r="BR92" s="366"/>
      <c r="BS92" s="366"/>
      <c r="BT92" s="366"/>
      <c r="BU92" s="366"/>
      <c r="BV92" s="366"/>
    </row>
    <row r="93" spans="3:74" x14ac:dyDescent="0.2">
      <c r="C93" s="127"/>
      <c r="D93" s="127"/>
      <c r="E93" s="127"/>
      <c r="F93" s="127"/>
      <c r="G93" s="127"/>
      <c r="H93" s="127"/>
      <c r="I93" s="127"/>
      <c r="J93" s="127"/>
      <c r="K93" s="127"/>
      <c r="L93" s="127"/>
      <c r="M93" s="127"/>
      <c r="N93" s="127"/>
      <c r="O93" s="127"/>
      <c r="P93" s="127"/>
      <c r="Q93" s="127"/>
      <c r="R93" s="127"/>
      <c r="S93" s="127"/>
      <c r="T93" s="127"/>
      <c r="U93" s="127"/>
      <c r="V93" s="127"/>
      <c r="W93" s="127"/>
      <c r="X93" s="127"/>
      <c r="Y93" s="127"/>
      <c r="Z93" s="127"/>
      <c r="AA93" s="127"/>
      <c r="AB93" s="127"/>
      <c r="AC93" s="127"/>
      <c r="AD93" s="127"/>
      <c r="AE93" s="127"/>
      <c r="AF93" s="127"/>
      <c r="AG93" s="127"/>
      <c r="AH93" s="127"/>
      <c r="AI93" s="127"/>
      <c r="AJ93" s="127"/>
      <c r="AK93" s="127"/>
      <c r="AL93" s="127"/>
      <c r="AM93" s="127"/>
      <c r="AN93" s="127"/>
      <c r="AO93" s="127"/>
      <c r="AP93" s="127"/>
      <c r="AQ93" s="127"/>
      <c r="AR93" s="127"/>
      <c r="AS93" s="127"/>
      <c r="AT93" s="127"/>
      <c r="AU93" s="127"/>
      <c r="AV93" s="127"/>
      <c r="AW93" s="127"/>
      <c r="AX93" s="127"/>
      <c r="AY93" s="366"/>
      <c r="AZ93" s="366"/>
      <c r="BA93" s="366"/>
      <c r="BB93" s="366"/>
      <c r="BC93" s="366"/>
      <c r="BD93" s="673"/>
      <c r="BE93" s="673"/>
      <c r="BF93" s="673"/>
      <c r="BG93" s="366"/>
      <c r="BH93" s="366"/>
      <c r="BI93" s="366"/>
      <c r="BJ93" s="366"/>
      <c r="BK93" s="366"/>
      <c r="BL93" s="366"/>
      <c r="BM93" s="366"/>
      <c r="BN93" s="366"/>
      <c r="BO93" s="366"/>
      <c r="BP93" s="366"/>
      <c r="BQ93" s="366"/>
      <c r="BR93" s="366"/>
      <c r="BS93" s="366"/>
      <c r="BT93" s="366"/>
      <c r="BU93" s="366"/>
      <c r="BV93" s="366"/>
    </row>
    <row r="94" spans="3:74" x14ac:dyDescent="0.2">
      <c r="C94" s="127"/>
      <c r="D94" s="127"/>
      <c r="E94" s="127"/>
      <c r="F94" s="127"/>
      <c r="G94" s="127"/>
      <c r="H94" s="127"/>
      <c r="I94" s="127"/>
      <c r="J94" s="127"/>
      <c r="K94" s="127"/>
      <c r="L94" s="127"/>
      <c r="M94" s="127"/>
      <c r="N94" s="127"/>
      <c r="O94" s="127"/>
      <c r="P94" s="127"/>
      <c r="Q94" s="127"/>
      <c r="R94" s="127"/>
      <c r="S94" s="127"/>
      <c r="T94" s="127"/>
      <c r="U94" s="127"/>
      <c r="V94" s="127"/>
      <c r="W94" s="127"/>
      <c r="X94" s="127"/>
      <c r="Y94" s="127"/>
      <c r="Z94" s="127"/>
      <c r="AA94" s="127"/>
      <c r="AB94" s="127"/>
      <c r="AC94" s="127"/>
      <c r="AD94" s="127"/>
      <c r="AE94" s="127"/>
      <c r="AF94" s="127"/>
      <c r="AG94" s="127"/>
      <c r="AH94" s="127"/>
      <c r="AI94" s="127"/>
      <c r="AJ94" s="127"/>
      <c r="AK94" s="127"/>
      <c r="AL94" s="127"/>
      <c r="AM94" s="127"/>
      <c r="AN94" s="127"/>
      <c r="AO94" s="127"/>
      <c r="AP94" s="127"/>
      <c r="AQ94" s="127"/>
      <c r="AR94" s="127"/>
      <c r="AS94" s="127"/>
      <c r="AT94" s="127"/>
      <c r="AU94" s="127"/>
      <c r="AV94" s="127"/>
      <c r="AW94" s="127"/>
      <c r="AX94" s="127"/>
      <c r="AY94" s="366"/>
      <c r="AZ94" s="366"/>
      <c r="BA94" s="366"/>
      <c r="BB94" s="366"/>
      <c r="BC94" s="366"/>
      <c r="BD94" s="673"/>
      <c r="BE94" s="673"/>
      <c r="BF94" s="673"/>
      <c r="BG94" s="366"/>
      <c r="BH94" s="366"/>
      <c r="BI94" s="366"/>
      <c r="BJ94" s="366"/>
      <c r="BK94" s="366"/>
      <c r="BL94" s="366"/>
      <c r="BM94" s="366"/>
      <c r="BN94" s="366"/>
      <c r="BO94" s="366"/>
      <c r="BP94" s="366"/>
      <c r="BQ94" s="366"/>
      <c r="BR94" s="366"/>
      <c r="BS94" s="366"/>
      <c r="BT94" s="366"/>
      <c r="BU94" s="366"/>
      <c r="BV94" s="366"/>
    </row>
    <row r="95" spans="3:74" x14ac:dyDescent="0.2">
      <c r="C95" s="127"/>
      <c r="D95" s="127"/>
      <c r="E95" s="127"/>
      <c r="F95" s="127"/>
      <c r="G95" s="127"/>
      <c r="H95" s="127"/>
      <c r="I95" s="127"/>
      <c r="J95" s="127"/>
      <c r="K95" s="127"/>
      <c r="L95" s="127"/>
      <c r="M95" s="127"/>
      <c r="N95" s="127"/>
      <c r="O95" s="127"/>
      <c r="P95" s="127"/>
      <c r="Q95" s="127"/>
      <c r="R95" s="127"/>
      <c r="S95" s="127"/>
      <c r="T95" s="127"/>
      <c r="U95" s="127"/>
      <c r="V95" s="127"/>
      <c r="W95" s="127"/>
      <c r="X95" s="127"/>
      <c r="Y95" s="127"/>
      <c r="Z95" s="127"/>
      <c r="AA95" s="127"/>
      <c r="AB95" s="127"/>
      <c r="AC95" s="127"/>
      <c r="AD95" s="127"/>
      <c r="AE95" s="127"/>
      <c r="AF95" s="127"/>
      <c r="AG95" s="127"/>
      <c r="AH95" s="127"/>
      <c r="AI95" s="127"/>
      <c r="AJ95" s="127"/>
      <c r="AK95" s="127"/>
      <c r="AL95" s="127"/>
      <c r="AM95" s="127"/>
      <c r="AN95" s="127"/>
      <c r="AO95" s="127"/>
      <c r="AP95" s="127"/>
      <c r="AQ95" s="127"/>
      <c r="AR95" s="127"/>
      <c r="AS95" s="127"/>
      <c r="AT95" s="127"/>
      <c r="AU95" s="127"/>
      <c r="AV95" s="127"/>
      <c r="AW95" s="127"/>
      <c r="AX95" s="127"/>
      <c r="AY95" s="366"/>
      <c r="AZ95" s="366"/>
      <c r="BA95" s="366"/>
      <c r="BB95" s="366"/>
      <c r="BC95" s="366"/>
      <c r="BD95" s="673"/>
      <c r="BE95" s="673"/>
      <c r="BF95" s="673"/>
      <c r="BG95" s="366"/>
      <c r="BH95" s="366"/>
      <c r="BI95" s="366"/>
      <c r="BJ95" s="366"/>
      <c r="BK95" s="366"/>
      <c r="BL95" s="366"/>
      <c r="BM95" s="366"/>
      <c r="BN95" s="366"/>
      <c r="BO95" s="366"/>
      <c r="BP95" s="366"/>
      <c r="BQ95" s="366"/>
      <c r="BR95" s="366"/>
      <c r="BS95" s="366"/>
      <c r="BT95" s="366"/>
      <c r="BU95" s="366"/>
      <c r="BV95" s="366"/>
    </row>
    <row r="96" spans="3:74" x14ac:dyDescent="0.2">
      <c r="C96" s="127"/>
      <c r="D96" s="127"/>
      <c r="E96" s="127"/>
      <c r="F96" s="127"/>
      <c r="G96" s="127"/>
      <c r="H96" s="127"/>
      <c r="I96" s="127"/>
      <c r="J96" s="127"/>
      <c r="K96" s="127"/>
      <c r="L96" s="127"/>
      <c r="M96" s="127"/>
      <c r="N96" s="127"/>
      <c r="O96" s="127"/>
      <c r="P96" s="127"/>
      <c r="Q96" s="127"/>
      <c r="R96" s="127"/>
      <c r="S96" s="127"/>
      <c r="T96" s="127"/>
      <c r="U96" s="127"/>
      <c r="V96" s="127"/>
      <c r="W96" s="127"/>
      <c r="X96" s="127"/>
      <c r="Y96" s="127"/>
      <c r="Z96" s="127"/>
      <c r="AA96" s="127"/>
      <c r="AB96" s="127"/>
      <c r="AC96" s="127"/>
      <c r="AD96" s="127"/>
      <c r="AE96" s="127"/>
      <c r="AF96" s="127"/>
      <c r="AG96" s="127"/>
      <c r="AH96" s="127"/>
      <c r="AI96" s="127"/>
      <c r="AJ96" s="127"/>
      <c r="AK96" s="127"/>
      <c r="AL96" s="127"/>
      <c r="AM96" s="127"/>
      <c r="AN96" s="127"/>
      <c r="AO96" s="127"/>
      <c r="AP96" s="127"/>
      <c r="AQ96" s="127"/>
      <c r="AR96" s="127"/>
      <c r="AS96" s="127"/>
      <c r="AT96" s="127"/>
      <c r="AU96" s="127"/>
      <c r="AV96" s="127"/>
      <c r="AW96" s="127"/>
      <c r="AX96" s="127"/>
      <c r="AY96" s="366"/>
      <c r="AZ96" s="366"/>
      <c r="BA96" s="366"/>
      <c r="BB96" s="366"/>
      <c r="BC96" s="366"/>
      <c r="BD96" s="673"/>
      <c r="BE96" s="673"/>
      <c r="BF96" s="673"/>
      <c r="BG96" s="366"/>
      <c r="BH96" s="366"/>
      <c r="BI96" s="366"/>
      <c r="BJ96" s="366"/>
      <c r="BK96" s="366"/>
      <c r="BL96" s="366"/>
      <c r="BM96" s="366"/>
      <c r="BN96" s="366"/>
      <c r="BO96" s="366"/>
      <c r="BP96" s="366"/>
      <c r="BQ96" s="366"/>
      <c r="BR96" s="366"/>
      <c r="BS96" s="366"/>
      <c r="BT96" s="366"/>
      <c r="BU96" s="366"/>
      <c r="BV96" s="366"/>
    </row>
    <row r="97" spans="3:74" x14ac:dyDescent="0.2">
      <c r="C97" s="127"/>
      <c r="D97" s="127"/>
      <c r="E97" s="127"/>
      <c r="F97" s="127"/>
      <c r="G97" s="127"/>
      <c r="H97" s="127"/>
      <c r="I97" s="127"/>
      <c r="J97" s="127"/>
      <c r="K97" s="127"/>
      <c r="L97" s="127"/>
      <c r="M97" s="127"/>
      <c r="N97" s="127"/>
      <c r="O97" s="127"/>
      <c r="P97" s="127"/>
      <c r="Q97" s="127"/>
      <c r="R97" s="127"/>
      <c r="S97" s="127"/>
      <c r="T97" s="127"/>
      <c r="U97" s="127"/>
      <c r="V97" s="127"/>
      <c r="W97" s="127"/>
      <c r="X97" s="127"/>
      <c r="Y97" s="127"/>
      <c r="Z97" s="127"/>
      <c r="AA97" s="127"/>
      <c r="AB97" s="127"/>
      <c r="AC97" s="127"/>
      <c r="AD97" s="127"/>
      <c r="AE97" s="127"/>
      <c r="AF97" s="127"/>
      <c r="AG97" s="127"/>
      <c r="AH97" s="127"/>
      <c r="AI97" s="127"/>
      <c r="AJ97" s="127"/>
      <c r="AK97" s="127"/>
      <c r="AL97" s="127"/>
      <c r="AM97" s="127"/>
      <c r="AN97" s="127"/>
      <c r="AO97" s="127"/>
      <c r="AP97" s="127"/>
      <c r="AQ97" s="127"/>
      <c r="AR97" s="127"/>
      <c r="AS97" s="127"/>
      <c r="AT97" s="127"/>
      <c r="AU97" s="127"/>
      <c r="AV97" s="127"/>
      <c r="AW97" s="127"/>
      <c r="AX97" s="127"/>
      <c r="AY97" s="366"/>
      <c r="AZ97" s="366"/>
      <c r="BA97" s="366"/>
      <c r="BB97" s="366"/>
      <c r="BC97" s="366"/>
      <c r="BD97" s="673"/>
      <c r="BE97" s="673"/>
      <c r="BF97" s="673"/>
      <c r="BG97" s="366"/>
      <c r="BH97" s="366"/>
      <c r="BI97" s="366"/>
      <c r="BJ97" s="366"/>
      <c r="BK97" s="366"/>
      <c r="BL97" s="366"/>
      <c r="BM97" s="366"/>
      <c r="BN97" s="366"/>
      <c r="BO97" s="366"/>
      <c r="BP97" s="366"/>
      <c r="BQ97" s="366"/>
      <c r="BR97" s="366"/>
      <c r="BS97" s="366"/>
      <c r="BT97" s="366"/>
      <c r="BU97" s="366"/>
      <c r="BV97" s="366"/>
    </row>
    <row r="98" spans="3:74" x14ac:dyDescent="0.2">
      <c r="C98" s="127"/>
      <c r="D98" s="127"/>
      <c r="E98" s="127"/>
      <c r="F98" s="127"/>
      <c r="G98" s="127"/>
      <c r="H98" s="127"/>
      <c r="I98" s="127"/>
      <c r="J98" s="127"/>
      <c r="K98" s="127"/>
      <c r="L98" s="127"/>
      <c r="M98" s="127"/>
      <c r="N98" s="127"/>
      <c r="O98" s="127"/>
      <c r="P98" s="127"/>
      <c r="Q98" s="127"/>
      <c r="R98" s="127"/>
      <c r="S98" s="127"/>
      <c r="T98" s="127"/>
      <c r="U98" s="127"/>
      <c r="V98" s="127"/>
      <c r="W98" s="127"/>
      <c r="X98" s="127"/>
      <c r="Y98" s="127"/>
      <c r="Z98" s="127"/>
      <c r="AA98" s="127"/>
      <c r="AB98" s="127"/>
      <c r="AC98" s="127"/>
      <c r="AD98" s="127"/>
      <c r="AE98" s="127"/>
      <c r="AF98" s="127"/>
      <c r="AG98" s="127"/>
      <c r="AH98" s="127"/>
      <c r="AI98" s="127"/>
      <c r="AJ98" s="127"/>
      <c r="AK98" s="127"/>
      <c r="AL98" s="127"/>
      <c r="AM98" s="127"/>
      <c r="AN98" s="127"/>
      <c r="AO98" s="127"/>
      <c r="AP98" s="127"/>
      <c r="AQ98" s="127"/>
      <c r="AR98" s="127"/>
      <c r="AS98" s="127"/>
      <c r="AT98" s="127"/>
      <c r="AU98" s="127"/>
      <c r="AV98" s="127"/>
      <c r="AW98" s="127"/>
      <c r="AX98" s="127"/>
      <c r="AY98" s="366"/>
      <c r="AZ98" s="366"/>
      <c r="BA98" s="366"/>
      <c r="BB98" s="366"/>
      <c r="BC98" s="366"/>
      <c r="BD98" s="673"/>
      <c r="BE98" s="673"/>
      <c r="BF98" s="673"/>
      <c r="BG98" s="366"/>
      <c r="BH98" s="366"/>
      <c r="BI98" s="366"/>
      <c r="BJ98" s="366"/>
      <c r="BK98" s="366"/>
      <c r="BL98" s="366"/>
      <c r="BM98" s="366"/>
      <c r="BN98" s="366"/>
      <c r="BO98" s="366"/>
      <c r="BP98" s="366"/>
      <c r="BQ98" s="366"/>
      <c r="BR98" s="366"/>
      <c r="BS98" s="366"/>
      <c r="BT98" s="366"/>
      <c r="BU98" s="366"/>
      <c r="BV98" s="366"/>
    </row>
    <row r="99" spans="3:74" x14ac:dyDescent="0.2">
      <c r="BK99" s="364"/>
      <c r="BL99" s="364"/>
      <c r="BM99" s="364"/>
      <c r="BN99" s="364"/>
      <c r="BO99" s="364"/>
      <c r="BP99" s="364"/>
      <c r="BQ99" s="364"/>
      <c r="BR99" s="364"/>
      <c r="BS99" s="364"/>
      <c r="BT99" s="364"/>
      <c r="BU99" s="364"/>
      <c r="BV99" s="364"/>
    </row>
    <row r="100" spans="3:74" x14ac:dyDescent="0.2">
      <c r="C100" s="128"/>
      <c r="D100" s="128"/>
      <c r="E100" s="128"/>
      <c r="F100" s="128"/>
      <c r="G100" s="128"/>
      <c r="H100" s="128"/>
      <c r="I100" s="128"/>
      <c r="J100" s="128"/>
      <c r="K100" s="128"/>
      <c r="L100" s="128"/>
      <c r="M100" s="128"/>
      <c r="N100" s="128"/>
      <c r="O100" s="128"/>
      <c r="P100" s="128"/>
      <c r="Q100" s="128"/>
      <c r="R100" s="128"/>
      <c r="S100" s="128"/>
      <c r="T100" s="128"/>
      <c r="U100" s="128"/>
      <c r="V100" s="128"/>
      <c r="W100" s="128"/>
      <c r="X100" s="128"/>
      <c r="Y100" s="128"/>
      <c r="Z100" s="128"/>
      <c r="AA100" s="128"/>
      <c r="AB100" s="128"/>
      <c r="AC100" s="128"/>
      <c r="AD100" s="128"/>
      <c r="AE100" s="128"/>
      <c r="AF100" s="128"/>
      <c r="AG100" s="128"/>
      <c r="AH100" s="128"/>
      <c r="AI100" s="128"/>
      <c r="AJ100" s="128"/>
      <c r="AK100" s="128"/>
      <c r="AL100" s="128"/>
      <c r="AM100" s="128"/>
      <c r="AN100" s="128"/>
      <c r="AO100" s="128"/>
      <c r="AP100" s="128"/>
      <c r="AQ100" s="128"/>
      <c r="AR100" s="128"/>
      <c r="AS100" s="128"/>
      <c r="AT100" s="128"/>
      <c r="AU100" s="128"/>
      <c r="AV100" s="128"/>
      <c r="AW100" s="128"/>
      <c r="AX100" s="128"/>
      <c r="AY100" s="367"/>
      <c r="AZ100" s="367"/>
      <c r="BA100" s="367"/>
      <c r="BB100" s="367"/>
      <c r="BC100" s="367"/>
      <c r="BD100" s="674"/>
      <c r="BE100" s="674"/>
      <c r="BF100" s="674"/>
      <c r="BG100" s="367"/>
      <c r="BH100" s="367"/>
      <c r="BI100" s="367"/>
      <c r="BJ100" s="367"/>
      <c r="BK100" s="367"/>
      <c r="BL100" s="367"/>
      <c r="BM100" s="367"/>
      <c r="BN100" s="367"/>
      <c r="BO100" s="367"/>
      <c r="BP100" s="367"/>
      <c r="BQ100" s="367"/>
      <c r="BR100" s="367"/>
      <c r="BS100" s="367"/>
      <c r="BT100" s="367"/>
      <c r="BU100" s="367"/>
      <c r="BV100" s="367"/>
    </row>
    <row r="101" spans="3:74" x14ac:dyDescent="0.2">
      <c r="BK101" s="364"/>
      <c r="BL101" s="364"/>
      <c r="BM101" s="364"/>
      <c r="BN101" s="364"/>
      <c r="BO101" s="364"/>
      <c r="BP101" s="364"/>
      <c r="BQ101" s="364"/>
      <c r="BR101" s="364"/>
      <c r="BS101" s="364"/>
      <c r="BT101" s="364"/>
      <c r="BU101" s="364"/>
      <c r="BV101" s="364"/>
    </row>
    <row r="102" spans="3:74" x14ac:dyDescent="0.2">
      <c r="BK102" s="364"/>
      <c r="BL102" s="364"/>
      <c r="BM102" s="364"/>
      <c r="BN102" s="364"/>
      <c r="BO102" s="364"/>
      <c r="BP102" s="364"/>
      <c r="BQ102" s="364"/>
      <c r="BR102" s="364"/>
      <c r="BS102" s="364"/>
      <c r="BT102" s="364"/>
      <c r="BU102" s="364"/>
      <c r="BV102" s="364"/>
    </row>
    <row r="103" spans="3:74" x14ac:dyDescent="0.2">
      <c r="BK103" s="364"/>
      <c r="BL103" s="364"/>
      <c r="BM103" s="364"/>
      <c r="BN103" s="364"/>
      <c r="BO103" s="364"/>
      <c r="BP103" s="364"/>
      <c r="BQ103" s="364"/>
      <c r="BR103" s="364"/>
      <c r="BS103" s="364"/>
      <c r="BT103" s="364"/>
      <c r="BU103" s="364"/>
      <c r="BV103" s="364"/>
    </row>
    <row r="104" spans="3:74" x14ac:dyDescent="0.2">
      <c r="BK104" s="364"/>
      <c r="BL104" s="364"/>
      <c r="BM104" s="364"/>
      <c r="BN104" s="364"/>
      <c r="BO104" s="364"/>
      <c r="BP104" s="364"/>
      <c r="BQ104" s="364"/>
      <c r="BR104" s="364"/>
      <c r="BS104" s="364"/>
      <c r="BT104" s="364"/>
      <c r="BU104" s="364"/>
      <c r="BV104" s="364"/>
    </row>
    <row r="105" spans="3:74" x14ac:dyDescent="0.2">
      <c r="BK105" s="364"/>
      <c r="BL105" s="364"/>
      <c r="BM105" s="364"/>
      <c r="BN105" s="364"/>
      <c r="BO105" s="364"/>
      <c r="BP105" s="364"/>
      <c r="BQ105" s="364"/>
      <c r="BR105" s="364"/>
      <c r="BS105" s="364"/>
      <c r="BT105" s="364"/>
      <c r="BU105" s="364"/>
      <c r="BV105" s="364"/>
    </row>
    <row r="106" spans="3:74" x14ac:dyDescent="0.2">
      <c r="BK106" s="364"/>
      <c r="BL106" s="364"/>
      <c r="BM106" s="364"/>
      <c r="BN106" s="364"/>
      <c r="BO106" s="364"/>
      <c r="BP106" s="364"/>
      <c r="BQ106" s="364"/>
      <c r="BR106" s="364"/>
      <c r="BS106" s="364"/>
      <c r="BT106" s="364"/>
      <c r="BU106" s="364"/>
      <c r="BV106" s="364"/>
    </row>
    <row r="107" spans="3:74" x14ac:dyDescent="0.2">
      <c r="BK107" s="364"/>
      <c r="BL107" s="364"/>
      <c r="BM107" s="364"/>
      <c r="BN107" s="364"/>
      <c r="BO107" s="364"/>
      <c r="BP107" s="364"/>
      <c r="BQ107" s="364"/>
      <c r="BR107" s="364"/>
      <c r="BS107" s="364"/>
      <c r="BT107" s="364"/>
      <c r="BU107" s="364"/>
      <c r="BV107" s="364"/>
    </row>
    <row r="108" spans="3:74" x14ac:dyDescent="0.2">
      <c r="BK108" s="364"/>
      <c r="BL108" s="364"/>
      <c r="BM108" s="364"/>
      <c r="BN108" s="364"/>
      <c r="BO108" s="364"/>
      <c r="BP108" s="364"/>
      <c r="BQ108" s="364"/>
      <c r="BR108" s="364"/>
      <c r="BS108" s="364"/>
      <c r="BT108" s="364"/>
      <c r="BU108" s="364"/>
      <c r="BV108" s="364"/>
    </row>
    <row r="109" spans="3:74" x14ac:dyDescent="0.2">
      <c r="BK109" s="364"/>
      <c r="BL109" s="364"/>
      <c r="BM109" s="364"/>
      <c r="BN109" s="364"/>
      <c r="BO109" s="364"/>
      <c r="BP109" s="364"/>
      <c r="BQ109" s="364"/>
      <c r="BR109" s="364"/>
      <c r="BS109" s="364"/>
      <c r="BT109" s="364"/>
      <c r="BU109" s="364"/>
      <c r="BV109" s="364"/>
    </row>
    <row r="110" spans="3:74" x14ac:dyDescent="0.2">
      <c r="BK110" s="364"/>
      <c r="BL110" s="364"/>
      <c r="BM110" s="364"/>
      <c r="BN110" s="364"/>
      <c r="BO110" s="364"/>
      <c r="BP110" s="364"/>
      <c r="BQ110" s="364"/>
      <c r="BR110" s="364"/>
      <c r="BS110" s="364"/>
      <c r="BT110" s="364"/>
      <c r="BU110" s="364"/>
      <c r="BV110" s="364"/>
    </row>
    <row r="111" spans="3:74" x14ac:dyDescent="0.2">
      <c r="BK111" s="364"/>
      <c r="BL111" s="364"/>
      <c r="BM111" s="364"/>
      <c r="BN111" s="364"/>
      <c r="BO111" s="364"/>
      <c r="BP111" s="364"/>
      <c r="BQ111" s="364"/>
      <c r="BR111" s="364"/>
      <c r="BS111" s="364"/>
      <c r="BT111" s="364"/>
      <c r="BU111" s="364"/>
      <c r="BV111" s="364"/>
    </row>
    <row r="112" spans="3:74" x14ac:dyDescent="0.2">
      <c r="BK112" s="364"/>
      <c r="BL112" s="364"/>
      <c r="BM112" s="364"/>
      <c r="BN112" s="364"/>
      <c r="BO112" s="364"/>
      <c r="BP112" s="364"/>
      <c r="BQ112" s="364"/>
      <c r="BR112" s="364"/>
      <c r="BS112" s="364"/>
      <c r="BT112" s="364"/>
      <c r="BU112" s="364"/>
      <c r="BV112" s="364"/>
    </row>
    <row r="113" spans="63:74" x14ac:dyDescent="0.2">
      <c r="BK113" s="364"/>
      <c r="BL113" s="364"/>
      <c r="BM113" s="364"/>
      <c r="BN113" s="364"/>
      <c r="BO113" s="364"/>
      <c r="BP113" s="364"/>
      <c r="BQ113" s="364"/>
      <c r="BR113" s="364"/>
      <c r="BS113" s="364"/>
      <c r="BT113" s="364"/>
      <c r="BU113" s="364"/>
      <c r="BV113" s="364"/>
    </row>
    <row r="114" spans="63:74" x14ac:dyDescent="0.2">
      <c r="BK114" s="364"/>
      <c r="BL114" s="364"/>
      <c r="BM114" s="364"/>
      <c r="BN114" s="364"/>
      <c r="BO114" s="364"/>
      <c r="BP114" s="364"/>
      <c r="BQ114" s="364"/>
      <c r="BR114" s="364"/>
      <c r="BS114" s="364"/>
      <c r="BT114" s="364"/>
      <c r="BU114" s="364"/>
      <c r="BV114" s="364"/>
    </row>
    <row r="115" spans="63:74" x14ac:dyDescent="0.2">
      <c r="BK115" s="364"/>
      <c r="BL115" s="364"/>
      <c r="BM115" s="364"/>
      <c r="BN115" s="364"/>
      <c r="BO115" s="364"/>
      <c r="BP115" s="364"/>
      <c r="BQ115" s="364"/>
      <c r="BR115" s="364"/>
      <c r="BS115" s="364"/>
      <c r="BT115" s="364"/>
      <c r="BU115" s="364"/>
      <c r="BV115" s="364"/>
    </row>
    <row r="116" spans="63:74" x14ac:dyDescent="0.2">
      <c r="BK116" s="364"/>
      <c r="BL116" s="364"/>
      <c r="BM116" s="364"/>
      <c r="BN116" s="364"/>
      <c r="BO116" s="364"/>
      <c r="BP116" s="364"/>
      <c r="BQ116" s="364"/>
      <c r="BR116" s="364"/>
      <c r="BS116" s="364"/>
      <c r="BT116" s="364"/>
      <c r="BU116" s="364"/>
      <c r="BV116" s="364"/>
    </row>
    <row r="117" spans="63:74" x14ac:dyDescent="0.2">
      <c r="BK117" s="364"/>
      <c r="BL117" s="364"/>
      <c r="BM117" s="364"/>
      <c r="BN117" s="364"/>
      <c r="BO117" s="364"/>
      <c r="BP117" s="364"/>
      <c r="BQ117" s="364"/>
      <c r="BR117" s="364"/>
      <c r="BS117" s="364"/>
      <c r="BT117" s="364"/>
      <c r="BU117" s="364"/>
      <c r="BV117" s="364"/>
    </row>
    <row r="118" spans="63:74" x14ac:dyDescent="0.2">
      <c r="BK118" s="364"/>
      <c r="BL118" s="364"/>
      <c r="BM118" s="364"/>
      <c r="BN118" s="364"/>
      <c r="BO118" s="364"/>
      <c r="BP118" s="364"/>
      <c r="BQ118" s="364"/>
      <c r="BR118" s="364"/>
      <c r="BS118" s="364"/>
      <c r="BT118" s="364"/>
      <c r="BU118" s="364"/>
      <c r="BV118" s="364"/>
    </row>
    <row r="119" spans="63:74" x14ac:dyDescent="0.2">
      <c r="BK119" s="364"/>
      <c r="BL119" s="364"/>
      <c r="BM119" s="364"/>
      <c r="BN119" s="364"/>
      <c r="BO119" s="364"/>
      <c r="BP119" s="364"/>
      <c r="BQ119" s="364"/>
      <c r="BR119" s="364"/>
      <c r="BS119" s="364"/>
      <c r="BT119" s="364"/>
      <c r="BU119" s="364"/>
      <c r="BV119" s="364"/>
    </row>
    <row r="120" spans="63:74" x14ac:dyDescent="0.2">
      <c r="BK120" s="364"/>
      <c r="BL120" s="364"/>
      <c r="BM120" s="364"/>
      <c r="BN120" s="364"/>
      <c r="BO120" s="364"/>
      <c r="BP120" s="364"/>
      <c r="BQ120" s="364"/>
      <c r="BR120" s="364"/>
      <c r="BS120" s="364"/>
      <c r="BT120" s="364"/>
      <c r="BU120" s="364"/>
      <c r="BV120" s="364"/>
    </row>
    <row r="121" spans="63:74" x14ac:dyDescent="0.2">
      <c r="BK121" s="364"/>
      <c r="BL121" s="364"/>
      <c r="BM121" s="364"/>
      <c r="BN121" s="364"/>
      <c r="BO121" s="364"/>
      <c r="BP121" s="364"/>
      <c r="BQ121" s="364"/>
      <c r="BR121" s="364"/>
      <c r="BS121" s="364"/>
      <c r="BT121" s="364"/>
      <c r="BU121" s="364"/>
      <c r="BV121" s="364"/>
    </row>
    <row r="122" spans="63:74" x14ac:dyDescent="0.2">
      <c r="BK122" s="364"/>
      <c r="BL122" s="364"/>
      <c r="BM122" s="364"/>
      <c r="BN122" s="364"/>
      <c r="BO122" s="364"/>
      <c r="BP122" s="364"/>
      <c r="BQ122" s="364"/>
      <c r="BR122" s="364"/>
      <c r="BS122" s="364"/>
      <c r="BT122" s="364"/>
      <c r="BU122" s="364"/>
      <c r="BV122" s="364"/>
    </row>
    <row r="123" spans="63:74" x14ac:dyDescent="0.2">
      <c r="BK123" s="364"/>
      <c r="BL123" s="364"/>
      <c r="BM123" s="364"/>
      <c r="BN123" s="364"/>
      <c r="BO123" s="364"/>
      <c r="BP123" s="364"/>
      <c r="BQ123" s="364"/>
      <c r="BR123" s="364"/>
      <c r="BS123" s="364"/>
      <c r="BT123" s="364"/>
      <c r="BU123" s="364"/>
      <c r="BV123" s="364"/>
    </row>
    <row r="124" spans="63:74" x14ac:dyDescent="0.2">
      <c r="BK124" s="364"/>
      <c r="BL124" s="364"/>
      <c r="BM124" s="364"/>
      <c r="BN124" s="364"/>
      <c r="BO124" s="364"/>
      <c r="BP124" s="364"/>
      <c r="BQ124" s="364"/>
      <c r="BR124" s="364"/>
      <c r="BS124" s="364"/>
      <c r="BT124" s="364"/>
      <c r="BU124" s="364"/>
      <c r="BV124" s="364"/>
    </row>
    <row r="125" spans="63:74" x14ac:dyDescent="0.2">
      <c r="BK125" s="364"/>
      <c r="BL125" s="364"/>
      <c r="BM125" s="364"/>
      <c r="BN125" s="364"/>
      <c r="BO125" s="364"/>
      <c r="BP125" s="364"/>
      <c r="BQ125" s="364"/>
      <c r="BR125" s="364"/>
      <c r="BS125" s="364"/>
      <c r="BT125" s="364"/>
      <c r="BU125" s="364"/>
      <c r="BV125" s="364"/>
    </row>
    <row r="126" spans="63:74" x14ac:dyDescent="0.2">
      <c r="BK126" s="364"/>
      <c r="BL126" s="364"/>
      <c r="BM126" s="364"/>
      <c r="BN126" s="364"/>
      <c r="BO126" s="364"/>
      <c r="BP126" s="364"/>
      <c r="BQ126" s="364"/>
      <c r="BR126" s="364"/>
      <c r="BS126" s="364"/>
      <c r="BT126" s="364"/>
      <c r="BU126" s="364"/>
      <c r="BV126" s="364"/>
    </row>
    <row r="127" spans="63:74" x14ac:dyDescent="0.2">
      <c r="BK127" s="364"/>
      <c r="BL127" s="364"/>
      <c r="BM127" s="364"/>
      <c r="BN127" s="364"/>
      <c r="BO127" s="364"/>
      <c r="BP127" s="364"/>
      <c r="BQ127" s="364"/>
      <c r="BR127" s="364"/>
      <c r="BS127" s="364"/>
      <c r="BT127" s="364"/>
      <c r="BU127" s="364"/>
      <c r="BV127" s="364"/>
    </row>
    <row r="128" spans="63:74" x14ac:dyDescent="0.2">
      <c r="BK128" s="364"/>
      <c r="BL128" s="364"/>
      <c r="BM128" s="364"/>
      <c r="BN128" s="364"/>
      <c r="BO128" s="364"/>
      <c r="BP128" s="364"/>
      <c r="BQ128" s="364"/>
      <c r="BR128" s="364"/>
      <c r="BS128" s="364"/>
      <c r="BT128" s="364"/>
      <c r="BU128" s="364"/>
      <c r="BV128" s="364"/>
    </row>
    <row r="129" spans="63:74" x14ac:dyDescent="0.2">
      <c r="BK129" s="364"/>
      <c r="BL129" s="364"/>
      <c r="BM129" s="364"/>
      <c r="BN129" s="364"/>
      <c r="BO129" s="364"/>
      <c r="BP129" s="364"/>
      <c r="BQ129" s="364"/>
      <c r="BR129" s="364"/>
      <c r="BS129" s="364"/>
      <c r="BT129" s="364"/>
      <c r="BU129" s="364"/>
      <c r="BV129" s="364"/>
    </row>
    <row r="130" spans="63:74" x14ac:dyDescent="0.2">
      <c r="BK130" s="364"/>
      <c r="BL130" s="364"/>
      <c r="BM130" s="364"/>
      <c r="BN130" s="364"/>
      <c r="BO130" s="364"/>
      <c r="BP130" s="364"/>
      <c r="BQ130" s="364"/>
      <c r="BR130" s="364"/>
      <c r="BS130" s="364"/>
      <c r="BT130" s="364"/>
      <c r="BU130" s="364"/>
      <c r="BV130" s="364"/>
    </row>
    <row r="131" spans="63:74" x14ac:dyDescent="0.2">
      <c r="BK131" s="364"/>
      <c r="BL131" s="364"/>
      <c r="BM131" s="364"/>
      <c r="BN131" s="364"/>
      <c r="BO131" s="364"/>
      <c r="BP131" s="364"/>
      <c r="BQ131" s="364"/>
      <c r="BR131" s="364"/>
      <c r="BS131" s="364"/>
      <c r="BT131" s="364"/>
      <c r="BU131" s="364"/>
      <c r="BV131" s="364"/>
    </row>
    <row r="132" spans="63:74" x14ac:dyDescent="0.2">
      <c r="BK132" s="364"/>
      <c r="BL132" s="364"/>
      <c r="BM132" s="364"/>
      <c r="BN132" s="364"/>
      <c r="BO132" s="364"/>
      <c r="BP132" s="364"/>
      <c r="BQ132" s="364"/>
      <c r="BR132" s="364"/>
      <c r="BS132" s="364"/>
      <c r="BT132" s="364"/>
      <c r="BU132" s="364"/>
      <c r="BV132" s="364"/>
    </row>
    <row r="133" spans="63:74" x14ac:dyDescent="0.2">
      <c r="BK133" s="364"/>
      <c r="BL133" s="364"/>
      <c r="BM133" s="364"/>
      <c r="BN133" s="364"/>
      <c r="BO133" s="364"/>
      <c r="BP133" s="364"/>
      <c r="BQ133" s="364"/>
      <c r="BR133" s="364"/>
      <c r="BS133" s="364"/>
      <c r="BT133" s="364"/>
      <c r="BU133" s="364"/>
      <c r="BV133" s="364"/>
    </row>
    <row r="134" spans="63:74" x14ac:dyDescent="0.2">
      <c r="BK134" s="364"/>
      <c r="BL134" s="364"/>
      <c r="BM134" s="364"/>
      <c r="BN134" s="364"/>
      <c r="BO134" s="364"/>
      <c r="BP134" s="364"/>
      <c r="BQ134" s="364"/>
      <c r="BR134" s="364"/>
      <c r="BS134" s="364"/>
      <c r="BT134" s="364"/>
      <c r="BU134" s="364"/>
      <c r="BV134" s="364"/>
    </row>
    <row r="135" spans="63:74" x14ac:dyDescent="0.2">
      <c r="BK135" s="364"/>
      <c r="BL135" s="364"/>
      <c r="BM135" s="364"/>
      <c r="BN135" s="364"/>
      <c r="BO135" s="364"/>
      <c r="BP135" s="364"/>
      <c r="BQ135" s="364"/>
      <c r="BR135" s="364"/>
      <c r="BS135" s="364"/>
      <c r="BT135" s="364"/>
      <c r="BU135" s="364"/>
      <c r="BV135" s="364"/>
    </row>
    <row r="136" spans="63:74" x14ac:dyDescent="0.2">
      <c r="BK136" s="364"/>
      <c r="BL136" s="364"/>
      <c r="BM136" s="364"/>
      <c r="BN136" s="364"/>
      <c r="BO136" s="364"/>
      <c r="BP136" s="364"/>
      <c r="BQ136" s="364"/>
      <c r="BR136" s="364"/>
      <c r="BS136" s="364"/>
      <c r="BT136" s="364"/>
      <c r="BU136" s="364"/>
      <c r="BV136" s="364"/>
    </row>
    <row r="137" spans="63:74" x14ac:dyDescent="0.2">
      <c r="BK137" s="364"/>
      <c r="BL137" s="364"/>
      <c r="BM137" s="364"/>
      <c r="BN137" s="364"/>
      <c r="BO137" s="364"/>
      <c r="BP137" s="364"/>
      <c r="BQ137" s="364"/>
      <c r="BR137" s="364"/>
      <c r="BS137" s="364"/>
      <c r="BT137" s="364"/>
      <c r="BU137" s="364"/>
      <c r="BV137" s="364"/>
    </row>
    <row r="138" spans="63:74" x14ac:dyDescent="0.2">
      <c r="BK138" s="364"/>
      <c r="BL138" s="364"/>
      <c r="BM138" s="364"/>
      <c r="BN138" s="364"/>
      <c r="BO138" s="364"/>
      <c r="BP138" s="364"/>
      <c r="BQ138" s="364"/>
      <c r="BR138" s="364"/>
      <c r="BS138" s="364"/>
      <c r="BT138" s="364"/>
      <c r="BU138" s="364"/>
      <c r="BV138" s="364"/>
    </row>
    <row r="139" spans="63:74" x14ac:dyDescent="0.2">
      <c r="BK139" s="364"/>
      <c r="BL139" s="364"/>
      <c r="BM139" s="364"/>
      <c r="BN139" s="364"/>
      <c r="BO139" s="364"/>
      <c r="BP139" s="364"/>
      <c r="BQ139" s="364"/>
      <c r="BR139" s="364"/>
      <c r="BS139" s="364"/>
      <c r="BT139" s="364"/>
      <c r="BU139" s="364"/>
      <c r="BV139" s="364"/>
    </row>
    <row r="140" spans="63:74" x14ac:dyDescent="0.2">
      <c r="BK140" s="364"/>
      <c r="BL140" s="364"/>
      <c r="BM140" s="364"/>
      <c r="BN140" s="364"/>
      <c r="BO140" s="364"/>
      <c r="BP140" s="364"/>
      <c r="BQ140" s="364"/>
      <c r="BR140" s="364"/>
      <c r="BS140" s="364"/>
      <c r="BT140" s="364"/>
      <c r="BU140" s="364"/>
      <c r="BV140" s="364"/>
    </row>
    <row r="141" spans="63:74" x14ac:dyDescent="0.2">
      <c r="BK141" s="364"/>
      <c r="BL141" s="364"/>
      <c r="BM141" s="364"/>
      <c r="BN141" s="364"/>
      <c r="BO141" s="364"/>
      <c r="BP141" s="364"/>
      <c r="BQ141" s="364"/>
      <c r="BR141" s="364"/>
      <c r="BS141" s="364"/>
      <c r="BT141" s="364"/>
      <c r="BU141" s="364"/>
      <c r="BV141" s="364"/>
    </row>
    <row r="142" spans="63:74" x14ac:dyDescent="0.2">
      <c r="BK142" s="364"/>
      <c r="BL142" s="364"/>
      <c r="BM142" s="364"/>
      <c r="BN142" s="364"/>
      <c r="BO142" s="364"/>
      <c r="BP142" s="364"/>
      <c r="BQ142" s="364"/>
      <c r="BR142" s="364"/>
      <c r="BS142" s="364"/>
      <c r="BT142" s="364"/>
      <c r="BU142" s="364"/>
      <c r="BV142" s="364"/>
    </row>
    <row r="143" spans="63:74" x14ac:dyDescent="0.2">
      <c r="BK143" s="364"/>
      <c r="BL143" s="364"/>
      <c r="BM143" s="364"/>
      <c r="BN143" s="364"/>
      <c r="BO143" s="364"/>
      <c r="BP143" s="364"/>
      <c r="BQ143" s="364"/>
      <c r="BR143" s="364"/>
      <c r="BS143" s="364"/>
      <c r="BT143" s="364"/>
      <c r="BU143" s="364"/>
      <c r="BV143" s="364"/>
    </row>
    <row r="144" spans="63:74" x14ac:dyDescent="0.2">
      <c r="BK144" s="364"/>
      <c r="BL144" s="364"/>
      <c r="BM144" s="364"/>
      <c r="BN144" s="364"/>
      <c r="BO144" s="364"/>
      <c r="BP144" s="364"/>
      <c r="BQ144" s="364"/>
      <c r="BR144" s="364"/>
      <c r="BS144" s="364"/>
      <c r="BT144" s="364"/>
      <c r="BU144" s="364"/>
      <c r="BV144" s="364"/>
    </row>
  </sheetData>
  <mergeCells count="17">
    <mergeCell ref="BK3:BV3"/>
    <mergeCell ref="B1:AL1"/>
    <mergeCell ref="C3:N3"/>
    <mergeCell ref="O3:Z3"/>
    <mergeCell ref="AA3:AL3"/>
    <mergeCell ref="AM3:AX3"/>
    <mergeCell ref="AY3:BJ3"/>
    <mergeCell ref="B56:Q56"/>
    <mergeCell ref="B57:Q57"/>
    <mergeCell ref="B58:Q58"/>
    <mergeCell ref="A1:A2"/>
    <mergeCell ref="B50:Q50"/>
    <mergeCell ref="B52:Q52"/>
    <mergeCell ref="B53:Q53"/>
    <mergeCell ref="B54:Q54"/>
    <mergeCell ref="B51:Q51"/>
    <mergeCell ref="B55:Q55"/>
  </mergeCells>
  <phoneticPr fontId="6" type="noConversion"/>
  <hyperlinks>
    <hyperlink ref="A1:A2" location="Contents!A1" display="Table of Contents"/>
  </hyperlinks>
  <pageMargins left="0.25" right="0.25" top="0.25" bottom="0.25" header="0.5" footer="0.5"/>
  <pageSetup scale="87" orientation="portrait" horizontalDpi="300" verticalDpi="300" r:id="rId1"/>
  <headerFooter alignWithMargins="0">
    <oddFooter>&amp;L&amp;"Courier,Bold"&amp;14&amp;F&amp;C&amp;6&amp;P&amp;R&amp;"Courier,Bold"&amp;14&amp;D  &amp;T</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0">
    <pageSetUpPr fitToPage="1"/>
  </sheetPr>
  <dimension ref="A1:BV98"/>
  <sheetViews>
    <sheetView showGridLines="0" workbookViewId="0">
      <pane xSplit="2" ySplit="4" topLeftCell="BC5" activePane="bottomRight" state="frozen"/>
      <selection activeCell="BF63" sqref="BF63"/>
      <selection pane="topRight" activeCell="BF63" sqref="BF63"/>
      <selection pane="bottomLeft" activeCell="BF63" sqref="BF63"/>
      <selection pane="bottomRight" activeCell="B1" sqref="B1"/>
    </sheetView>
  </sheetViews>
  <sheetFormatPr defaultColWidth="11" defaultRowHeight="10.199999999999999" x14ac:dyDescent="0.2"/>
  <cols>
    <col min="1" max="1" width="10.5546875" style="537" customWidth="1"/>
    <col min="2" max="2" width="27" style="537" customWidth="1"/>
    <col min="3" max="55" width="6.5546875" style="537" customWidth="1"/>
    <col min="56" max="58" width="6.5546875" style="683" customWidth="1"/>
    <col min="59" max="74" width="6.5546875" style="537" customWidth="1"/>
    <col min="75" max="238" width="11" style="537"/>
    <col min="239" max="239" width="1.5546875" style="537" customWidth="1"/>
    <col min="240" max="16384" width="11" style="537"/>
  </cols>
  <sheetData>
    <row r="1" spans="1:74" ht="12.75" customHeight="1" x14ac:dyDescent="0.25">
      <c r="A1" s="797" t="s">
        <v>809</v>
      </c>
      <c r="B1" s="536" t="s">
        <v>1379</v>
      </c>
      <c r="C1" s="536"/>
      <c r="D1" s="536"/>
      <c r="E1" s="536"/>
      <c r="F1" s="536"/>
      <c r="G1" s="536"/>
      <c r="H1" s="536"/>
      <c r="I1" s="536"/>
      <c r="J1" s="536"/>
      <c r="K1" s="536"/>
      <c r="L1" s="536"/>
      <c r="M1" s="536"/>
      <c r="N1" s="536"/>
      <c r="O1" s="536"/>
      <c r="P1" s="536"/>
      <c r="Q1" s="536"/>
      <c r="R1" s="536"/>
      <c r="S1" s="536"/>
      <c r="T1" s="536"/>
      <c r="U1" s="536"/>
      <c r="V1" s="536"/>
      <c r="W1" s="536"/>
      <c r="X1" s="536"/>
      <c r="Y1" s="536"/>
      <c r="Z1" s="536"/>
      <c r="AA1" s="536"/>
      <c r="AB1" s="536"/>
      <c r="AC1" s="536"/>
      <c r="AD1" s="536"/>
      <c r="AE1" s="536"/>
      <c r="AF1" s="536"/>
      <c r="AG1" s="536"/>
      <c r="AH1" s="536"/>
      <c r="AI1" s="536"/>
      <c r="AJ1" s="536"/>
      <c r="AK1" s="536"/>
      <c r="AL1" s="536"/>
      <c r="AM1" s="536"/>
      <c r="AN1" s="536"/>
      <c r="AO1" s="536"/>
      <c r="AP1" s="536"/>
      <c r="AQ1" s="536"/>
      <c r="AR1" s="536"/>
      <c r="AS1" s="536"/>
      <c r="AT1" s="536"/>
      <c r="AU1" s="536"/>
      <c r="AV1" s="536"/>
      <c r="AW1" s="536"/>
      <c r="AX1" s="536"/>
      <c r="AY1" s="536"/>
      <c r="AZ1" s="536"/>
      <c r="BA1" s="536"/>
      <c r="BB1" s="536"/>
      <c r="BC1" s="536"/>
      <c r="BD1" s="536"/>
      <c r="BE1" s="536"/>
      <c r="BF1" s="536"/>
      <c r="BG1" s="536"/>
      <c r="BH1" s="536"/>
      <c r="BI1" s="536"/>
      <c r="BJ1" s="536"/>
      <c r="BK1" s="536"/>
      <c r="BL1" s="536"/>
      <c r="BM1" s="536"/>
      <c r="BN1" s="536"/>
      <c r="BO1" s="536"/>
      <c r="BP1" s="536"/>
      <c r="BQ1" s="536"/>
      <c r="BR1" s="536"/>
      <c r="BS1" s="536"/>
      <c r="BT1" s="536"/>
      <c r="BU1" s="536"/>
      <c r="BV1" s="536"/>
    </row>
    <row r="2" spans="1:74" ht="12.75" customHeight="1" x14ac:dyDescent="0.25">
      <c r="A2" s="798"/>
      <c r="B2" s="532" t="str">
        <f>"U.S. Energy Information Administration  |  Short-Term Energy Outlook  - "&amp;Dates!D1</f>
        <v>U.S. Energy Information Administration  |  Short-Term Energy Outlook  - September 2020</v>
      </c>
      <c r="C2" s="538"/>
      <c r="D2" s="538"/>
      <c r="E2" s="538"/>
      <c r="F2" s="538"/>
      <c r="G2" s="538"/>
      <c r="H2" s="538"/>
      <c r="I2" s="538"/>
      <c r="J2" s="538"/>
      <c r="K2" s="538"/>
      <c r="L2" s="538"/>
      <c r="M2" s="538"/>
      <c r="N2" s="538"/>
      <c r="O2" s="538"/>
      <c r="P2" s="538"/>
      <c r="Q2" s="538"/>
      <c r="R2" s="538"/>
      <c r="S2" s="538"/>
      <c r="T2" s="538"/>
      <c r="U2" s="538"/>
      <c r="V2" s="538"/>
      <c r="W2" s="538"/>
      <c r="X2" s="538"/>
      <c r="Y2" s="538"/>
      <c r="Z2" s="538"/>
      <c r="AA2" s="538"/>
      <c r="AB2" s="538"/>
      <c r="AC2" s="538"/>
      <c r="AD2" s="538"/>
      <c r="AE2" s="538"/>
      <c r="AF2" s="538"/>
      <c r="AG2" s="538"/>
      <c r="AH2" s="538"/>
      <c r="AI2" s="538"/>
      <c r="AJ2" s="538"/>
      <c r="AK2" s="538"/>
      <c r="AL2" s="538"/>
      <c r="AM2" s="538"/>
      <c r="AN2" s="538"/>
      <c r="AO2" s="538"/>
      <c r="AP2" s="538"/>
      <c r="AQ2" s="538"/>
      <c r="AR2" s="538"/>
      <c r="AS2" s="538"/>
      <c r="AT2" s="538"/>
      <c r="AU2" s="538"/>
      <c r="AV2" s="538"/>
      <c r="AW2" s="538"/>
      <c r="AX2" s="538"/>
      <c r="AY2" s="538"/>
      <c r="AZ2" s="538"/>
      <c r="BA2" s="538"/>
      <c r="BB2" s="538"/>
      <c r="BC2" s="538"/>
      <c r="BD2" s="675"/>
      <c r="BE2" s="675"/>
      <c r="BF2" s="675"/>
      <c r="BG2" s="538"/>
      <c r="BH2" s="538"/>
      <c r="BI2" s="538"/>
      <c r="BJ2" s="538"/>
      <c r="BK2" s="538"/>
      <c r="BL2" s="538"/>
      <c r="BM2" s="538"/>
      <c r="BN2" s="538"/>
      <c r="BO2" s="538"/>
      <c r="BP2" s="538"/>
      <c r="BQ2" s="538"/>
      <c r="BR2" s="538"/>
      <c r="BS2" s="538"/>
      <c r="BT2" s="538"/>
      <c r="BU2" s="538"/>
      <c r="BV2" s="538"/>
    </row>
    <row r="3" spans="1:74" ht="12.75" customHeight="1" x14ac:dyDescent="0.2">
      <c r="A3" s="539"/>
      <c r="B3" s="540"/>
      <c r="C3" s="806">
        <f>Dates!D3</f>
        <v>2016</v>
      </c>
      <c r="D3" s="807"/>
      <c r="E3" s="807"/>
      <c r="F3" s="807"/>
      <c r="G3" s="807"/>
      <c r="H3" s="807"/>
      <c r="I3" s="807"/>
      <c r="J3" s="807"/>
      <c r="K3" s="807"/>
      <c r="L3" s="807"/>
      <c r="M3" s="807"/>
      <c r="N3" s="858"/>
      <c r="O3" s="806">
        <f>C3+1</f>
        <v>2017</v>
      </c>
      <c r="P3" s="807"/>
      <c r="Q3" s="807"/>
      <c r="R3" s="807"/>
      <c r="S3" s="807"/>
      <c r="T3" s="807"/>
      <c r="U3" s="807"/>
      <c r="V3" s="807"/>
      <c r="W3" s="807"/>
      <c r="X3" s="807"/>
      <c r="Y3" s="807"/>
      <c r="Z3" s="858"/>
      <c r="AA3" s="806">
        <f>O3+1</f>
        <v>2018</v>
      </c>
      <c r="AB3" s="807"/>
      <c r="AC3" s="807"/>
      <c r="AD3" s="807"/>
      <c r="AE3" s="807"/>
      <c r="AF3" s="807"/>
      <c r="AG3" s="807"/>
      <c r="AH3" s="807"/>
      <c r="AI3" s="807"/>
      <c r="AJ3" s="807"/>
      <c r="AK3" s="807"/>
      <c r="AL3" s="858"/>
      <c r="AM3" s="806">
        <f>AA3+1</f>
        <v>2019</v>
      </c>
      <c r="AN3" s="807"/>
      <c r="AO3" s="807"/>
      <c r="AP3" s="807"/>
      <c r="AQ3" s="807"/>
      <c r="AR3" s="807"/>
      <c r="AS3" s="807"/>
      <c r="AT3" s="807"/>
      <c r="AU3" s="807"/>
      <c r="AV3" s="807"/>
      <c r="AW3" s="807"/>
      <c r="AX3" s="858"/>
      <c r="AY3" s="806">
        <f>AM3+1</f>
        <v>2020</v>
      </c>
      <c r="AZ3" s="807"/>
      <c r="BA3" s="807"/>
      <c r="BB3" s="807"/>
      <c r="BC3" s="807"/>
      <c r="BD3" s="807"/>
      <c r="BE3" s="807"/>
      <c r="BF3" s="807"/>
      <c r="BG3" s="807"/>
      <c r="BH3" s="807"/>
      <c r="BI3" s="807"/>
      <c r="BJ3" s="858"/>
      <c r="BK3" s="806">
        <f>AY3+1</f>
        <v>2021</v>
      </c>
      <c r="BL3" s="807"/>
      <c r="BM3" s="807"/>
      <c r="BN3" s="807"/>
      <c r="BO3" s="807"/>
      <c r="BP3" s="807"/>
      <c r="BQ3" s="807"/>
      <c r="BR3" s="807"/>
      <c r="BS3" s="807"/>
      <c r="BT3" s="807"/>
      <c r="BU3" s="807"/>
      <c r="BV3" s="858"/>
    </row>
    <row r="4" spans="1:74" ht="12.75" customHeight="1" x14ac:dyDescent="0.2">
      <c r="A4" s="539"/>
      <c r="B4" s="541"/>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A5" s="539"/>
      <c r="B5" s="129" t="s">
        <v>347</v>
      </c>
      <c r="C5" s="542"/>
      <c r="D5" s="543"/>
      <c r="E5" s="543"/>
      <c r="F5" s="543"/>
      <c r="G5" s="543"/>
      <c r="H5" s="543"/>
      <c r="I5" s="543"/>
      <c r="J5" s="543"/>
      <c r="K5" s="543"/>
      <c r="L5" s="543"/>
      <c r="M5" s="543"/>
      <c r="N5" s="544"/>
      <c r="O5" s="542"/>
      <c r="P5" s="543"/>
      <c r="Q5" s="543"/>
      <c r="R5" s="543"/>
      <c r="S5" s="543"/>
      <c r="T5" s="543"/>
      <c r="U5" s="543"/>
      <c r="V5" s="543"/>
      <c r="W5" s="543"/>
      <c r="X5" s="543"/>
      <c r="Y5" s="543"/>
      <c r="Z5" s="544"/>
      <c r="AA5" s="542"/>
      <c r="AB5" s="543"/>
      <c r="AC5" s="543"/>
      <c r="AD5" s="543"/>
      <c r="AE5" s="543"/>
      <c r="AF5" s="543"/>
      <c r="AG5" s="543"/>
      <c r="AH5" s="543"/>
      <c r="AI5" s="543"/>
      <c r="AJ5" s="543"/>
      <c r="AK5" s="543"/>
      <c r="AL5" s="544"/>
      <c r="AM5" s="542"/>
      <c r="AN5" s="543"/>
      <c r="AO5" s="543"/>
      <c r="AP5" s="543"/>
      <c r="AQ5" s="543"/>
      <c r="AR5" s="543"/>
      <c r="AS5" s="543"/>
      <c r="AT5" s="543"/>
      <c r="AU5" s="543"/>
      <c r="AV5" s="543"/>
      <c r="AW5" s="543"/>
      <c r="AX5" s="544"/>
      <c r="AY5" s="542"/>
      <c r="AZ5" s="543"/>
      <c r="BA5" s="543"/>
      <c r="BB5" s="543"/>
      <c r="BC5" s="543"/>
      <c r="BD5" s="543"/>
      <c r="BE5" s="543"/>
      <c r="BF5" s="543"/>
      <c r="BG5" s="543"/>
      <c r="BH5" s="543"/>
      <c r="BI5" s="543"/>
      <c r="BJ5" s="544"/>
      <c r="BK5" s="542"/>
      <c r="BL5" s="543"/>
      <c r="BM5" s="543"/>
      <c r="BN5" s="543"/>
      <c r="BO5" s="543"/>
      <c r="BP5" s="543"/>
      <c r="BQ5" s="543"/>
      <c r="BR5" s="543"/>
      <c r="BS5" s="543"/>
      <c r="BT5" s="543"/>
      <c r="BU5" s="543"/>
      <c r="BV5" s="544"/>
    </row>
    <row r="6" spans="1:74" ht="11.1" customHeight="1" x14ac:dyDescent="0.2">
      <c r="A6" s="545" t="s">
        <v>1242</v>
      </c>
      <c r="B6" s="546" t="s">
        <v>86</v>
      </c>
      <c r="C6" s="766">
        <v>101.78621810999999</v>
      </c>
      <c r="D6" s="766">
        <v>90.849429986999994</v>
      </c>
      <c r="E6" s="766">
        <v>95.848736540999994</v>
      </c>
      <c r="F6" s="766">
        <v>91.257347851999995</v>
      </c>
      <c r="G6" s="766">
        <v>102.48190123000001</v>
      </c>
      <c r="H6" s="766">
        <v>123.0428462</v>
      </c>
      <c r="I6" s="766">
        <v>142.55799622000001</v>
      </c>
      <c r="J6" s="766">
        <v>145.61009215000001</v>
      </c>
      <c r="K6" s="766">
        <v>117.19673568</v>
      </c>
      <c r="L6" s="766">
        <v>94.754139782999999</v>
      </c>
      <c r="M6" s="766">
        <v>85.906780767000001</v>
      </c>
      <c r="N6" s="766">
        <v>88.087607046000002</v>
      </c>
      <c r="O6" s="766">
        <v>86.884892949000005</v>
      </c>
      <c r="P6" s="766">
        <v>75.044604918000005</v>
      </c>
      <c r="Q6" s="766">
        <v>86.855434853999995</v>
      </c>
      <c r="R6" s="766">
        <v>80.578371313000005</v>
      </c>
      <c r="S6" s="766">
        <v>90.020665503999993</v>
      </c>
      <c r="T6" s="766">
        <v>108.83270628</v>
      </c>
      <c r="U6" s="766">
        <v>137.84065752000001</v>
      </c>
      <c r="V6" s="766">
        <v>132.37582732999999</v>
      </c>
      <c r="W6" s="766">
        <v>110.21913673</v>
      </c>
      <c r="X6" s="766">
        <v>98.825691329999998</v>
      </c>
      <c r="Y6" s="766">
        <v>86.819182471999994</v>
      </c>
      <c r="Z6" s="766">
        <v>102.45678891999999</v>
      </c>
      <c r="AA6" s="766">
        <v>101.45269809</v>
      </c>
      <c r="AB6" s="766">
        <v>90.687817972000005</v>
      </c>
      <c r="AC6" s="766">
        <v>98.582020503999999</v>
      </c>
      <c r="AD6" s="766">
        <v>90.603311826999999</v>
      </c>
      <c r="AE6" s="766">
        <v>107.00344994</v>
      </c>
      <c r="AF6" s="766">
        <v>122.15805177999999</v>
      </c>
      <c r="AG6" s="766">
        <v>155.24033147</v>
      </c>
      <c r="AH6" s="766">
        <v>152.12811206999999</v>
      </c>
      <c r="AI6" s="766">
        <v>132.97419302</v>
      </c>
      <c r="AJ6" s="766">
        <v>114.51262717</v>
      </c>
      <c r="AK6" s="766">
        <v>99.400980072999999</v>
      </c>
      <c r="AL6" s="766">
        <v>100.74160071</v>
      </c>
      <c r="AM6" s="766">
        <v>109.91043603</v>
      </c>
      <c r="AN6" s="766">
        <v>102.84328676</v>
      </c>
      <c r="AO6" s="766">
        <v>104.33986385999999</v>
      </c>
      <c r="AP6" s="766">
        <v>94.711986382000006</v>
      </c>
      <c r="AQ6" s="766">
        <v>107.76368943</v>
      </c>
      <c r="AR6" s="766">
        <v>128.38080975</v>
      </c>
      <c r="AS6" s="766">
        <v>164.97396889999999</v>
      </c>
      <c r="AT6" s="766">
        <v>166.96556122999999</v>
      </c>
      <c r="AU6" s="766">
        <v>141.80831726</v>
      </c>
      <c r="AV6" s="766">
        <v>124.80527613</v>
      </c>
      <c r="AW6" s="766">
        <v>108.49689071</v>
      </c>
      <c r="AX6" s="766">
        <v>119.73363886999999</v>
      </c>
      <c r="AY6" s="766">
        <v>123.17109671</v>
      </c>
      <c r="AZ6" s="766">
        <v>117.15240461</v>
      </c>
      <c r="BA6" s="766">
        <v>114.69935424000001</v>
      </c>
      <c r="BB6" s="766">
        <v>100.21086775000001</v>
      </c>
      <c r="BC6" s="766">
        <v>108.18561884</v>
      </c>
      <c r="BD6" s="766">
        <v>134.69266991000001</v>
      </c>
      <c r="BE6" s="766">
        <v>174.65530000000001</v>
      </c>
      <c r="BF6" s="766">
        <v>166.99</v>
      </c>
      <c r="BG6" s="767">
        <v>138.8622</v>
      </c>
      <c r="BH6" s="767">
        <v>116.75449999999999</v>
      </c>
      <c r="BI6" s="767">
        <v>101.4349</v>
      </c>
      <c r="BJ6" s="767">
        <v>105.1665</v>
      </c>
      <c r="BK6" s="767">
        <v>99.402150000000006</v>
      </c>
      <c r="BL6" s="767">
        <v>88.84666</v>
      </c>
      <c r="BM6" s="767">
        <v>91.686109999999999</v>
      </c>
      <c r="BN6" s="767">
        <v>87.737250000000003</v>
      </c>
      <c r="BO6" s="767">
        <v>92.877570000000006</v>
      </c>
      <c r="BP6" s="767">
        <v>119.78019999999999</v>
      </c>
      <c r="BQ6" s="767">
        <v>147.17310000000001</v>
      </c>
      <c r="BR6" s="767">
        <v>148.9545</v>
      </c>
      <c r="BS6" s="767">
        <v>123.1874</v>
      </c>
      <c r="BT6" s="767">
        <v>109.5607</v>
      </c>
      <c r="BU6" s="767">
        <v>105.22969999999999</v>
      </c>
      <c r="BV6" s="767">
        <v>104.7561</v>
      </c>
    </row>
    <row r="7" spans="1:74" ht="11.1" customHeight="1" x14ac:dyDescent="0.2">
      <c r="A7" s="545" t="s">
        <v>1243</v>
      </c>
      <c r="B7" s="546" t="s">
        <v>85</v>
      </c>
      <c r="C7" s="766">
        <v>112.62395984</v>
      </c>
      <c r="D7" s="766">
        <v>91.909152414000005</v>
      </c>
      <c r="E7" s="766">
        <v>71.34575384</v>
      </c>
      <c r="F7" s="766">
        <v>71.419129603000002</v>
      </c>
      <c r="G7" s="766">
        <v>80.934704605999997</v>
      </c>
      <c r="H7" s="766">
        <v>115.19669630999999</v>
      </c>
      <c r="I7" s="766">
        <v>135.42005348999999</v>
      </c>
      <c r="J7" s="766">
        <v>134.76242851000001</v>
      </c>
      <c r="K7" s="766">
        <v>113.34696816</v>
      </c>
      <c r="L7" s="766">
        <v>98.473771095000004</v>
      </c>
      <c r="M7" s="766">
        <v>86.275309512000007</v>
      </c>
      <c r="N7" s="766">
        <v>117.95477271999999</v>
      </c>
      <c r="O7" s="766">
        <v>114.5720208</v>
      </c>
      <c r="P7" s="766">
        <v>86.157863132000003</v>
      </c>
      <c r="Q7" s="766">
        <v>88.687575275</v>
      </c>
      <c r="R7" s="766">
        <v>80.742742492999994</v>
      </c>
      <c r="S7" s="766">
        <v>92.141447729000006</v>
      </c>
      <c r="T7" s="766">
        <v>106.82531116</v>
      </c>
      <c r="U7" s="766">
        <v>127.01872788</v>
      </c>
      <c r="V7" s="766">
        <v>118.80997743</v>
      </c>
      <c r="W7" s="766">
        <v>97.560379135000005</v>
      </c>
      <c r="X7" s="766">
        <v>89.114280660000006</v>
      </c>
      <c r="Y7" s="766">
        <v>90.347259949000005</v>
      </c>
      <c r="Z7" s="766">
        <v>105.86034569</v>
      </c>
      <c r="AA7" s="766">
        <v>118.55718843</v>
      </c>
      <c r="AB7" s="766">
        <v>81.399063032000001</v>
      </c>
      <c r="AC7" s="766">
        <v>79.982640982000007</v>
      </c>
      <c r="AD7" s="766">
        <v>72.787438082999998</v>
      </c>
      <c r="AE7" s="766">
        <v>84.633934732</v>
      </c>
      <c r="AF7" s="766">
        <v>100.89371229</v>
      </c>
      <c r="AG7" s="766">
        <v>114.74880582</v>
      </c>
      <c r="AH7" s="766">
        <v>114.51628681</v>
      </c>
      <c r="AI7" s="766">
        <v>95.961853060999999</v>
      </c>
      <c r="AJ7" s="766">
        <v>86.736176536000002</v>
      </c>
      <c r="AK7" s="766">
        <v>92.257715325000007</v>
      </c>
      <c r="AL7" s="766">
        <v>96.173048452000003</v>
      </c>
      <c r="AM7" s="766">
        <v>100.36797978</v>
      </c>
      <c r="AN7" s="766">
        <v>79.537330185000002</v>
      </c>
      <c r="AO7" s="766">
        <v>77.958956634000003</v>
      </c>
      <c r="AP7" s="766">
        <v>59.489949467999999</v>
      </c>
      <c r="AQ7" s="766">
        <v>71.363730582000002</v>
      </c>
      <c r="AR7" s="766">
        <v>78.091565963999997</v>
      </c>
      <c r="AS7" s="766">
        <v>100.39429441999999</v>
      </c>
      <c r="AT7" s="766">
        <v>93.604285664000002</v>
      </c>
      <c r="AU7" s="766">
        <v>85.372511571999993</v>
      </c>
      <c r="AV7" s="766">
        <v>66.301234003999994</v>
      </c>
      <c r="AW7" s="766">
        <v>75.009676064000004</v>
      </c>
      <c r="AX7" s="766">
        <v>72.015064030999994</v>
      </c>
      <c r="AY7" s="766">
        <v>64.610252055000004</v>
      </c>
      <c r="AZ7" s="766">
        <v>55.545876821999997</v>
      </c>
      <c r="BA7" s="766">
        <v>50.081922358</v>
      </c>
      <c r="BB7" s="766">
        <v>40.125049711000003</v>
      </c>
      <c r="BC7" s="766">
        <v>46.043221889000002</v>
      </c>
      <c r="BD7" s="766">
        <v>65.047553089000004</v>
      </c>
      <c r="BE7" s="766">
        <v>85.275459999999995</v>
      </c>
      <c r="BF7" s="766">
        <v>86.814859999999996</v>
      </c>
      <c r="BG7" s="767">
        <v>70.607500000000002</v>
      </c>
      <c r="BH7" s="767">
        <v>58.425350000000002</v>
      </c>
      <c r="BI7" s="767">
        <v>61.477989999999998</v>
      </c>
      <c r="BJ7" s="767">
        <v>74.274339999999995</v>
      </c>
      <c r="BK7" s="767">
        <v>81.162530000000004</v>
      </c>
      <c r="BL7" s="767">
        <v>63.709249999999997</v>
      </c>
      <c r="BM7" s="767">
        <v>62.26643</v>
      </c>
      <c r="BN7" s="767">
        <v>52.580449999999999</v>
      </c>
      <c r="BO7" s="767">
        <v>64.611819999999994</v>
      </c>
      <c r="BP7" s="767">
        <v>78.788179999999997</v>
      </c>
      <c r="BQ7" s="767">
        <v>95.753479999999996</v>
      </c>
      <c r="BR7" s="767">
        <v>91.125320000000002</v>
      </c>
      <c r="BS7" s="767">
        <v>72.007819999999995</v>
      </c>
      <c r="BT7" s="767">
        <v>62.782870000000003</v>
      </c>
      <c r="BU7" s="767">
        <v>56.148719999999997</v>
      </c>
      <c r="BV7" s="767">
        <v>74.38794</v>
      </c>
    </row>
    <row r="8" spans="1:74" ht="11.1" customHeight="1" x14ac:dyDescent="0.2">
      <c r="A8" s="547" t="s">
        <v>1244</v>
      </c>
      <c r="B8" s="548" t="s">
        <v>88</v>
      </c>
      <c r="C8" s="766">
        <v>72.524775000000005</v>
      </c>
      <c r="D8" s="766">
        <v>65.638141000000005</v>
      </c>
      <c r="E8" s="766">
        <v>66.148893999999999</v>
      </c>
      <c r="F8" s="766">
        <v>62.731845</v>
      </c>
      <c r="G8" s="766">
        <v>66.576492999999999</v>
      </c>
      <c r="H8" s="766">
        <v>67.175324000000003</v>
      </c>
      <c r="I8" s="766">
        <v>70.349346999999995</v>
      </c>
      <c r="J8" s="766">
        <v>71.526404999999997</v>
      </c>
      <c r="K8" s="766">
        <v>65.448176000000004</v>
      </c>
      <c r="L8" s="766">
        <v>60.733342999999998</v>
      </c>
      <c r="M8" s="766">
        <v>65.178775999999999</v>
      </c>
      <c r="N8" s="766">
        <v>71.662429000000003</v>
      </c>
      <c r="O8" s="766">
        <v>73.120611999999994</v>
      </c>
      <c r="P8" s="766">
        <v>63.560371000000004</v>
      </c>
      <c r="Q8" s="766">
        <v>65.093199999999996</v>
      </c>
      <c r="R8" s="766">
        <v>56.743352000000002</v>
      </c>
      <c r="S8" s="766">
        <v>61.312753000000001</v>
      </c>
      <c r="T8" s="766">
        <v>67.010782000000006</v>
      </c>
      <c r="U8" s="766">
        <v>71.314218999999994</v>
      </c>
      <c r="V8" s="766">
        <v>72.384218000000004</v>
      </c>
      <c r="W8" s="766">
        <v>68.097918000000007</v>
      </c>
      <c r="X8" s="766">
        <v>65.994784999999993</v>
      </c>
      <c r="Y8" s="766">
        <v>66.617852999999997</v>
      </c>
      <c r="Z8" s="766">
        <v>73.699572000000003</v>
      </c>
      <c r="AA8" s="766">
        <v>74.649039999999999</v>
      </c>
      <c r="AB8" s="766">
        <v>64.790030000000002</v>
      </c>
      <c r="AC8" s="766">
        <v>67.032656000000003</v>
      </c>
      <c r="AD8" s="766">
        <v>59.133155000000002</v>
      </c>
      <c r="AE8" s="766">
        <v>67.320248000000007</v>
      </c>
      <c r="AF8" s="766">
        <v>69.687556000000001</v>
      </c>
      <c r="AG8" s="766">
        <v>72.456008999999995</v>
      </c>
      <c r="AH8" s="766">
        <v>72.282466999999997</v>
      </c>
      <c r="AI8" s="766">
        <v>64.724753000000007</v>
      </c>
      <c r="AJ8" s="766">
        <v>59.396904999999997</v>
      </c>
      <c r="AK8" s="766">
        <v>63.954369999999997</v>
      </c>
      <c r="AL8" s="766">
        <v>71.657287999999994</v>
      </c>
      <c r="AM8" s="766">
        <v>73.700844000000004</v>
      </c>
      <c r="AN8" s="766">
        <v>64.714894000000001</v>
      </c>
      <c r="AO8" s="766">
        <v>65.079690999999997</v>
      </c>
      <c r="AP8" s="766">
        <v>60.580927000000003</v>
      </c>
      <c r="AQ8" s="766">
        <v>67.123546000000005</v>
      </c>
      <c r="AR8" s="766">
        <v>68.804879</v>
      </c>
      <c r="AS8" s="766">
        <v>72.198594999999997</v>
      </c>
      <c r="AT8" s="766">
        <v>71.910684000000003</v>
      </c>
      <c r="AU8" s="766">
        <v>66.063580000000002</v>
      </c>
      <c r="AV8" s="766">
        <v>62.032622000000003</v>
      </c>
      <c r="AW8" s="766">
        <v>64.125425000000007</v>
      </c>
      <c r="AX8" s="766">
        <v>73.073575000000005</v>
      </c>
      <c r="AY8" s="766">
        <v>74.204037999999997</v>
      </c>
      <c r="AZ8" s="766">
        <v>65.950342000000006</v>
      </c>
      <c r="BA8" s="766">
        <v>63.997210000000003</v>
      </c>
      <c r="BB8" s="766">
        <v>59.170015999999997</v>
      </c>
      <c r="BC8" s="766">
        <v>64.337969999999999</v>
      </c>
      <c r="BD8" s="766">
        <v>67.205083000000002</v>
      </c>
      <c r="BE8" s="766">
        <v>69.55547</v>
      </c>
      <c r="BF8" s="766">
        <v>69.066640000000007</v>
      </c>
      <c r="BG8" s="767">
        <v>62.771700000000003</v>
      </c>
      <c r="BH8" s="767">
        <v>60.208820000000003</v>
      </c>
      <c r="BI8" s="767">
        <v>65.28501</v>
      </c>
      <c r="BJ8" s="767">
        <v>71.336359999999999</v>
      </c>
      <c r="BK8" s="767">
        <v>70.917320000000004</v>
      </c>
      <c r="BL8" s="767">
        <v>62.892560000000003</v>
      </c>
      <c r="BM8" s="767">
        <v>64.432450000000003</v>
      </c>
      <c r="BN8" s="767">
        <v>57.113619999999997</v>
      </c>
      <c r="BO8" s="767">
        <v>65.047989999999999</v>
      </c>
      <c r="BP8" s="767">
        <v>67.315770000000001</v>
      </c>
      <c r="BQ8" s="767">
        <v>70.144540000000006</v>
      </c>
      <c r="BR8" s="767">
        <v>70.153459999999995</v>
      </c>
      <c r="BS8" s="767">
        <v>64.570319999999995</v>
      </c>
      <c r="BT8" s="767">
        <v>60.197479999999999</v>
      </c>
      <c r="BU8" s="767">
        <v>63.614170000000001</v>
      </c>
      <c r="BV8" s="767">
        <v>70.452119999999994</v>
      </c>
    </row>
    <row r="9" spans="1:74" ht="11.1" customHeight="1" x14ac:dyDescent="0.2">
      <c r="A9" s="547" t="s">
        <v>1245</v>
      </c>
      <c r="B9" s="548" t="s">
        <v>356</v>
      </c>
      <c r="C9" s="766">
        <v>49.393245626999999</v>
      </c>
      <c r="D9" s="766">
        <v>50.175562739999997</v>
      </c>
      <c r="E9" s="766">
        <v>55.656582100999998</v>
      </c>
      <c r="F9" s="766">
        <v>52.940287806999997</v>
      </c>
      <c r="G9" s="766">
        <v>51.436648888000001</v>
      </c>
      <c r="H9" s="766">
        <v>46.69449513</v>
      </c>
      <c r="I9" s="766">
        <v>46.916148022000002</v>
      </c>
      <c r="J9" s="766">
        <v>41.139268322</v>
      </c>
      <c r="K9" s="766">
        <v>40.222791387999997</v>
      </c>
      <c r="L9" s="766">
        <v>44.404282754</v>
      </c>
      <c r="M9" s="766">
        <v>44.845843811999998</v>
      </c>
      <c r="N9" s="766">
        <v>52.217269334000001</v>
      </c>
      <c r="O9" s="766">
        <v>52.685745074000003</v>
      </c>
      <c r="P9" s="766">
        <v>50.940782634999998</v>
      </c>
      <c r="Q9" s="766">
        <v>62.438727810000003</v>
      </c>
      <c r="R9" s="766">
        <v>62.234409186000001</v>
      </c>
      <c r="S9" s="766">
        <v>64.054712199999997</v>
      </c>
      <c r="T9" s="766">
        <v>59.805675319999999</v>
      </c>
      <c r="U9" s="766">
        <v>52.108089708000001</v>
      </c>
      <c r="V9" s="766">
        <v>44.850165660999998</v>
      </c>
      <c r="W9" s="766">
        <v>45.682873333000003</v>
      </c>
      <c r="X9" s="766">
        <v>51.972973644</v>
      </c>
      <c r="Y9" s="766">
        <v>51.799634058000002</v>
      </c>
      <c r="Z9" s="766">
        <v>54.585746520000001</v>
      </c>
      <c r="AA9" s="766">
        <v>58.012037161999999</v>
      </c>
      <c r="AB9" s="766">
        <v>55.686703473000001</v>
      </c>
      <c r="AC9" s="766">
        <v>61.295087457000001</v>
      </c>
      <c r="AD9" s="766">
        <v>63.982888600000003</v>
      </c>
      <c r="AE9" s="766">
        <v>64.912357377000006</v>
      </c>
      <c r="AF9" s="766">
        <v>63.459220406</v>
      </c>
      <c r="AG9" s="766">
        <v>52.245230278000001</v>
      </c>
      <c r="AH9" s="766">
        <v>52.437641915</v>
      </c>
      <c r="AI9" s="766">
        <v>47.184504113999999</v>
      </c>
      <c r="AJ9" s="766">
        <v>49.248200251999997</v>
      </c>
      <c r="AK9" s="766">
        <v>51.295664385999999</v>
      </c>
      <c r="AL9" s="766">
        <v>53.961393332999997</v>
      </c>
      <c r="AM9" s="766">
        <v>56.767273961000001</v>
      </c>
      <c r="AN9" s="766">
        <v>52.049204906</v>
      </c>
      <c r="AO9" s="766">
        <v>61.085149944000001</v>
      </c>
      <c r="AP9" s="766">
        <v>65.141160636999999</v>
      </c>
      <c r="AQ9" s="766">
        <v>66.817649032999995</v>
      </c>
      <c r="AR9" s="766">
        <v>60.938322102999997</v>
      </c>
      <c r="AS9" s="766">
        <v>57.651446907</v>
      </c>
      <c r="AT9" s="766">
        <v>52.649361605999999</v>
      </c>
      <c r="AU9" s="766">
        <v>51.047675476000002</v>
      </c>
      <c r="AV9" s="766">
        <v>53.905342527999998</v>
      </c>
      <c r="AW9" s="766">
        <v>53.57248894</v>
      </c>
      <c r="AX9" s="766">
        <v>56.405492823000003</v>
      </c>
      <c r="AY9" s="766">
        <v>60.695733627000003</v>
      </c>
      <c r="AZ9" s="766">
        <v>63.137864272000002</v>
      </c>
      <c r="BA9" s="766">
        <v>61.669536067999999</v>
      </c>
      <c r="BB9" s="766">
        <v>61.554995728999998</v>
      </c>
      <c r="BC9" s="766">
        <v>70.814140042999995</v>
      </c>
      <c r="BD9" s="766">
        <v>71.385366504000004</v>
      </c>
      <c r="BE9" s="766">
        <v>66.143950000000004</v>
      </c>
      <c r="BF9" s="766">
        <v>60.258380000000002</v>
      </c>
      <c r="BG9" s="767">
        <v>55.60924</v>
      </c>
      <c r="BH9" s="767">
        <v>62.324750000000002</v>
      </c>
      <c r="BI9" s="767">
        <v>58.57488</v>
      </c>
      <c r="BJ9" s="767">
        <v>67.635459999999995</v>
      </c>
      <c r="BK9" s="767">
        <v>70.109610000000004</v>
      </c>
      <c r="BL9" s="767">
        <v>67.21781</v>
      </c>
      <c r="BM9" s="767">
        <v>74.455500000000001</v>
      </c>
      <c r="BN9" s="767">
        <v>72.857320000000001</v>
      </c>
      <c r="BO9" s="767">
        <v>76.871920000000003</v>
      </c>
      <c r="BP9" s="767">
        <v>77.234750000000005</v>
      </c>
      <c r="BQ9" s="767">
        <v>70.920240000000007</v>
      </c>
      <c r="BR9" s="767">
        <v>66.851179999999999</v>
      </c>
      <c r="BS9" s="767">
        <v>62.671190000000003</v>
      </c>
      <c r="BT9" s="767">
        <v>68.946380000000005</v>
      </c>
      <c r="BU9" s="767">
        <v>64.307419999999993</v>
      </c>
      <c r="BV9" s="767">
        <v>71.836669999999998</v>
      </c>
    </row>
    <row r="10" spans="1:74" ht="11.1" customHeight="1" x14ac:dyDescent="0.2">
      <c r="A10" s="547" t="s">
        <v>1246</v>
      </c>
      <c r="B10" s="548" t="s">
        <v>358</v>
      </c>
      <c r="C10" s="766">
        <v>25.463883343999999</v>
      </c>
      <c r="D10" s="766">
        <v>24.005828575999999</v>
      </c>
      <c r="E10" s="766">
        <v>27.225644544000001</v>
      </c>
      <c r="F10" s="766">
        <v>25.734887539999999</v>
      </c>
      <c r="G10" s="766">
        <v>25.355410851999999</v>
      </c>
      <c r="H10" s="766">
        <v>23.125486846000001</v>
      </c>
      <c r="I10" s="766">
        <v>21.336666547</v>
      </c>
      <c r="J10" s="766">
        <v>19.458009986</v>
      </c>
      <c r="K10" s="766">
        <v>16.278917528000001</v>
      </c>
      <c r="L10" s="766">
        <v>17.229361544</v>
      </c>
      <c r="M10" s="766">
        <v>18.721487344</v>
      </c>
      <c r="N10" s="766">
        <v>22.390337258999999</v>
      </c>
      <c r="O10" s="766">
        <v>26.635124529999999</v>
      </c>
      <c r="P10" s="766">
        <v>23.512950132</v>
      </c>
      <c r="Q10" s="766">
        <v>29.12596426</v>
      </c>
      <c r="R10" s="766">
        <v>29.221115293</v>
      </c>
      <c r="S10" s="766">
        <v>32.205104990999999</v>
      </c>
      <c r="T10" s="766">
        <v>30.082813378000001</v>
      </c>
      <c r="U10" s="766">
        <v>26.362805812000001</v>
      </c>
      <c r="V10" s="766">
        <v>21.740628482999998</v>
      </c>
      <c r="W10" s="766">
        <v>18.977782783999999</v>
      </c>
      <c r="X10" s="766">
        <v>18.170779733</v>
      </c>
      <c r="Y10" s="766">
        <v>20.420851729999999</v>
      </c>
      <c r="Z10" s="766">
        <v>22.254988574999999</v>
      </c>
      <c r="AA10" s="766">
        <v>24.96201993</v>
      </c>
      <c r="AB10" s="766">
        <v>24.793710240999999</v>
      </c>
      <c r="AC10" s="766">
        <v>25.752148085000002</v>
      </c>
      <c r="AD10" s="766">
        <v>27.989979192</v>
      </c>
      <c r="AE10" s="766">
        <v>30.318598342000001</v>
      </c>
      <c r="AF10" s="766">
        <v>27.502186480999999</v>
      </c>
      <c r="AG10" s="766">
        <v>25.002925764</v>
      </c>
      <c r="AH10" s="766">
        <v>21.908293526000001</v>
      </c>
      <c r="AI10" s="766">
        <v>19.059726191999999</v>
      </c>
      <c r="AJ10" s="766">
        <v>19.426419968000001</v>
      </c>
      <c r="AK10" s="766">
        <v>21.780770564000001</v>
      </c>
      <c r="AL10" s="766">
        <v>22.650886192000002</v>
      </c>
      <c r="AM10" s="766">
        <v>24.088139807000001</v>
      </c>
      <c r="AN10" s="766">
        <v>21.722339858000002</v>
      </c>
      <c r="AO10" s="766">
        <v>25.424952186999999</v>
      </c>
      <c r="AP10" s="766">
        <v>25.369321756000001</v>
      </c>
      <c r="AQ10" s="766">
        <v>29.933336800999999</v>
      </c>
      <c r="AR10" s="766">
        <v>26.351084341</v>
      </c>
      <c r="AS10" s="766">
        <v>23.619235652</v>
      </c>
      <c r="AT10" s="766">
        <v>20.937623532</v>
      </c>
      <c r="AU10" s="766">
        <v>16.230955226999999</v>
      </c>
      <c r="AV10" s="766">
        <v>16.196783906</v>
      </c>
      <c r="AW10" s="766">
        <v>20.414273008999999</v>
      </c>
      <c r="AX10" s="766">
        <v>22.088645532000001</v>
      </c>
      <c r="AY10" s="766">
        <v>24.167385535000001</v>
      </c>
      <c r="AZ10" s="766">
        <v>24.959944192999998</v>
      </c>
      <c r="BA10" s="766">
        <v>22.148798798000001</v>
      </c>
      <c r="BB10" s="766">
        <v>20.650694566999999</v>
      </c>
      <c r="BC10" s="766">
        <v>29.339937075999998</v>
      </c>
      <c r="BD10" s="766">
        <v>28.502846394999999</v>
      </c>
      <c r="BE10" s="766">
        <v>27.710239999999999</v>
      </c>
      <c r="BF10" s="766">
        <v>22.151769999999999</v>
      </c>
      <c r="BG10" s="767">
        <v>18.081330000000001</v>
      </c>
      <c r="BH10" s="767">
        <v>17.721450000000001</v>
      </c>
      <c r="BI10" s="767">
        <v>20.798770000000001</v>
      </c>
      <c r="BJ10" s="767">
        <v>23.71828</v>
      </c>
      <c r="BK10" s="767">
        <v>24.373259999999998</v>
      </c>
      <c r="BL10" s="767">
        <v>22.227039999999999</v>
      </c>
      <c r="BM10" s="767">
        <v>25.724889999999998</v>
      </c>
      <c r="BN10" s="767">
        <v>22.851890000000001</v>
      </c>
      <c r="BO10" s="767">
        <v>27.081140000000001</v>
      </c>
      <c r="BP10" s="767">
        <v>26.08793</v>
      </c>
      <c r="BQ10" s="767">
        <v>24.396000000000001</v>
      </c>
      <c r="BR10" s="767">
        <v>22.07582</v>
      </c>
      <c r="BS10" s="767">
        <v>18.32057</v>
      </c>
      <c r="BT10" s="767">
        <v>17.969650000000001</v>
      </c>
      <c r="BU10" s="767">
        <v>21.159669999999998</v>
      </c>
      <c r="BV10" s="767">
        <v>24.355370000000001</v>
      </c>
    </row>
    <row r="11" spans="1:74" ht="11.1" customHeight="1" x14ac:dyDescent="0.2">
      <c r="A11" s="545" t="s">
        <v>1247</v>
      </c>
      <c r="B11" s="549" t="s">
        <v>90</v>
      </c>
      <c r="C11" s="766">
        <v>18.446884036</v>
      </c>
      <c r="D11" s="766">
        <v>20.118434685</v>
      </c>
      <c r="E11" s="766">
        <v>21.919792248</v>
      </c>
      <c r="F11" s="766">
        <v>20.780961161</v>
      </c>
      <c r="G11" s="766">
        <v>18.831989532000001</v>
      </c>
      <c r="H11" s="766">
        <v>16.289831368000002</v>
      </c>
      <c r="I11" s="766">
        <v>17.605110055000001</v>
      </c>
      <c r="J11" s="766">
        <v>13.578829418</v>
      </c>
      <c r="K11" s="766">
        <v>16.390679785</v>
      </c>
      <c r="L11" s="766">
        <v>20.317940924999998</v>
      </c>
      <c r="M11" s="766">
        <v>19.387820299000001</v>
      </c>
      <c r="N11" s="766">
        <v>23.122019547000001</v>
      </c>
      <c r="O11" s="766">
        <v>19.821557472999999</v>
      </c>
      <c r="P11" s="766">
        <v>21.178905960000002</v>
      </c>
      <c r="Q11" s="766">
        <v>24.967858157999999</v>
      </c>
      <c r="R11" s="766">
        <v>24.59097852</v>
      </c>
      <c r="S11" s="766">
        <v>22.429443505999998</v>
      </c>
      <c r="T11" s="766">
        <v>19.791476312</v>
      </c>
      <c r="U11" s="766">
        <v>15.948165603</v>
      </c>
      <c r="V11" s="766">
        <v>13.611459654000001</v>
      </c>
      <c r="W11" s="766">
        <v>17.83981854</v>
      </c>
      <c r="X11" s="766">
        <v>25.282942181999999</v>
      </c>
      <c r="Y11" s="766">
        <v>24.058954143000001</v>
      </c>
      <c r="Z11" s="766">
        <v>24.552425012</v>
      </c>
      <c r="AA11" s="766">
        <v>25.568495308999999</v>
      </c>
      <c r="AB11" s="766">
        <v>23.163573897999999</v>
      </c>
      <c r="AC11" s="766">
        <v>26.433195717</v>
      </c>
      <c r="AD11" s="766">
        <v>26.404351177999999</v>
      </c>
      <c r="AE11" s="766">
        <v>23.930206885</v>
      </c>
      <c r="AF11" s="766">
        <v>24.681250038000002</v>
      </c>
      <c r="AG11" s="766">
        <v>16.430433538999999</v>
      </c>
      <c r="AH11" s="766">
        <v>19.828948305000001</v>
      </c>
      <c r="AI11" s="766">
        <v>18.500520235</v>
      </c>
      <c r="AJ11" s="766">
        <v>21.168288813</v>
      </c>
      <c r="AK11" s="766">
        <v>21.989541356</v>
      </c>
      <c r="AL11" s="766">
        <v>24.279958934</v>
      </c>
      <c r="AM11" s="766">
        <v>25.096495336</v>
      </c>
      <c r="AN11" s="766">
        <v>22.976711123000001</v>
      </c>
      <c r="AO11" s="766">
        <v>26.089827822</v>
      </c>
      <c r="AP11" s="766">
        <v>29.680706541999999</v>
      </c>
      <c r="AQ11" s="766">
        <v>25.947957538000001</v>
      </c>
      <c r="AR11" s="766">
        <v>22.924347230999999</v>
      </c>
      <c r="AS11" s="766">
        <v>22.003849242000001</v>
      </c>
      <c r="AT11" s="766">
        <v>19.851610876999999</v>
      </c>
      <c r="AU11" s="766">
        <v>24.364170743999999</v>
      </c>
      <c r="AV11" s="766">
        <v>28.110806778000001</v>
      </c>
      <c r="AW11" s="766">
        <v>25.579935403</v>
      </c>
      <c r="AX11" s="766">
        <v>27.158184905999999</v>
      </c>
      <c r="AY11" s="766">
        <v>28.377874483999999</v>
      </c>
      <c r="AZ11" s="766">
        <v>29.208033471</v>
      </c>
      <c r="BA11" s="766">
        <v>29.456093024000001</v>
      </c>
      <c r="BB11" s="766">
        <v>29.506152738000001</v>
      </c>
      <c r="BC11" s="766">
        <v>28.155276487999998</v>
      </c>
      <c r="BD11" s="766">
        <v>30.069848825000001</v>
      </c>
      <c r="BE11" s="766">
        <v>24.45975</v>
      </c>
      <c r="BF11" s="766">
        <v>24.220659999999999</v>
      </c>
      <c r="BG11" s="767">
        <v>25.102689999999999</v>
      </c>
      <c r="BH11" s="767">
        <v>33.390770000000003</v>
      </c>
      <c r="BI11" s="767">
        <v>28.888629999999999</v>
      </c>
      <c r="BJ11" s="767">
        <v>34.650620000000004</v>
      </c>
      <c r="BK11" s="767">
        <v>35.628979999999999</v>
      </c>
      <c r="BL11" s="767">
        <v>34.169440000000002</v>
      </c>
      <c r="BM11" s="767">
        <v>36.442830000000001</v>
      </c>
      <c r="BN11" s="767">
        <v>35.858429999999998</v>
      </c>
      <c r="BO11" s="767">
        <v>33.084299999999999</v>
      </c>
      <c r="BP11" s="767">
        <v>35.12876</v>
      </c>
      <c r="BQ11" s="767">
        <v>29.50694</v>
      </c>
      <c r="BR11" s="767">
        <v>27.990200000000002</v>
      </c>
      <c r="BS11" s="767">
        <v>29.338850000000001</v>
      </c>
      <c r="BT11" s="767">
        <v>37.380760000000002</v>
      </c>
      <c r="BU11" s="767">
        <v>32.441160000000004</v>
      </c>
      <c r="BV11" s="767">
        <v>36.802410000000002</v>
      </c>
    </row>
    <row r="12" spans="1:74" ht="11.1" customHeight="1" x14ac:dyDescent="0.2">
      <c r="A12" s="545" t="s">
        <v>1248</v>
      </c>
      <c r="B12" s="546" t="s">
        <v>1358</v>
      </c>
      <c r="C12" s="766">
        <v>1.4581818280000001</v>
      </c>
      <c r="D12" s="766">
        <v>2.2005458170000001</v>
      </c>
      <c r="E12" s="766">
        <v>2.5707716139999999</v>
      </c>
      <c r="F12" s="766">
        <v>2.8311145660000001</v>
      </c>
      <c r="G12" s="766">
        <v>3.3750025219999999</v>
      </c>
      <c r="H12" s="766">
        <v>3.4177261799999998</v>
      </c>
      <c r="I12" s="766">
        <v>3.8864771469999999</v>
      </c>
      <c r="J12" s="766">
        <v>3.9084050939999999</v>
      </c>
      <c r="K12" s="766">
        <v>3.5841792450000001</v>
      </c>
      <c r="L12" s="766">
        <v>3.1466032849999999</v>
      </c>
      <c r="M12" s="766">
        <v>2.7294060500000001</v>
      </c>
      <c r="N12" s="766">
        <v>2.3889669429999998</v>
      </c>
      <c r="O12" s="766">
        <v>2.0113707110000001</v>
      </c>
      <c r="P12" s="766">
        <v>2.5263937589999999</v>
      </c>
      <c r="Q12" s="766">
        <v>4.2001654549999996</v>
      </c>
      <c r="R12" s="766">
        <v>4.6461027880000003</v>
      </c>
      <c r="S12" s="766">
        <v>5.6054859800000001</v>
      </c>
      <c r="T12" s="766">
        <v>6.1094939119999996</v>
      </c>
      <c r="U12" s="766">
        <v>5.6898626930000002</v>
      </c>
      <c r="V12" s="766">
        <v>5.374119394</v>
      </c>
      <c r="W12" s="766">
        <v>5.0589946619999999</v>
      </c>
      <c r="X12" s="766">
        <v>4.7709950760000002</v>
      </c>
      <c r="Y12" s="766">
        <v>3.3723608999999999</v>
      </c>
      <c r="Z12" s="766">
        <v>3.3575164989999999</v>
      </c>
      <c r="AA12" s="766">
        <v>3.2878421100000002</v>
      </c>
      <c r="AB12" s="766">
        <v>3.862710603</v>
      </c>
      <c r="AC12" s="766">
        <v>5.0091143149999997</v>
      </c>
      <c r="AD12" s="766">
        <v>6.0023999479999999</v>
      </c>
      <c r="AE12" s="766">
        <v>6.7877244069999998</v>
      </c>
      <c r="AF12" s="766">
        <v>7.3474862559999998</v>
      </c>
      <c r="AG12" s="766">
        <v>6.6913073829999998</v>
      </c>
      <c r="AH12" s="766">
        <v>6.6335520260000003</v>
      </c>
      <c r="AI12" s="766">
        <v>5.9109033249999996</v>
      </c>
      <c r="AJ12" s="766">
        <v>4.9262676990000003</v>
      </c>
      <c r="AK12" s="766">
        <v>3.711003957</v>
      </c>
      <c r="AL12" s="766">
        <v>3.082523423</v>
      </c>
      <c r="AM12" s="766">
        <v>3.6188813359999998</v>
      </c>
      <c r="AN12" s="766">
        <v>3.791078959</v>
      </c>
      <c r="AO12" s="766">
        <v>5.8521085350000002</v>
      </c>
      <c r="AP12" s="766">
        <v>6.7709653850000002</v>
      </c>
      <c r="AQ12" s="766">
        <v>7.1227371310000001</v>
      </c>
      <c r="AR12" s="766">
        <v>7.9303512090000003</v>
      </c>
      <c r="AS12" s="766">
        <v>8.0893357909999999</v>
      </c>
      <c r="AT12" s="766">
        <v>7.8119023439999999</v>
      </c>
      <c r="AU12" s="766">
        <v>6.6880927860000003</v>
      </c>
      <c r="AV12" s="766">
        <v>6.0767339270000003</v>
      </c>
      <c r="AW12" s="766">
        <v>4.3346182229999997</v>
      </c>
      <c r="AX12" s="766">
        <v>3.4604906990000002</v>
      </c>
      <c r="AY12" s="766">
        <v>4.5161417439999996</v>
      </c>
      <c r="AZ12" s="766">
        <v>5.6056280750000003</v>
      </c>
      <c r="BA12" s="766">
        <v>6.2584360209999996</v>
      </c>
      <c r="BB12" s="766">
        <v>7.9380526429999998</v>
      </c>
      <c r="BC12" s="766">
        <v>9.6556880249999999</v>
      </c>
      <c r="BD12" s="766">
        <v>9.3873630289999994</v>
      </c>
      <c r="BE12" s="766">
        <v>10.19267</v>
      </c>
      <c r="BF12" s="766">
        <v>9.8250360000000008</v>
      </c>
      <c r="BG12" s="767">
        <v>8.7162640000000007</v>
      </c>
      <c r="BH12" s="767">
        <v>7.7048100000000002</v>
      </c>
      <c r="BI12" s="767">
        <v>5.6177950000000001</v>
      </c>
      <c r="BJ12" s="767">
        <v>5.0679949999999998</v>
      </c>
      <c r="BK12" s="767">
        <v>6.0598299999999998</v>
      </c>
      <c r="BL12" s="767">
        <v>7.1206509999999996</v>
      </c>
      <c r="BM12" s="767">
        <v>8.4302790000000005</v>
      </c>
      <c r="BN12" s="767">
        <v>10.54406</v>
      </c>
      <c r="BO12" s="767">
        <v>12.718170000000001</v>
      </c>
      <c r="BP12" s="767">
        <v>12.37026</v>
      </c>
      <c r="BQ12" s="767">
        <v>13.019349999999999</v>
      </c>
      <c r="BR12" s="767">
        <v>12.696490000000001</v>
      </c>
      <c r="BS12" s="767">
        <v>11.163220000000001</v>
      </c>
      <c r="BT12" s="767">
        <v>9.921087</v>
      </c>
      <c r="BU12" s="767">
        <v>7.3579030000000003</v>
      </c>
      <c r="BV12" s="767">
        <v>6.2525250000000003</v>
      </c>
    </row>
    <row r="13" spans="1:74" ht="11.1" customHeight="1" x14ac:dyDescent="0.2">
      <c r="A13" s="545" t="s">
        <v>1249</v>
      </c>
      <c r="B13" s="546" t="s">
        <v>1086</v>
      </c>
      <c r="C13" s="766">
        <v>2.6922903260000002</v>
      </c>
      <c r="D13" s="766">
        <v>2.607369856</v>
      </c>
      <c r="E13" s="766">
        <v>2.6252150329999999</v>
      </c>
      <c r="F13" s="766">
        <v>2.3843547049999998</v>
      </c>
      <c r="G13" s="766">
        <v>2.5324055649999999</v>
      </c>
      <c r="H13" s="766">
        <v>2.6100580770000001</v>
      </c>
      <c r="I13" s="766">
        <v>2.7766789749999998</v>
      </c>
      <c r="J13" s="766">
        <v>2.8697601810000002</v>
      </c>
      <c r="K13" s="766">
        <v>2.6423389799999999</v>
      </c>
      <c r="L13" s="766">
        <v>2.3572095829999999</v>
      </c>
      <c r="M13" s="766">
        <v>2.6432804320000001</v>
      </c>
      <c r="N13" s="766">
        <v>2.8620619519999999</v>
      </c>
      <c r="O13" s="766">
        <v>2.83509272</v>
      </c>
      <c r="P13" s="766">
        <v>2.483653565</v>
      </c>
      <c r="Q13" s="766">
        <v>2.7602272750000001</v>
      </c>
      <c r="R13" s="766">
        <v>2.4394207520000002</v>
      </c>
      <c r="S13" s="766">
        <v>2.5312207039999999</v>
      </c>
      <c r="T13" s="766">
        <v>2.60795449</v>
      </c>
      <c r="U13" s="766">
        <v>2.7518554740000001</v>
      </c>
      <c r="V13" s="766">
        <v>2.7789265900000002</v>
      </c>
      <c r="W13" s="766">
        <v>2.5093160669999999</v>
      </c>
      <c r="X13" s="766">
        <v>2.5192473770000001</v>
      </c>
      <c r="Y13" s="766">
        <v>2.6582102710000002</v>
      </c>
      <c r="Z13" s="766">
        <v>2.8498886159999999</v>
      </c>
      <c r="AA13" s="766">
        <v>2.8523723890000001</v>
      </c>
      <c r="AB13" s="766">
        <v>2.592616155</v>
      </c>
      <c r="AC13" s="766">
        <v>2.733876312</v>
      </c>
      <c r="AD13" s="766">
        <v>2.3982216460000001</v>
      </c>
      <c r="AE13" s="766">
        <v>2.4932074929999999</v>
      </c>
      <c r="AF13" s="766">
        <v>2.6284628489999999</v>
      </c>
      <c r="AG13" s="766">
        <v>2.750952297</v>
      </c>
      <c r="AH13" s="766">
        <v>2.6997930210000001</v>
      </c>
      <c r="AI13" s="766">
        <v>2.385446671</v>
      </c>
      <c r="AJ13" s="766">
        <v>2.4541334849999998</v>
      </c>
      <c r="AK13" s="766">
        <v>2.483504881</v>
      </c>
      <c r="AL13" s="766">
        <v>2.5353854180000002</v>
      </c>
      <c r="AM13" s="766">
        <v>2.5842587159999999</v>
      </c>
      <c r="AN13" s="766">
        <v>2.2917362830000001</v>
      </c>
      <c r="AO13" s="766">
        <v>2.325414356</v>
      </c>
      <c r="AP13" s="766">
        <v>2.1080840759999999</v>
      </c>
      <c r="AQ13" s="766">
        <v>2.5038369189999998</v>
      </c>
      <c r="AR13" s="766">
        <v>2.4041449579999998</v>
      </c>
      <c r="AS13" s="766">
        <v>2.5607869170000002</v>
      </c>
      <c r="AT13" s="766">
        <v>2.6694924379999998</v>
      </c>
      <c r="AU13" s="766">
        <v>2.4095269799999999</v>
      </c>
      <c r="AV13" s="766">
        <v>2.2822246609999999</v>
      </c>
      <c r="AW13" s="766">
        <v>2.1741560980000001</v>
      </c>
      <c r="AX13" s="766">
        <v>2.4394816339999998</v>
      </c>
      <c r="AY13" s="766">
        <v>2.4151445680000001</v>
      </c>
      <c r="AZ13" s="766">
        <v>2.2501753440000001</v>
      </c>
      <c r="BA13" s="766">
        <v>2.3600314610000002</v>
      </c>
      <c r="BB13" s="766">
        <v>2.144255453</v>
      </c>
      <c r="BC13" s="766">
        <v>2.2813178920000001</v>
      </c>
      <c r="BD13" s="766">
        <v>2.1167408590000001</v>
      </c>
      <c r="BE13" s="766">
        <v>2.3786770000000002</v>
      </c>
      <c r="BF13" s="766">
        <v>2.6555789999999999</v>
      </c>
      <c r="BG13" s="767">
        <v>2.3275220000000001</v>
      </c>
      <c r="BH13" s="767">
        <v>2.241959</v>
      </c>
      <c r="BI13" s="767">
        <v>2.1671299999999998</v>
      </c>
      <c r="BJ13" s="767">
        <v>2.808748</v>
      </c>
      <c r="BK13" s="767">
        <v>2.8491420000000001</v>
      </c>
      <c r="BL13" s="767">
        <v>2.6614080000000002</v>
      </c>
      <c r="BM13" s="767">
        <v>2.519781</v>
      </c>
      <c r="BN13" s="767">
        <v>2.2900309999999999</v>
      </c>
      <c r="BO13" s="767">
        <v>2.5180259999999999</v>
      </c>
      <c r="BP13" s="767">
        <v>2.3179280000000002</v>
      </c>
      <c r="BQ13" s="767">
        <v>2.5885850000000001</v>
      </c>
      <c r="BR13" s="767">
        <v>2.672142</v>
      </c>
      <c r="BS13" s="767">
        <v>2.4511620000000001</v>
      </c>
      <c r="BT13" s="767">
        <v>2.4094500000000001</v>
      </c>
      <c r="BU13" s="767">
        <v>2.251976</v>
      </c>
      <c r="BV13" s="767">
        <v>3.0592679999999999</v>
      </c>
    </row>
    <row r="14" spans="1:74" ht="11.1" customHeight="1" x14ac:dyDescent="0.2">
      <c r="A14" s="545" t="s">
        <v>1250</v>
      </c>
      <c r="B14" s="546" t="s">
        <v>89</v>
      </c>
      <c r="C14" s="766">
        <v>1.3320060929999999</v>
      </c>
      <c r="D14" s="766">
        <v>1.243383806</v>
      </c>
      <c r="E14" s="766">
        <v>1.315158662</v>
      </c>
      <c r="F14" s="766">
        <v>1.208969835</v>
      </c>
      <c r="G14" s="766">
        <v>1.341840417</v>
      </c>
      <c r="H14" s="766">
        <v>1.251392659</v>
      </c>
      <c r="I14" s="766">
        <v>1.311215298</v>
      </c>
      <c r="J14" s="766">
        <v>1.3242636430000001</v>
      </c>
      <c r="K14" s="766">
        <v>1.32667585</v>
      </c>
      <c r="L14" s="766">
        <v>1.3531674170000001</v>
      </c>
      <c r="M14" s="766">
        <v>1.3638496870000001</v>
      </c>
      <c r="N14" s="766">
        <v>1.453883633</v>
      </c>
      <c r="O14" s="766">
        <v>1.38259964</v>
      </c>
      <c r="P14" s="766">
        <v>1.238879219</v>
      </c>
      <c r="Q14" s="766">
        <v>1.3845126619999999</v>
      </c>
      <c r="R14" s="766">
        <v>1.3367918329999999</v>
      </c>
      <c r="S14" s="766">
        <v>1.2834570190000001</v>
      </c>
      <c r="T14" s="766">
        <v>1.213937228</v>
      </c>
      <c r="U14" s="766">
        <v>1.3554001259999999</v>
      </c>
      <c r="V14" s="766">
        <v>1.3450315399999999</v>
      </c>
      <c r="W14" s="766">
        <v>1.2969612800000001</v>
      </c>
      <c r="X14" s="766">
        <v>1.229009276</v>
      </c>
      <c r="Y14" s="766">
        <v>1.2892570139999999</v>
      </c>
      <c r="Z14" s="766">
        <v>1.5709278179999999</v>
      </c>
      <c r="AA14" s="766">
        <v>1.341307424</v>
      </c>
      <c r="AB14" s="766">
        <v>1.2740925759999999</v>
      </c>
      <c r="AC14" s="766">
        <v>1.366753028</v>
      </c>
      <c r="AD14" s="766">
        <v>1.1879366360000001</v>
      </c>
      <c r="AE14" s="766">
        <v>1.38262025</v>
      </c>
      <c r="AF14" s="766">
        <v>1.299834782</v>
      </c>
      <c r="AG14" s="766">
        <v>1.3696112949999999</v>
      </c>
      <c r="AH14" s="766">
        <v>1.3670550370000001</v>
      </c>
      <c r="AI14" s="766">
        <v>1.3279076910000001</v>
      </c>
      <c r="AJ14" s="766">
        <v>1.273090287</v>
      </c>
      <c r="AK14" s="766">
        <v>1.330843628</v>
      </c>
      <c r="AL14" s="766">
        <v>1.4126393660000001</v>
      </c>
      <c r="AM14" s="766">
        <v>1.379498766</v>
      </c>
      <c r="AN14" s="766">
        <v>1.267338683</v>
      </c>
      <c r="AO14" s="766">
        <v>1.392847044</v>
      </c>
      <c r="AP14" s="766">
        <v>1.2120828779999999</v>
      </c>
      <c r="AQ14" s="766">
        <v>1.3097806439999999</v>
      </c>
      <c r="AR14" s="766">
        <v>1.328394364</v>
      </c>
      <c r="AS14" s="766">
        <v>1.3782393049999999</v>
      </c>
      <c r="AT14" s="766">
        <v>1.378732415</v>
      </c>
      <c r="AU14" s="766">
        <v>1.3549297389999999</v>
      </c>
      <c r="AV14" s="766">
        <v>1.2387932559999999</v>
      </c>
      <c r="AW14" s="766">
        <v>1.0695062070000001</v>
      </c>
      <c r="AX14" s="766">
        <v>1.2586900519999999</v>
      </c>
      <c r="AY14" s="766">
        <v>1.2191872960000001</v>
      </c>
      <c r="AZ14" s="766">
        <v>1.114083189</v>
      </c>
      <c r="BA14" s="766">
        <v>1.4461767640000001</v>
      </c>
      <c r="BB14" s="766">
        <v>1.3158403279999999</v>
      </c>
      <c r="BC14" s="766">
        <v>1.3819205619999999</v>
      </c>
      <c r="BD14" s="766">
        <v>1.3085673959999999</v>
      </c>
      <c r="BE14" s="766">
        <v>1.4026080000000001</v>
      </c>
      <c r="BF14" s="766">
        <v>1.4053279999999999</v>
      </c>
      <c r="BG14" s="767">
        <v>1.3814379999999999</v>
      </c>
      <c r="BH14" s="767">
        <v>1.2657609999999999</v>
      </c>
      <c r="BI14" s="767">
        <v>1.1025640000000001</v>
      </c>
      <c r="BJ14" s="767">
        <v>1.3898109999999999</v>
      </c>
      <c r="BK14" s="767">
        <v>1.198393</v>
      </c>
      <c r="BL14" s="767">
        <v>1.0392749999999999</v>
      </c>
      <c r="BM14" s="767">
        <v>1.3377159999999999</v>
      </c>
      <c r="BN14" s="767">
        <v>1.312902</v>
      </c>
      <c r="BO14" s="767">
        <v>1.4702869999999999</v>
      </c>
      <c r="BP14" s="767">
        <v>1.3298730000000001</v>
      </c>
      <c r="BQ14" s="767">
        <v>1.40937</v>
      </c>
      <c r="BR14" s="767">
        <v>1.416531</v>
      </c>
      <c r="BS14" s="767">
        <v>1.397383</v>
      </c>
      <c r="BT14" s="767">
        <v>1.2654350000000001</v>
      </c>
      <c r="BU14" s="767">
        <v>1.0967089999999999</v>
      </c>
      <c r="BV14" s="767">
        <v>1.36711</v>
      </c>
    </row>
    <row r="15" spans="1:74" ht="11.1" customHeight="1" x14ac:dyDescent="0.2">
      <c r="A15" s="545" t="s">
        <v>1251</v>
      </c>
      <c r="B15" s="546" t="s">
        <v>359</v>
      </c>
      <c r="C15" s="766">
        <v>-0.31175799999999998</v>
      </c>
      <c r="D15" s="766">
        <v>-0.39855800000000002</v>
      </c>
      <c r="E15" s="766">
        <v>-0.38406699999999999</v>
      </c>
      <c r="F15" s="766">
        <v>-0.451878</v>
      </c>
      <c r="G15" s="766">
        <v>-0.32071699999999997</v>
      </c>
      <c r="H15" s="766">
        <v>-0.497303</v>
      </c>
      <c r="I15" s="766">
        <v>-0.78389399999999998</v>
      </c>
      <c r="J15" s="766">
        <v>-0.90206799999999998</v>
      </c>
      <c r="K15" s="766">
        <v>-0.71535000000000004</v>
      </c>
      <c r="L15" s="766">
        <v>-0.56076999999999999</v>
      </c>
      <c r="M15" s="766">
        <v>-0.60689499999999996</v>
      </c>
      <c r="N15" s="766">
        <v>-0.75286900000000001</v>
      </c>
      <c r="O15" s="766">
        <v>-0.43536599999999998</v>
      </c>
      <c r="P15" s="766">
        <v>-0.507911</v>
      </c>
      <c r="Q15" s="766">
        <v>-0.52103500000000003</v>
      </c>
      <c r="R15" s="766">
        <v>-0.43872899999999998</v>
      </c>
      <c r="S15" s="766">
        <v>-0.42316799999999999</v>
      </c>
      <c r="T15" s="766">
        <v>-0.56751600000000002</v>
      </c>
      <c r="U15" s="766">
        <v>-0.759494</v>
      </c>
      <c r="V15" s="766">
        <v>-0.63823399999999997</v>
      </c>
      <c r="W15" s="766">
        <v>-0.60608099999999998</v>
      </c>
      <c r="X15" s="766">
        <v>-0.462982</v>
      </c>
      <c r="Y15" s="766">
        <v>-0.478107</v>
      </c>
      <c r="Z15" s="766">
        <v>-0.65592499999999998</v>
      </c>
      <c r="AA15" s="766">
        <v>-0.54733100000000001</v>
      </c>
      <c r="AB15" s="766">
        <v>-0.31514399999999998</v>
      </c>
      <c r="AC15" s="766">
        <v>-0.48996200000000001</v>
      </c>
      <c r="AD15" s="766">
        <v>-0.37689800000000001</v>
      </c>
      <c r="AE15" s="766">
        <v>-0.39008300000000001</v>
      </c>
      <c r="AF15" s="766">
        <v>-0.43332399999999999</v>
      </c>
      <c r="AG15" s="766">
        <v>-0.64446899999999996</v>
      </c>
      <c r="AH15" s="766">
        <v>-0.74723499999999998</v>
      </c>
      <c r="AI15" s="766">
        <v>-0.60311300000000001</v>
      </c>
      <c r="AJ15" s="766">
        <v>-0.49220199999999997</v>
      </c>
      <c r="AK15" s="766">
        <v>-0.34270699999999998</v>
      </c>
      <c r="AL15" s="766">
        <v>-0.52207099999999995</v>
      </c>
      <c r="AM15" s="766">
        <v>-0.32300899999999999</v>
      </c>
      <c r="AN15" s="766">
        <v>-0.38871899999999998</v>
      </c>
      <c r="AO15" s="766">
        <v>-0.40894200000000003</v>
      </c>
      <c r="AP15" s="766">
        <v>-0.10322099999999999</v>
      </c>
      <c r="AQ15" s="766">
        <v>-0.36828100000000003</v>
      </c>
      <c r="AR15" s="766">
        <v>-0.38529600000000003</v>
      </c>
      <c r="AS15" s="766">
        <v>-0.62234699999999998</v>
      </c>
      <c r="AT15" s="766">
        <v>-0.57901199999999997</v>
      </c>
      <c r="AU15" s="766">
        <v>-0.67121399999999998</v>
      </c>
      <c r="AV15" s="766">
        <v>-0.372614</v>
      </c>
      <c r="AW15" s="766">
        <v>-0.50877499999999998</v>
      </c>
      <c r="AX15" s="766">
        <v>-0.52931399999999995</v>
      </c>
      <c r="AY15" s="766">
        <v>-0.40602700000000003</v>
      </c>
      <c r="AZ15" s="766">
        <v>-0.24667700000000001</v>
      </c>
      <c r="BA15" s="766">
        <v>-0.35306399999999999</v>
      </c>
      <c r="BB15" s="766">
        <v>-0.32502999999999999</v>
      </c>
      <c r="BC15" s="766">
        <v>-0.36673299999999998</v>
      </c>
      <c r="BD15" s="766">
        <v>-0.49893100000000001</v>
      </c>
      <c r="BE15" s="766">
        <v>-0.6146066</v>
      </c>
      <c r="BF15" s="766">
        <v>-0.54623100000000002</v>
      </c>
      <c r="BG15" s="767">
        <v>-0.62007120000000004</v>
      </c>
      <c r="BH15" s="767">
        <v>-0.35388150000000002</v>
      </c>
      <c r="BI15" s="767">
        <v>-0.48827130000000002</v>
      </c>
      <c r="BJ15" s="767">
        <v>-0.52110970000000001</v>
      </c>
      <c r="BK15" s="767">
        <v>-0.44003900000000001</v>
      </c>
      <c r="BL15" s="767">
        <v>-0.28481020000000001</v>
      </c>
      <c r="BM15" s="767">
        <v>-0.36423709999999998</v>
      </c>
      <c r="BN15" s="767">
        <v>-0.29265350000000001</v>
      </c>
      <c r="BO15" s="767">
        <v>-0.36434119999999998</v>
      </c>
      <c r="BP15" s="767">
        <v>-0.53225560000000005</v>
      </c>
      <c r="BQ15" s="767">
        <v>-0.62054810000000005</v>
      </c>
      <c r="BR15" s="767">
        <v>-0.56554079999999995</v>
      </c>
      <c r="BS15" s="767">
        <v>-0.61700069999999996</v>
      </c>
      <c r="BT15" s="767">
        <v>-0.3374702</v>
      </c>
      <c r="BU15" s="767">
        <v>-0.47904469999999999</v>
      </c>
      <c r="BV15" s="767">
        <v>-0.5011774</v>
      </c>
    </row>
    <row r="16" spans="1:74" ht="11.1" customHeight="1" x14ac:dyDescent="0.2">
      <c r="A16" s="545" t="s">
        <v>1252</v>
      </c>
      <c r="B16" s="546" t="s">
        <v>1359</v>
      </c>
      <c r="C16" s="766">
        <v>2.2170706080000002</v>
      </c>
      <c r="D16" s="766">
        <v>2.0790208059999999</v>
      </c>
      <c r="E16" s="766">
        <v>1.69520859</v>
      </c>
      <c r="F16" s="766">
        <v>1.7452095080000001</v>
      </c>
      <c r="G16" s="766">
        <v>1.8142723030000001</v>
      </c>
      <c r="H16" s="766">
        <v>1.8472260170000001</v>
      </c>
      <c r="I16" s="766">
        <v>2.1857175550000001</v>
      </c>
      <c r="J16" s="766">
        <v>2.2102827550000002</v>
      </c>
      <c r="K16" s="766">
        <v>1.821748546</v>
      </c>
      <c r="L16" s="766">
        <v>1.4496163129999999</v>
      </c>
      <c r="M16" s="766">
        <v>1.736662591</v>
      </c>
      <c r="N16" s="766">
        <v>1.908433912</v>
      </c>
      <c r="O16" s="766">
        <v>1.946636397</v>
      </c>
      <c r="P16" s="766">
        <v>1.4910144759999999</v>
      </c>
      <c r="Q16" s="766">
        <v>1.5189163990000001</v>
      </c>
      <c r="R16" s="766">
        <v>1.1790280710000001</v>
      </c>
      <c r="S16" s="766">
        <v>1.720070352</v>
      </c>
      <c r="T16" s="766">
        <v>1.792790211</v>
      </c>
      <c r="U16" s="766">
        <v>1.68688623</v>
      </c>
      <c r="V16" s="766">
        <v>1.6096509560000001</v>
      </c>
      <c r="W16" s="766">
        <v>1.542843639</v>
      </c>
      <c r="X16" s="766">
        <v>1.427025609</v>
      </c>
      <c r="Y16" s="766">
        <v>1.542535607</v>
      </c>
      <c r="Z16" s="766">
        <v>2.582004886</v>
      </c>
      <c r="AA16" s="766">
        <v>6.3480329119999999</v>
      </c>
      <c r="AB16" s="766">
        <v>1.4507500259999999</v>
      </c>
      <c r="AC16" s="766">
        <v>1.3684119720000001</v>
      </c>
      <c r="AD16" s="766">
        <v>1.4462489270000001</v>
      </c>
      <c r="AE16" s="766">
        <v>1.4528924409999999</v>
      </c>
      <c r="AF16" s="766">
        <v>1.795021902</v>
      </c>
      <c r="AG16" s="766">
        <v>1.7836900849999999</v>
      </c>
      <c r="AH16" s="766">
        <v>1.828892162</v>
      </c>
      <c r="AI16" s="766">
        <v>1.7615771179999999</v>
      </c>
      <c r="AJ16" s="766">
        <v>1.4725601479999999</v>
      </c>
      <c r="AK16" s="766">
        <v>1.564907265</v>
      </c>
      <c r="AL16" s="766">
        <v>1.655502035</v>
      </c>
      <c r="AM16" s="766">
        <v>2.0875891819999999</v>
      </c>
      <c r="AN16" s="766">
        <v>1.4611730549999999</v>
      </c>
      <c r="AO16" s="766">
        <v>1.3720369809999999</v>
      </c>
      <c r="AP16" s="766">
        <v>1.13765424</v>
      </c>
      <c r="AQ16" s="766">
        <v>1.595851809</v>
      </c>
      <c r="AR16" s="766">
        <v>1.4348129540000001</v>
      </c>
      <c r="AS16" s="766">
        <v>1.6169082459999999</v>
      </c>
      <c r="AT16" s="766">
        <v>1.6648426220000001</v>
      </c>
      <c r="AU16" s="766">
        <v>1.4740055379999999</v>
      </c>
      <c r="AV16" s="766">
        <v>1.0693880710000001</v>
      </c>
      <c r="AW16" s="766">
        <v>1.157558935</v>
      </c>
      <c r="AX16" s="766">
        <v>1.276121337</v>
      </c>
      <c r="AY16" s="766">
        <v>1.5236507989999999</v>
      </c>
      <c r="AZ16" s="766">
        <v>1.1162355399999999</v>
      </c>
      <c r="BA16" s="766">
        <v>1.3289792439999999</v>
      </c>
      <c r="BB16" s="766">
        <v>1.1890693699999999</v>
      </c>
      <c r="BC16" s="766">
        <v>1.2586811469999999</v>
      </c>
      <c r="BD16" s="766">
        <v>1.5857441379999999</v>
      </c>
      <c r="BE16" s="766">
        <v>1.524861</v>
      </c>
      <c r="BF16" s="766">
        <v>1.581137</v>
      </c>
      <c r="BG16" s="767">
        <v>1.3351500000000001</v>
      </c>
      <c r="BH16" s="767">
        <v>1.2606889999999999</v>
      </c>
      <c r="BI16" s="767">
        <v>1.332198</v>
      </c>
      <c r="BJ16" s="767">
        <v>1.313887</v>
      </c>
      <c r="BK16" s="767">
        <v>2.2648799999999998</v>
      </c>
      <c r="BL16" s="767">
        <v>0.66035790000000005</v>
      </c>
      <c r="BM16" s="767">
        <v>1.5403549999999999</v>
      </c>
      <c r="BN16" s="767">
        <v>1.5868679999999999</v>
      </c>
      <c r="BO16" s="767">
        <v>1.270745</v>
      </c>
      <c r="BP16" s="767">
        <v>1.5301910000000001</v>
      </c>
      <c r="BQ16" s="767">
        <v>1.5591159999999999</v>
      </c>
      <c r="BR16" s="767">
        <v>1.5438499999999999</v>
      </c>
      <c r="BS16" s="767">
        <v>1.33819</v>
      </c>
      <c r="BT16" s="767">
        <v>1.31847</v>
      </c>
      <c r="BU16" s="767">
        <v>1.2442310000000001</v>
      </c>
      <c r="BV16" s="767">
        <v>1.195341</v>
      </c>
    </row>
    <row r="17" spans="1:74" ht="11.1" customHeight="1" x14ac:dyDescent="0.2">
      <c r="A17" s="545" t="s">
        <v>1253</v>
      </c>
      <c r="B17" s="546" t="s">
        <v>87</v>
      </c>
      <c r="C17" s="766">
        <v>0.34422168600000003</v>
      </c>
      <c r="D17" s="766">
        <v>0.29895469699999999</v>
      </c>
      <c r="E17" s="766">
        <v>0.36008592900000003</v>
      </c>
      <c r="F17" s="766">
        <v>0.31743617499999999</v>
      </c>
      <c r="G17" s="766">
        <v>0.31331114599999998</v>
      </c>
      <c r="H17" s="766">
        <v>0.35087475699999998</v>
      </c>
      <c r="I17" s="766">
        <v>0.34550497200000002</v>
      </c>
      <c r="J17" s="766">
        <v>0.33193571500000002</v>
      </c>
      <c r="K17" s="766">
        <v>0.34648552599999999</v>
      </c>
      <c r="L17" s="766">
        <v>0.234491639</v>
      </c>
      <c r="M17" s="766">
        <v>0.35130445700000001</v>
      </c>
      <c r="N17" s="766">
        <v>0.31782509399999997</v>
      </c>
      <c r="O17" s="766">
        <v>0.34936725800000001</v>
      </c>
      <c r="P17" s="766">
        <v>0.308383348</v>
      </c>
      <c r="Q17" s="766">
        <v>0.35808757299999999</v>
      </c>
      <c r="R17" s="766">
        <v>0.29996994900000001</v>
      </c>
      <c r="S17" s="766">
        <v>0.35029007200000001</v>
      </c>
      <c r="T17" s="766">
        <v>0.32378658100000002</v>
      </c>
      <c r="U17" s="766">
        <v>0.36901887</v>
      </c>
      <c r="V17" s="766">
        <v>0.35979762599999998</v>
      </c>
      <c r="W17" s="766">
        <v>0.345600827</v>
      </c>
      <c r="X17" s="766">
        <v>0.326487794</v>
      </c>
      <c r="Y17" s="766">
        <v>0.35229122699999998</v>
      </c>
      <c r="Z17" s="766">
        <v>0.38335661199999999</v>
      </c>
      <c r="AA17" s="766">
        <v>0.34419586099999999</v>
      </c>
      <c r="AB17" s="766">
        <v>0.33699916099999999</v>
      </c>
      <c r="AC17" s="766">
        <v>0.34759251099999999</v>
      </c>
      <c r="AD17" s="766">
        <v>0.35411205099999998</v>
      </c>
      <c r="AE17" s="766">
        <v>0.38927535899999999</v>
      </c>
      <c r="AF17" s="766">
        <v>0.31618175599999998</v>
      </c>
      <c r="AG17" s="766">
        <v>0.35894971599999997</v>
      </c>
      <c r="AH17" s="766">
        <v>0.39247206699999998</v>
      </c>
      <c r="AI17" s="766">
        <v>0.33171762999999999</v>
      </c>
      <c r="AJ17" s="766">
        <v>0.25432616299999999</v>
      </c>
      <c r="AK17" s="766">
        <v>0.31103460199999999</v>
      </c>
      <c r="AL17" s="766">
        <v>0.34920659599999998</v>
      </c>
      <c r="AM17" s="766">
        <v>0.38069992000000002</v>
      </c>
      <c r="AN17" s="766">
        <v>0.37677487999999998</v>
      </c>
      <c r="AO17" s="766">
        <v>0.380975071</v>
      </c>
      <c r="AP17" s="766">
        <v>0.33816096499999998</v>
      </c>
      <c r="AQ17" s="766">
        <v>0.33787119900000001</v>
      </c>
      <c r="AR17" s="766">
        <v>0.34797140399999998</v>
      </c>
      <c r="AS17" s="766">
        <v>0.40845573000000002</v>
      </c>
      <c r="AT17" s="766">
        <v>0.40440914900000002</v>
      </c>
      <c r="AU17" s="766">
        <v>0.35818909199999999</v>
      </c>
      <c r="AV17" s="766">
        <v>0.22729403200000001</v>
      </c>
      <c r="AW17" s="766">
        <v>0.37085406799999998</v>
      </c>
      <c r="AX17" s="766">
        <v>0.37412603799999999</v>
      </c>
      <c r="AY17" s="766">
        <v>0.38680936300000002</v>
      </c>
      <c r="AZ17" s="766">
        <v>0.39720371999999998</v>
      </c>
      <c r="BA17" s="766">
        <v>0.31317207200000002</v>
      </c>
      <c r="BB17" s="766">
        <v>0.14812808199999999</v>
      </c>
      <c r="BC17" s="766">
        <v>0.15872851700000001</v>
      </c>
      <c r="BD17" s="766">
        <v>0.13344468400000001</v>
      </c>
      <c r="BE17" s="766">
        <v>0.40602300000000002</v>
      </c>
      <c r="BF17" s="766">
        <v>0.40382439999999997</v>
      </c>
      <c r="BG17" s="767">
        <v>0.336536</v>
      </c>
      <c r="BH17" s="767">
        <v>0.1965018</v>
      </c>
      <c r="BI17" s="767">
        <v>0.35532839999999999</v>
      </c>
      <c r="BJ17" s="767">
        <v>0.33847359999999999</v>
      </c>
      <c r="BK17" s="767">
        <v>0.42256070000000001</v>
      </c>
      <c r="BL17" s="767">
        <v>0.33010919999999999</v>
      </c>
      <c r="BM17" s="767">
        <v>0.25737850000000001</v>
      </c>
      <c r="BN17" s="767">
        <v>0.1807214</v>
      </c>
      <c r="BO17" s="767">
        <v>8.0506800000000003E-2</v>
      </c>
      <c r="BP17" s="767">
        <v>0.13762669999999999</v>
      </c>
      <c r="BQ17" s="767">
        <v>0.37518970000000001</v>
      </c>
      <c r="BR17" s="767">
        <v>0.37278260000000002</v>
      </c>
      <c r="BS17" s="767">
        <v>0.27615440000000002</v>
      </c>
      <c r="BT17" s="767">
        <v>0.18349760000000001</v>
      </c>
      <c r="BU17" s="767">
        <v>0.35562539999999998</v>
      </c>
      <c r="BV17" s="767">
        <v>0.34295609999999999</v>
      </c>
    </row>
    <row r="18" spans="1:74" ht="11.1" customHeight="1" x14ac:dyDescent="0.2">
      <c r="A18" s="545" t="s">
        <v>1382</v>
      </c>
      <c r="B18" s="548" t="s">
        <v>1360</v>
      </c>
      <c r="C18" s="766">
        <v>0.62232043699999995</v>
      </c>
      <c r="D18" s="766">
        <v>0.56990154800000004</v>
      </c>
      <c r="E18" s="766">
        <v>0.590493936</v>
      </c>
      <c r="F18" s="766">
        <v>0.58813014200000002</v>
      </c>
      <c r="G18" s="766">
        <v>0.64265161400000004</v>
      </c>
      <c r="H18" s="766">
        <v>0.63482119599999998</v>
      </c>
      <c r="I18" s="766">
        <v>0.64383362099999997</v>
      </c>
      <c r="J18" s="766">
        <v>0.65015300200000004</v>
      </c>
      <c r="K18" s="766">
        <v>0.59232463099999999</v>
      </c>
      <c r="L18" s="766">
        <v>0.58449504100000005</v>
      </c>
      <c r="M18" s="766">
        <v>0.59466803999999995</v>
      </c>
      <c r="N18" s="766">
        <v>0.64892688600000004</v>
      </c>
      <c r="O18" s="766">
        <v>0.62735458700000002</v>
      </c>
      <c r="P18" s="766">
        <v>0.55293731300000004</v>
      </c>
      <c r="Q18" s="766">
        <v>0.56537406599999995</v>
      </c>
      <c r="R18" s="766">
        <v>0.55312734100000005</v>
      </c>
      <c r="S18" s="766">
        <v>0.58556693800000004</v>
      </c>
      <c r="T18" s="766">
        <v>0.593987971</v>
      </c>
      <c r="U18" s="766">
        <v>0.62572821599999995</v>
      </c>
      <c r="V18" s="766">
        <v>0.63578308699999997</v>
      </c>
      <c r="W18" s="766">
        <v>0.55764277200000001</v>
      </c>
      <c r="X18" s="766">
        <v>0.56203412900000005</v>
      </c>
      <c r="Y18" s="766">
        <v>0.58472024600000005</v>
      </c>
      <c r="Z18" s="766">
        <v>0.63587112499999998</v>
      </c>
      <c r="AA18" s="766">
        <v>0.61521048099999998</v>
      </c>
      <c r="AB18" s="766">
        <v>0.58157888400000002</v>
      </c>
      <c r="AC18" s="766">
        <v>0.61166877399999997</v>
      </c>
      <c r="AD18" s="766">
        <v>0.56632562600000003</v>
      </c>
      <c r="AE18" s="766">
        <v>0.57109849099999999</v>
      </c>
      <c r="AF18" s="766">
        <v>0.631504073</v>
      </c>
      <c r="AG18" s="766">
        <v>0.64017125200000002</v>
      </c>
      <c r="AH18" s="766">
        <v>0.63509555299999998</v>
      </c>
      <c r="AI18" s="766">
        <v>0.56221997300000004</v>
      </c>
      <c r="AJ18" s="766">
        <v>0.59973774899999999</v>
      </c>
      <c r="AK18" s="766">
        <v>0.60104939400000001</v>
      </c>
      <c r="AL18" s="766">
        <v>0.62275288100000004</v>
      </c>
      <c r="AM18" s="766">
        <v>0.67178446800000002</v>
      </c>
      <c r="AN18" s="766">
        <v>0.57917731800000005</v>
      </c>
      <c r="AO18" s="766">
        <v>0.61360369699999995</v>
      </c>
      <c r="AP18" s="766">
        <v>0.58955280799999998</v>
      </c>
      <c r="AQ18" s="766">
        <v>0.67608777200000003</v>
      </c>
      <c r="AR18" s="766">
        <v>0.65873558200000004</v>
      </c>
      <c r="AS18" s="766">
        <v>0.679396526</v>
      </c>
      <c r="AT18" s="766">
        <v>0.69500333999999997</v>
      </c>
      <c r="AU18" s="766">
        <v>0.63859755500000004</v>
      </c>
      <c r="AV18" s="766">
        <v>0.63083199599999995</v>
      </c>
      <c r="AW18" s="766">
        <v>0.62106275899999996</v>
      </c>
      <c r="AX18" s="766">
        <v>0.65410061600000002</v>
      </c>
      <c r="AY18" s="766">
        <v>0.65334838900000003</v>
      </c>
      <c r="AZ18" s="766">
        <v>0.58792181099999996</v>
      </c>
      <c r="BA18" s="766">
        <v>0.66090895199999999</v>
      </c>
      <c r="BB18" s="766">
        <v>0.63308695999999998</v>
      </c>
      <c r="BC18" s="766">
        <v>0.62947681</v>
      </c>
      <c r="BD18" s="766">
        <v>0.57582249699999999</v>
      </c>
      <c r="BE18" s="766">
        <v>0.70561669999999999</v>
      </c>
      <c r="BF18" s="766">
        <v>0.6626107</v>
      </c>
      <c r="BG18" s="767">
        <v>0.61559209999999998</v>
      </c>
      <c r="BH18" s="767">
        <v>0.57536259999999995</v>
      </c>
      <c r="BI18" s="767">
        <v>0.61265550000000002</v>
      </c>
      <c r="BJ18" s="767">
        <v>0.60723919999999998</v>
      </c>
      <c r="BK18" s="767">
        <v>0.59750320000000001</v>
      </c>
      <c r="BL18" s="767">
        <v>0.51537129999999998</v>
      </c>
      <c r="BM18" s="767">
        <v>0.60135799999999995</v>
      </c>
      <c r="BN18" s="767">
        <v>0.61457079999999997</v>
      </c>
      <c r="BO18" s="767">
        <v>0.62736539999999996</v>
      </c>
      <c r="BP18" s="767">
        <v>0.53059440000000002</v>
      </c>
      <c r="BQ18" s="767">
        <v>0.62274689999999999</v>
      </c>
      <c r="BR18" s="767">
        <v>0.60630720000000005</v>
      </c>
      <c r="BS18" s="767">
        <v>0.55768499999999999</v>
      </c>
      <c r="BT18" s="767">
        <v>0.56572290000000003</v>
      </c>
      <c r="BU18" s="767">
        <v>0.61918600000000001</v>
      </c>
      <c r="BV18" s="767">
        <v>0.60737439999999998</v>
      </c>
    </row>
    <row r="19" spans="1:74" ht="11.1" customHeight="1" x14ac:dyDescent="0.2">
      <c r="A19" s="545" t="s">
        <v>1254</v>
      </c>
      <c r="B19" s="546" t="s">
        <v>357</v>
      </c>
      <c r="C19" s="766">
        <v>339.20005329999998</v>
      </c>
      <c r="D19" s="766">
        <v>301.12160519000003</v>
      </c>
      <c r="E19" s="766">
        <v>291.26168794</v>
      </c>
      <c r="F19" s="766">
        <v>280.54750809000001</v>
      </c>
      <c r="G19" s="766">
        <v>303.87926578000003</v>
      </c>
      <c r="H19" s="766">
        <v>354.44498061000002</v>
      </c>
      <c r="I19" s="766">
        <v>397.63470688000001</v>
      </c>
      <c r="J19" s="766">
        <v>395.32849744999999</v>
      </c>
      <c r="K19" s="766">
        <v>338.25987993000001</v>
      </c>
      <c r="L19" s="766">
        <v>300.07336963</v>
      </c>
      <c r="M19" s="766">
        <v>284.28245018000001</v>
      </c>
      <c r="N19" s="766">
        <v>332.04439499</v>
      </c>
      <c r="O19" s="766">
        <v>329.75126305999999</v>
      </c>
      <c r="P19" s="766">
        <v>277.54804582000003</v>
      </c>
      <c r="Q19" s="766">
        <v>304.99628097999999</v>
      </c>
      <c r="R19" s="766">
        <v>281.89227134999999</v>
      </c>
      <c r="S19" s="766">
        <v>309.76233780000001</v>
      </c>
      <c r="T19" s="766">
        <v>344.61752353000003</v>
      </c>
      <c r="U19" s="766">
        <v>390.20383342999997</v>
      </c>
      <c r="V19" s="766">
        <v>370.38718609</v>
      </c>
      <c r="W19" s="766">
        <v>323.40031343999999</v>
      </c>
      <c r="X19" s="766">
        <v>307.76029617</v>
      </c>
      <c r="Y19" s="766">
        <v>297.58536956</v>
      </c>
      <c r="Z19" s="766">
        <v>339.54776076000002</v>
      </c>
      <c r="AA19" s="766">
        <v>359.43107192999997</v>
      </c>
      <c r="AB19" s="766">
        <v>294.61779854999997</v>
      </c>
      <c r="AC19" s="766">
        <v>308.7301162</v>
      </c>
      <c r="AD19" s="766">
        <v>288.49658211000002</v>
      </c>
      <c r="AE19" s="766">
        <v>325.89317333999998</v>
      </c>
      <c r="AF19" s="766">
        <v>358.50792419999999</v>
      </c>
      <c r="AG19" s="766">
        <v>396.82871862000002</v>
      </c>
      <c r="AH19" s="766">
        <v>393.47373257999999</v>
      </c>
      <c r="AI19" s="766">
        <v>342.89770491000002</v>
      </c>
      <c r="AJ19" s="766">
        <v>311.72833101999998</v>
      </c>
      <c r="AK19" s="766">
        <v>309.04301405000001</v>
      </c>
      <c r="AL19" s="766">
        <v>324.63872100999998</v>
      </c>
      <c r="AM19" s="766">
        <v>343.56359834</v>
      </c>
      <c r="AN19" s="766">
        <v>301.17312211000001</v>
      </c>
      <c r="AO19" s="766">
        <v>310.42133518000003</v>
      </c>
      <c r="AP19" s="766">
        <v>281.88617049999999</v>
      </c>
      <c r="AQ19" s="766">
        <v>315.31014483000001</v>
      </c>
      <c r="AR19" s="766">
        <v>338.27180076000002</v>
      </c>
      <c r="AS19" s="766">
        <v>397.30071873000003</v>
      </c>
      <c r="AT19" s="766">
        <v>387.31513561000003</v>
      </c>
      <c r="AU19" s="766">
        <v>346.09166249999998</v>
      </c>
      <c r="AV19" s="766">
        <v>308.59937477</v>
      </c>
      <c r="AW19" s="766">
        <v>302.84518147</v>
      </c>
      <c r="AX19" s="766">
        <v>323.00280471000002</v>
      </c>
      <c r="AY19" s="766">
        <v>324.83890194000003</v>
      </c>
      <c r="AZ19" s="766">
        <v>303.64117177000003</v>
      </c>
      <c r="BA19" s="766">
        <v>292.39801893999999</v>
      </c>
      <c r="BB19" s="766">
        <v>262.70618359999997</v>
      </c>
      <c r="BC19" s="766">
        <v>291.06110425000003</v>
      </c>
      <c r="BD19" s="766">
        <v>340.12675281999998</v>
      </c>
      <c r="BE19" s="766">
        <v>397.65210000000002</v>
      </c>
      <c r="BF19" s="766">
        <v>385.2312</v>
      </c>
      <c r="BG19" s="767">
        <v>329.51780000000002</v>
      </c>
      <c r="BH19" s="767">
        <v>299.39210000000003</v>
      </c>
      <c r="BI19" s="767">
        <v>288.5847</v>
      </c>
      <c r="BJ19" s="767">
        <v>320.15109999999999</v>
      </c>
      <c r="BK19" s="767">
        <v>324.43650000000002</v>
      </c>
      <c r="BL19" s="767">
        <v>283.88729999999998</v>
      </c>
      <c r="BM19" s="767">
        <v>294.87529999999998</v>
      </c>
      <c r="BN19" s="767">
        <v>272.37810000000002</v>
      </c>
      <c r="BO19" s="767">
        <v>301.02359999999999</v>
      </c>
      <c r="BP19" s="767">
        <v>344.7851</v>
      </c>
      <c r="BQ19" s="767">
        <v>385.92790000000002</v>
      </c>
      <c r="BR19" s="767">
        <v>379.04180000000002</v>
      </c>
      <c r="BS19" s="767">
        <v>323.99180000000001</v>
      </c>
      <c r="BT19" s="767">
        <v>303.2176</v>
      </c>
      <c r="BU19" s="767">
        <v>291.0401</v>
      </c>
      <c r="BV19" s="767">
        <v>323.07729999999998</v>
      </c>
    </row>
    <row r="20" spans="1:74" ht="11.1" customHeight="1" x14ac:dyDescent="0.2">
      <c r="A20" s="539"/>
      <c r="B20" s="131" t="s">
        <v>1361</v>
      </c>
      <c r="C20" s="249"/>
      <c r="D20" s="249"/>
      <c r="E20" s="249"/>
      <c r="F20" s="249"/>
      <c r="G20" s="249"/>
      <c r="H20" s="249"/>
      <c r="I20" s="249"/>
      <c r="J20" s="249"/>
      <c r="K20" s="249"/>
      <c r="L20" s="249"/>
      <c r="M20" s="249"/>
      <c r="N20" s="249"/>
      <c r="O20" s="249"/>
      <c r="P20" s="249"/>
      <c r="Q20" s="249"/>
      <c r="R20" s="249"/>
      <c r="S20" s="249"/>
      <c r="T20" s="249"/>
      <c r="U20" s="249"/>
      <c r="V20" s="249"/>
      <c r="W20" s="249"/>
      <c r="X20" s="249"/>
      <c r="Y20" s="249"/>
      <c r="Z20" s="249"/>
      <c r="AA20" s="249"/>
      <c r="AB20" s="249"/>
      <c r="AC20" s="249"/>
      <c r="AD20" s="249"/>
      <c r="AE20" s="249"/>
      <c r="AF20" s="249"/>
      <c r="AG20" s="249"/>
      <c r="AH20" s="249"/>
      <c r="AI20" s="249"/>
      <c r="AJ20" s="249"/>
      <c r="AK20" s="249"/>
      <c r="AL20" s="249"/>
      <c r="AM20" s="249"/>
      <c r="AN20" s="249"/>
      <c r="AO20" s="249"/>
      <c r="AP20" s="249"/>
      <c r="AQ20" s="249"/>
      <c r="AR20" s="249"/>
      <c r="AS20" s="249"/>
      <c r="AT20" s="249"/>
      <c r="AU20" s="249"/>
      <c r="AV20" s="249"/>
      <c r="AW20" s="249"/>
      <c r="AX20" s="249"/>
      <c r="AY20" s="249"/>
      <c r="AZ20" s="249"/>
      <c r="BA20" s="249"/>
      <c r="BB20" s="249"/>
      <c r="BC20" s="249"/>
      <c r="BD20" s="249"/>
      <c r="BE20" s="249"/>
      <c r="BF20" s="249"/>
      <c r="BG20" s="360"/>
      <c r="BH20" s="360"/>
      <c r="BI20" s="360"/>
      <c r="BJ20" s="360"/>
      <c r="BK20" s="360"/>
      <c r="BL20" s="360"/>
      <c r="BM20" s="360"/>
      <c r="BN20" s="360"/>
      <c r="BO20" s="360"/>
      <c r="BP20" s="360"/>
      <c r="BQ20" s="360"/>
      <c r="BR20" s="360"/>
      <c r="BS20" s="360"/>
      <c r="BT20" s="360"/>
      <c r="BU20" s="360"/>
      <c r="BV20" s="360"/>
    </row>
    <row r="21" spans="1:74" ht="11.1" customHeight="1" x14ac:dyDescent="0.2">
      <c r="A21" s="545" t="s">
        <v>1255</v>
      </c>
      <c r="B21" s="546" t="s">
        <v>86</v>
      </c>
      <c r="C21" s="766">
        <v>3.6718270199999998</v>
      </c>
      <c r="D21" s="766">
        <v>3.3918084300000002</v>
      </c>
      <c r="E21" s="766">
        <v>3.4055397649999999</v>
      </c>
      <c r="F21" s="766">
        <v>4.1859936360000001</v>
      </c>
      <c r="G21" s="766">
        <v>4.7674767569999998</v>
      </c>
      <c r="H21" s="766">
        <v>4.8132898050000001</v>
      </c>
      <c r="I21" s="766">
        <v>6.1326772610000004</v>
      </c>
      <c r="J21" s="766">
        <v>6.3257996590000003</v>
      </c>
      <c r="K21" s="766">
        <v>4.5914638959999996</v>
      </c>
      <c r="L21" s="766">
        <v>3.5097472920000001</v>
      </c>
      <c r="M21" s="766">
        <v>3.273486492</v>
      </c>
      <c r="N21" s="766">
        <v>3.5285712290000002</v>
      </c>
      <c r="O21" s="766">
        <v>3.6627383729999998</v>
      </c>
      <c r="P21" s="766">
        <v>3.0874994299999998</v>
      </c>
      <c r="Q21" s="766">
        <v>3.3569812369999998</v>
      </c>
      <c r="R21" s="766">
        <v>4.3675868329999998</v>
      </c>
      <c r="S21" s="766">
        <v>3.4921429220000002</v>
      </c>
      <c r="T21" s="766">
        <v>4.2137166800000001</v>
      </c>
      <c r="U21" s="766">
        <v>5.3214756850000002</v>
      </c>
      <c r="V21" s="766">
        <v>5.3625131079999999</v>
      </c>
      <c r="W21" s="766">
        <v>4.3599465449999997</v>
      </c>
      <c r="X21" s="766">
        <v>4.2274064940000002</v>
      </c>
      <c r="Y21" s="766">
        <v>3.687038689</v>
      </c>
      <c r="Z21" s="766">
        <v>3.6640285440000002</v>
      </c>
      <c r="AA21" s="766">
        <v>3.2698505230000001</v>
      </c>
      <c r="AB21" s="766">
        <v>3.1358915839999999</v>
      </c>
      <c r="AC21" s="766">
        <v>3.6535869810000001</v>
      </c>
      <c r="AD21" s="766">
        <v>2.8681700459999999</v>
      </c>
      <c r="AE21" s="766">
        <v>2.9350994300000002</v>
      </c>
      <c r="AF21" s="766">
        <v>4.0441142619999999</v>
      </c>
      <c r="AG21" s="766">
        <v>6.0469096609999999</v>
      </c>
      <c r="AH21" s="766">
        <v>6.5923124160000004</v>
      </c>
      <c r="AI21" s="766">
        <v>4.7342538269999999</v>
      </c>
      <c r="AJ21" s="766">
        <v>4.630660217</v>
      </c>
      <c r="AK21" s="766">
        <v>3.5570944020000002</v>
      </c>
      <c r="AL21" s="766">
        <v>3.5544060690000001</v>
      </c>
      <c r="AM21" s="766">
        <v>3.7824037580000001</v>
      </c>
      <c r="AN21" s="766">
        <v>3.2914111159999999</v>
      </c>
      <c r="AO21" s="766">
        <v>3.5594655820000001</v>
      </c>
      <c r="AP21" s="766">
        <v>3.2516534159999999</v>
      </c>
      <c r="AQ21" s="766">
        <v>3.0058055810000002</v>
      </c>
      <c r="AR21" s="766">
        <v>3.7371199430000002</v>
      </c>
      <c r="AS21" s="766">
        <v>5.9393137439999997</v>
      </c>
      <c r="AT21" s="766">
        <v>5.0627028870000004</v>
      </c>
      <c r="AU21" s="766">
        <v>3.7549460259999998</v>
      </c>
      <c r="AV21" s="766">
        <v>3.6491601729999998</v>
      </c>
      <c r="AW21" s="766">
        <v>3.4927374709999999</v>
      </c>
      <c r="AX21" s="766">
        <v>4.3744892860000002</v>
      </c>
      <c r="AY21" s="766">
        <v>4.3684348059999998</v>
      </c>
      <c r="AZ21" s="766">
        <v>3.782813011</v>
      </c>
      <c r="BA21" s="766">
        <v>2.9058252429999998</v>
      </c>
      <c r="BB21" s="766">
        <v>3.0839636580000001</v>
      </c>
      <c r="BC21" s="766">
        <v>2.7350515770000001</v>
      </c>
      <c r="BD21" s="766">
        <v>4.5335885070000002</v>
      </c>
      <c r="BE21" s="766">
        <v>5.4312399999999998</v>
      </c>
      <c r="BF21" s="766">
        <v>5.126995</v>
      </c>
      <c r="BG21" s="767">
        <v>4.0529669999999998</v>
      </c>
      <c r="BH21" s="767">
        <v>3.4070179999999999</v>
      </c>
      <c r="BI21" s="767">
        <v>4.2846760000000002</v>
      </c>
      <c r="BJ21" s="767">
        <v>3.2702330000000002</v>
      </c>
      <c r="BK21" s="767">
        <v>2.1660460000000001</v>
      </c>
      <c r="BL21" s="767">
        <v>2.9797769999999999</v>
      </c>
      <c r="BM21" s="767">
        <v>2.093645</v>
      </c>
      <c r="BN21" s="767">
        <v>1.6281730000000001</v>
      </c>
      <c r="BO21" s="767">
        <v>1.8124119999999999</v>
      </c>
      <c r="BP21" s="767">
        <v>3.7478639999999999</v>
      </c>
      <c r="BQ21" s="767">
        <v>5.4521369999999996</v>
      </c>
      <c r="BR21" s="767">
        <v>4.6974419999999997</v>
      </c>
      <c r="BS21" s="767">
        <v>3.378018</v>
      </c>
      <c r="BT21" s="767">
        <v>3.7758579999999999</v>
      </c>
      <c r="BU21" s="767">
        <v>4.9014239999999996</v>
      </c>
      <c r="BV21" s="767">
        <v>3.3451930000000001</v>
      </c>
    </row>
    <row r="22" spans="1:74" ht="11.1" customHeight="1" x14ac:dyDescent="0.2">
      <c r="A22" s="545" t="s">
        <v>1256</v>
      </c>
      <c r="B22" s="546" t="s">
        <v>85</v>
      </c>
      <c r="C22" s="766">
        <v>0.518191242</v>
      </c>
      <c r="D22" s="766">
        <v>0.36515394400000001</v>
      </c>
      <c r="E22" s="766">
        <v>0.13018576900000001</v>
      </c>
      <c r="F22" s="766">
        <v>0.12688192400000001</v>
      </c>
      <c r="G22" s="766">
        <v>2.7934523999999999E-2</v>
      </c>
      <c r="H22" s="766">
        <v>0.11951836</v>
      </c>
      <c r="I22" s="766">
        <v>0.21884480100000001</v>
      </c>
      <c r="J22" s="766">
        <v>0.21126883199999999</v>
      </c>
      <c r="K22" s="766">
        <v>0.131418962</v>
      </c>
      <c r="L22" s="766">
        <v>6.4100227999999995E-2</v>
      </c>
      <c r="M22" s="766">
        <v>5.6556209000000003E-2</v>
      </c>
      <c r="N22" s="766">
        <v>0.56457607899999995</v>
      </c>
      <c r="O22" s="766">
        <v>0.32195080500000001</v>
      </c>
      <c r="P22" s="766">
        <v>0.404809584</v>
      </c>
      <c r="Q22" s="766">
        <v>0.50763756400000004</v>
      </c>
      <c r="R22" s="766">
        <v>5.3821347999999998E-2</v>
      </c>
      <c r="S22" s="766">
        <v>6.1368404000000001E-2</v>
      </c>
      <c r="T22" s="766">
        <v>4.2288371999999998E-2</v>
      </c>
      <c r="U22" s="766">
        <v>3.5584677000000002E-2</v>
      </c>
      <c r="V22" s="766">
        <v>3.0459520000000002E-3</v>
      </c>
      <c r="W22" s="766">
        <v>8.9253189999999993E-3</v>
      </c>
      <c r="X22" s="766">
        <v>5.9691240000000001E-3</v>
      </c>
      <c r="Y22" s="766">
        <v>1.4434842999999999E-2</v>
      </c>
      <c r="Z22" s="766">
        <v>0.21958818599999999</v>
      </c>
      <c r="AA22" s="766">
        <v>0.411736404</v>
      </c>
      <c r="AB22" s="766">
        <v>0.114478596</v>
      </c>
      <c r="AC22" s="766">
        <v>4.0078091000000003E-2</v>
      </c>
      <c r="AD22" s="766">
        <v>0.13414657899999999</v>
      </c>
      <c r="AE22" s="766">
        <v>2.982831E-3</v>
      </c>
      <c r="AF22" s="766">
        <v>1.6183525000000001E-2</v>
      </c>
      <c r="AG22" s="766">
        <v>5.4801917999999998E-2</v>
      </c>
      <c r="AH22" s="766">
        <v>3.9129690000000002E-2</v>
      </c>
      <c r="AI22" s="766">
        <v>2.4889398E-2</v>
      </c>
      <c r="AJ22" s="766">
        <v>7.0670100000000001E-4</v>
      </c>
      <c r="AK22" s="766">
        <v>7.0091991000000006E-2</v>
      </c>
      <c r="AL22" s="766">
        <v>0.13706673</v>
      </c>
      <c r="AM22" s="766">
        <v>0.17624726700000001</v>
      </c>
      <c r="AN22" s="766">
        <v>3.1579263000000003E-2</v>
      </c>
      <c r="AO22" s="766">
        <v>4.8330579999999998E-2</v>
      </c>
      <c r="AP22" s="766">
        <v>2.8616700000000002E-3</v>
      </c>
      <c r="AQ22" s="766">
        <v>1.6658930000000001E-3</v>
      </c>
      <c r="AR22" s="766">
        <v>3.6460326000000001E-2</v>
      </c>
      <c r="AS22" s="766">
        <v>3.7802548999999998E-2</v>
      </c>
      <c r="AT22" s="766">
        <v>2.0012615000000001E-2</v>
      </c>
      <c r="AU22" s="766">
        <v>1.5698549999999999E-2</v>
      </c>
      <c r="AV22" s="766">
        <v>1.1486727E-2</v>
      </c>
      <c r="AW22" s="766">
        <v>2.4133214E-2</v>
      </c>
      <c r="AX22" s="766">
        <v>5.0313710999999997E-2</v>
      </c>
      <c r="AY22" s="766">
        <v>2.8361326999999999E-2</v>
      </c>
      <c r="AZ22" s="766">
        <v>2.9348694000000002E-2</v>
      </c>
      <c r="BA22" s="766">
        <v>1.276445E-3</v>
      </c>
      <c r="BB22" s="766">
        <v>6.7623200000000003E-4</v>
      </c>
      <c r="BC22" s="766">
        <v>1.380208E-3</v>
      </c>
      <c r="BD22" s="766">
        <v>6.1894979999999999E-3</v>
      </c>
      <c r="BE22" s="766">
        <v>3.7802500000000003E-2</v>
      </c>
      <c r="BF22" s="766">
        <v>2.0012599999999998E-2</v>
      </c>
      <c r="BG22" s="767">
        <v>1.56986E-2</v>
      </c>
      <c r="BH22" s="767">
        <v>1.1486700000000001E-2</v>
      </c>
      <c r="BI22" s="767">
        <v>2.41332E-2</v>
      </c>
      <c r="BJ22" s="767">
        <v>1.83711E-4</v>
      </c>
      <c r="BK22" s="767">
        <v>0.51164129999999997</v>
      </c>
      <c r="BL22" s="767">
        <v>2.9348699999999998E-2</v>
      </c>
      <c r="BM22" s="767">
        <v>1.2764499999999999E-3</v>
      </c>
      <c r="BN22" s="767">
        <v>6.7623200000000003E-4</v>
      </c>
      <c r="BO22" s="767">
        <v>1.38021E-3</v>
      </c>
      <c r="BP22" s="767">
        <v>6.1894999999999997E-3</v>
      </c>
      <c r="BQ22" s="767">
        <v>3.7802500000000003E-2</v>
      </c>
      <c r="BR22" s="767">
        <v>2.1882599999999999E-2</v>
      </c>
      <c r="BS22" s="767">
        <v>1.56986E-2</v>
      </c>
      <c r="BT22" s="767">
        <v>1.1486700000000001E-2</v>
      </c>
      <c r="BU22" s="767">
        <v>2.41332E-2</v>
      </c>
      <c r="BV22" s="767">
        <v>1.5763699999999999E-2</v>
      </c>
    </row>
    <row r="23" spans="1:74" ht="11.1" customHeight="1" x14ac:dyDescent="0.2">
      <c r="A23" s="545" t="s">
        <v>1257</v>
      </c>
      <c r="B23" s="548" t="s">
        <v>88</v>
      </c>
      <c r="C23" s="766">
        <v>2.7777400000000001</v>
      </c>
      <c r="D23" s="766">
        <v>2.7266409999999999</v>
      </c>
      <c r="E23" s="766">
        <v>2.8259310000000002</v>
      </c>
      <c r="F23" s="766">
        <v>2.2613620000000001</v>
      </c>
      <c r="G23" s="766">
        <v>2.4684430000000002</v>
      </c>
      <c r="H23" s="766">
        <v>2.5283850000000001</v>
      </c>
      <c r="I23" s="766">
        <v>2.9755349999999998</v>
      </c>
      <c r="J23" s="766">
        <v>2.7893620000000001</v>
      </c>
      <c r="K23" s="766">
        <v>2.6869239999999999</v>
      </c>
      <c r="L23" s="766">
        <v>2.960496</v>
      </c>
      <c r="M23" s="766">
        <v>2.8916240000000002</v>
      </c>
      <c r="N23" s="766">
        <v>2.85853</v>
      </c>
      <c r="O23" s="766">
        <v>2.9884590000000002</v>
      </c>
      <c r="P23" s="766">
        <v>2.5898300000000001</v>
      </c>
      <c r="Q23" s="766">
        <v>2.9711249999999998</v>
      </c>
      <c r="R23" s="766">
        <v>1.0229509999999999</v>
      </c>
      <c r="S23" s="766">
        <v>2.4410699999999999</v>
      </c>
      <c r="T23" s="766">
        <v>2.8830040000000001</v>
      </c>
      <c r="U23" s="766">
        <v>2.972254</v>
      </c>
      <c r="V23" s="766">
        <v>2.9570050000000001</v>
      </c>
      <c r="W23" s="766">
        <v>2.8625310000000002</v>
      </c>
      <c r="X23" s="766">
        <v>2.3944529999999999</v>
      </c>
      <c r="Y23" s="766">
        <v>2.4603739999999998</v>
      </c>
      <c r="Z23" s="766">
        <v>2.9944389999999999</v>
      </c>
      <c r="AA23" s="766">
        <v>2.8859530000000002</v>
      </c>
      <c r="AB23" s="766">
        <v>2.7043279999999998</v>
      </c>
      <c r="AC23" s="766">
        <v>2.5698279999999998</v>
      </c>
      <c r="AD23" s="766">
        <v>2.5188130000000002</v>
      </c>
      <c r="AE23" s="766">
        <v>2.9253170000000002</v>
      </c>
      <c r="AF23" s="766">
        <v>2.8376739999999998</v>
      </c>
      <c r="AG23" s="766">
        <v>2.958923</v>
      </c>
      <c r="AH23" s="766">
        <v>2.847172</v>
      </c>
      <c r="AI23" s="766">
        <v>2.5871469999999999</v>
      </c>
      <c r="AJ23" s="766">
        <v>1.3420240000000001</v>
      </c>
      <c r="AK23" s="766">
        <v>2.235544</v>
      </c>
      <c r="AL23" s="766">
        <v>2.9720279999999999</v>
      </c>
      <c r="AM23" s="766">
        <v>2.9352330000000002</v>
      </c>
      <c r="AN23" s="766">
        <v>2.7001740000000001</v>
      </c>
      <c r="AO23" s="766">
        <v>2.968493</v>
      </c>
      <c r="AP23" s="766">
        <v>2.1317759999999999</v>
      </c>
      <c r="AQ23" s="766">
        <v>2.2666149999999998</v>
      </c>
      <c r="AR23" s="766">
        <v>2.4008630000000002</v>
      </c>
      <c r="AS23" s="766">
        <v>2.464915</v>
      </c>
      <c r="AT23" s="766">
        <v>2.4621689999999998</v>
      </c>
      <c r="AU23" s="766">
        <v>2.38035</v>
      </c>
      <c r="AV23" s="766">
        <v>2.4668909999999999</v>
      </c>
      <c r="AW23" s="766">
        <v>2.3858109999999999</v>
      </c>
      <c r="AX23" s="766">
        <v>2.254235</v>
      </c>
      <c r="AY23" s="766">
        <v>2.5183070000000001</v>
      </c>
      <c r="AZ23" s="766">
        <v>2.3291620000000002</v>
      </c>
      <c r="BA23" s="766">
        <v>2.4775450000000001</v>
      </c>
      <c r="BB23" s="766">
        <v>1.041372</v>
      </c>
      <c r="BC23" s="766">
        <v>1.76756</v>
      </c>
      <c r="BD23" s="766">
        <v>2.113524</v>
      </c>
      <c r="BE23" s="766">
        <v>2.4743300000000001</v>
      </c>
      <c r="BF23" s="766">
        <v>2.4464199999999998</v>
      </c>
      <c r="BG23" s="767">
        <v>2.3470300000000002</v>
      </c>
      <c r="BH23" s="767">
        <v>1.8177000000000001</v>
      </c>
      <c r="BI23" s="767">
        <v>1.97</v>
      </c>
      <c r="BJ23" s="767">
        <v>2.4252699999999998</v>
      </c>
      <c r="BK23" s="767">
        <v>2.4252699999999998</v>
      </c>
      <c r="BL23" s="767">
        <v>2.1905700000000001</v>
      </c>
      <c r="BM23" s="767">
        <v>2.4252699999999998</v>
      </c>
      <c r="BN23" s="767">
        <v>2.3470300000000002</v>
      </c>
      <c r="BO23" s="767">
        <v>2.4252699999999998</v>
      </c>
      <c r="BP23" s="767">
        <v>2.3470300000000002</v>
      </c>
      <c r="BQ23" s="767">
        <v>2.4252699999999998</v>
      </c>
      <c r="BR23" s="767">
        <v>2.4252699999999998</v>
      </c>
      <c r="BS23" s="767">
        <v>2.3470300000000002</v>
      </c>
      <c r="BT23" s="767">
        <v>1.3620000000000001</v>
      </c>
      <c r="BU23" s="767">
        <v>1.79627</v>
      </c>
      <c r="BV23" s="767">
        <v>2.4252699999999998</v>
      </c>
    </row>
    <row r="24" spans="1:74" ht="11.1" customHeight="1" x14ac:dyDescent="0.2">
      <c r="A24" s="545" t="s">
        <v>1258</v>
      </c>
      <c r="B24" s="548" t="s">
        <v>1259</v>
      </c>
      <c r="C24" s="766">
        <v>0.66684694</v>
      </c>
      <c r="D24" s="766">
        <v>0.67925614899999998</v>
      </c>
      <c r="E24" s="766">
        <v>0.82771687699999996</v>
      </c>
      <c r="F24" s="766">
        <v>0.80636753800000005</v>
      </c>
      <c r="G24" s="766">
        <v>0.52146935400000005</v>
      </c>
      <c r="H24" s="766">
        <v>0.35316013899999998</v>
      </c>
      <c r="I24" s="766">
        <v>0.350846677</v>
      </c>
      <c r="J24" s="766">
        <v>0.29782973299999999</v>
      </c>
      <c r="K24" s="766">
        <v>0.242910405</v>
      </c>
      <c r="L24" s="766">
        <v>0.242325499</v>
      </c>
      <c r="M24" s="766">
        <v>0.32890898200000002</v>
      </c>
      <c r="N24" s="766">
        <v>0.52299263699999998</v>
      </c>
      <c r="O24" s="766">
        <v>0.563488286</v>
      </c>
      <c r="P24" s="766">
        <v>0.55067841200000001</v>
      </c>
      <c r="Q24" s="766">
        <v>0.67570320699999997</v>
      </c>
      <c r="R24" s="766">
        <v>0.88209228299999998</v>
      </c>
      <c r="S24" s="766">
        <v>0.94575753500000004</v>
      </c>
      <c r="T24" s="766">
        <v>0.72206322700000003</v>
      </c>
      <c r="U24" s="766">
        <v>0.59818165000000001</v>
      </c>
      <c r="V24" s="766">
        <v>0.379244525</v>
      </c>
      <c r="W24" s="766">
        <v>0.29010159899999999</v>
      </c>
      <c r="X24" s="766">
        <v>0.29383779799999998</v>
      </c>
      <c r="Y24" s="766">
        <v>0.67355076899999999</v>
      </c>
      <c r="Z24" s="766">
        <v>0.51163405900000003</v>
      </c>
      <c r="AA24" s="766">
        <v>0.64713758499999996</v>
      </c>
      <c r="AB24" s="766">
        <v>0.69247122000000005</v>
      </c>
      <c r="AC24" s="766">
        <v>0.76747903699999998</v>
      </c>
      <c r="AD24" s="766">
        <v>0.919852844</v>
      </c>
      <c r="AE24" s="766">
        <v>0.75106772200000005</v>
      </c>
      <c r="AF24" s="766">
        <v>0.34313967499999998</v>
      </c>
      <c r="AG24" s="766">
        <v>0.29663284099999998</v>
      </c>
      <c r="AH24" s="766">
        <v>0.40846261900000003</v>
      </c>
      <c r="AI24" s="766">
        <v>0.39179349499999999</v>
      </c>
      <c r="AJ24" s="766">
        <v>0.58365508700000002</v>
      </c>
      <c r="AK24" s="766">
        <v>0.80321369600000003</v>
      </c>
      <c r="AL24" s="766">
        <v>0.860234956</v>
      </c>
      <c r="AM24" s="766">
        <v>0.76439853999999996</v>
      </c>
      <c r="AN24" s="766">
        <v>0.61562283699999998</v>
      </c>
      <c r="AO24" s="766">
        <v>0.69407827499999997</v>
      </c>
      <c r="AP24" s="766">
        <v>0.62162610900000004</v>
      </c>
      <c r="AQ24" s="766">
        <v>0.64891836599999997</v>
      </c>
      <c r="AR24" s="766">
        <v>0.59483322299999997</v>
      </c>
      <c r="AS24" s="766">
        <v>0.63290949200000002</v>
      </c>
      <c r="AT24" s="766">
        <v>0.453061622</v>
      </c>
      <c r="AU24" s="766">
        <v>0.38177777299999999</v>
      </c>
      <c r="AV24" s="766">
        <v>0.38917769200000002</v>
      </c>
      <c r="AW24" s="766">
        <v>0.56696243099999999</v>
      </c>
      <c r="AX24" s="766">
        <v>0.680937338</v>
      </c>
      <c r="AY24" s="766">
        <v>0.69448761199999998</v>
      </c>
      <c r="AZ24" s="766">
        <v>0.68805322300000005</v>
      </c>
      <c r="BA24" s="766">
        <v>0.72472043600000002</v>
      </c>
      <c r="BB24" s="766">
        <v>0.69294214300000001</v>
      </c>
      <c r="BC24" s="766">
        <v>0.69676378800000005</v>
      </c>
      <c r="BD24" s="766">
        <v>0.61930165299999995</v>
      </c>
      <c r="BE24" s="766">
        <v>0.63010869999999997</v>
      </c>
      <c r="BF24" s="766">
        <v>0.46875850000000002</v>
      </c>
      <c r="BG24" s="767">
        <v>0.42509049999999998</v>
      </c>
      <c r="BH24" s="767">
        <v>0.39237339999999998</v>
      </c>
      <c r="BI24" s="767">
        <v>0.54396169999999999</v>
      </c>
      <c r="BJ24" s="767">
        <v>0.63635050000000004</v>
      </c>
      <c r="BK24" s="767">
        <v>0.69583550000000005</v>
      </c>
      <c r="BL24" s="767">
        <v>0.6509066</v>
      </c>
      <c r="BM24" s="767">
        <v>0.74872179999999999</v>
      </c>
      <c r="BN24" s="767">
        <v>0.73090219999999995</v>
      </c>
      <c r="BO24" s="767">
        <v>0.67039029999999999</v>
      </c>
      <c r="BP24" s="767">
        <v>0.592889</v>
      </c>
      <c r="BQ24" s="767">
        <v>0.61469430000000003</v>
      </c>
      <c r="BR24" s="767">
        <v>0.45293860000000002</v>
      </c>
      <c r="BS24" s="767">
        <v>0.39301239999999998</v>
      </c>
      <c r="BT24" s="767">
        <v>0.37912849999999998</v>
      </c>
      <c r="BU24" s="767">
        <v>0.5203624</v>
      </c>
      <c r="BV24" s="767">
        <v>0.62393010000000004</v>
      </c>
    </row>
    <row r="25" spans="1:74" ht="11.1" customHeight="1" x14ac:dyDescent="0.2">
      <c r="A25" s="545" t="s">
        <v>1260</v>
      </c>
      <c r="B25" s="548" t="s">
        <v>1362</v>
      </c>
      <c r="C25" s="766">
        <v>0.84197469199999997</v>
      </c>
      <c r="D25" s="766">
        <v>0.82942986299999999</v>
      </c>
      <c r="E25" s="766">
        <v>0.79932718400000002</v>
      </c>
      <c r="F25" s="766">
        <v>0.64692524500000004</v>
      </c>
      <c r="G25" s="766">
        <v>0.71553699599999998</v>
      </c>
      <c r="H25" s="766">
        <v>0.75973110300000002</v>
      </c>
      <c r="I25" s="766">
        <v>0.77333472199999997</v>
      </c>
      <c r="J25" s="766">
        <v>0.77364973800000003</v>
      </c>
      <c r="K25" s="766">
        <v>0.74664819000000004</v>
      </c>
      <c r="L25" s="766">
        <v>0.73166106399999997</v>
      </c>
      <c r="M25" s="766">
        <v>0.77273345699999996</v>
      </c>
      <c r="N25" s="766">
        <v>0.91848215200000005</v>
      </c>
      <c r="O25" s="766">
        <v>0.88267381099999997</v>
      </c>
      <c r="P25" s="766">
        <v>0.86228242300000002</v>
      </c>
      <c r="Q25" s="766">
        <v>0.94023059499999995</v>
      </c>
      <c r="R25" s="766">
        <v>0.757464837</v>
      </c>
      <c r="S25" s="766">
        <v>0.76160984499999995</v>
      </c>
      <c r="T25" s="766">
        <v>0.83154742100000001</v>
      </c>
      <c r="U25" s="766">
        <v>0.79998726200000003</v>
      </c>
      <c r="V25" s="766">
        <v>0.82571450599999996</v>
      </c>
      <c r="W25" s="766">
        <v>0.77180008499999997</v>
      </c>
      <c r="X25" s="766">
        <v>0.80848160700000005</v>
      </c>
      <c r="Y25" s="766">
        <v>0.87206736799999995</v>
      </c>
      <c r="Z25" s="766">
        <v>0.95992564499999999</v>
      </c>
      <c r="AA25" s="766">
        <v>0.987216973</v>
      </c>
      <c r="AB25" s="766">
        <v>0.86522941600000003</v>
      </c>
      <c r="AC25" s="766">
        <v>1.0056773729999999</v>
      </c>
      <c r="AD25" s="766">
        <v>0.79277868699999998</v>
      </c>
      <c r="AE25" s="766">
        <v>0.75743109799999997</v>
      </c>
      <c r="AF25" s="766">
        <v>0.817951333</v>
      </c>
      <c r="AG25" s="766">
        <v>0.84423677200000002</v>
      </c>
      <c r="AH25" s="766">
        <v>0.75528784699999996</v>
      </c>
      <c r="AI25" s="766">
        <v>0.71876098300000002</v>
      </c>
      <c r="AJ25" s="766">
        <v>0.85677953399999995</v>
      </c>
      <c r="AK25" s="766">
        <v>0.80250420899999997</v>
      </c>
      <c r="AL25" s="766">
        <v>0.91204478300000003</v>
      </c>
      <c r="AM25" s="766">
        <v>0.89332836999999998</v>
      </c>
      <c r="AN25" s="766">
        <v>0.818028282</v>
      </c>
      <c r="AO25" s="766">
        <v>0.87577238999999996</v>
      </c>
      <c r="AP25" s="766">
        <v>0.90536731100000001</v>
      </c>
      <c r="AQ25" s="766">
        <v>0.88883689600000004</v>
      </c>
      <c r="AR25" s="766">
        <v>0.87086493399999998</v>
      </c>
      <c r="AS25" s="766">
        <v>0.88098814599999997</v>
      </c>
      <c r="AT25" s="766">
        <v>0.85054711199999999</v>
      </c>
      <c r="AU25" s="766">
        <v>0.82722352300000002</v>
      </c>
      <c r="AV25" s="766">
        <v>0.82646287799999996</v>
      </c>
      <c r="AW25" s="766">
        <v>0.80928737699999997</v>
      </c>
      <c r="AX25" s="766">
        <v>0.88759213999999997</v>
      </c>
      <c r="AY25" s="766">
        <v>0.84310769100000005</v>
      </c>
      <c r="AZ25" s="766">
        <v>0.85566096999999997</v>
      </c>
      <c r="BA25" s="766">
        <v>0.90650777599999999</v>
      </c>
      <c r="BB25" s="766">
        <v>0.890065043</v>
      </c>
      <c r="BC25" s="766">
        <v>0.92703837</v>
      </c>
      <c r="BD25" s="766">
        <v>0.826129314</v>
      </c>
      <c r="BE25" s="766">
        <v>0.90192419999999995</v>
      </c>
      <c r="BF25" s="766">
        <v>0.88301300000000005</v>
      </c>
      <c r="BG25" s="767">
        <v>0.87584269999999997</v>
      </c>
      <c r="BH25" s="767">
        <v>0.82934350000000001</v>
      </c>
      <c r="BI25" s="767">
        <v>0.83079400000000003</v>
      </c>
      <c r="BJ25" s="767">
        <v>1.1724239999999999</v>
      </c>
      <c r="BK25" s="767">
        <v>1.150109</v>
      </c>
      <c r="BL25" s="767">
        <v>1.2656400000000001</v>
      </c>
      <c r="BM25" s="767">
        <v>1.023209</v>
      </c>
      <c r="BN25" s="767">
        <v>0.93172509999999997</v>
      </c>
      <c r="BO25" s="767">
        <v>0.95073379999999996</v>
      </c>
      <c r="BP25" s="767">
        <v>0.85499689999999995</v>
      </c>
      <c r="BQ25" s="767">
        <v>0.96928610000000004</v>
      </c>
      <c r="BR25" s="767">
        <v>0.8956807</v>
      </c>
      <c r="BS25" s="767">
        <v>0.89735540000000003</v>
      </c>
      <c r="BT25" s="767">
        <v>0.86264799999999997</v>
      </c>
      <c r="BU25" s="767">
        <v>0.881108</v>
      </c>
      <c r="BV25" s="767">
        <v>1.2489269999999999</v>
      </c>
    </row>
    <row r="26" spans="1:74" ht="11.1" customHeight="1" x14ac:dyDescent="0.2">
      <c r="A26" s="545" t="s">
        <v>1261</v>
      </c>
      <c r="B26" s="546" t="s">
        <v>1363</v>
      </c>
      <c r="C26" s="766">
        <v>0.144775125</v>
      </c>
      <c r="D26" s="766">
        <v>0.19704918199999999</v>
      </c>
      <c r="E26" s="766">
        <v>8.0523470999999999E-2</v>
      </c>
      <c r="F26" s="766">
        <v>9.6673593000000002E-2</v>
      </c>
      <c r="G26" s="766">
        <v>0.129445848</v>
      </c>
      <c r="H26" s="766">
        <v>0.114625196</v>
      </c>
      <c r="I26" s="766">
        <v>0.148889981</v>
      </c>
      <c r="J26" s="766">
        <v>0.151438137</v>
      </c>
      <c r="K26" s="766">
        <v>0.144145668</v>
      </c>
      <c r="L26" s="766">
        <v>0.14930169500000001</v>
      </c>
      <c r="M26" s="766">
        <v>0.27003950599999998</v>
      </c>
      <c r="N26" s="766">
        <v>0.17560541900000001</v>
      </c>
      <c r="O26" s="766">
        <v>0.124876475</v>
      </c>
      <c r="P26" s="766">
        <v>0.11111929500000001</v>
      </c>
      <c r="Q26" s="766">
        <v>9.6135021000000001E-2</v>
      </c>
      <c r="R26" s="766">
        <v>0.109646302</v>
      </c>
      <c r="S26" s="766">
        <v>0.143596155</v>
      </c>
      <c r="T26" s="766">
        <v>0.13260412799999999</v>
      </c>
      <c r="U26" s="766">
        <v>0.108940491</v>
      </c>
      <c r="V26" s="766">
        <v>0.117699423</v>
      </c>
      <c r="W26" s="766">
        <v>0.11466974200000001</v>
      </c>
      <c r="X26" s="766">
        <v>0.10104014</v>
      </c>
      <c r="Y26" s="766">
        <v>0.113335846</v>
      </c>
      <c r="Z26" s="766">
        <v>0.57352437300000003</v>
      </c>
      <c r="AA26" s="766">
        <v>1.125006167</v>
      </c>
      <c r="AB26" s="766">
        <v>8.3801035999999995E-2</v>
      </c>
      <c r="AC26" s="766">
        <v>0.10314862399999999</v>
      </c>
      <c r="AD26" s="766">
        <v>9.7523054999999997E-2</v>
      </c>
      <c r="AE26" s="766">
        <v>8.8131561999999997E-2</v>
      </c>
      <c r="AF26" s="766">
        <v>0.138824843</v>
      </c>
      <c r="AG26" s="766">
        <v>0.11532582500000001</v>
      </c>
      <c r="AH26" s="766">
        <v>0.112596034</v>
      </c>
      <c r="AI26" s="766">
        <v>9.4359643000000007E-2</v>
      </c>
      <c r="AJ26" s="766">
        <v>9.3389121000000005E-2</v>
      </c>
      <c r="AK26" s="766">
        <v>0.10923197</v>
      </c>
      <c r="AL26" s="766">
        <v>9.8497785000000004E-2</v>
      </c>
      <c r="AM26" s="766">
        <v>0.16796012399999999</v>
      </c>
      <c r="AN26" s="766">
        <v>0.10530476499999999</v>
      </c>
      <c r="AO26" s="766">
        <v>0.107501295</v>
      </c>
      <c r="AP26" s="766">
        <v>0.113982085</v>
      </c>
      <c r="AQ26" s="766">
        <v>0.124113365</v>
      </c>
      <c r="AR26" s="766">
        <v>0.117084986</v>
      </c>
      <c r="AS26" s="766">
        <v>0.13280681599999999</v>
      </c>
      <c r="AT26" s="766">
        <v>0.12583849799999999</v>
      </c>
      <c r="AU26" s="766">
        <v>0.112966841</v>
      </c>
      <c r="AV26" s="766">
        <v>0.12910386800000001</v>
      </c>
      <c r="AW26" s="766">
        <v>0.12962172199999999</v>
      </c>
      <c r="AX26" s="766">
        <v>0.150767078</v>
      </c>
      <c r="AY26" s="766">
        <v>0.14508449200000001</v>
      </c>
      <c r="AZ26" s="766">
        <v>0.110392712</v>
      </c>
      <c r="BA26" s="766">
        <v>0.11023899</v>
      </c>
      <c r="BB26" s="766">
        <v>0.12314681</v>
      </c>
      <c r="BC26" s="766">
        <v>0.119157711</v>
      </c>
      <c r="BD26" s="766">
        <v>0.10988665</v>
      </c>
      <c r="BE26" s="766">
        <v>0.13086690000000001</v>
      </c>
      <c r="BF26" s="766">
        <v>0.13975580000000001</v>
      </c>
      <c r="BG26" s="767">
        <v>0.1223301</v>
      </c>
      <c r="BH26" s="767">
        <v>0.1128981</v>
      </c>
      <c r="BI26" s="767">
        <v>0.13615379999999999</v>
      </c>
      <c r="BJ26" s="767">
        <v>0.2603086</v>
      </c>
      <c r="BK26" s="767">
        <v>1.107518</v>
      </c>
      <c r="BL26" s="767">
        <v>0.100634</v>
      </c>
      <c r="BM26" s="767">
        <v>9.7266699999999998E-2</v>
      </c>
      <c r="BN26" s="767">
        <v>0.12195599999999999</v>
      </c>
      <c r="BO26" s="767">
        <v>0.1131934</v>
      </c>
      <c r="BP26" s="767">
        <v>9.5791000000000001E-2</v>
      </c>
      <c r="BQ26" s="767">
        <v>0.12391870000000001</v>
      </c>
      <c r="BR26" s="767">
        <v>0.1200553</v>
      </c>
      <c r="BS26" s="767">
        <v>0.10620549999999999</v>
      </c>
      <c r="BT26" s="767">
        <v>0.11219</v>
      </c>
      <c r="BU26" s="767">
        <v>0.14408989999999999</v>
      </c>
      <c r="BV26" s="767">
        <v>0.143762</v>
      </c>
    </row>
    <row r="27" spans="1:74" ht="11.1" customHeight="1" x14ac:dyDescent="0.2">
      <c r="A27" s="545" t="s">
        <v>1262</v>
      </c>
      <c r="B27" s="548" t="s">
        <v>1263</v>
      </c>
      <c r="C27" s="766">
        <v>8.6213550189999992</v>
      </c>
      <c r="D27" s="766">
        <v>8.1893385680000002</v>
      </c>
      <c r="E27" s="766">
        <v>8.0692240660000003</v>
      </c>
      <c r="F27" s="766">
        <v>8.1242039360000007</v>
      </c>
      <c r="G27" s="766">
        <v>8.6303064789999997</v>
      </c>
      <c r="H27" s="766">
        <v>8.6887096029999995</v>
      </c>
      <c r="I27" s="766">
        <v>10.600128442000001</v>
      </c>
      <c r="J27" s="766">
        <v>10.549348098999999</v>
      </c>
      <c r="K27" s="766">
        <v>8.5435111209999999</v>
      </c>
      <c r="L27" s="766">
        <v>7.6576317779999998</v>
      </c>
      <c r="M27" s="766">
        <v>7.5933486459999999</v>
      </c>
      <c r="N27" s="766">
        <v>8.5687575159999998</v>
      </c>
      <c r="O27" s="766">
        <v>8.5441867499999997</v>
      </c>
      <c r="P27" s="766">
        <v>7.6062191439999998</v>
      </c>
      <c r="Q27" s="766">
        <v>8.5478126240000005</v>
      </c>
      <c r="R27" s="766">
        <v>7.1935626030000002</v>
      </c>
      <c r="S27" s="766">
        <v>7.8455448609999996</v>
      </c>
      <c r="T27" s="766">
        <v>8.8252238280000004</v>
      </c>
      <c r="U27" s="766">
        <v>9.8364237649999993</v>
      </c>
      <c r="V27" s="766">
        <v>9.6452225140000003</v>
      </c>
      <c r="W27" s="766">
        <v>8.4079742900000003</v>
      </c>
      <c r="X27" s="766">
        <v>7.8311881630000002</v>
      </c>
      <c r="Y27" s="766">
        <v>7.8208015150000003</v>
      </c>
      <c r="Z27" s="766">
        <v>8.9231398070000001</v>
      </c>
      <c r="AA27" s="766">
        <v>9.3269006520000008</v>
      </c>
      <c r="AB27" s="766">
        <v>7.5961998519999998</v>
      </c>
      <c r="AC27" s="766">
        <v>8.1397981060000006</v>
      </c>
      <c r="AD27" s="766">
        <v>7.3312842109999998</v>
      </c>
      <c r="AE27" s="766">
        <v>7.4600296430000004</v>
      </c>
      <c r="AF27" s="766">
        <v>8.1978876379999992</v>
      </c>
      <c r="AG27" s="766">
        <v>10.316830016999999</v>
      </c>
      <c r="AH27" s="766">
        <v>10.754960605999999</v>
      </c>
      <c r="AI27" s="766">
        <v>8.5512043460000005</v>
      </c>
      <c r="AJ27" s="766">
        <v>7.5072146599999998</v>
      </c>
      <c r="AK27" s="766">
        <v>7.5776802679999999</v>
      </c>
      <c r="AL27" s="766">
        <v>8.5342783230000006</v>
      </c>
      <c r="AM27" s="766">
        <v>8.7195710589999997</v>
      </c>
      <c r="AN27" s="766">
        <v>7.5621202629999997</v>
      </c>
      <c r="AO27" s="766">
        <v>8.2536411219999994</v>
      </c>
      <c r="AP27" s="766">
        <v>7.0272665910000001</v>
      </c>
      <c r="AQ27" s="766">
        <v>6.9359551010000002</v>
      </c>
      <c r="AR27" s="766">
        <v>7.7572264119999996</v>
      </c>
      <c r="AS27" s="766">
        <v>10.088735746999999</v>
      </c>
      <c r="AT27" s="766">
        <v>8.9743317339999997</v>
      </c>
      <c r="AU27" s="766">
        <v>7.4729627130000003</v>
      </c>
      <c r="AV27" s="766">
        <v>7.4722823380000003</v>
      </c>
      <c r="AW27" s="766">
        <v>7.4085532150000004</v>
      </c>
      <c r="AX27" s="766">
        <v>8.3983345529999998</v>
      </c>
      <c r="AY27" s="766">
        <v>8.5977829280000009</v>
      </c>
      <c r="AZ27" s="766">
        <v>7.7954306100000004</v>
      </c>
      <c r="BA27" s="766">
        <v>7.1261138900000001</v>
      </c>
      <c r="BB27" s="766">
        <v>5.8321658860000003</v>
      </c>
      <c r="BC27" s="766">
        <v>6.2469516540000001</v>
      </c>
      <c r="BD27" s="766">
        <v>8.2086196220000005</v>
      </c>
      <c r="BE27" s="766">
        <v>9.6062720000000006</v>
      </c>
      <c r="BF27" s="766">
        <v>9.0849539999999998</v>
      </c>
      <c r="BG27" s="767">
        <v>7.8389579999999999</v>
      </c>
      <c r="BH27" s="767">
        <v>6.5708200000000003</v>
      </c>
      <c r="BI27" s="767">
        <v>7.7897189999999998</v>
      </c>
      <c r="BJ27" s="767">
        <v>7.7647690000000003</v>
      </c>
      <c r="BK27" s="767">
        <v>8.0564199999999992</v>
      </c>
      <c r="BL27" s="767">
        <v>7.2168760000000001</v>
      </c>
      <c r="BM27" s="767">
        <v>6.3893890000000004</v>
      </c>
      <c r="BN27" s="767">
        <v>5.7604620000000004</v>
      </c>
      <c r="BO27" s="767">
        <v>5.9733799999999997</v>
      </c>
      <c r="BP27" s="767">
        <v>7.6447599999999998</v>
      </c>
      <c r="BQ27" s="767">
        <v>9.6231089999999995</v>
      </c>
      <c r="BR27" s="767">
        <v>8.6132690000000007</v>
      </c>
      <c r="BS27" s="767">
        <v>7.1373199999999999</v>
      </c>
      <c r="BT27" s="767">
        <v>6.5033110000000001</v>
      </c>
      <c r="BU27" s="767">
        <v>8.2673880000000004</v>
      </c>
      <c r="BV27" s="767">
        <v>7.8028459999999997</v>
      </c>
    </row>
    <row r="28" spans="1:74" ht="11.1" customHeight="1" x14ac:dyDescent="0.2">
      <c r="A28" s="545" t="s">
        <v>1264</v>
      </c>
      <c r="B28" s="546" t="s">
        <v>1364</v>
      </c>
      <c r="C28" s="766">
        <v>10.684339674</v>
      </c>
      <c r="D28" s="766">
        <v>9.7526378142999999</v>
      </c>
      <c r="E28" s="766">
        <v>9.5051056076999991</v>
      </c>
      <c r="F28" s="766">
        <v>8.6991754029999999</v>
      </c>
      <c r="G28" s="766">
        <v>9.0697574399000001</v>
      </c>
      <c r="H28" s="766">
        <v>9.8902011571999999</v>
      </c>
      <c r="I28" s="766">
        <v>12.024085233999999</v>
      </c>
      <c r="J28" s="766">
        <v>12.277749478</v>
      </c>
      <c r="K28" s="766">
        <v>9.8491005429000005</v>
      </c>
      <c r="L28" s="766">
        <v>8.9748524648999997</v>
      </c>
      <c r="M28" s="766">
        <v>9.0224877158000005</v>
      </c>
      <c r="N28" s="766">
        <v>10.524881229</v>
      </c>
      <c r="O28" s="766">
        <v>10.32571725</v>
      </c>
      <c r="P28" s="766">
        <v>9.0661744543000005</v>
      </c>
      <c r="Q28" s="766">
        <v>9.9515788729000008</v>
      </c>
      <c r="R28" s="766">
        <v>8.4631912800000002</v>
      </c>
      <c r="S28" s="766">
        <v>8.8638489212000007</v>
      </c>
      <c r="T28" s="766">
        <v>9.9433023702999996</v>
      </c>
      <c r="U28" s="766">
        <v>11.06428753</v>
      </c>
      <c r="V28" s="766">
        <v>10.723412921</v>
      </c>
      <c r="W28" s="766">
        <v>9.4209169509000006</v>
      </c>
      <c r="X28" s="766">
        <v>9.0408965971999997</v>
      </c>
      <c r="Y28" s="766">
        <v>9.3192506885000004</v>
      </c>
      <c r="Z28" s="766">
        <v>10.95743072</v>
      </c>
      <c r="AA28" s="766">
        <v>11.262160226000001</v>
      </c>
      <c r="AB28" s="766">
        <v>9.1244376705000008</v>
      </c>
      <c r="AC28" s="766">
        <v>9.5823495853999994</v>
      </c>
      <c r="AD28" s="766">
        <v>8.6224540243999996</v>
      </c>
      <c r="AE28" s="766">
        <v>8.7180282725999998</v>
      </c>
      <c r="AF28" s="766">
        <v>9.5010875350999999</v>
      </c>
      <c r="AG28" s="766">
        <v>11.937121532999999</v>
      </c>
      <c r="AH28" s="766">
        <v>12.232217576</v>
      </c>
      <c r="AI28" s="766">
        <v>9.7327950134000005</v>
      </c>
      <c r="AJ28" s="766">
        <v>9.1629937463999998</v>
      </c>
      <c r="AK28" s="766">
        <v>9.4478128859999995</v>
      </c>
      <c r="AL28" s="766">
        <v>9.9771454063</v>
      </c>
      <c r="AM28" s="766">
        <v>10.702346931999999</v>
      </c>
      <c r="AN28" s="766">
        <v>9.3421661676000003</v>
      </c>
      <c r="AO28" s="766">
        <v>9.4254739240000003</v>
      </c>
      <c r="AP28" s="766">
        <v>8.2567257007000006</v>
      </c>
      <c r="AQ28" s="766">
        <v>8.3985040495999996</v>
      </c>
      <c r="AR28" s="766">
        <v>9.1861920545999993</v>
      </c>
      <c r="AS28" s="766">
        <v>12.079324757</v>
      </c>
      <c r="AT28" s="766">
        <v>10.959933854999999</v>
      </c>
      <c r="AU28" s="766">
        <v>8.8745625834999995</v>
      </c>
      <c r="AV28" s="766">
        <v>8.7192148876999997</v>
      </c>
      <c r="AW28" s="766">
        <v>9.0644423290000002</v>
      </c>
      <c r="AX28" s="766">
        <v>10.228649369999999</v>
      </c>
      <c r="AY28" s="766">
        <v>9.9893872870999996</v>
      </c>
      <c r="AZ28" s="766">
        <v>9.0846915371999994</v>
      </c>
      <c r="BA28" s="766">
        <v>8.7126729347000005</v>
      </c>
      <c r="BB28" s="766">
        <v>7.7552543576000001</v>
      </c>
      <c r="BC28" s="766">
        <v>7.9321635719000003</v>
      </c>
      <c r="BD28" s="766">
        <v>9.53606175</v>
      </c>
      <c r="BE28" s="766">
        <v>11.97606</v>
      </c>
      <c r="BF28" s="766">
        <v>11.817069999999999</v>
      </c>
      <c r="BG28" s="767">
        <v>9.4842300000000002</v>
      </c>
      <c r="BH28" s="767">
        <v>9.0703779999999998</v>
      </c>
      <c r="BI28" s="767">
        <v>9.0863580000000006</v>
      </c>
      <c r="BJ28" s="767">
        <v>10.09825</v>
      </c>
      <c r="BK28" s="767">
        <v>10.25389</v>
      </c>
      <c r="BL28" s="767">
        <v>8.9853590000000008</v>
      </c>
      <c r="BM28" s="767">
        <v>9.4635890000000007</v>
      </c>
      <c r="BN28" s="767">
        <v>8.2256680000000006</v>
      </c>
      <c r="BO28" s="767">
        <v>8.6297409999999992</v>
      </c>
      <c r="BP28" s="767">
        <v>9.7056710000000006</v>
      </c>
      <c r="BQ28" s="767">
        <v>11.39339</v>
      </c>
      <c r="BR28" s="767">
        <v>10.99423</v>
      </c>
      <c r="BS28" s="767">
        <v>9.0997120000000002</v>
      </c>
      <c r="BT28" s="767">
        <v>9.0663359999999997</v>
      </c>
      <c r="BU28" s="767">
        <v>9.0696899999999996</v>
      </c>
      <c r="BV28" s="767">
        <v>10.096880000000001</v>
      </c>
    </row>
    <row r="29" spans="1:74" ht="11.1" customHeight="1" x14ac:dyDescent="0.2">
      <c r="A29" s="539"/>
      <c r="B29" s="131" t="s">
        <v>1365</v>
      </c>
      <c r="C29" s="249"/>
      <c r="D29" s="249"/>
      <c r="E29" s="249"/>
      <c r="F29" s="249"/>
      <c r="G29" s="249"/>
      <c r="H29" s="249"/>
      <c r="I29" s="249"/>
      <c r="J29" s="249"/>
      <c r="K29" s="249"/>
      <c r="L29" s="249"/>
      <c r="M29" s="249"/>
      <c r="N29" s="249"/>
      <c r="O29" s="249"/>
      <c r="P29" s="249"/>
      <c r="Q29" s="249"/>
      <c r="R29" s="249"/>
      <c r="S29" s="249"/>
      <c r="T29" s="249"/>
      <c r="U29" s="249"/>
      <c r="V29" s="249"/>
      <c r="W29" s="249"/>
      <c r="X29" s="249"/>
      <c r="Y29" s="249"/>
      <c r="Z29" s="249"/>
      <c r="AA29" s="249"/>
      <c r="AB29" s="249"/>
      <c r="AC29" s="249"/>
      <c r="AD29" s="249"/>
      <c r="AE29" s="249"/>
      <c r="AF29" s="249"/>
      <c r="AG29" s="249"/>
      <c r="AH29" s="249"/>
      <c r="AI29" s="249"/>
      <c r="AJ29" s="249"/>
      <c r="AK29" s="249"/>
      <c r="AL29" s="249"/>
      <c r="AM29" s="249"/>
      <c r="AN29" s="249"/>
      <c r="AO29" s="249"/>
      <c r="AP29" s="249"/>
      <c r="AQ29" s="249"/>
      <c r="AR29" s="249"/>
      <c r="AS29" s="249"/>
      <c r="AT29" s="249"/>
      <c r="AU29" s="249"/>
      <c r="AV29" s="249"/>
      <c r="AW29" s="249"/>
      <c r="AX29" s="249"/>
      <c r="AY29" s="249"/>
      <c r="AZ29" s="249"/>
      <c r="BA29" s="249"/>
      <c r="BB29" s="249"/>
      <c r="BC29" s="249"/>
      <c r="BD29" s="249"/>
      <c r="BE29" s="249"/>
      <c r="BF29" s="249"/>
      <c r="BG29" s="360"/>
      <c r="BH29" s="360"/>
      <c r="BI29" s="360"/>
      <c r="BJ29" s="360"/>
      <c r="BK29" s="360"/>
      <c r="BL29" s="360"/>
      <c r="BM29" s="360"/>
      <c r="BN29" s="360"/>
      <c r="BO29" s="360"/>
      <c r="BP29" s="360"/>
      <c r="BQ29" s="360"/>
      <c r="BR29" s="360"/>
      <c r="BS29" s="360"/>
      <c r="BT29" s="360"/>
      <c r="BU29" s="360"/>
      <c r="BV29" s="360"/>
    </row>
    <row r="30" spans="1:74" ht="11.1" customHeight="1" x14ac:dyDescent="0.2">
      <c r="A30" s="545" t="s">
        <v>1265</v>
      </c>
      <c r="B30" s="546" t="s">
        <v>86</v>
      </c>
      <c r="C30" s="766">
        <v>4.536806747</v>
      </c>
      <c r="D30" s="766">
        <v>3.9000921179999999</v>
      </c>
      <c r="E30" s="766">
        <v>4.2331611870000003</v>
      </c>
      <c r="F30" s="766">
        <v>4.4945347399999998</v>
      </c>
      <c r="G30" s="766">
        <v>5.057028088</v>
      </c>
      <c r="H30" s="766">
        <v>5.6835550140000004</v>
      </c>
      <c r="I30" s="766">
        <v>7.3211198919999996</v>
      </c>
      <c r="J30" s="766">
        <v>7.9128644000000001</v>
      </c>
      <c r="K30" s="766">
        <v>5.7822608009999996</v>
      </c>
      <c r="L30" s="766">
        <v>4.2732235919999999</v>
      </c>
      <c r="M30" s="766">
        <v>3.8599100649999998</v>
      </c>
      <c r="N30" s="766">
        <v>4.5963084710000004</v>
      </c>
      <c r="O30" s="766">
        <v>4.1538364330000004</v>
      </c>
      <c r="P30" s="766">
        <v>3.461791066</v>
      </c>
      <c r="Q30" s="766">
        <v>4.043002714</v>
      </c>
      <c r="R30" s="766">
        <v>3.3966831430000002</v>
      </c>
      <c r="S30" s="766">
        <v>3.7469020230000001</v>
      </c>
      <c r="T30" s="766">
        <v>4.8145474989999997</v>
      </c>
      <c r="U30" s="766">
        <v>6.040402458</v>
      </c>
      <c r="V30" s="766">
        <v>5.6415479560000001</v>
      </c>
      <c r="W30" s="766">
        <v>4.8123419829999996</v>
      </c>
      <c r="X30" s="766">
        <v>3.975392995</v>
      </c>
      <c r="Y30" s="766">
        <v>3.523485059</v>
      </c>
      <c r="Z30" s="766">
        <v>4.1334466809999997</v>
      </c>
      <c r="AA30" s="766">
        <v>3.7171738049999998</v>
      </c>
      <c r="AB30" s="766">
        <v>3.3063524470000001</v>
      </c>
      <c r="AC30" s="766">
        <v>3.688857906</v>
      </c>
      <c r="AD30" s="766">
        <v>3.7722633249999999</v>
      </c>
      <c r="AE30" s="766">
        <v>4.0107189160000001</v>
      </c>
      <c r="AF30" s="766">
        <v>4.6881039260000001</v>
      </c>
      <c r="AG30" s="766">
        <v>6.8053906739999999</v>
      </c>
      <c r="AH30" s="766">
        <v>7.1654403220000003</v>
      </c>
      <c r="AI30" s="766">
        <v>5.5523413039999996</v>
      </c>
      <c r="AJ30" s="766">
        <v>4.6901622999999999</v>
      </c>
      <c r="AK30" s="766">
        <v>4.0698204259999997</v>
      </c>
      <c r="AL30" s="766">
        <v>4.0835915700000003</v>
      </c>
      <c r="AM30" s="766">
        <v>4.1459313460000002</v>
      </c>
      <c r="AN30" s="766">
        <v>4.0116077160000003</v>
      </c>
      <c r="AO30" s="766">
        <v>3.7266700109999999</v>
      </c>
      <c r="AP30" s="766">
        <v>3.4069736609999999</v>
      </c>
      <c r="AQ30" s="766">
        <v>3.2970376539999999</v>
      </c>
      <c r="AR30" s="766">
        <v>4.3953616389999999</v>
      </c>
      <c r="AS30" s="766">
        <v>7.3986811450000003</v>
      </c>
      <c r="AT30" s="766">
        <v>6.3856444300000001</v>
      </c>
      <c r="AU30" s="766">
        <v>4.6048461229999997</v>
      </c>
      <c r="AV30" s="766">
        <v>4.1086473879999996</v>
      </c>
      <c r="AW30" s="766">
        <v>4.0520629680000004</v>
      </c>
      <c r="AX30" s="766">
        <v>4.4415019009999996</v>
      </c>
      <c r="AY30" s="766">
        <v>4.5515392419999996</v>
      </c>
      <c r="AZ30" s="766">
        <v>4.1949342339999998</v>
      </c>
      <c r="BA30" s="766">
        <v>4.0484714090000002</v>
      </c>
      <c r="BB30" s="766">
        <v>2.9344459860000001</v>
      </c>
      <c r="BC30" s="766">
        <v>3.3082197010000001</v>
      </c>
      <c r="BD30" s="766">
        <v>5.4693463050000002</v>
      </c>
      <c r="BE30" s="766">
        <v>9.0139859999999992</v>
      </c>
      <c r="BF30" s="766">
        <v>8.5046850000000003</v>
      </c>
      <c r="BG30" s="767">
        <v>6.8675649999999999</v>
      </c>
      <c r="BH30" s="767">
        <v>6.4601240000000004</v>
      </c>
      <c r="BI30" s="767">
        <v>5.7352689999999997</v>
      </c>
      <c r="BJ30" s="767">
        <v>4.5346279999999997</v>
      </c>
      <c r="BK30" s="767">
        <v>4.247166</v>
      </c>
      <c r="BL30" s="767">
        <v>4.6704600000000003</v>
      </c>
      <c r="BM30" s="767">
        <v>5.2242699999999997</v>
      </c>
      <c r="BN30" s="767">
        <v>4.4173210000000003</v>
      </c>
      <c r="BO30" s="767">
        <v>4.3904540000000001</v>
      </c>
      <c r="BP30" s="767">
        <v>7.15543</v>
      </c>
      <c r="BQ30" s="767">
        <v>9.2007750000000001</v>
      </c>
      <c r="BR30" s="767">
        <v>8.9343850000000007</v>
      </c>
      <c r="BS30" s="767">
        <v>6.8922720000000002</v>
      </c>
      <c r="BT30" s="767">
        <v>7.1533629999999997</v>
      </c>
      <c r="BU30" s="767">
        <v>6.5773080000000004</v>
      </c>
      <c r="BV30" s="767">
        <v>5.520162</v>
      </c>
    </row>
    <row r="31" spans="1:74" ht="11.1" customHeight="1" x14ac:dyDescent="0.2">
      <c r="A31" s="545" t="s">
        <v>1266</v>
      </c>
      <c r="B31" s="548" t="s">
        <v>85</v>
      </c>
      <c r="C31" s="766">
        <v>0.132150036</v>
      </c>
      <c r="D31" s="766">
        <v>0.19245927600000001</v>
      </c>
      <c r="E31" s="766">
        <v>1.9401130999999999E-2</v>
      </c>
      <c r="F31" s="766">
        <v>1.7285068000000001E-2</v>
      </c>
      <c r="G31" s="766">
        <v>8.9367680000000005E-2</v>
      </c>
      <c r="H31" s="766">
        <v>0.121771201</v>
      </c>
      <c r="I31" s="766">
        <v>0.28670139300000003</v>
      </c>
      <c r="J31" s="766">
        <v>0.34167633600000002</v>
      </c>
      <c r="K31" s="766">
        <v>0.119321817</v>
      </c>
      <c r="L31" s="766">
        <v>5.6631414999999997E-2</v>
      </c>
      <c r="M31" s="766">
        <v>0</v>
      </c>
      <c r="N31" s="766">
        <v>6.0451471E-2</v>
      </c>
      <c r="O31" s="766">
        <v>9.3286884E-2</v>
      </c>
      <c r="P31" s="766">
        <v>4.2878828000000001E-2</v>
      </c>
      <c r="Q31" s="766">
        <v>5.2865869000000003E-2</v>
      </c>
      <c r="R31" s="766">
        <v>2.1926602999999999E-2</v>
      </c>
      <c r="S31" s="766">
        <v>5.6583209000000002E-2</v>
      </c>
      <c r="T31" s="766">
        <v>5.3336699000000001E-2</v>
      </c>
      <c r="U31" s="766">
        <v>4.2840303000000003E-2</v>
      </c>
      <c r="V31" s="766">
        <v>1.3269286E-2</v>
      </c>
      <c r="W31" s="766">
        <v>4.5116104999999997E-2</v>
      </c>
      <c r="X31" s="766">
        <v>0</v>
      </c>
      <c r="Y31" s="766">
        <v>3.2769297000000003E-2</v>
      </c>
      <c r="Z31" s="766">
        <v>0.106661987</v>
      </c>
      <c r="AA31" s="766">
        <v>0.24289661700000001</v>
      </c>
      <c r="AB31" s="766">
        <v>9.7376819999999992E-3</v>
      </c>
      <c r="AC31" s="766">
        <v>0.12035467399999999</v>
      </c>
      <c r="AD31" s="766">
        <v>0</v>
      </c>
      <c r="AE31" s="766">
        <v>1.6406330000000001E-3</v>
      </c>
      <c r="AF31" s="766">
        <v>1.2763309E-2</v>
      </c>
      <c r="AG31" s="766">
        <v>0.12514661899999999</v>
      </c>
      <c r="AH31" s="766">
        <v>4.1528969999999998E-2</v>
      </c>
      <c r="AI31" s="766">
        <v>5.2352208999999997E-2</v>
      </c>
      <c r="AJ31" s="766">
        <v>2.8067999999999999E-3</v>
      </c>
      <c r="AK31" s="766">
        <v>3.0106360000000001E-3</v>
      </c>
      <c r="AL31" s="766">
        <v>6.7204091999999993E-2</v>
      </c>
      <c r="AM31" s="766">
        <v>0.21217448899999999</v>
      </c>
      <c r="AN31" s="766">
        <v>5.5326017999999998E-2</v>
      </c>
      <c r="AO31" s="766">
        <v>6.5540195999999995E-2</v>
      </c>
      <c r="AP31" s="766">
        <v>8.8565190000000002E-3</v>
      </c>
      <c r="AQ31" s="766">
        <v>0</v>
      </c>
      <c r="AR31" s="766">
        <v>6.9337999999999995E-4</v>
      </c>
      <c r="AS31" s="766">
        <v>4.2948964999999999E-2</v>
      </c>
      <c r="AT31" s="766">
        <v>3.6411827000000001E-2</v>
      </c>
      <c r="AU31" s="766">
        <v>0</v>
      </c>
      <c r="AV31" s="766">
        <v>0</v>
      </c>
      <c r="AW31" s="766">
        <v>0</v>
      </c>
      <c r="AX31" s="766">
        <v>0</v>
      </c>
      <c r="AY31" s="766">
        <v>2.079568E-2</v>
      </c>
      <c r="AZ31" s="766">
        <v>2.6068313999999999E-2</v>
      </c>
      <c r="BA31" s="766">
        <v>9.6827539000000004E-2</v>
      </c>
      <c r="BB31" s="766">
        <v>0</v>
      </c>
      <c r="BC31" s="766">
        <v>0</v>
      </c>
      <c r="BD31" s="766">
        <v>0</v>
      </c>
      <c r="BE31" s="766">
        <v>0</v>
      </c>
      <c r="BF31" s="766">
        <v>0</v>
      </c>
      <c r="BG31" s="767">
        <v>0</v>
      </c>
      <c r="BH31" s="767">
        <v>0</v>
      </c>
      <c r="BI31" s="767">
        <v>0</v>
      </c>
      <c r="BJ31" s="767">
        <v>0</v>
      </c>
      <c r="BK31" s="767">
        <v>0</v>
      </c>
      <c r="BL31" s="767">
        <v>0</v>
      </c>
      <c r="BM31" s="767">
        <v>0</v>
      </c>
      <c r="BN31" s="767">
        <v>0</v>
      </c>
      <c r="BO31" s="767">
        <v>0</v>
      </c>
      <c r="BP31" s="767">
        <v>0</v>
      </c>
      <c r="BQ31" s="767">
        <v>0</v>
      </c>
      <c r="BR31" s="767">
        <v>0</v>
      </c>
      <c r="BS31" s="767">
        <v>0</v>
      </c>
      <c r="BT31" s="767">
        <v>0</v>
      </c>
      <c r="BU31" s="767">
        <v>0</v>
      </c>
      <c r="BV31" s="767">
        <v>0</v>
      </c>
    </row>
    <row r="32" spans="1:74" ht="11.1" customHeight="1" x14ac:dyDescent="0.2">
      <c r="A32" s="545" t="s">
        <v>1267</v>
      </c>
      <c r="B32" s="548" t="s">
        <v>88</v>
      </c>
      <c r="C32" s="766">
        <v>3.8753700000000002</v>
      </c>
      <c r="D32" s="766">
        <v>3.706267</v>
      </c>
      <c r="E32" s="766">
        <v>3.378482</v>
      </c>
      <c r="F32" s="766">
        <v>2.5101680000000002</v>
      </c>
      <c r="G32" s="766">
        <v>3.080965</v>
      </c>
      <c r="H32" s="766">
        <v>3.1069789999999999</v>
      </c>
      <c r="I32" s="766">
        <v>3.6668569999999998</v>
      </c>
      <c r="J32" s="766">
        <v>3.760815</v>
      </c>
      <c r="K32" s="766">
        <v>3.6634000000000002</v>
      </c>
      <c r="L32" s="766">
        <v>3.82755</v>
      </c>
      <c r="M32" s="766">
        <v>3.4399660000000001</v>
      </c>
      <c r="N32" s="766">
        <v>3.5541710000000002</v>
      </c>
      <c r="O32" s="766">
        <v>3.4884249999999999</v>
      </c>
      <c r="P32" s="766">
        <v>3.0370460000000001</v>
      </c>
      <c r="Q32" s="766">
        <v>3.2746059999999999</v>
      </c>
      <c r="R32" s="766">
        <v>2.8795700000000002</v>
      </c>
      <c r="S32" s="766">
        <v>3.2735289999999999</v>
      </c>
      <c r="T32" s="766">
        <v>3.503028</v>
      </c>
      <c r="U32" s="766">
        <v>3.9007649999999998</v>
      </c>
      <c r="V32" s="766">
        <v>3.7681610000000001</v>
      </c>
      <c r="W32" s="766">
        <v>3.7126969999999999</v>
      </c>
      <c r="X32" s="766">
        <v>3.9815200000000002</v>
      </c>
      <c r="Y32" s="766">
        <v>3.688526</v>
      </c>
      <c r="Z32" s="766">
        <v>3.6595360000000001</v>
      </c>
      <c r="AA32" s="766">
        <v>4.0296589999999997</v>
      </c>
      <c r="AB32" s="766">
        <v>3.3176290000000002</v>
      </c>
      <c r="AC32" s="766">
        <v>3.5725760000000002</v>
      </c>
      <c r="AD32" s="766">
        <v>2.8647649999999998</v>
      </c>
      <c r="AE32" s="766">
        <v>3.4178609999999998</v>
      </c>
      <c r="AF32" s="766">
        <v>3.763258</v>
      </c>
      <c r="AG32" s="766">
        <v>3.862212</v>
      </c>
      <c r="AH32" s="766">
        <v>3.717708</v>
      </c>
      <c r="AI32" s="766">
        <v>2.9617640000000001</v>
      </c>
      <c r="AJ32" s="766">
        <v>3.6389480000000001</v>
      </c>
      <c r="AK32" s="766">
        <v>3.7842470000000001</v>
      </c>
      <c r="AL32" s="766">
        <v>3.9883839999999999</v>
      </c>
      <c r="AM32" s="766">
        <v>4.0311719999999998</v>
      </c>
      <c r="AN32" s="766">
        <v>3.6121789999999998</v>
      </c>
      <c r="AO32" s="766">
        <v>2.7963490000000002</v>
      </c>
      <c r="AP32" s="766">
        <v>3.1027659999999999</v>
      </c>
      <c r="AQ32" s="766">
        <v>3.9197679999999999</v>
      </c>
      <c r="AR32" s="766">
        <v>3.8089810000000002</v>
      </c>
      <c r="AS32" s="766">
        <v>3.922358</v>
      </c>
      <c r="AT32" s="766">
        <v>3.9163239999999999</v>
      </c>
      <c r="AU32" s="766">
        <v>3.9167399999999999</v>
      </c>
      <c r="AV32" s="766">
        <v>3.9579870000000001</v>
      </c>
      <c r="AW32" s="766">
        <v>3.8852630000000001</v>
      </c>
      <c r="AX32" s="766">
        <v>3.9951310000000002</v>
      </c>
      <c r="AY32" s="766">
        <v>4.0071940000000001</v>
      </c>
      <c r="AZ32" s="766">
        <v>3.556009</v>
      </c>
      <c r="BA32" s="766">
        <v>3.1279089999999998</v>
      </c>
      <c r="BB32" s="766">
        <v>3.1975500000000001</v>
      </c>
      <c r="BC32" s="766">
        <v>2.8957039999999998</v>
      </c>
      <c r="BD32" s="766">
        <v>3.1186989999999999</v>
      </c>
      <c r="BE32" s="766">
        <v>3.26268</v>
      </c>
      <c r="BF32" s="766">
        <v>3.2168100000000002</v>
      </c>
      <c r="BG32" s="767">
        <v>2.5685899999999999</v>
      </c>
      <c r="BH32" s="767">
        <v>2.9566599999999998</v>
      </c>
      <c r="BI32" s="767">
        <v>3.0301300000000002</v>
      </c>
      <c r="BJ32" s="767">
        <v>3.1311300000000002</v>
      </c>
      <c r="BK32" s="767">
        <v>3.1311300000000002</v>
      </c>
      <c r="BL32" s="767">
        <v>2.8281200000000002</v>
      </c>
      <c r="BM32" s="767">
        <v>2.8868200000000002</v>
      </c>
      <c r="BN32" s="767">
        <v>2.8185199999999999</v>
      </c>
      <c r="BO32" s="767">
        <v>2.3936000000000002</v>
      </c>
      <c r="BP32" s="767">
        <v>2.3163900000000002</v>
      </c>
      <c r="BQ32" s="767">
        <v>2.3936000000000002</v>
      </c>
      <c r="BR32" s="767">
        <v>2.3936000000000002</v>
      </c>
      <c r="BS32" s="767">
        <v>2.3163900000000002</v>
      </c>
      <c r="BT32" s="767">
        <v>2.0632199999999998</v>
      </c>
      <c r="BU32" s="767">
        <v>2.3163900000000002</v>
      </c>
      <c r="BV32" s="767">
        <v>2.3936000000000002</v>
      </c>
    </row>
    <row r="33" spans="1:74" ht="11.1" customHeight="1" x14ac:dyDescent="0.2">
      <c r="A33" s="545" t="s">
        <v>1268</v>
      </c>
      <c r="B33" s="548" t="s">
        <v>1259</v>
      </c>
      <c r="C33" s="766">
        <v>2.3118268230000001</v>
      </c>
      <c r="D33" s="766">
        <v>2.1657952680000001</v>
      </c>
      <c r="E33" s="766">
        <v>2.319875133</v>
      </c>
      <c r="F33" s="766">
        <v>2.3445757459999998</v>
      </c>
      <c r="G33" s="766">
        <v>2.3602152539999999</v>
      </c>
      <c r="H33" s="766">
        <v>2.2591747899999999</v>
      </c>
      <c r="I33" s="766">
        <v>2.246768109</v>
      </c>
      <c r="J33" s="766">
        <v>2.2048830869999998</v>
      </c>
      <c r="K33" s="766">
        <v>2.0122036429999999</v>
      </c>
      <c r="L33" s="766">
        <v>2.0742743720000001</v>
      </c>
      <c r="M33" s="766">
        <v>2.249019766</v>
      </c>
      <c r="N33" s="766">
        <v>2.2729420089999999</v>
      </c>
      <c r="O33" s="766">
        <v>2.417642098</v>
      </c>
      <c r="P33" s="766">
        <v>2.2545335849999999</v>
      </c>
      <c r="Q33" s="766">
        <v>2.5618407990000001</v>
      </c>
      <c r="R33" s="766">
        <v>2.3932171769999999</v>
      </c>
      <c r="S33" s="766">
        <v>2.539781675</v>
      </c>
      <c r="T33" s="766">
        <v>2.5654698219999998</v>
      </c>
      <c r="U33" s="766">
        <v>2.6616121330000002</v>
      </c>
      <c r="V33" s="766">
        <v>2.6072896729999999</v>
      </c>
      <c r="W33" s="766">
        <v>2.3889963160000001</v>
      </c>
      <c r="X33" s="766">
        <v>2.3825865770000001</v>
      </c>
      <c r="Y33" s="766">
        <v>2.6270952470000002</v>
      </c>
      <c r="Z33" s="766">
        <v>2.6633219690000001</v>
      </c>
      <c r="AA33" s="766">
        <v>2.2633759439999999</v>
      </c>
      <c r="AB33" s="766">
        <v>2.2386177969999999</v>
      </c>
      <c r="AC33" s="766">
        <v>2.6723782809999999</v>
      </c>
      <c r="AD33" s="766">
        <v>2.4438542299999999</v>
      </c>
      <c r="AE33" s="766">
        <v>2.5812495759999998</v>
      </c>
      <c r="AF33" s="766">
        <v>2.4797395510000002</v>
      </c>
      <c r="AG33" s="766">
        <v>2.5353012100000001</v>
      </c>
      <c r="AH33" s="766">
        <v>2.471020658</v>
      </c>
      <c r="AI33" s="766">
        <v>2.2933338509999999</v>
      </c>
      <c r="AJ33" s="766">
        <v>2.3732849730000001</v>
      </c>
      <c r="AK33" s="766">
        <v>2.5598215839999998</v>
      </c>
      <c r="AL33" s="766">
        <v>2.6465953450000002</v>
      </c>
      <c r="AM33" s="766">
        <v>2.5730163269999999</v>
      </c>
      <c r="AN33" s="766">
        <v>2.2280998730000001</v>
      </c>
      <c r="AO33" s="766">
        <v>2.6000624710000002</v>
      </c>
      <c r="AP33" s="766">
        <v>2.2742410309999999</v>
      </c>
      <c r="AQ33" s="766">
        <v>2.537473565</v>
      </c>
      <c r="AR33" s="766">
        <v>2.4532584200000001</v>
      </c>
      <c r="AS33" s="766">
        <v>2.626301078</v>
      </c>
      <c r="AT33" s="766">
        <v>2.471305423</v>
      </c>
      <c r="AU33" s="766">
        <v>2.3295668329999999</v>
      </c>
      <c r="AV33" s="766">
        <v>2.2879064530000002</v>
      </c>
      <c r="AW33" s="766">
        <v>2.4022596530000002</v>
      </c>
      <c r="AX33" s="766">
        <v>2.6847884629999998</v>
      </c>
      <c r="AY33" s="766">
        <v>2.6565257610000002</v>
      </c>
      <c r="AZ33" s="766">
        <v>2.5029800949999998</v>
      </c>
      <c r="BA33" s="766">
        <v>2.6538084940000002</v>
      </c>
      <c r="BB33" s="766">
        <v>2.5831542770000002</v>
      </c>
      <c r="BC33" s="766">
        <v>2.6870577789999999</v>
      </c>
      <c r="BD33" s="766">
        <v>2.5102675940000001</v>
      </c>
      <c r="BE33" s="766">
        <v>2.8125710000000002</v>
      </c>
      <c r="BF33" s="766">
        <v>2.5830989999999998</v>
      </c>
      <c r="BG33" s="767">
        <v>2.5607329999999999</v>
      </c>
      <c r="BH33" s="767">
        <v>2.4600070000000001</v>
      </c>
      <c r="BI33" s="767">
        <v>2.3422290000000001</v>
      </c>
      <c r="BJ33" s="767">
        <v>2.5290569999999999</v>
      </c>
      <c r="BK33" s="767">
        <v>2.6257429999999999</v>
      </c>
      <c r="BL33" s="767">
        <v>2.362206</v>
      </c>
      <c r="BM33" s="767">
        <v>2.9151220000000002</v>
      </c>
      <c r="BN33" s="767">
        <v>2.8586649999999998</v>
      </c>
      <c r="BO33" s="767">
        <v>2.6915279999999999</v>
      </c>
      <c r="BP33" s="767">
        <v>2.4676019999999999</v>
      </c>
      <c r="BQ33" s="767">
        <v>2.6777190000000002</v>
      </c>
      <c r="BR33" s="767">
        <v>2.4773520000000002</v>
      </c>
      <c r="BS33" s="767">
        <v>2.4099900000000001</v>
      </c>
      <c r="BT33" s="767">
        <v>2.3921389999999998</v>
      </c>
      <c r="BU33" s="767">
        <v>2.221803</v>
      </c>
      <c r="BV33" s="767">
        <v>2.46631</v>
      </c>
    </row>
    <row r="34" spans="1:74" ht="11.1" customHeight="1" x14ac:dyDescent="0.2">
      <c r="A34" s="545" t="s">
        <v>1269</v>
      </c>
      <c r="B34" s="548" t="s">
        <v>1362</v>
      </c>
      <c r="C34" s="766">
        <v>0.63181300399999996</v>
      </c>
      <c r="D34" s="766">
        <v>0.57779258600000005</v>
      </c>
      <c r="E34" s="766">
        <v>0.54707899100000001</v>
      </c>
      <c r="F34" s="766">
        <v>0.40368380599999998</v>
      </c>
      <c r="G34" s="766">
        <v>0.39634999399999998</v>
      </c>
      <c r="H34" s="766">
        <v>0.43778927699999998</v>
      </c>
      <c r="I34" s="766">
        <v>0.40052722699999999</v>
      </c>
      <c r="J34" s="766">
        <v>0.39465824799999999</v>
      </c>
      <c r="K34" s="766">
        <v>0.361923728</v>
      </c>
      <c r="L34" s="766">
        <v>0.49513399800000002</v>
      </c>
      <c r="M34" s="766">
        <v>0.54290208399999995</v>
      </c>
      <c r="N34" s="766">
        <v>0.71321338400000001</v>
      </c>
      <c r="O34" s="766">
        <v>0.55919261200000003</v>
      </c>
      <c r="P34" s="766">
        <v>0.57690091200000004</v>
      </c>
      <c r="Q34" s="766">
        <v>0.57821490499999995</v>
      </c>
      <c r="R34" s="766">
        <v>0.56944279399999997</v>
      </c>
      <c r="S34" s="766">
        <v>0.49763081599999998</v>
      </c>
      <c r="T34" s="766">
        <v>0.52950876099999999</v>
      </c>
      <c r="U34" s="766">
        <v>0.406816071</v>
      </c>
      <c r="V34" s="766">
        <v>0.42480988800000002</v>
      </c>
      <c r="W34" s="766">
        <v>0.31111420899999997</v>
      </c>
      <c r="X34" s="766">
        <v>0.62752365399999999</v>
      </c>
      <c r="Y34" s="766">
        <v>0.59777117599999996</v>
      </c>
      <c r="Z34" s="766">
        <v>0.50091931199999995</v>
      </c>
      <c r="AA34" s="766">
        <v>0.59971467899999997</v>
      </c>
      <c r="AB34" s="766">
        <v>0.56495740100000003</v>
      </c>
      <c r="AC34" s="766">
        <v>0.46898621499999998</v>
      </c>
      <c r="AD34" s="766">
        <v>0.52702901599999996</v>
      </c>
      <c r="AE34" s="766">
        <v>0.49122581799999998</v>
      </c>
      <c r="AF34" s="766">
        <v>0.42455236200000002</v>
      </c>
      <c r="AG34" s="766">
        <v>0.43086473199999997</v>
      </c>
      <c r="AH34" s="766">
        <v>0.42956243399999999</v>
      </c>
      <c r="AI34" s="766">
        <v>0.42624578499999999</v>
      </c>
      <c r="AJ34" s="766">
        <v>0.55496000000000001</v>
      </c>
      <c r="AK34" s="766">
        <v>0.552177955</v>
      </c>
      <c r="AL34" s="766">
        <v>0.55996437700000001</v>
      </c>
      <c r="AM34" s="766">
        <v>0.55671817499999998</v>
      </c>
      <c r="AN34" s="766">
        <v>0.503117178</v>
      </c>
      <c r="AO34" s="766">
        <v>0.55855051099999997</v>
      </c>
      <c r="AP34" s="766">
        <v>0.63732319000000004</v>
      </c>
      <c r="AQ34" s="766">
        <v>0.53489993000000002</v>
      </c>
      <c r="AR34" s="766">
        <v>0.61206430999999994</v>
      </c>
      <c r="AS34" s="766">
        <v>0.52018788199999999</v>
      </c>
      <c r="AT34" s="766">
        <v>0.48020133799999998</v>
      </c>
      <c r="AU34" s="766">
        <v>0.49270077099999998</v>
      </c>
      <c r="AV34" s="766">
        <v>0.55879753200000004</v>
      </c>
      <c r="AW34" s="766">
        <v>0.51725631999999999</v>
      </c>
      <c r="AX34" s="766">
        <v>0.571124721</v>
      </c>
      <c r="AY34" s="766">
        <v>0.59002796000000002</v>
      </c>
      <c r="AZ34" s="766">
        <v>0.63061528899999997</v>
      </c>
      <c r="BA34" s="766">
        <v>0.67217477299999995</v>
      </c>
      <c r="BB34" s="766">
        <v>0.66544337399999998</v>
      </c>
      <c r="BC34" s="766">
        <v>0.612763736</v>
      </c>
      <c r="BD34" s="766">
        <v>0.56363917500000005</v>
      </c>
      <c r="BE34" s="766">
        <v>0.56633060000000002</v>
      </c>
      <c r="BF34" s="766">
        <v>0.54085499999999997</v>
      </c>
      <c r="BG34" s="767">
        <v>0.52414989999999995</v>
      </c>
      <c r="BH34" s="767">
        <v>0.58437289999999997</v>
      </c>
      <c r="BI34" s="767">
        <v>0.49296610000000002</v>
      </c>
      <c r="BJ34" s="767">
        <v>0.70800540000000001</v>
      </c>
      <c r="BK34" s="767">
        <v>0.6312449</v>
      </c>
      <c r="BL34" s="767">
        <v>0.73293819999999998</v>
      </c>
      <c r="BM34" s="767">
        <v>0.76559330000000003</v>
      </c>
      <c r="BN34" s="767">
        <v>0.72804880000000005</v>
      </c>
      <c r="BO34" s="767">
        <v>0.67595360000000004</v>
      </c>
      <c r="BP34" s="767">
        <v>0.69566459999999997</v>
      </c>
      <c r="BQ34" s="767">
        <v>0.71038029999999996</v>
      </c>
      <c r="BR34" s="767">
        <v>0.64930940000000004</v>
      </c>
      <c r="BS34" s="767">
        <v>0.67336700000000005</v>
      </c>
      <c r="BT34" s="767">
        <v>0.76459480000000002</v>
      </c>
      <c r="BU34" s="767">
        <v>0.64645660000000005</v>
      </c>
      <c r="BV34" s="767">
        <v>1.14259</v>
      </c>
    </row>
    <row r="35" spans="1:74" ht="11.1" customHeight="1" x14ac:dyDescent="0.2">
      <c r="A35" s="545" t="s">
        <v>1270</v>
      </c>
      <c r="B35" s="546" t="s">
        <v>1363</v>
      </c>
      <c r="C35" s="766">
        <v>0.10073974300000001</v>
      </c>
      <c r="D35" s="766">
        <v>0.25792004800000001</v>
      </c>
      <c r="E35" s="766">
        <v>5.3315398999999999E-2</v>
      </c>
      <c r="F35" s="766">
        <v>2.5553326000000001E-2</v>
      </c>
      <c r="G35" s="766">
        <v>3.7488813000000003E-2</v>
      </c>
      <c r="H35" s="766">
        <v>2.3112014E-2</v>
      </c>
      <c r="I35" s="766">
        <v>8.0617432000000003E-2</v>
      </c>
      <c r="J35" s="766">
        <v>9.5390755999999993E-2</v>
      </c>
      <c r="K35" s="766">
        <v>2.8324630999999999E-2</v>
      </c>
      <c r="L35" s="766">
        <v>3.0050284999999999E-2</v>
      </c>
      <c r="M35" s="766">
        <v>3.8800174E-2</v>
      </c>
      <c r="N35" s="766">
        <v>8.1739207999999994E-2</v>
      </c>
      <c r="O35" s="766">
        <v>6.5093614999999994E-2</v>
      </c>
      <c r="P35" s="766">
        <v>5.4779356000000001E-2</v>
      </c>
      <c r="Q35" s="766">
        <v>3.7245175999999998E-2</v>
      </c>
      <c r="R35" s="766">
        <v>2.2935693E-2</v>
      </c>
      <c r="S35" s="766">
        <v>3.4359806E-2</v>
      </c>
      <c r="T35" s="766">
        <v>5.6547286000000002E-2</v>
      </c>
      <c r="U35" s="766">
        <v>3.0222822E-2</v>
      </c>
      <c r="V35" s="766">
        <v>3.4353362999999998E-2</v>
      </c>
      <c r="W35" s="766">
        <v>2.2670069000000001E-2</v>
      </c>
      <c r="X35" s="766">
        <v>2.1396470000000001E-2</v>
      </c>
      <c r="Y35" s="766">
        <v>4.0713548000000002E-2</v>
      </c>
      <c r="Z35" s="766">
        <v>0.459221247</v>
      </c>
      <c r="AA35" s="766">
        <v>1.4075142469999999</v>
      </c>
      <c r="AB35" s="766">
        <v>4.5483309E-2</v>
      </c>
      <c r="AC35" s="766">
        <v>3.7333226999999997E-2</v>
      </c>
      <c r="AD35" s="766">
        <v>4.9897672999999997E-2</v>
      </c>
      <c r="AE35" s="766">
        <v>6.4839989000000001E-2</v>
      </c>
      <c r="AF35" s="766">
        <v>2.7684779999999999E-2</v>
      </c>
      <c r="AG35" s="766">
        <v>4.3189312000000001E-2</v>
      </c>
      <c r="AH35" s="766">
        <v>6.3242337999999995E-2</v>
      </c>
      <c r="AI35" s="766">
        <v>2.5799375999999999E-2</v>
      </c>
      <c r="AJ35" s="766">
        <v>2.6768594999999999E-2</v>
      </c>
      <c r="AK35" s="766">
        <v>4.3492146000000002E-2</v>
      </c>
      <c r="AL35" s="766">
        <v>3.3764875999999999E-2</v>
      </c>
      <c r="AM35" s="766">
        <v>0.30280363999999999</v>
      </c>
      <c r="AN35" s="766">
        <v>0.106665038</v>
      </c>
      <c r="AO35" s="766">
        <v>2.7656523999999998E-2</v>
      </c>
      <c r="AP35" s="766">
        <v>6.7443299999999998E-3</v>
      </c>
      <c r="AQ35" s="766">
        <v>5.2902721999999999E-2</v>
      </c>
      <c r="AR35" s="766">
        <v>5.0945453000000002E-2</v>
      </c>
      <c r="AS35" s="766">
        <v>7.2424355999999995E-2</v>
      </c>
      <c r="AT35" s="766">
        <v>5.4074328999999997E-2</v>
      </c>
      <c r="AU35" s="766">
        <v>5.0951858000000003E-2</v>
      </c>
      <c r="AV35" s="766">
        <v>4.8694349999999997E-2</v>
      </c>
      <c r="AW35" s="766">
        <v>4.6255981000000002E-2</v>
      </c>
      <c r="AX35" s="766">
        <v>7.9189589000000005E-2</v>
      </c>
      <c r="AY35" s="766">
        <v>6.3422938999999998E-2</v>
      </c>
      <c r="AZ35" s="766">
        <v>5.6567028999999998E-2</v>
      </c>
      <c r="BA35" s="766">
        <v>6.1205408000000003E-2</v>
      </c>
      <c r="BB35" s="766">
        <v>4.9852121999999999E-2</v>
      </c>
      <c r="BC35" s="766">
        <v>5.4127924000000001E-2</v>
      </c>
      <c r="BD35" s="766">
        <v>4.0115686999999997E-2</v>
      </c>
      <c r="BE35" s="766">
        <v>7.96177E-2</v>
      </c>
      <c r="BF35" s="766">
        <v>6.2734200000000004E-2</v>
      </c>
      <c r="BG35" s="767">
        <v>5.3009199999999999E-2</v>
      </c>
      <c r="BH35" s="767">
        <v>5.3338999999999998E-2</v>
      </c>
      <c r="BI35" s="767">
        <v>5.23092E-2</v>
      </c>
      <c r="BJ35" s="767">
        <v>7.5261300000000003E-2</v>
      </c>
      <c r="BK35" s="767">
        <v>9.4982200000000003E-2</v>
      </c>
      <c r="BL35" s="767">
        <v>5.4229399999999997E-2</v>
      </c>
      <c r="BM35" s="767">
        <v>6.9513400000000003E-2</v>
      </c>
      <c r="BN35" s="767">
        <v>6.4684400000000003E-2</v>
      </c>
      <c r="BO35" s="767">
        <v>5.8791200000000002E-2</v>
      </c>
      <c r="BP35" s="767">
        <v>4.5168199999999999E-2</v>
      </c>
      <c r="BQ35" s="767">
        <v>7.4781200000000006E-2</v>
      </c>
      <c r="BR35" s="767">
        <v>5.95778E-2</v>
      </c>
      <c r="BS35" s="767">
        <v>5.8331000000000001E-2</v>
      </c>
      <c r="BT35" s="767">
        <v>5.2497200000000001E-2</v>
      </c>
      <c r="BU35" s="767">
        <v>5.2020999999999998E-2</v>
      </c>
      <c r="BV35" s="767">
        <v>8.0004500000000006E-2</v>
      </c>
    </row>
    <row r="36" spans="1:74" ht="11.1" customHeight="1" x14ac:dyDescent="0.2">
      <c r="A36" s="545" t="s">
        <v>1271</v>
      </c>
      <c r="B36" s="548" t="s">
        <v>1263</v>
      </c>
      <c r="C36" s="766">
        <v>11.588706352999999</v>
      </c>
      <c r="D36" s="766">
        <v>10.800326296</v>
      </c>
      <c r="E36" s="766">
        <v>10.551313841000001</v>
      </c>
      <c r="F36" s="766">
        <v>9.7958006859999998</v>
      </c>
      <c r="G36" s="766">
        <v>11.021414828999999</v>
      </c>
      <c r="H36" s="766">
        <v>11.632381296</v>
      </c>
      <c r="I36" s="766">
        <v>14.002591053</v>
      </c>
      <c r="J36" s="766">
        <v>14.710287827</v>
      </c>
      <c r="K36" s="766">
        <v>11.967434620000001</v>
      </c>
      <c r="L36" s="766">
        <v>10.756863662000001</v>
      </c>
      <c r="M36" s="766">
        <v>10.130598088999999</v>
      </c>
      <c r="N36" s="766">
        <v>11.278825543</v>
      </c>
      <c r="O36" s="766">
        <v>10.777476642</v>
      </c>
      <c r="P36" s="766">
        <v>9.4279297470000003</v>
      </c>
      <c r="Q36" s="766">
        <v>10.547775463000001</v>
      </c>
      <c r="R36" s="766">
        <v>9.2837754100000005</v>
      </c>
      <c r="S36" s="766">
        <v>10.148786529000001</v>
      </c>
      <c r="T36" s="766">
        <v>11.522438067</v>
      </c>
      <c r="U36" s="766">
        <v>13.082658787</v>
      </c>
      <c r="V36" s="766">
        <v>12.489431165999999</v>
      </c>
      <c r="W36" s="766">
        <v>11.292935682</v>
      </c>
      <c r="X36" s="766">
        <v>10.988419695999999</v>
      </c>
      <c r="Y36" s="766">
        <v>10.510360327000001</v>
      </c>
      <c r="Z36" s="766">
        <v>11.523107196</v>
      </c>
      <c r="AA36" s="766">
        <v>12.260334292</v>
      </c>
      <c r="AB36" s="766">
        <v>9.4827776359999998</v>
      </c>
      <c r="AC36" s="766">
        <v>10.560486302999999</v>
      </c>
      <c r="AD36" s="766">
        <v>9.6578092439999992</v>
      </c>
      <c r="AE36" s="766">
        <v>10.567535932</v>
      </c>
      <c r="AF36" s="766">
        <v>11.396101928</v>
      </c>
      <c r="AG36" s="766">
        <v>13.802104547000001</v>
      </c>
      <c r="AH36" s="766">
        <v>13.888502722</v>
      </c>
      <c r="AI36" s="766">
        <v>11.311836525</v>
      </c>
      <c r="AJ36" s="766">
        <v>11.286930668</v>
      </c>
      <c r="AK36" s="766">
        <v>11.012569747000001</v>
      </c>
      <c r="AL36" s="766">
        <v>11.379504259999999</v>
      </c>
      <c r="AM36" s="766">
        <v>11.821815977</v>
      </c>
      <c r="AN36" s="766">
        <v>10.516994822999999</v>
      </c>
      <c r="AO36" s="766">
        <v>9.7748287129999998</v>
      </c>
      <c r="AP36" s="766">
        <v>9.4369047310000003</v>
      </c>
      <c r="AQ36" s="766">
        <v>10.342081871</v>
      </c>
      <c r="AR36" s="766">
        <v>11.321304202</v>
      </c>
      <c r="AS36" s="766">
        <v>14.582901425999999</v>
      </c>
      <c r="AT36" s="766">
        <v>13.343961347</v>
      </c>
      <c r="AU36" s="766">
        <v>11.394805585</v>
      </c>
      <c r="AV36" s="766">
        <v>10.962032723</v>
      </c>
      <c r="AW36" s="766">
        <v>10.903097922000001</v>
      </c>
      <c r="AX36" s="766">
        <v>11.771735674</v>
      </c>
      <c r="AY36" s="766">
        <v>11.889505582</v>
      </c>
      <c r="AZ36" s="766">
        <v>10.967173961</v>
      </c>
      <c r="BA36" s="766">
        <v>10.660396623</v>
      </c>
      <c r="BB36" s="766">
        <v>9.4304457589999995</v>
      </c>
      <c r="BC36" s="766">
        <v>9.5578731399999999</v>
      </c>
      <c r="BD36" s="766">
        <v>11.702067761</v>
      </c>
      <c r="BE36" s="766">
        <v>15.735189999999999</v>
      </c>
      <c r="BF36" s="766">
        <v>14.90818</v>
      </c>
      <c r="BG36" s="767">
        <v>12.57405</v>
      </c>
      <c r="BH36" s="767">
        <v>12.5145</v>
      </c>
      <c r="BI36" s="767">
        <v>11.652900000000001</v>
      </c>
      <c r="BJ36" s="767">
        <v>10.97808</v>
      </c>
      <c r="BK36" s="767">
        <v>10.730270000000001</v>
      </c>
      <c r="BL36" s="767">
        <v>10.64795</v>
      </c>
      <c r="BM36" s="767">
        <v>11.861319999999999</v>
      </c>
      <c r="BN36" s="767">
        <v>10.88724</v>
      </c>
      <c r="BO36" s="767">
        <v>10.210330000000001</v>
      </c>
      <c r="BP36" s="767">
        <v>12.680249999999999</v>
      </c>
      <c r="BQ36" s="767">
        <v>15.057259999999999</v>
      </c>
      <c r="BR36" s="767">
        <v>14.51422</v>
      </c>
      <c r="BS36" s="767">
        <v>12.350350000000001</v>
      </c>
      <c r="BT36" s="767">
        <v>12.42581</v>
      </c>
      <c r="BU36" s="767">
        <v>11.813980000000001</v>
      </c>
      <c r="BV36" s="767">
        <v>11.60267</v>
      </c>
    </row>
    <row r="37" spans="1:74" ht="11.1" customHeight="1" x14ac:dyDescent="0.2">
      <c r="A37" s="545" t="s">
        <v>1272</v>
      </c>
      <c r="B37" s="546" t="s">
        <v>1364</v>
      </c>
      <c r="C37" s="766">
        <v>13.211333929</v>
      </c>
      <c r="D37" s="766">
        <v>12.188967324</v>
      </c>
      <c r="E37" s="766">
        <v>11.915601939</v>
      </c>
      <c r="F37" s="766">
        <v>11.138512914</v>
      </c>
      <c r="G37" s="766">
        <v>11.839143887000001</v>
      </c>
      <c r="H37" s="766">
        <v>13.302689883999999</v>
      </c>
      <c r="I37" s="766">
        <v>16.000371691000002</v>
      </c>
      <c r="J37" s="766">
        <v>16.486292398</v>
      </c>
      <c r="K37" s="766">
        <v>13.321674009000001</v>
      </c>
      <c r="L37" s="766">
        <v>11.594404315</v>
      </c>
      <c r="M37" s="766">
        <v>11.468241086000001</v>
      </c>
      <c r="N37" s="766">
        <v>13.028618426</v>
      </c>
      <c r="O37" s="766">
        <v>12.863721548999999</v>
      </c>
      <c r="P37" s="766">
        <v>11.242248403</v>
      </c>
      <c r="Q37" s="766">
        <v>12.407829002</v>
      </c>
      <c r="R37" s="766">
        <v>10.800029767</v>
      </c>
      <c r="S37" s="766">
        <v>11.433027495999999</v>
      </c>
      <c r="T37" s="766">
        <v>13.148135684</v>
      </c>
      <c r="U37" s="766">
        <v>14.966598631</v>
      </c>
      <c r="V37" s="766">
        <v>14.269311294</v>
      </c>
      <c r="W37" s="766">
        <v>12.550031137</v>
      </c>
      <c r="X37" s="766">
        <v>12.002878588</v>
      </c>
      <c r="Y37" s="766">
        <v>11.867572217999999</v>
      </c>
      <c r="Z37" s="766">
        <v>13.601175374</v>
      </c>
      <c r="AA37" s="766">
        <v>13.970720497</v>
      </c>
      <c r="AB37" s="766">
        <v>11.613495542000001</v>
      </c>
      <c r="AC37" s="766">
        <v>12.357920069</v>
      </c>
      <c r="AD37" s="766">
        <v>11.225676026</v>
      </c>
      <c r="AE37" s="766">
        <v>11.716416469</v>
      </c>
      <c r="AF37" s="766">
        <v>12.991693904</v>
      </c>
      <c r="AG37" s="766">
        <v>15.879936115</v>
      </c>
      <c r="AH37" s="766">
        <v>16.159919077000001</v>
      </c>
      <c r="AI37" s="766">
        <v>13.289585397</v>
      </c>
      <c r="AJ37" s="766">
        <v>11.995597896</v>
      </c>
      <c r="AK37" s="766">
        <v>11.989578694</v>
      </c>
      <c r="AL37" s="766">
        <v>12.53312352</v>
      </c>
      <c r="AM37" s="766">
        <v>13.456421088999999</v>
      </c>
      <c r="AN37" s="766">
        <v>11.801043722999999</v>
      </c>
      <c r="AO37" s="766">
        <v>12.13790534</v>
      </c>
      <c r="AP37" s="766">
        <v>10.647698708</v>
      </c>
      <c r="AQ37" s="766">
        <v>11.089750823999999</v>
      </c>
      <c r="AR37" s="766">
        <v>12.570943171</v>
      </c>
      <c r="AS37" s="766">
        <v>16.300181825999999</v>
      </c>
      <c r="AT37" s="766">
        <v>14.729843793000001</v>
      </c>
      <c r="AU37" s="766">
        <v>12.246305427999999</v>
      </c>
      <c r="AV37" s="766">
        <v>11.437551464</v>
      </c>
      <c r="AW37" s="766">
        <v>11.524509378999999</v>
      </c>
      <c r="AX37" s="766">
        <v>12.693261467999999</v>
      </c>
      <c r="AY37" s="766">
        <v>12.584230329</v>
      </c>
      <c r="AZ37" s="766">
        <v>11.567152617</v>
      </c>
      <c r="BA37" s="766">
        <v>11.002507717</v>
      </c>
      <c r="BB37" s="766">
        <v>9.7030372128</v>
      </c>
      <c r="BC37" s="766">
        <v>10.328391099999999</v>
      </c>
      <c r="BD37" s="766">
        <v>12.51428919</v>
      </c>
      <c r="BE37" s="766">
        <v>16.052630000000001</v>
      </c>
      <c r="BF37" s="766">
        <v>15.834630000000001</v>
      </c>
      <c r="BG37" s="767">
        <v>13.01445</v>
      </c>
      <c r="BH37" s="767">
        <v>11.787470000000001</v>
      </c>
      <c r="BI37" s="767">
        <v>11.594620000000001</v>
      </c>
      <c r="BJ37" s="767">
        <v>12.65401</v>
      </c>
      <c r="BK37" s="767">
        <v>12.803419999999999</v>
      </c>
      <c r="BL37" s="767">
        <v>11.34233</v>
      </c>
      <c r="BM37" s="767">
        <v>11.99761</v>
      </c>
      <c r="BN37" s="767">
        <v>10.920730000000001</v>
      </c>
      <c r="BO37" s="767">
        <v>11.376139999999999</v>
      </c>
      <c r="BP37" s="767">
        <v>13.272690000000001</v>
      </c>
      <c r="BQ37" s="767">
        <v>15.32957</v>
      </c>
      <c r="BR37" s="767">
        <v>14.768599999999999</v>
      </c>
      <c r="BS37" s="767">
        <v>12.483510000000001</v>
      </c>
      <c r="BT37" s="767">
        <v>11.79214</v>
      </c>
      <c r="BU37" s="767">
        <v>11.604850000000001</v>
      </c>
      <c r="BV37" s="767">
        <v>12.67338</v>
      </c>
    </row>
    <row r="38" spans="1:74" ht="11.1" customHeight="1" x14ac:dyDescent="0.2">
      <c r="A38" s="539"/>
      <c r="B38" s="131" t="s">
        <v>1366</v>
      </c>
      <c r="C38" s="249"/>
      <c r="D38" s="249"/>
      <c r="E38" s="249"/>
      <c r="F38" s="249"/>
      <c r="G38" s="249"/>
      <c r="H38" s="249"/>
      <c r="I38" s="249"/>
      <c r="J38" s="249"/>
      <c r="K38" s="249"/>
      <c r="L38" s="249"/>
      <c r="M38" s="249"/>
      <c r="N38" s="249"/>
      <c r="O38" s="249"/>
      <c r="P38" s="249"/>
      <c r="Q38" s="249"/>
      <c r="R38" s="249"/>
      <c r="S38" s="249"/>
      <c r="T38" s="249"/>
      <c r="U38" s="249"/>
      <c r="V38" s="249"/>
      <c r="W38" s="249"/>
      <c r="X38" s="249"/>
      <c r="Y38" s="249"/>
      <c r="Z38" s="249"/>
      <c r="AA38" s="249"/>
      <c r="AB38" s="249"/>
      <c r="AC38" s="249"/>
      <c r="AD38" s="249"/>
      <c r="AE38" s="249"/>
      <c r="AF38" s="249"/>
      <c r="AG38" s="249"/>
      <c r="AH38" s="249"/>
      <c r="AI38" s="249"/>
      <c r="AJ38" s="249"/>
      <c r="AK38" s="249"/>
      <c r="AL38" s="249"/>
      <c r="AM38" s="249"/>
      <c r="AN38" s="249"/>
      <c r="AO38" s="249"/>
      <c r="AP38" s="249"/>
      <c r="AQ38" s="249"/>
      <c r="AR38" s="249"/>
      <c r="AS38" s="249"/>
      <c r="AT38" s="249"/>
      <c r="AU38" s="249"/>
      <c r="AV38" s="249"/>
      <c r="AW38" s="249"/>
      <c r="AX38" s="249"/>
      <c r="AY38" s="249"/>
      <c r="AZ38" s="249"/>
      <c r="BA38" s="249"/>
      <c r="BB38" s="249"/>
      <c r="BC38" s="249"/>
      <c r="BD38" s="249"/>
      <c r="BE38" s="249"/>
      <c r="BF38" s="249"/>
      <c r="BG38" s="360"/>
      <c r="BH38" s="360"/>
      <c r="BI38" s="360"/>
      <c r="BJ38" s="360"/>
      <c r="BK38" s="360"/>
      <c r="BL38" s="360"/>
      <c r="BM38" s="360"/>
      <c r="BN38" s="360"/>
      <c r="BO38" s="360"/>
      <c r="BP38" s="360"/>
      <c r="BQ38" s="360"/>
      <c r="BR38" s="360"/>
      <c r="BS38" s="360"/>
      <c r="BT38" s="360"/>
      <c r="BU38" s="360"/>
      <c r="BV38" s="360"/>
    </row>
    <row r="39" spans="1:74" ht="11.1" customHeight="1" x14ac:dyDescent="0.2">
      <c r="A39" s="545" t="s">
        <v>1273</v>
      </c>
      <c r="B39" s="546" t="s">
        <v>86</v>
      </c>
      <c r="C39" s="766">
        <v>16.186388898000001</v>
      </c>
      <c r="D39" s="766">
        <v>15.525135807</v>
      </c>
      <c r="E39" s="766">
        <v>16.830400997999998</v>
      </c>
      <c r="F39" s="766">
        <v>13.290103116999999</v>
      </c>
      <c r="G39" s="766">
        <v>15.122639675</v>
      </c>
      <c r="H39" s="766">
        <v>19.822875142000001</v>
      </c>
      <c r="I39" s="766">
        <v>25.134589461000001</v>
      </c>
      <c r="J39" s="766">
        <v>25.363152371999998</v>
      </c>
      <c r="K39" s="766">
        <v>19.449643420000001</v>
      </c>
      <c r="L39" s="766">
        <v>16.134803054999999</v>
      </c>
      <c r="M39" s="766">
        <v>15.759728922000001</v>
      </c>
      <c r="N39" s="766">
        <v>15.374129567000001</v>
      </c>
      <c r="O39" s="766">
        <v>15.966307438999999</v>
      </c>
      <c r="P39" s="766">
        <v>15.431208233</v>
      </c>
      <c r="Q39" s="766">
        <v>17.629047465999999</v>
      </c>
      <c r="R39" s="766">
        <v>13.277061298</v>
      </c>
      <c r="S39" s="766">
        <v>15.059464177000001</v>
      </c>
      <c r="T39" s="766">
        <v>19.499530015000001</v>
      </c>
      <c r="U39" s="766">
        <v>23.442980805000001</v>
      </c>
      <c r="V39" s="766">
        <v>21.676253300999999</v>
      </c>
      <c r="W39" s="766">
        <v>19.574416943999999</v>
      </c>
      <c r="X39" s="766">
        <v>17.365376664999999</v>
      </c>
      <c r="Y39" s="766">
        <v>16.582440528999999</v>
      </c>
      <c r="Z39" s="766">
        <v>18.949086595000001</v>
      </c>
      <c r="AA39" s="766">
        <v>17.856907489000001</v>
      </c>
      <c r="AB39" s="766">
        <v>18.007408368</v>
      </c>
      <c r="AC39" s="766">
        <v>19.835081206000002</v>
      </c>
      <c r="AD39" s="766">
        <v>16.618383368</v>
      </c>
      <c r="AE39" s="766">
        <v>18.296445439999999</v>
      </c>
      <c r="AF39" s="766">
        <v>21.798990433</v>
      </c>
      <c r="AG39" s="766">
        <v>26.397471812999999</v>
      </c>
      <c r="AH39" s="766">
        <v>27.688134254000001</v>
      </c>
      <c r="AI39" s="766">
        <v>24.651835634000001</v>
      </c>
      <c r="AJ39" s="766">
        <v>20.380828712</v>
      </c>
      <c r="AK39" s="766">
        <v>19.499172908999999</v>
      </c>
      <c r="AL39" s="766">
        <v>21.275802126999999</v>
      </c>
      <c r="AM39" s="766">
        <v>23.180169276000001</v>
      </c>
      <c r="AN39" s="766">
        <v>22.961807046000001</v>
      </c>
      <c r="AO39" s="766">
        <v>23.135152626</v>
      </c>
      <c r="AP39" s="766">
        <v>18.621218939999999</v>
      </c>
      <c r="AQ39" s="766">
        <v>20.156510514000001</v>
      </c>
      <c r="AR39" s="766">
        <v>25.422445381999999</v>
      </c>
      <c r="AS39" s="766">
        <v>33.306077531</v>
      </c>
      <c r="AT39" s="766">
        <v>31.241314717000002</v>
      </c>
      <c r="AU39" s="766">
        <v>26.338867741000001</v>
      </c>
      <c r="AV39" s="766">
        <v>23.596375511000002</v>
      </c>
      <c r="AW39" s="766">
        <v>21.704104653000002</v>
      </c>
      <c r="AX39" s="766">
        <v>25.387472635000002</v>
      </c>
      <c r="AY39" s="766">
        <v>27.323498317999999</v>
      </c>
      <c r="AZ39" s="766">
        <v>25.342687478999999</v>
      </c>
      <c r="BA39" s="766">
        <v>25.219610091</v>
      </c>
      <c r="BB39" s="766">
        <v>21.122862043000001</v>
      </c>
      <c r="BC39" s="766">
        <v>21.035353714999999</v>
      </c>
      <c r="BD39" s="766">
        <v>27.540547811</v>
      </c>
      <c r="BE39" s="766">
        <v>36.428109779000003</v>
      </c>
      <c r="BF39" s="766">
        <v>32.929175835999999</v>
      </c>
      <c r="BG39" s="767">
        <v>28.40672</v>
      </c>
      <c r="BH39" s="767">
        <v>24.89603</v>
      </c>
      <c r="BI39" s="767">
        <v>21.84806</v>
      </c>
      <c r="BJ39" s="767">
        <v>22.067959999999999</v>
      </c>
      <c r="BK39" s="767">
        <v>23.78115</v>
      </c>
      <c r="BL39" s="767">
        <v>22.561889999999998</v>
      </c>
      <c r="BM39" s="767">
        <v>24.257719999999999</v>
      </c>
      <c r="BN39" s="767">
        <v>22.628900000000002</v>
      </c>
      <c r="BO39" s="767">
        <v>19.925080000000001</v>
      </c>
      <c r="BP39" s="767">
        <v>26.59413</v>
      </c>
      <c r="BQ39" s="767">
        <v>34.35962</v>
      </c>
      <c r="BR39" s="767">
        <v>31.469860000000001</v>
      </c>
      <c r="BS39" s="767">
        <v>26.481580000000001</v>
      </c>
      <c r="BT39" s="767">
        <v>23.454740000000001</v>
      </c>
      <c r="BU39" s="767">
        <v>23.1633</v>
      </c>
      <c r="BV39" s="767">
        <v>21.662040000000001</v>
      </c>
    </row>
    <row r="40" spans="1:74" ht="11.1" customHeight="1" x14ac:dyDescent="0.2">
      <c r="A40" s="545" t="s">
        <v>1274</v>
      </c>
      <c r="B40" s="548" t="s">
        <v>85</v>
      </c>
      <c r="C40" s="766">
        <v>25.874434506</v>
      </c>
      <c r="D40" s="766">
        <v>22.321551311</v>
      </c>
      <c r="E40" s="766">
        <v>15.483383825000001</v>
      </c>
      <c r="F40" s="766">
        <v>17.980918839000001</v>
      </c>
      <c r="G40" s="766">
        <v>17.321122281000001</v>
      </c>
      <c r="H40" s="766">
        <v>24.167017181999999</v>
      </c>
      <c r="I40" s="766">
        <v>29.384049397999998</v>
      </c>
      <c r="J40" s="766">
        <v>29.981979417000002</v>
      </c>
      <c r="K40" s="766">
        <v>23.723700207</v>
      </c>
      <c r="L40" s="766">
        <v>18.850736737999998</v>
      </c>
      <c r="M40" s="766">
        <v>17.534744949</v>
      </c>
      <c r="N40" s="766">
        <v>26.816414891000001</v>
      </c>
      <c r="O40" s="766">
        <v>23.954991101000001</v>
      </c>
      <c r="P40" s="766">
        <v>18.355418286999999</v>
      </c>
      <c r="Q40" s="766">
        <v>21.172048201999999</v>
      </c>
      <c r="R40" s="766">
        <v>17.067192085999999</v>
      </c>
      <c r="S40" s="766">
        <v>18.952078708999998</v>
      </c>
      <c r="T40" s="766">
        <v>21.4277832</v>
      </c>
      <c r="U40" s="766">
        <v>25.641030960999998</v>
      </c>
      <c r="V40" s="766">
        <v>22.827347253999999</v>
      </c>
      <c r="W40" s="766">
        <v>17.819908511000001</v>
      </c>
      <c r="X40" s="766">
        <v>16.574883475</v>
      </c>
      <c r="Y40" s="766">
        <v>17.214801048000002</v>
      </c>
      <c r="Z40" s="766">
        <v>23.682135295999998</v>
      </c>
      <c r="AA40" s="766">
        <v>26.218818358</v>
      </c>
      <c r="AB40" s="766">
        <v>17.235104842999998</v>
      </c>
      <c r="AC40" s="766">
        <v>18.540511127999999</v>
      </c>
      <c r="AD40" s="766">
        <v>15.530596149000001</v>
      </c>
      <c r="AE40" s="766">
        <v>16.756243374</v>
      </c>
      <c r="AF40" s="766">
        <v>19.258195006000001</v>
      </c>
      <c r="AG40" s="766">
        <v>22.456825106</v>
      </c>
      <c r="AH40" s="766">
        <v>23.010925725</v>
      </c>
      <c r="AI40" s="766">
        <v>16.794681686000001</v>
      </c>
      <c r="AJ40" s="766">
        <v>15.306007267</v>
      </c>
      <c r="AK40" s="766">
        <v>16.494740970999999</v>
      </c>
      <c r="AL40" s="766">
        <v>18.907411435</v>
      </c>
      <c r="AM40" s="766">
        <v>21.752324506000001</v>
      </c>
      <c r="AN40" s="766">
        <v>15.390454436000001</v>
      </c>
      <c r="AO40" s="766">
        <v>16.387920282</v>
      </c>
      <c r="AP40" s="766">
        <v>11.848794229999999</v>
      </c>
      <c r="AQ40" s="766">
        <v>13.709525156</v>
      </c>
      <c r="AR40" s="766">
        <v>14.381776457999999</v>
      </c>
      <c r="AS40" s="766">
        <v>20.179125136</v>
      </c>
      <c r="AT40" s="766">
        <v>16.763785465000002</v>
      </c>
      <c r="AU40" s="766">
        <v>15.017137857</v>
      </c>
      <c r="AV40" s="766">
        <v>10.662130503</v>
      </c>
      <c r="AW40" s="766">
        <v>14.514619435</v>
      </c>
      <c r="AX40" s="766">
        <v>13.681711073000001</v>
      </c>
      <c r="AY40" s="766">
        <v>12.444148876</v>
      </c>
      <c r="AZ40" s="766">
        <v>11.962473602999999</v>
      </c>
      <c r="BA40" s="766">
        <v>9.2958638469999997</v>
      </c>
      <c r="BB40" s="766">
        <v>7.2919831840000002</v>
      </c>
      <c r="BC40" s="766">
        <v>9.1135728440000001</v>
      </c>
      <c r="BD40" s="766">
        <v>13.509581749000001</v>
      </c>
      <c r="BE40" s="766">
        <v>12.839169999999999</v>
      </c>
      <c r="BF40" s="766">
        <v>8.7269489999999994</v>
      </c>
      <c r="BG40" s="767">
        <v>10.91849</v>
      </c>
      <c r="BH40" s="767">
        <v>7.2206960000000002</v>
      </c>
      <c r="BI40" s="767">
        <v>11.16977</v>
      </c>
      <c r="BJ40" s="767">
        <v>17.05753</v>
      </c>
      <c r="BK40" s="767">
        <v>17.91677</v>
      </c>
      <c r="BL40" s="767">
        <v>12.63669</v>
      </c>
      <c r="BM40" s="767">
        <v>14.63578</v>
      </c>
      <c r="BN40" s="767">
        <v>10.099869999999999</v>
      </c>
      <c r="BO40" s="767">
        <v>14.0474</v>
      </c>
      <c r="BP40" s="767">
        <v>15.40175</v>
      </c>
      <c r="BQ40" s="767">
        <v>11.119210000000001</v>
      </c>
      <c r="BR40" s="767">
        <v>6.6195009999999996</v>
      </c>
      <c r="BS40" s="767">
        <v>8.6090610000000005</v>
      </c>
      <c r="BT40" s="767">
        <v>7.2430329999999996</v>
      </c>
      <c r="BU40" s="767">
        <v>8.8280619999999992</v>
      </c>
      <c r="BV40" s="767">
        <v>15.68005</v>
      </c>
    </row>
    <row r="41" spans="1:74" ht="11.1" customHeight="1" x14ac:dyDescent="0.2">
      <c r="A41" s="545" t="s">
        <v>1275</v>
      </c>
      <c r="B41" s="548" t="s">
        <v>88</v>
      </c>
      <c r="C41" s="766">
        <v>25.869942000000002</v>
      </c>
      <c r="D41" s="766">
        <v>22.894964999999999</v>
      </c>
      <c r="E41" s="766">
        <v>22.776759999999999</v>
      </c>
      <c r="F41" s="766">
        <v>21.009910000000001</v>
      </c>
      <c r="G41" s="766">
        <v>23.781983</v>
      </c>
      <c r="H41" s="766">
        <v>22.568573000000001</v>
      </c>
      <c r="I41" s="766">
        <v>23.285812</v>
      </c>
      <c r="J41" s="766">
        <v>24.755216999999998</v>
      </c>
      <c r="K41" s="766">
        <v>22.739031000000001</v>
      </c>
      <c r="L41" s="766">
        <v>21.501695000000002</v>
      </c>
      <c r="M41" s="766">
        <v>23.023997999999999</v>
      </c>
      <c r="N41" s="766">
        <v>24.963118000000001</v>
      </c>
      <c r="O41" s="766">
        <v>25.975608000000001</v>
      </c>
      <c r="P41" s="766">
        <v>22.094138000000001</v>
      </c>
      <c r="Q41" s="766">
        <v>22.987617</v>
      </c>
      <c r="R41" s="766">
        <v>23.029046999999998</v>
      </c>
      <c r="S41" s="766">
        <v>22.526326000000001</v>
      </c>
      <c r="T41" s="766">
        <v>24.399435</v>
      </c>
      <c r="U41" s="766">
        <v>25.376308000000002</v>
      </c>
      <c r="V41" s="766">
        <v>25.136368999999998</v>
      </c>
      <c r="W41" s="766">
        <v>23.158773</v>
      </c>
      <c r="X41" s="766">
        <v>22.592756999999999</v>
      </c>
      <c r="Y41" s="766">
        <v>23.550314</v>
      </c>
      <c r="Z41" s="766">
        <v>26.189156000000001</v>
      </c>
      <c r="AA41" s="766">
        <v>26.296500999999999</v>
      </c>
      <c r="AB41" s="766">
        <v>22.914876</v>
      </c>
      <c r="AC41" s="766">
        <v>22.497935999999999</v>
      </c>
      <c r="AD41" s="766">
        <v>20.571363000000002</v>
      </c>
      <c r="AE41" s="766">
        <v>23.991274000000001</v>
      </c>
      <c r="AF41" s="766">
        <v>24.602101000000001</v>
      </c>
      <c r="AG41" s="766">
        <v>25.186368000000002</v>
      </c>
      <c r="AH41" s="766">
        <v>24.820713000000001</v>
      </c>
      <c r="AI41" s="766">
        <v>23.146605999999998</v>
      </c>
      <c r="AJ41" s="766">
        <v>22.415308</v>
      </c>
      <c r="AK41" s="766">
        <v>23.336442000000002</v>
      </c>
      <c r="AL41" s="766">
        <v>25.599620999999999</v>
      </c>
      <c r="AM41" s="766">
        <v>25.511693000000001</v>
      </c>
      <c r="AN41" s="766">
        <v>22.232628999999999</v>
      </c>
      <c r="AO41" s="766">
        <v>21.816561</v>
      </c>
      <c r="AP41" s="766">
        <v>20.985571</v>
      </c>
      <c r="AQ41" s="766">
        <v>23.905849</v>
      </c>
      <c r="AR41" s="766">
        <v>23.655968999999999</v>
      </c>
      <c r="AS41" s="766">
        <v>24.594460000000002</v>
      </c>
      <c r="AT41" s="766">
        <v>24.391673999999998</v>
      </c>
      <c r="AU41" s="766">
        <v>22.711638000000001</v>
      </c>
      <c r="AV41" s="766">
        <v>21.379864000000001</v>
      </c>
      <c r="AW41" s="766">
        <v>21.870892999999999</v>
      </c>
      <c r="AX41" s="766">
        <v>24.861221</v>
      </c>
      <c r="AY41" s="766">
        <v>24.934111000000001</v>
      </c>
      <c r="AZ41" s="766">
        <v>22.001196</v>
      </c>
      <c r="BA41" s="766">
        <v>21.964994999999998</v>
      </c>
      <c r="BB41" s="766">
        <v>20.822652000000001</v>
      </c>
      <c r="BC41" s="766">
        <v>22.672436000000001</v>
      </c>
      <c r="BD41" s="766">
        <v>23.568380999999999</v>
      </c>
      <c r="BE41" s="766">
        <v>24.11065</v>
      </c>
      <c r="BF41" s="766">
        <v>24.046309999999998</v>
      </c>
      <c r="BG41" s="767">
        <v>22.263760000000001</v>
      </c>
      <c r="BH41" s="767">
        <v>22.14077</v>
      </c>
      <c r="BI41" s="767">
        <v>22.881540000000001</v>
      </c>
      <c r="BJ41" s="767">
        <v>24.36816</v>
      </c>
      <c r="BK41" s="767">
        <v>24.36816</v>
      </c>
      <c r="BL41" s="767">
        <v>21.39134</v>
      </c>
      <c r="BM41" s="767">
        <v>21.793569999999999</v>
      </c>
      <c r="BN41" s="767">
        <v>19.541730000000001</v>
      </c>
      <c r="BO41" s="767">
        <v>22.55453</v>
      </c>
      <c r="BP41" s="767">
        <v>23.582090000000001</v>
      </c>
      <c r="BQ41" s="767">
        <v>24.36816</v>
      </c>
      <c r="BR41" s="767">
        <v>24.36816</v>
      </c>
      <c r="BS41" s="767">
        <v>23.038540000000001</v>
      </c>
      <c r="BT41" s="767">
        <v>22.240639999999999</v>
      </c>
      <c r="BU41" s="767">
        <v>21.814299999999999</v>
      </c>
      <c r="BV41" s="767">
        <v>24.274509999999999</v>
      </c>
    </row>
    <row r="42" spans="1:74" ht="11.1" customHeight="1" x14ac:dyDescent="0.2">
      <c r="A42" s="545" t="s">
        <v>1276</v>
      </c>
      <c r="B42" s="548" t="s">
        <v>1259</v>
      </c>
      <c r="C42" s="766">
        <v>1.0634692670000001</v>
      </c>
      <c r="D42" s="766">
        <v>1.1418708950000001</v>
      </c>
      <c r="E42" s="766">
        <v>0.93407440399999997</v>
      </c>
      <c r="F42" s="766">
        <v>0.72775716899999998</v>
      </c>
      <c r="G42" s="766">
        <v>0.93658986399999999</v>
      </c>
      <c r="H42" s="766">
        <v>0.52183801399999996</v>
      </c>
      <c r="I42" s="766">
        <v>0.45269007500000003</v>
      </c>
      <c r="J42" s="766">
        <v>0.45478816700000002</v>
      </c>
      <c r="K42" s="766">
        <v>0.28145227</v>
      </c>
      <c r="L42" s="766">
        <v>0.59893685600000002</v>
      </c>
      <c r="M42" s="766">
        <v>0.43606400400000001</v>
      </c>
      <c r="N42" s="766">
        <v>0.73328401499999996</v>
      </c>
      <c r="O42" s="766">
        <v>0.798045424</v>
      </c>
      <c r="P42" s="766">
        <v>0.80496814800000005</v>
      </c>
      <c r="Q42" s="766">
        <v>0.99830281499999995</v>
      </c>
      <c r="R42" s="766">
        <v>1.035291518</v>
      </c>
      <c r="S42" s="766">
        <v>1.1406730279999999</v>
      </c>
      <c r="T42" s="766">
        <v>0.82161005899999995</v>
      </c>
      <c r="U42" s="766">
        <v>0.73175539700000003</v>
      </c>
      <c r="V42" s="766">
        <v>0.58839311100000002</v>
      </c>
      <c r="W42" s="766">
        <v>0.374261762</v>
      </c>
      <c r="X42" s="766">
        <v>0.39159423500000001</v>
      </c>
      <c r="Y42" s="766">
        <v>0.71262800199999998</v>
      </c>
      <c r="Z42" s="766">
        <v>0.45018711099999997</v>
      </c>
      <c r="AA42" s="766">
        <v>0.811087958</v>
      </c>
      <c r="AB42" s="766">
        <v>0.89665849200000003</v>
      </c>
      <c r="AC42" s="766">
        <v>0.89191040099999996</v>
      </c>
      <c r="AD42" s="766">
        <v>1.064679479</v>
      </c>
      <c r="AE42" s="766">
        <v>1.077067341</v>
      </c>
      <c r="AF42" s="766">
        <v>0.79407940700000001</v>
      </c>
      <c r="AG42" s="766">
        <v>0.82247784300000004</v>
      </c>
      <c r="AH42" s="766">
        <v>1.0318456380000001</v>
      </c>
      <c r="AI42" s="766">
        <v>0.98764116700000004</v>
      </c>
      <c r="AJ42" s="766">
        <v>1.073724675</v>
      </c>
      <c r="AK42" s="766">
        <v>1.1616064850000001</v>
      </c>
      <c r="AL42" s="766">
        <v>1.258055114</v>
      </c>
      <c r="AM42" s="766">
        <v>1.257974463</v>
      </c>
      <c r="AN42" s="766">
        <v>0.98707440999999996</v>
      </c>
      <c r="AO42" s="766">
        <v>1.1180053590000001</v>
      </c>
      <c r="AP42" s="766">
        <v>1.03887481</v>
      </c>
      <c r="AQ42" s="766">
        <v>1.0388072559999999</v>
      </c>
      <c r="AR42" s="766">
        <v>0.93883705699999997</v>
      </c>
      <c r="AS42" s="766">
        <v>0.87260127600000004</v>
      </c>
      <c r="AT42" s="766">
        <v>0.59494157999999997</v>
      </c>
      <c r="AU42" s="766">
        <v>0.46933870900000002</v>
      </c>
      <c r="AV42" s="766">
        <v>0.512459518</v>
      </c>
      <c r="AW42" s="766">
        <v>0.73902775099999996</v>
      </c>
      <c r="AX42" s="766">
        <v>0.99627937200000005</v>
      </c>
      <c r="AY42" s="766">
        <v>1.044091997</v>
      </c>
      <c r="AZ42" s="766">
        <v>1.090240423</v>
      </c>
      <c r="BA42" s="766">
        <v>1.1141047930000001</v>
      </c>
      <c r="BB42" s="766">
        <v>1.0890409400000001</v>
      </c>
      <c r="BC42" s="766">
        <v>1.09578884</v>
      </c>
      <c r="BD42" s="766">
        <v>0.91339463799999998</v>
      </c>
      <c r="BE42" s="766">
        <v>0.67166990000000004</v>
      </c>
      <c r="BF42" s="766">
        <v>0.57410720000000004</v>
      </c>
      <c r="BG42" s="767">
        <v>0.51013600000000003</v>
      </c>
      <c r="BH42" s="767">
        <v>0.53166659999999999</v>
      </c>
      <c r="BI42" s="767">
        <v>0.71147320000000003</v>
      </c>
      <c r="BJ42" s="767">
        <v>0.94132559999999998</v>
      </c>
      <c r="BK42" s="767">
        <v>1.0608420000000001</v>
      </c>
      <c r="BL42" s="767">
        <v>1.031047</v>
      </c>
      <c r="BM42" s="767">
        <v>1.2014450000000001</v>
      </c>
      <c r="BN42" s="767">
        <v>1.1793640000000001</v>
      </c>
      <c r="BO42" s="767">
        <v>1.0699240000000001</v>
      </c>
      <c r="BP42" s="767">
        <v>0.88399209999999995</v>
      </c>
      <c r="BQ42" s="767">
        <v>0.64719409999999999</v>
      </c>
      <c r="BR42" s="767">
        <v>0.54908780000000001</v>
      </c>
      <c r="BS42" s="767">
        <v>0.47402850000000002</v>
      </c>
      <c r="BT42" s="767">
        <v>0.52397099999999996</v>
      </c>
      <c r="BU42" s="767">
        <v>0.67336980000000002</v>
      </c>
      <c r="BV42" s="767">
        <v>0.90252089999999996</v>
      </c>
    </row>
    <row r="43" spans="1:74" ht="11.1" customHeight="1" x14ac:dyDescent="0.2">
      <c r="A43" s="545" t="s">
        <v>1277</v>
      </c>
      <c r="B43" s="548" t="s">
        <v>1362</v>
      </c>
      <c r="C43" s="766">
        <v>2.9361418499999998</v>
      </c>
      <c r="D43" s="766">
        <v>2.708158466</v>
      </c>
      <c r="E43" s="766">
        <v>2.6343297190000001</v>
      </c>
      <c r="F43" s="766">
        <v>2.4044776419999998</v>
      </c>
      <c r="G43" s="766">
        <v>1.997031972</v>
      </c>
      <c r="H43" s="766">
        <v>1.8325050460000001</v>
      </c>
      <c r="I43" s="766">
        <v>1.518722313</v>
      </c>
      <c r="J43" s="766">
        <v>1.445573008</v>
      </c>
      <c r="K43" s="766">
        <v>1.7743249649999999</v>
      </c>
      <c r="L43" s="766">
        <v>2.3052060399999998</v>
      </c>
      <c r="M43" s="766">
        <v>2.5488295650000001</v>
      </c>
      <c r="N43" s="766">
        <v>3.0646359040000002</v>
      </c>
      <c r="O43" s="766">
        <v>2.560297056</v>
      </c>
      <c r="P43" s="766">
        <v>2.7550446260000001</v>
      </c>
      <c r="Q43" s="766">
        <v>3.0723645570000002</v>
      </c>
      <c r="R43" s="766">
        <v>2.7226200660000002</v>
      </c>
      <c r="S43" s="766">
        <v>2.5967221</v>
      </c>
      <c r="T43" s="766">
        <v>2.2607283040000001</v>
      </c>
      <c r="U43" s="766">
        <v>1.631737062</v>
      </c>
      <c r="V43" s="766">
        <v>1.4844315450000001</v>
      </c>
      <c r="W43" s="766">
        <v>1.676003656</v>
      </c>
      <c r="X43" s="766">
        <v>2.708697656</v>
      </c>
      <c r="Y43" s="766">
        <v>3.1075799989999999</v>
      </c>
      <c r="Z43" s="766">
        <v>3.6511412499999998</v>
      </c>
      <c r="AA43" s="766">
        <v>3.5407648420000002</v>
      </c>
      <c r="AB43" s="766">
        <v>2.8668576240000001</v>
      </c>
      <c r="AC43" s="766">
        <v>3.185659722</v>
      </c>
      <c r="AD43" s="766">
        <v>2.872394184</v>
      </c>
      <c r="AE43" s="766">
        <v>2.5824383380000002</v>
      </c>
      <c r="AF43" s="766">
        <v>2.1805270019999998</v>
      </c>
      <c r="AG43" s="766">
        <v>2.0012897220000001</v>
      </c>
      <c r="AH43" s="766">
        <v>2.0563902390000002</v>
      </c>
      <c r="AI43" s="766">
        <v>1.9743693680000001</v>
      </c>
      <c r="AJ43" s="766">
        <v>2.8357726900000002</v>
      </c>
      <c r="AK43" s="766">
        <v>2.7291114109999999</v>
      </c>
      <c r="AL43" s="766">
        <v>2.8909888810000002</v>
      </c>
      <c r="AM43" s="766">
        <v>3.0564487730000001</v>
      </c>
      <c r="AN43" s="766">
        <v>2.6644774290000002</v>
      </c>
      <c r="AO43" s="766">
        <v>3.113930941</v>
      </c>
      <c r="AP43" s="766">
        <v>3.4743886389999998</v>
      </c>
      <c r="AQ43" s="766">
        <v>2.8970027389999999</v>
      </c>
      <c r="AR43" s="766">
        <v>2.9031843689999999</v>
      </c>
      <c r="AS43" s="766">
        <v>2.4262821149999998</v>
      </c>
      <c r="AT43" s="766">
        <v>2.2010956020000001</v>
      </c>
      <c r="AU43" s="766">
        <v>2.4632367589999999</v>
      </c>
      <c r="AV43" s="766">
        <v>2.966942017</v>
      </c>
      <c r="AW43" s="766">
        <v>2.7229130069999998</v>
      </c>
      <c r="AX43" s="766">
        <v>3.1827934170000001</v>
      </c>
      <c r="AY43" s="766">
        <v>3.2230589479999998</v>
      </c>
      <c r="AZ43" s="766">
        <v>3.3873150320000001</v>
      </c>
      <c r="BA43" s="766">
        <v>3.6569767280000001</v>
      </c>
      <c r="BB43" s="766">
        <v>3.6762124200000001</v>
      </c>
      <c r="BC43" s="766">
        <v>3.3937033360000002</v>
      </c>
      <c r="BD43" s="766">
        <v>3.0099484360000002</v>
      </c>
      <c r="BE43" s="766">
        <v>2.9535499999999999</v>
      </c>
      <c r="BF43" s="766">
        <v>2.518205</v>
      </c>
      <c r="BG43" s="767">
        <v>2.5983740000000002</v>
      </c>
      <c r="BH43" s="767">
        <v>3.5666730000000002</v>
      </c>
      <c r="BI43" s="767">
        <v>2.9758580000000001</v>
      </c>
      <c r="BJ43" s="767">
        <v>3.95973</v>
      </c>
      <c r="BK43" s="767">
        <v>3.7388650000000001</v>
      </c>
      <c r="BL43" s="767">
        <v>3.9539800000000001</v>
      </c>
      <c r="BM43" s="767">
        <v>4.1517970000000002</v>
      </c>
      <c r="BN43" s="767">
        <v>4.2568650000000003</v>
      </c>
      <c r="BO43" s="767">
        <v>3.8383029999999998</v>
      </c>
      <c r="BP43" s="767">
        <v>3.585181</v>
      </c>
      <c r="BQ43" s="767">
        <v>3.3666320000000001</v>
      </c>
      <c r="BR43" s="767">
        <v>2.8556409999999999</v>
      </c>
      <c r="BS43" s="767">
        <v>2.9542519999999999</v>
      </c>
      <c r="BT43" s="767">
        <v>3.8293149999999998</v>
      </c>
      <c r="BU43" s="767">
        <v>3.3776259999999998</v>
      </c>
      <c r="BV43" s="767">
        <v>4.1201559999999997</v>
      </c>
    </row>
    <row r="44" spans="1:74" ht="11.1" customHeight="1" x14ac:dyDescent="0.2">
      <c r="A44" s="545" t="s">
        <v>1278</v>
      </c>
      <c r="B44" s="546" t="s">
        <v>1363</v>
      </c>
      <c r="C44" s="766">
        <v>0.35681311300000002</v>
      </c>
      <c r="D44" s="766">
        <v>0.31674705399999997</v>
      </c>
      <c r="E44" s="766">
        <v>0.27369399799999999</v>
      </c>
      <c r="F44" s="766">
        <v>0.19157453699999999</v>
      </c>
      <c r="G44" s="766">
        <v>0.29065244600000001</v>
      </c>
      <c r="H44" s="766">
        <v>0.20688026000000001</v>
      </c>
      <c r="I44" s="766">
        <v>0.18887401000000001</v>
      </c>
      <c r="J44" s="766">
        <v>0.19731258199999999</v>
      </c>
      <c r="K44" s="766">
        <v>0.114922803</v>
      </c>
      <c r="L44" s="766">
        <v>0.18155084799999999</v>
      </c>
      <c r="M44" s="766">
        <v>0.21502027200000001</v>
      </c>
      <c r="N44" s="766">
        <v>0.230653946</v>
      </c>
      <c r="O44" s="766">
        <v>0.26449780899999997</v>
      </c>
      <c r="P44" s="766">
        <v>0.213477746</v>
      </c>
      <c r="Q44" s="766">
        <v>0.178053884</v>
      </c>
      <c r="R44" s="766">
        <v>0.15463276400000001</v>
      </c>
      <c r="S44" s="766">
        <v>0.25956494099999999</v>
      </c>
      <c r="T44" s="766">
        <v>0.19566656299999999</v>
      </c>
      <c r="U44" s="766">
        <v>9.7388484999999997E-2</v>
      </c>
      <c r="V44" s="766">
        <v>0.14666842799999999</v>
      </c>
      <c r="W44" s="766">
        <v>0.146453587</v>
      </c>
      <c r="X44" s="766">
        <v>0.17753909200000001</v>
      </c>
      <c r="Y44" s="766">
        <v>0.22085178499999999</v>
      </c>
      <c r="Z44" s="766">
        <v>0.31405536899999997</v>
      </c>
      <c r="AA44" s="766">
        <v>1.634717939</v>
      </c>
      <c r="AB44" s="766">
        <v>0.214526519</v>
      </c>
      <c r="AC44" s="766">
        <v>0.15956361299999999</v>
      </c>
      <c r="AD44" s="766">
        <v>0.22991201</v>
      </c>
      <c r="AE44" s="766">
        <v>0.25073255</v>
      </c>
      <c r="AF44" s="766">
        <v>0.25162770899999998</v>
      </c>
      <c r="AG44" s="766">
        <v>0.117848968</v>
      </c>
      <c r="AH44" s="766">
        <v>0.13185066000000001</v>
      </c>
      <c r="AI44" s="766">
        <v>0.16007829000000001</v>
      </c>
      <c r="AJ44" s="766">
        <v>0.23788077999999999</v>
      </c>
      <c r="AK44" s="766">
        <v>0.30973095</v>
      </c>
      <c r="AL44" s="766">
        <v>0.30091820800000002</v>
      </c>
      <c r="AM44" s="766">
        <v>0.41382940699999998</v>
      </c>
      <c r="AN44" s="766">
        <v>0.26307884399999998</v>
      </c>
      <c r="AO44" s="766">
        <v>0.19911832199999999</v>
      </c>
      <c r="AP44" s="766">
        <v>0.23073523100000001</v>
      </c>
      <c r="AQ44" s="766">
        <v>0.23221445499999999</v>
      </c>
      <c r="AR44" s="766">
        <v>0.203374359</v>
      </c>
      <c r="AS44" s="766">
        <v>0.13370167299999999</v>
      </c>
      <c r="AT44" s="766">
        <v>0.229975071</v>
      </c>
      <c r="AU44" s="766">
        <v>0.15456149699999999</v>
      </c>
      <c r="AV44" s="766">
        <v>0.123524026</v>
      </c>
      <c r="AW44" s="766">
        <v>0.15659498899999999</v>
      </c>
      <c r="AX44" s="766">
        <v>0.13707577000000001</v>
      </c>
      <c r="AY44" s="766">
        <v>0.24672265500000001</v>
      </c>
      <c r="AZ44" s="766">
        <v>0.137369715</v>
      </c>
      <c r="BA44" s="766">
        <v>0.252389162</v>
      </c>
      <c r="BB44" s="766">
        <v>0.23624134199999999</v>
      </c>
      <c r="BC44" s="766">
        <v>0.209962923</v>
      </c>
      <c r="BD44" s="766">
        <v>0.18136761500000001</v>
      </c>
      <c r="BE44" s="766">
        <v>0.14989949999999999</v>
      </c>
      <c r="BF44" s="766">
        <v>0.22710720000000001</v>
      </c>
      <c r="BG44" s="767">
        <v>0.15091379999999999</v>
      </c>
      <c r="BH44" s="767">
        <v>0.11923499999999999</v>
      </c>
      <c r="BI44" s="767">
        <v>0.16122610000000001</v>
      </c>
      <c r="BJ44" s="767">
        <v>0.14695620000000001</v>
      </c>
      <c r="BK44" s="767">
        <v>0.26050770000000001</v>
      </c>
      <c r="BL44" s="767">
        <v>0.14230229999999999</v>
      </c>
      <c r="BM44" s="767">
        <v>0.34929300000000002</v>
      </c>
      <c r="BN44" s="767">
        <v>0.24464459999999999</v>
      </c>
      <c r="BO44" s="767">
        <v>0.2237895</v>
      </c>
      <c r="BP44" s="767">
        <v>0.1368162</v>
      </c>
      <c r="BQ44" s="767">
        <v>0.11181779999999999</v>
      </c>
      <c r="BR44" s="767">
        <v>0.19004380000000001</v>
      </c>
      <c r="BS44" s="767">
        <v>9.4050300000000003E-2</v>
      </c>
      <c r="BT44" s="767">
        <v>0.1234194</v>
      </c>
      <c r="BU44" s="767">
        <v>7.4202799999999999E-2</v>
      </c>
      <c r="BV44" s="767">
        <v>0.14517820000000001</v>
      </c>
    </row>
    <row r="45" spans="1:74" ht="11.1" customHeight="1" x14ac:dyDescent="0.2">
      <c r="A45" s="545" t="s">
        <v>1279</v>
      </c>
      <c r="B45" s="548" t="s">
        <v>1263</v>
      </c>
      <c r="C45" s="766">
        <v>72.287189634000001</v>
      </c>
      <c r="D45" s="766">
        <v>64.908428533000006</v>
      </c>
      <c r="E45" s="766">
        <v>58.932642944000001</v>
      </c>
      <c r="F45" s="766">
        <v>55.604741304000001</v>
      </c>
      <c r="G45" s="766">
        <v>59.450019238000003</v>
      </c>
      <c r="H45" s="766">
        <v>69.119688643999993</v>
      </c>
      <c r="I45" s="766">
        <v>79.964737256999996</v>
      </c>
      <c r="J45" s="766">
        <v>82.198022546000004</v>
      </c>
      <c r="K45" s="766">
        <v>68.083074664999998</v>
      </c>
      <c r="L45" s="766">
        <v>59.572928537000003</v>
      </c>
      <c r="M45" s="766">
        <v>59.518385711999997</v>
      </c>
      <c r="N45" s="766">
        <v>71.182236322999998</v>
      </c>
      <c r="O45" s="766">
        <v>69.519746828999999</v>
      </c>
      <c r="P45" s="766">
        <v>59.654255040000002</v>
      </c>
      <c r="Q45" s="766">
        <v>66.037433923999998</v>
      </c>
      <c r="R45" s="766">
        <v>57.285844732000001</v>
      </c>
      <c r="S45" s="766">
        <v>60.534828955000002</v>
      </c>
      <c r="T45" s="766">
        <v>68.604753141000003</v>
      </c>
      <c r="U45" s="766">
        <v>76.921200709999994</v>
      </c>
      <c r="V45" s="766">
        <v>71.859462639</v>
      </c>
      <c r="W45" s="766">
        <v>62.749817460000003</v>
      </c>
      <c r="X45" s="766">
        <v>59.810848123</v>
      </c>
      <c r="Y45" s="766">
        <v>61.388615363</v>
      </c>
      <c r="Z45" s="766">
        <v>73.235761620999995</v>
      </c>
      <c r="AA45" s="766">
        <v>76.358797585999994</v>
      </c>
      <c r="AB45" s="766">
        <v>62.135431846000003</v>
      </c>
      <c r="AC45" s="766">
        <v>65.110662070000004</v>
      </c>
      <c r="AD45" s="766">
        <v>56.887328189999998</v>
      </c>
      <c r="AE45" s="766">
        <v>62.954201042999998</v>
      </c>
      <c r="AF45" s="766">
        <v>68.885520557000007</v>
      </c>
      <c r="AG45" s="766">
        <v>76.982281451999995</v>
      </c>
      <c r="AH45" s="766">
        <v>78.739859515999996</v>
      </c>
      <c r="AI45" s="766">
        <v>67.715212144999995</v>
      </c>
      <c r="AJ45" s="766">
        <v>62.249522124000002</v>
      </c>
      <c r="AK45" s="766">
        <v>63.530804726</v>
      </c>
      <c r="AL45" s="766">
        <v>70.232796765000003</v>
      </c>
      <c r="AM45" s="766">
        <v>75.172439424999993</v>
      </c>
      <c r="AN45" s="766">
        <v>64.499521165000004</v>
      </c>
      <c r="AO45" s="766">
        <v>65.770688530000001</v>
      </c>
      <c r="AP45" s="766">
        <v>56.199582849999999</v>
      </c>
      <c r="AQ45" s="766">
        <v>61.939909120000003</v>
      </c>
      <c r="AR45" s="766">
        <v>67.505586625000007</v>
      </c>
      <c r="AS45" s="766">
        <v>81.512247731000002</v>
      </c>
      <c r="AT45" s="766">
        <v>75.422786435000006</v>
      </c>
      <c r="AU45" s="766">
        <v>67.154780563000003</v>
      </c>
      <c r="AV45" s="766">
        <v>59.241295575000002</v>
      </c>
      <c r="AW45" s="766">
        <v>61.708152835</v>
      </c>
      <c r="AX45" s="766">
        <v>68.246553266999996</v>
      </c>
      <c r="AY45" s="766">
        <v>69.215631794000004</v>
      </c>
      <c r="AZ45" s="766">
        <v>63.921282251999997</v>
      </c>
      <c r="BA45" s="766">
        <v>61.503939621000001</v>
      </c>
      <c r="BB45" s="766">
        <v>54.238991929000001</v>
      </c>
      <c r="BC45" s="766">
        <v>57.520817657999999</v>
      </c>
      <c r="BD45" s="766">
        <v>68.723221249000005</v>
      </c>
      <c r="BE45" s="766">
        <v>77.153049448999994</v>
      </c>
      <c r="BF45" s="766">
        <v>69.021853836000005</v>
      </c>
      <c r="BG45" s="767">
        <v>64.848399999999998</v>
      </c>
      <c r="BH45" s="767">
        <v>58.475070000000002</v>
      </c>
      <c r="BI45" s="767">
        <v>59.747920000000001</v>
      </c>
      <c r="BJ45" s="767">
        <v>68.541669999999996</v>
      </c>
      <c r="BK45" s="767">
        <v>71.126289999999997</v>
      </c>
      <c r="BL45" s="767">
        <v>61.717239999999997</v>
      </c>
      <c r="BM45" s="767">
        <v>66.389610000000005</v>
      </c>
      <c r="BN45" s="767">
        <v>57.951369999999997</v>
      </c>
      <c r="BO45" s="767">
        <v>61.659030000000001</v>
      </c>
      <c r="BP45" s="767">
        <v>70.183959999999999</v>
      </c>
      <c r="BQ45" s="767">
        <v>73.972629999999995</v>
      </c>
      <c r="BR45" s="767">
        <v>66.052289999999999</v>
      </c>
      <c r="BS45" s="767">
        <v>61.651510000000002</v>
      </c>
      <c r="BT45" s="767">
        <v>57.415120000000002</v>
      </c>
      <c r="BU45" s="767">
        <v>57.930860000000003</v>
      </c>
      <c r="BV45" s="767">
        <v>66.784459999999996</v>
      </c>
    </row>
    <row r="46" spans="1:74" ht="11.1" customHeight="1" x14ac:dyDescent="0.2">
      <c r="A46" s="545" t="s">
        <v>1280</v>
      </c>
      <c r="B46" s="546" t="s">
        <v>1364</v>
      </c>
      <c r="C46" s="766">
        <v>70.783386598000007</v>
      </c>
      <c r="D46" s="766">
        <v>63.144621803</v>
      </c>
      <c r="E46" s="766">
        <v>57.851524730000001</v>
      </c>
      <c r="F46" s="766">
        <v>54.080516709999998</v>
      </c>
      <c r="G46" s="766">
        <v>56.722280335999997</v>
      </c>
      <c r="H46" s="766">
        <v>65.559515415000007</v>
      </c>
      <c r="I46" s="766">
        <v>76.251551413000001</v>
      </c>
      <c r="J46" s="766">
        <v>78.302944901999993</v>
      </c>
      <c r="K46" s="766">
        <v>64.211988141999996</v>
      </c>
      <c r="L46" s="766">
        <v>55.203592309999998</v>
      </c>
      <c r="M46" s="766">
        <v>56.188326668999999</v>
      </c>
      <c r="N46" s="766">
        <v>67.908786245000002</v>
      </c>
      <c r="O46" s="766">
        <v>67.021838926000001</v>
      </c>
      <c r="P46" s="766">
        <v>56.414558661999997</v>
      </c>
      <c r="Q46" s="766">
        <v>61.732817752999999</v>
      </c>
      <c r="R46" s="766">
        <v>52.921225735</v>
      </c>
      <c r="S46" s="766">
        <v>56.520581403000001</v>
      </c>
      <c r="T46" s="766">
        <v>65.049256092999997</v>
      </c>
      <c r="U46" s="766">
        <v>73.298650925999993</v>
      </c>
      <c r="V46" s="766">
        <v>68.071422100999996</v>
      </c>
      <c r="W46" s="766">
        <v>59.243592638999999</v>
      </c>
      <c r="X46" s="766">
        <v>57.608129532</v>
      </c>
      <c r="Y46" s="766">
        <v>59.516926499</v>
      </c>
      <c r="Z46" s="766">
        <v>70.518116535999994</v>
      </c>
      <c r="AA46" s="766">
        <v>74.807762151999995</v>
      </c>
      <c r="AB46" s="766">
        <v>59.663451696000003</v>
      </c>
      <c r="AC46" s="766">
        <v>63.790575111999999</v>
      </c>
      <c r="AD46" s="766">
        <v>55.586840946000002</v>
      </c>
      <c r="AE46" s="766">
        <v>60.048742220000001</v>
      </c>
      <c r="AF46" s="766">
        <v>65.717719935000005</v>
      </c>
      <c r="AG46" s="766">
        <v>73.960948232000007</v>
      </c>
      <c r="AH46" s="766">
        <v>75.226439847999998</v>
      </c>
      <c r="AI46" s="766">
        <v>64.534071877000002</v>
      </c>
      <c r="AJ46" s="766">
        <v>59.682784935000001</v>
      </c>
      <c r="AK46" s="766">
        <v>61.144052848999998</v>
      </c>
      <c r="AL46" s="766">
        <v>64.969315379999998</v>
      </c>
      <c r="AM46" s="766">
        <v>71.543880940999998</v>
      </c>
      <c r="AN46" s="766">
        <v>61.383950317</v>
      </c>
      <c r="AO46" s="766">
        <v>62.195776213999999</v>
      </c>
      <c r="AP46" s="766">
        <v>52.589182113</v>
      </c>
      <c r="AQ46" s="766">
        <v>57.668481915999998</v>
      </c>
      <c r="AR46" s="766">
        <v>62.773887815999998</v>
      </c>
      <c r="AS46" s="766">
        <v>77.812137411999998</v>
      </c>
      <c r="AT46" s="766">
        <v>71.696611637999993</v>
      </c>
      <c r="AU46" s="766">
        <v>62.840060776000001</v>
      </c>
      <c r="AV46" s="766">
        <v>56.560943199999997</v>
      </c>
      <c r="AW46" s="766">
        <v>59.243465385</v>
      </c>
      <c r="AX46" s="766">
        <v>64.549464005000004</v>
      </c>
      <c r="AY46" s="766">
        <v>65.420508494000003</v>
      </c>
      <c r="AZ46" s="766">
        <v>60.188003825000003</v>
      </c>
      <c r="BA46" s="766">
        <v>56.247301268999998</v>
      </c>
      <c r="BB46" s="766">
        <v>48.695762209999998</v>
      </c>
      <c r="BC46" s="766">
        <v>52.587842219999999</v>
      </c>
      <c r="BD46" s="766">
        <v>62.816609913000001</v>
      </c>
      <c r="BE46" s="766">
        <v>78.406090000000006</v>
      </c>
      <c r="BF46" s="766">
        <v>74.258170000000007</v>
      </c>
      <c r="BG46" s="767">
        <v>61.817239999999998</v>
      </c>
      <c r="BH46" s="767">
        <v>56.382809999999999</v>
      </c>
      <c r="BI46" s="767">
        <v>56.94059</v>
      </c>
      <c r="BJ46" s="767">
        <v>64.564109999999999</v>
      </c>
      <c r="BK46" s="767">
        <v>67.5</v>
      </c>
      <c r="BL46" s="767">
        <v>59.056249999999999</v>
      </c>
      <c r="BM46" s="767">
        <v>59.665379999999999</v>
      </c>
      <c r="BN46" s="767">
        <v>51.896650000000001</v>
      </c>
      <c r="BO46" s="767">
        <v>55.349679999999999</v>
      </c>
      <c r="BP46" s="767">
        <v>64.486810000000006</v>
      </c>
      <c r="BQ46" s="767">
        <v>72.852909999999994</v>
      </c>
      <c r="BR46" s="767">
        <v>70.627750000000006</v>
      </c>
      <c r="BS46" s="767">
        <v>59.35239</v>
      </c>
      <c r="BT46" s="767">
        <v>56.330889999999997</v>
      </c>
      <c r="BU46" s="767">
        <v>56.725940000000001</v>
      </c>
      <c r="BV46" s="767">
        <v>64.621880000000004</v>
      </c>
    </row>
    <row r="47" spans="1:74" ht="11.1" customHeight="1" x14ac:dyDescent="0.2">
      <c r="A47" s="539"/>
      <c r="B47" s="131" t="s">
        <v>1281</v>
      </c>
      <c r="C47" s="249"/>
      <c r="D47" s="249"/>
      <c r="E47" s="249"/>
      <c r="F47" s="249"/>
      <c r="G47" s="249"/>
      <c r="H47" s="249"/>
      <c r="I47" s="249"/>
      <c r="J47" s="249"/>
      <c r="K47" s="249"/>
      <c r="L47" s="249"/>
      <c r="M47" s="249"/>
      <c r="N47" s="249"/>
      <c r="O47" s="249"/>
      <c r="P47" s="249"/>
      <c r="Q47" s="249"/>
      <c r="R47" s="249"/>
      <c r="S47" s="249"/>
      <c r="T47" s="249"/>
      <c r="U47" s="249"/>
      <c r="V47" s="249"/>
      <c r="W47" s="249"/>
      <c r="X47" s="249"/>
      <c r="Y47" s="249"/>
      <c r="Z47" s="249"/>
      <c r="AA47" s="249"/>
      <c r="AB47" s="249"/>
      <c r="AC47" s="249"/>
      <c r="AD47" s="249"/>
      <c r="AE47" s="249"/>
      <c r="AF47" s="249"/>
      <c r="AG47" s="249"/>
      <c r="AH47" s="249"/>
      <c r="AI47" s="249"/>
      <c r="AJ47" s="249"/>
      <c r="AK47" s="249"/>
      <c r="AL47" s="249"/>
      <c r="AM47" s="249"/>
      <c r="AN47" s="249"/>
      <c r="AO47" s="249"/>
      <c r="AP47" s="249"/>
      <c r="AQ47" s="249"/>
      <c r="AR47" s="249"/>
      <c r="AS47" s="249"/>
      <c r="AT47" s="249"/>
      <c r="AU47" s="249"/>
      <c r="AV47" s="249"/>
      <c r="AW47" s="249"/>
      <c r="AX47" s="249"/>
      <c r="AY47" s="249"/>
      <c r="AZ47" s="249"/>
      <c r="BA47" s="249"/>
      <c r="BB47" s="249"/>
      <c r="BC47" s="249"/>
      <c r="BD47" s="249"/>
      <c r="BE47" s="249"/>
      <c r="BF47" s="249"/>
      <c r="BG47" s="360"/>
      <c r="BH47" s="360"/>
      <c r="BI47" s="360"/>
      <c r="BJ47" s="360"/>
      <c r="BK47" s="360"/>
      <c r="BL47" s="360"/>
      <c r="BM47" s="360"/>
      <c r="BN47" s="360"/>
      <c r="BO47" s="360"/>
      <c r="BP47" s="360"/>
      <c r="BQ47" s="360"/>
      <c r="BR47" s="360"/>
      <c r="BS47" s="360"/>
      <c r="BT47" s="360"/>
      <c r="BU47" s="360"/>
      <c r="BV47" s="360"/>
    </row>
    <row r="48" spans="1:74" ht="11.1" customHeight="1" x14ac:dyDescent="0.2">
      <c r="A48" s="545" t="s">
        <v>1282</v>
      </c>
      <c r="B48" s="546" t="s">
        <v>86</v>
      </c>
      <c r="C48" s="766">
        <v>19.256691363000002</v>
      </c>
      <c r="D48" s="766">
        <v>17.523828962</v>
      </c>
      <c r="E48" s="766">
        <v>18.171821225999999</v>
      </c>
      <c r="F48" s="766">
        <v>16.122769632000001</v>
      </c>
      <c r="G48" s="766">
        <v>18.732807265000002</v>
      </c>
      <c r="H48" s="766">
        <v>21.632058849</v>
      </c>
      <c r="I48" s="766">
        <v>23.602094975</v>
      </c>
      <c r="J48" s="766">
        <v>23.579211653000002</v>
      </c>
      <c r="K48" s="766">
        <v>20.217103531999999</v>
      </c>
      <c r="L48" s="766">
        <v>15.698680157</v>
      </c>
      <c r="M48" s="766">
        <v>15.409233052999999</v>
      </c>
      <c r="N48" s="766">
        <v>17.065989313999999</v>
      </c>
      <c r="O48" s="766">
        <v>16.178135251</v>
      </c>
      <c r="P48" s="766">
        <v>15.434616316</v>
      </c>
      <c r="Q48" s="766">
        <v>18.671552233</v>
      </c>
      <c r="R48" s="766">
        <v>16.160540756</v>
      </c>
      <c r="S48" s="766">
        <v>17.886187654</v>
      </c>
      <c r="T48" s="766">
        <v>18.967394837000001</v>
      </c>
      <c r="U48" s="766">
        <v>22.729223112</v>
      </c>
      <c r="V48" s="766">
        <v>22.094827188</v>
      </c>
      <c r="W48" s="766">
        <v>18.684068444000001</v>
      </c>
      <c r="X48" s="766">
        <v>16.843442113999998</v>
      </c>
      <c r="Y48" s="766">
        <v>17.341719069</v>
      </c>
      <c r="Z48" s="766">
        <v>19.805823475</v>
      </c>
      <c r="AA48" s="766">
        <v>21.111847431000001</v>
      </c>
      <c r="AB48" s="766">
        <v>16.842808183999999</v>
      </c>
      <c r="AC48" s="766">
        <v>18.815603347</v>
      </c>
      <c r="AD48" s="766">
        <v>16.569318773999999</v>
      </c>
      <c r="AE48" s="766">
        <v>19.468101379</v>
      </c>
      <c r="AF48" s="766">
        <v>21.745044674999999</v>
      </c>
      <c r="AG48" s="766">
        <v>25.440577935</v>
      </c>
      <c r="AH48" s="766">
        <v>24.849993065</v>
      </c>
      <c r="AI48" s="766">
        <v>23.696181516999999</v>
      </c>
      <c r="AJ48" s="766">
        <v>20.017831301000001</v>
      </c>
      <c r="AK48" s="766">
        <v>18.806005803000001</v>
      </c>
      <c r="AL48" s="766">
        <v>17.241582118</v>
      </c>
      <c r="AM48" s="766">
        <v>19.019020263000002</v>
      </c>
      <c r="AN48" s="766">
        <v>18.490359768000001</v>
      </c>
      <c r="AO48" s="766">
        <v>18.746196097999999</v>
      </c>
      <c r="AP48" s="766">
        <v>16.298907080999999</v>
      </c>
      <c r="AQ48" s="766">
        <v>20.761814299000001</v>
      </c>
      <c r="AR48" s="766">
        <v>22.180790655999999</v>
      </c>
      <c r="AS48" s="766">
        <v>26.185080878000001</v>
      </c>
      <c r="AT48" s="766">
        <v>26.829701453999999</v>
      </c>
      <c r="AU48" s="766">
        <v>24.748946539999999</v>
      </c>
      <c r="AV48" s="766">
        <v>21.087588352000001</v>
      </c>
      <c r="AW48" s="766">
        <v>19.06881125</v>
      </c>
      <c r="AX48" s="766">
        <v>19.491818383999998</v>
      </c>
      <c r="AY48" s="766">
        <v>21.135458005</v>
      </c>
      <c r="AZ48" s="766">
        <v>21.940435186999999</v>
      </c>
      <c r="BA48" s="766">
        <v>18.784119583999999</v>
      </c>
      <c r="BB48" s="766">
        <v>15.816879331000001</v>
      </c>
      <c r="BC48" s="766">
        <v>20.228083808000001</v>
      </c>
      <c r="BD48" s="766">
        <v>23.090411484000001</v>
      </c>
      <c r="BE48" s="766">
        <v>25.759650000000001</v>
      </c>
      <c r="BF48" s="766">
        <v>25.703499999999998</v>
      </c>
      <c r="BG48" s="767">
        <v>23.579350000000002</v>
      </c>
      <c r="BH48" s="767">
        <v>21.249369999999999</v>
      </c>
      <c r="BI48" s="767">
        <v>18.809449999999998</v>
      </c>
      <c r="BJ48" s="767">
        <v>19.232289999999999</v>
      </c>
      <c r="BK48" s="767">
        <v>20.326709999999999</v>
      </c>
      <c r="BL48" s="767">
        <v>18.509029999999999</v>
      </c>
      <c r="BM48" s="767">
        <v>16.674109999999999</v>
      </c>
      <c r="BN48" s="767">
        <v>15.926679999999999</v>
      </c>
      <c r="BO48" s="767">
        <v>18.9956</v>
      </c>
      <c r="BP48" s="767">
        <v>21.848330000000001</v>
      </c>
      <c r="BQ48" s="767">
        <v>25.645790000000002</v>
      </c>
      <c r="BR48" s="767">
        <v>25.129960000000001</v>
      </c>
      <c r="BS48" s="767">
        <v>23.22214</v>
      </c>
      <c r="BT48" s="767">
        <v>20.981760000000001</v>
      </c>
      <c r="BU48" s="767">
        <v>20.61505</v>
      </c>
      <c r="BV48" s="767">
        <v>20.010729999999999</v>
      </c>
    </row>
    <row r="49" spans="1:74" ht="11.1" customHeight="1" x14ac:dyDescent="0.2">
      <c r="A49" s="545" t="s">
        <v>1283</v>
      </c>
      <c r="B49" s="548" t="s">
        <v>85</v>
      </c>
      <c r="C49" s="766">
        <v>19.153949877999999</v>
      </c>
      <c r="D49" s="766">
        <v>16.056153513999998</v>
      </c>
      <c r="E49" s="766">
        <v>11.708397120000001</v>
      </c>
      <c r="F49" s="766">
        <v>11.791401899</v>
      </c>
      <c r="G49" s="766">
        <v>14.906598767</v>
      </c>
      <c r="H49" s="766">
        <v>21.872853398</v>
      </c>
      <c r="I49" s="766">
        <v>25.920662968999999</v>
      </c>
      <c r="J49" s="766">
        <v>25.462799619999998</v>
      </c>
      <c r="K49" s="766">
        <v>20.652955613</v>
      </c>
      <c r="L49" s="766">
        <v>15.893888091000001</v>
      </c>
      <c r="M49" s="766">
        <v>13.831099399999999</v>
      </c>
      <c r="N49" s="766">
        <v>18.055262531</v>
      </c>
      <c r="O49" s="766">
        <v>17.247741010999999</v>
      </c>
      <c r="P49" s="766">
        <v>11.890329634</v>
      </c>
      <c r="Q49" s="766">
        <v>14.017166448999999</v>
      </c>
      <c r="R49" s="766">
        <v>13.908072122</v>
      </c>
      <c r="S49" s="766">
        <v>16.137642135</v>
      </c>
      <c r="T49" s="766">
        <v>18.537580643999998</v>
      </c>
      <c r="U49" s="766">
        <v>22.603138940000001</v>
      </c>
      <c r="V49" s="766">
        <v>20.709574739000001</v>
      </c>
      <c r="W49" s="766">
        <v>14.668072658</v>
      </c>
      <c r="X49" s="766">
        <v>13.464474992</v>
      </c>
      <c r="Y49" s="766">
        <v>11.613682020000001</v>
      </c>
      <c r="Z49" s="766">
        <v>16.108275617</v>
      </c>
      <c r="AA49" s="766">
        <v>21.974256937</v>
      </c>
      <c r="AB49" s="766">
        <v>10.792218233</v>
      </c>
      <c r="AC49" s="766">
        <v>11.484672120999999</v>
      </c>
      <c r="AD49" s="766">
        <v>10.505463739</v>
      </c>
      <c r="AE49" s="766">
        <v>15.148293546</v>
      </c>
      <c r="AF49" s="766">
        <v>19.356741023000001</v>
      </c>
      <c r="AG49" s="766">
        <v>18.855354074000001</v>
      </c>
      <c r="AH49" s="766">
        <v>18.496230815000001</v>
      </c>
      <c r="AI49" s="766">
        <v>16.554136192000001</v>
      </c>
      <c r="AJ49" s="766">
        <v>13.660126096999999</v>
      </c>
      <c r="AK49" s="766">
        <v>13.983456367</v>
      </c>
      <c r="AL49" s="766">
        <v>14.688913333</v>
      </c>
      <c r="AM49" s="766">
        <v>14.934652923</v>
      </c>
      <c r="AN49" s="766">
        <v>8.9798332379999994</v>
      </c>
      <c r="AO49" s="766">
        <v>11.153107417999999</v>
      </c>
      <c r="AP49" s="766">
        <v>9.8626930080000008</v>
      </c>
      <c r="AQ49" s="766">
        <v>14.126700984999999</v>
      </c>
      <c r="AR49" s="766">
        <v>14.033393421</v>
      </c>
      <c r="AS49" s="766">
        <v>18.356220172</v>
      </c>
      <c r="AT49" s="766">
        <v>17.482441949999998</v>
      </c>
      <c r="AU49" s="766">
        <v>17.445948074</v>
      </c>
      <c r="AV49" s="766">
        <v>11.252546456999999</v>
      </c>
      <c r="AW49" s="766">
        <v>11.577909407</v>
      </c>
      <c r="AX49" s="766">
        <v>10.643252831</v>
      </c>
      <c r="AY49" s="766">
        <v>9.4213158959999994</v>
      </c>
      <c r="AZ49" s="766">
        <v>7.1305447790000001</v>
      </c>
      <c r="BA49" s="766">
        <v>7.3710865410000004</v>
      </c>
      <c r="BB49" s="766">
        <v>4.8064969150000003</v>
      </c>
      <c r="BC49" s="766">
        <v>6.1473268440000002</v>
      </c>
      <c r="BD49" s="766">
        <v>11.164512327000001</v>
      </c>
      <c r="BE49" s="766">
        <v>16.276759999999999</v>
      </c>
      <c r="BF49" s="766">
        <v>16.6448</v>
      </c>
      <c r="BG49" s="767">
        <v>12.17057</v>
      </c>
      <c r="BH49" s="767">
        <v>8.5833910000000007</v>
      </c>
      <c r="BI49" s="767">
        <v>8.5749259999999996</v>
      </c>
      <c r="BJ49" s="767">
        <v>11.72667</v>
      </c>
      <c r="BK49" s="767">
        <v>11.52994</v>
      </c>
      <c r="BL49" s="767">
        <v>8.950583</v>
      </c>
      <c r="BM49" s="767">
        <v>6.37765</v>
      </c>
      <c r="BN49" s="767">
        <v>6.0989930000000001</v>
      </c>
      <c r="BO49" s="767">
        <v>8.517576</v>
      </c>
      <c r="BP49" s="767">
        <v>14.00564</v>
      </c>
      <c r="BQ49" s="767">
        <v>18.752199999999998</v>
      </c>
      <c r="BR49" s="767">
        <v>19.34478</v>
      </c>
      <c r="BS49" s="767">
        <v>12.150779999999999</v>
      </c>
      <c r="BT49" s="767">
        <v>9.2924070000000007</v>
      </c>
      <c r="BU49" s="767">
        <v>8.3982220000000005</v>
      </c>
      <c r="BV49" s="767">
        <v>12.16507</v>
      </c>
    </row>
    <row r="50" spans="1:74" ht="11.1" customHeight="1" x14ac:dyDescent="0.2">
      <c r="A50" s="545" t="s">
        <v>1284</v>
      </c>
      <c r="B50" s="548" t="s">
        <v>88</v>
      </c>
      <c r="C50" s="766">
        <v>17.257248000000001</v>
      </c>
      <c r="D50" s="766">
        <v>15.301584</v>
      </c>
      <c r="E50" s="766">
        <v>15.151883</v>
      </c>
      <c r="F50" s="766">
        <v>16.460198999999999</v>
      </c>
      <c r="G50" s="766">
        <v>17.207311000000001</v>
      </c>
      <c r="H50" s="766">
        <v>17.299866999999999</v>
      </c>
      <c r="I50" s="766">
        <v>17.944434999999999</v>
      </c>
      <c r="J50" s="766">
        <v>17.724550000000001</v>
      </c>
      <c r="K50" s="766">
        <v>16.473831000000001</v>
      </c>
      <c r="L50" s="766">
        <v>16.308382000000002</v>
      </c>
      <c r="M50" s="766">
        <v>17.043559999999999</v>
      </c>
      <c r="N50" s="766">
        <v>18.39978</v>
      </c>
      <c r="O50" s="766">
        <v>18.580918</v>
      </c>
      <c r="P50" s="766">
        <v>16.086925999999998</v>
      </c>
      <c r="Q50" s="766">
        <v>15.702095</v>
      </c>
      <c r="R50" s="766">
        <v>14.325597999999999</v>
      </c>
      <c r="S50" s="766">
        <v>15.625399</v>
      </c>
      <c r="T50" s="766">
        <v>17.171970000000002</v>
      </c>
      <c r="U50" s="766">
        <v>17.955287999999999</v>
      </c>
      <c r="V50" s="766">
        <v>18.506471999999999</v>
      </c>
      <c r="W50" s="766">
        <v>17.549841000000001</v>
      </c>
      <c r="X50" s="766">
        <v>17.524505000000001</v>
      </c>
      <c r="Y50" s="766">
        <v>16.886710000000001</v>
      </c>
      <c r="Z50" s="766">
        <v>18.981376000000001</v>
      </c>
      <c r="AA50" s="766">
        <v>19.088445</v>
      </c>
      <c r="AB50" s="766">
        <v>15.952855</v>
      </c>
      <c r="AC50" s="766">
        <v>16.991759999999999</v>
      </c>
      <c r="AD50" s="766">
        <v>15.538569000000001</v>
      </c>
      <c r="AE50" s="766">
        <v>17.415361000000001</v>
      </c>
      <c r="AF50" s="766">
        <v>17.77965</v>
      </c>
      <c r="AG50" s="766">
        <v>18.820608</v>
      </c>
      <c r="AH50" s="766">
        <v>18.670936999999999</v>
      </c>
      <c r="AI50" s="766">
        <v>16.038767</v>
      </c>
      <c r="AJ50" s="766">
        <v>14.656088</v>
      </c>
      <c r="AK50" s="766">
        <v>15.363988000000001</v>
      </c>
      <c r="AL50" s="766">
        <v>18.478275</v>
      </c>
      <c r="AM50" s="766">
        <v>19.464435999999999</v>
      </c>
      <c r="AN50" s="766">
        <v>16.682307999999999</v>
      </c>
      <c r="AO50" s="766">
        <v>16.179718000000001</v>
      </c>
      <c r="AP50" s="766">
        <v>15.775627</v>
      </c>
      <c r="AQ50" s="766">
        <v>18.466839</v>
      </c>
      <c r="AR50" s="766">
        <v>18.562017999999998</v>
      </c>
      <c r="AS50" s="766">
        <v>18.935409</v>
      </c>
      <c r="AT50" s="766">
        <v>18.617035999999999</v>
      </c>
      <c r="AU50" s="766">
        <v>16.152846</v>
      </c>
      <c r="AV50" s="766">
        <v>16.408214999999998</v>
      </c>
      <c r="AW50" s="766">
        <v>16.521829</v>
      </c>
      <c r="AX50" s="766">
        <v>19.220815000000002</v>
      </c>
      <c r="AY50" s="766">
        <v>19.340544000000001</v>
      </c>
      <c r="AZ50" s="766">
        <v>17.202967000000001</v>
      </c>
      <c r="BA50" s="766">
        <v>16.429819999999999</v>
      </c>
      <c r="BB50" s="766">
        <v>16.481005</v>
      </c>
      <c r="BC50" s="766">
        <v>16.382496</v>
      </c>
      <c r="BD50" s="766">
        <v>17.664995999999999</v>
      </c>
      <c r="BE50" s="766">
        <v>18.583300000000001</v>
      </c>
      <c r="BF50" s="766">
        <v>18.163689999999999</v>
      </c>
      <c r="BG50" s="767">
        <v>16.919789999999999</v>
      </c>
      <c r="BH50" s="767">
        <v>15.90518</v>
      </c>
      <c r="BI50" s="767">
        <v>17.145189999999999</v>
      </c>
      <c r="BJ50" s="767">
        <v>18.999569999999999</v>
      </c>
      <c r="BK50" s="767">
        <v>19.015779999999999</v>
      </c>
      <c r="BL50" s="767">
        <v>16.632359999999998</v>
      </c>
      <c r="BM50" s="767">
        <v>16.538630000000001</v>
      </c>
      <c r="BN50" s="767">
        <v>15.87595</v>
      </c>
      <c r="BO50" s="767">
        <v>18.000119999999999</v>
      </c>
      <c r="BP50" s="767">
        <v>18.370080000000002</v>
      </c>
      <c r="BQ50" s="767">
        <v>18.980530000000002</v>
      </c>
      <c r="BR50" s="767">
        <v>18.989450000000001</v>
      </c>
      <c r="BS50" s="767">
        <v>17.38092</v>
      </c>
      <c r="BT50" s="767">
        <v>17.280380000000001</v>
      </c>
      <c r="BU50" s="767">
        <v>16.848739999999999</v>
      </c>
      <c r="BV50" s="767">
        <v>19.38176</v>
      </c>
    </row>
    <row r="51" spans="1:74" ht="11.1" customHeight="1" x14ac:dyDescent="0.2">
      <c r="A51" s="545" t="s">
        <v>1285</v>
      </c>
      <c r="B51" s="548" t="s">
        <v>1259</v>
      </c>
      <c r="C51" s="766">
        <v>5.4378804340000002</v>
      </c>
      <c r="D51" s="766">
        <v>4.4478311079999999</v>
      </c>
      <c r="E51" s="766">
        <v>3.0645856779999998</v>
      </c>
      <c r="F51" s="766">
        <v>1.5486528989999999</v>
      </c>
      <c r="G51" s="766">
        <v>1.3112003759999999</v>
      </c>
      <c r="H51" s="766">
        <v>1.2582223130000001</v>
      </c>
      <c r="I51" s="766">
        <v>1.4024742530000001</v>
      </c>
      <c r="J51" s="766">
        <v>1.9594948649999999</v>
      </c>
      <c r="K51" s="766">
        <v>1.3056575239999999</v>
      </c>
      <c r="L51" s="766">
        <v>1.262645236</v>
      </c>
      <c r="M51" s="766">
        <v>0.99155000400000004</v>
      </c>
      <c r="N51" s="766">
        <v>1.63258031</v>
      </c>
      <c r="O51" s="766">
        <v>2.7285030219999999</v>
      </c>
      <c r="P51" s="766">
        <v>1.916986796</v>
      </c>
      <c r="Q51" s="766">
        <v>2.341481344</v>
      </c>
      <c r="R51" s="766">
        <v>2.4162921320000001</v>
      </c>
      <c r="S51" s="766">
        <v>3.3138676280000001</v>
      </c>
      <c r="T51" s="766">
        <v>2.5350912029999999</v>
      </c>
      <c r="U51" s="766">
        <v>2.356385994</v>
      </c>
      <c r="V51" s="766">
        <v>2.1442173480000002</v>
      </c>
      <c r="W51" s="766">
        <v>1.827129403</v>
      </c>
      <c r="X51" s="766">
        <v>2.2353117509999998</v>
      </c>
      <c r="Y51" s="766">
        <v>2.6240015479999999</v>
      </c>
      <c r="Z51" s="766">
        <v>2.3272068309999998</v>
      </c>
      <c r="AA51" s="766">
        <v>3.021052735</v>
      </c>
      <c r="AB51" s="766">
        <v>3.1246986589999999</v>
      </c>
      <c r="AC51" s="766">
        <v>3.0737684230000002</v>
      </c>
      <c r="AD51" s="766">
        <v>3.3489936039999999</v>
      </c>
      <c r="AE51" s="766">
        <v>3.5831225130000002</v>
      </c>
      <c r="AF51" s="766">
        <v>3.2497962899999999</v>
      </c>
      <c r="AG51" s="766">
        <v>2.8376627430000001</v>
      </c>
      <c r="AH51" s="766">
        <v>2.7873631510000001</v>
      </c>
      <c r="AI51" s="766">
        <v>2.6089647789999999</v>
      </c>
      <c r="AJ51" s="766">
        <v>2.7162941960000002</v>
      </c>
      <c r="AK51" s="766">
        <v>3.1906393240000002</v>
      </c>
      <c r="AL51" s="766">
        <v>3.641462583</v>
      </c>
      <c r="AM51" s="766">
        <v>4.1215892030000001</v>
      </c>
      <c r="AN51" s="766">
        <v>3.2165264589999998</v>
      </c>
      <c r="AO51" s="766">
        <v>3.5583107479999998</v>
      </c>
      <c r="AP51" s="766">
        <v>3.1669487749999998</v>
      </c>
      <c r="AQ51" s="766">
        <v>3.2219094209999999</v>
      </c>
      <c r="AR51" s="766">
        <v>2.9142240309999998</v>
      </c>
      <c r="AS51" s="766">
        <v>3.1902857280000001</v>
      </c>
      <c r="AT51" s="766">
        <v>2.170362967</v>
      </c>
      <c r="AU51" s="766">
        <v>1.739026017</v>
      </c>
      <c r="AV51" s="766">
        <v>1.7635442960000001</v>
      </c>
      <c r="AW51" s="766">
        <v>2.867827127</v>
      </c>
      <c r="AX51" s="766">
        <v>3.5356537299999999</v>
      </c>
      <c r="AY51" s="766">
        <v>3.6450106280000001</v>
      </c>
      <c r="AZ51" s="766">
        <v>3.6352150409999999</v>
      </c>
      <c r="BA51" s="766">
        <v>3.8297649319999998</v>
      </c>
      <c r="BB51" s="766">
        <v>3.5873380140000002</v>
      </c>
      <c r="BC51" s="766">
        <v>3.5382937010000002</v>
      </c>
      <c r="BD51" s="766">
        <v>3.1397630300000001</v>
      </c>
      <c r="BE51" s="766">
        <v>2.6061930000000002</v>
      </c>
      <c r="BF51" s="766">
        <v>2.3050989999999998</v>
      </c>
      <c r="BG51" s="767">
        <v>1.8786160000000001</v>
      </c>
      <c r="BH51" s="767">
        <v>1.868382</v>
      </c>
      <c r="BI51" s="767">
        <v>2.7912270000000001</v>
      </c>
      <c r="BJ51" s="767">
        <v>3.319204</v>
      </c>
      <c r="BK51" s="767">
        <v>3.6799369999999998</v>
      </c>
      <c r="BL51" s="767">
        <v>3.4302049999999999</v>
      </c>
      <c r="BM51" s="767">
        <v>4.0834000000000001</v>
      </c>
      <c r="BN51" s="767">
        <v>3.8772509999999998</v>
      </c>
      <c r="BO51" s="767">
        <v>3.456976</v>
      </c>
      <c r="BP51" s="767">
        <v>3.0452599999999999</v>
      </c>
      <c r="BQ51" s="767">
        <v>2.5011580000000002</v>
      </c>
      <c r="BR51" s="767">
        <v>2.2392699999999999</v>
      </c>
      <c r="BS51" s="767">
        <v>1.7455290000000001</v>
      </c>
      <c r="BT51" s="767">
        <v>1.817901</v>
      </c>
      <c r="BU51" s="767">
        <v>2.6088290000000001</v>
      </c>
      <c r="BV51" s="767">
        <v>3.1849750000000001</v>
      </c>
    </row>
    <row r="52" spans="1:74" ht="11.1" customHeight="1" x14ac:dyDescent="0.2">
      <c r="A52" s="545" t="s">
        <v>1286</v>
      </c>
      <c r="B52" s="548" t="s">
        <v>1362</v>
      </c>
      <c r="C52" s="766">
        <v>0.42540280699999999</v>
      </c>
      <c r="D52" s="766">
        <v>0.44026283599999999</v>
      </c>
      <c r="E52" s="766">
        <v>0.55872660900000004</v>
      </c>
      <c r="F52" s="766">
        <v>0.51626989099999998</v>
      </c>
      <c r="G52" s="766">
        <v>0.54242424199999995</v>
      </c>
      <c r="H52" s="766">
        <v>0.58493549199999995</v>
      </c>
      <c r="I52" s="766">
        <v>0.58610219399999997</v>
      </c>
      <c r="J52" s="766">
        <v>0.70543734199999997</v>
      </c>
      <c r="K52" s="766">
        <v>0.626637412</v>
      </c>
      <c r="L52" s="766">
        <v>0.50450032600000005</v>
      </c>
      <c r="M52" s="766">
        <v>0.58089628999999998</v>
      </c>
      <c r="N52" s="766">
        <v>0.69060499099999995</v>
      </c>
      <c r="O52" s="766">
        <v>0.52104729999999999</v>
      </c>
      <c r="P52" s="766">
        <v>0.60702937499999998</v>
      </c>
      <c r="Q52" s="766">
        <v>0.71402376300000003</v>
      </c>
      <c r="R52" s="766">
        <v>0.76641062400000004</v>
      </c>
      <c r="S52" s="766">
        <v>0.90421475900000003</v>
      </c>
      <c r="T52" s="766">
        <v>0.94628445500000002</v>
      </c>
      <c r="U52" s="766">
        <v>1.096433021</v>
      </c>
      <c r="V52" s="766">
        <v>0.97988157300000001</v>
      </c>
      <c r="W52" s="766">
        <v>0.97784640199999995</v>
      </c>
      <c r="X52" s="766">
        <v>0.93911335399999996</v>
      </c>
      <c r="Y52" s="766">
        <v>0.86966655900000001</v>
      </c>
      <c r="Z52" s="766">
        <v>0.803308778</v>
      </c>
      <c r="AA52" s="766">
        <v>0.85243183</v>
      </c>
      <c r="AB52" s="766">
        <v>0.76696078599999995</v>
      </c>
      <c r="AC52" s="766">
        <v>1.005282786</v>
      </c>
      <c r="AD52" s="766">
        <v>1.109077318</v>
      </c>
      <c r="AE52" s="766">
        <v>1.1213096060000001</v>
      </c>
      <c r="AF52" s="766">
        <v>1.1580755300000001</v>
      </c>
      <c r="AG52" s="766">
        <v>1.1397275790000001</v>
      </c>
      <c r="AH52" s="766">
        <v>1.1462381349999999</v>
      </c>
      <c r="AI52" s="766">
        <v>0.89637699100000001</v>
      </c>
      <c r="AJ52" s="766">
        <v>0.927473196</v>
      </c>
      <c r="AK52" s="766">
        <v>0.70381718999999998</v>
      </c>
      <c r="AL52" s="766">
        <v>0.64646320599999996</v>
      </c>
      <c r="AM52" s="766">
        <v>0.79184844300000001</v>
      </c>
      <c r="AN52" s="766">
        <v>0.75263891500000002</v>
      </c>
      <c r="AO52" s="766">
        <v>1.084992011</v>
      </c>
      <c r="AP52" s="766">
        <v>1.1715778720000001</v>
      </c>
      <c r="AQ52" s="766">
        <v>1.294138324</v>
      </c>
      <c r="AR52" s="766">
        <v>1.3139097150000001</v>
      </c>
      <c r="AS52" s="766">
        <v>1.39479394</v>
      </c>
      <c r="AT52" s="766">
        <v>1.3316873499999999</v>
      </c>
      <c r="AU52" s="766">
        <v>1.2045295469999999</v>
      </c>
      <c r="AV52" s="766">
        <v>1.038939839</v>
      </c>
      <c r="AW52" s="766">
        <v>0.91120853899999998</v>
      </c>
      <c r="AX52" s="766">
        <v>0.86384787799999996</v>
      </c>
      <c r="AY52" s="766">
        <v>0.97284111200000001</v>
      </c>
      <c r="AZ52" s="766">
        <v>1.059031842</v>
      </c>
      <c r="BA52" s="766">
        <v>1.2539134679999999</v>
      </c>
      <c r="BB52" s="766">
        <v>1.4826605390000001</v>
      </c>
      <c r="BC52" s="766">
        <v>1.7442969129999999</v>
      </c>
      <c r="BD52" s="766">
        <v>1.5846157320000001</v>
      </c>
      <c r="BE52" s="766">
        <v>1.6365719999999999</v>
      </c>
      <c r="BF52" s="766">
        <v>1.663859</v>
      </c>
      <c r="BG52" s="767">
        <v>1.4501440000000001</v>
      </c>
      <c r="BH52" s="767">
        <v>1.2533669999999999</v>
      </c>
      <c r="BI52" s="767">
        <v>1.051604</v>
      </c>
      <c r="BJ52" s="767">
        <v>0.99968749999999995</v>
      </c>
      <c r="BK52" s="767">
        <v>1.163672</v>
      </c>
      <c r="BL52" s="767">
        <v>1.248929</v>
      </c>
      <c r="BM52" s="767">
        <v>1.4292320000000001</v>
      </c>
      <c r="BN52" s="767">
        <v>1.7042459999999999</v>
      </c>
      <c r="BO52" s="767">
        <v>2.0167419999999998</v>
      </c>
      <c r="BP52" s="767">
        <v>1.9673430000000001</v>
      </c>
      <c r="BQ52" s="767">
        <v>2.0700059999999998</v>
      </c>
      <c r="BR52" s="767">
        <v>1.9209860000000001</v>
      </c>
      <c r="BS52" s="767">
        <v>1.7181230000000001</v>
      </c>
      <c r="BT52" s="767">
        <v>1.4472830000000001</v>
      </c>
      <c r="BU52" s="767">
        <v>1.282594</v>
      </c>
      <c r="BV52" s="767">
        <v>1.1544920000000001</v>
      </c>
    </row>
    <row r="53" spans="1:74" ht="11.1" customHeight="1" x14ac:dyDescent="0.2">
      <c r="A53" s="545" t="s">
        <v>1287</v>
      </c>
      <c r="B53" s="546" t="s">
        <v>1363</v>
      </c>
      <c r="C53" s="766">
        <v>0.146667029</v>
      </c>
      <c r="D53" s="766">
        <v>-2.3774225E-2</v>
      </c>
      <c r="E53" s="766">
        <v>-2.6516947999999999E-2</v>
      </c>
      <c r="F53" s="766">
        <v>-6.6059698E-2</v>
      </c>
      <c r="G53" s="766">
        <v>-0.111625794</v>
      </c>
      <c r="H53" s="766">
        <v>-0.22776675399999999</v>
      </c>
      <c r="I53" s="766">
        <v>-0.25747636800000001</v>
      </c>
      <c r="J53" s="766">
        <v>-0.25822735000000002</v>
      </c>
      <c r="K53" s="766">
        <v>-0.26342697599999998</v>
      </c>
      <c r="L53" s="766">
        <v>-0.193444066</v>
      </c>
      <c r="M53" s="766">
        <v>-0.176782039</v>
      </c>
      <c r="N53" s="766">
        <v>-0.17479639199999999</v>
      </c>
      <c r="O53" s="766">
        <v>-0.192771621</v>
      </c>
      <c r="P53" s="766">
        <v>-0.13011250599999999</v>
      </c>
      <c r="Q53" s="766">
        <v>-0.13961854700000001</v>
      </c>
      <c r="R53" s="766">
        <v>-0.124589087</v>
      </c>
      <c r="S53" s="766">
        <v>-0.18113736599999999</v>
      </c>
      <c r="T53" s="766">
        <v>-0.169148465</v>
      </c>
      <c r="U53" s="766">
        <v>-0.26114805600000002</v>
      </c>
      <c r="V53" s="766">
        <v>-0.24768410799999999</v>
      </c>
      <c r="W53" s="766">
        <v>-0.225439063</v>
      </c>
      <c r="X53" s="766">
        <v>-0.149943138</v>
      </c>
      <c r="Y53" s="766">
        <v>-8.1519905000000004E-2</v>
      </c>
      <c r="Z53" s="766">
        <v>-0.14200331899999999</v>
      </c>
      <c r="AA53" s="766">
        <v>0.57997975999999996</v>
      </c>
      <c r="AB53" s="766">
        <v>-2.9948145999999998E-2</v>
      </c>
      <c r="AC53" s="766">
        <v>-9.6099170000000008E-3</v>
      </c>
      <c r="AD53" s="766">
        <v>-5.8646660000000001E-3</v>
      </c>
      <c r="AE53" s="766">
        <v>-7.0519069999999996E-3</v>
      </c>
      <c r="AF53" s="766">
        <v>-8.8168116000000005E-2</v>
      </c>
      <c r="AG53" s="766">
        <v>-0.167354214</v>
      </c>
      <c r="AH53" s="766">
        <v>-0.10515300599999999</v>
      </c>
      <c r="AI53" s="766">
        <v>-0.19154469299999999</v>
      </c>
      <c r="AJ53" s="766">
        <v>-0.102636106</v>
      </c>
      <c r="AK53" s="766">
        <v>-2.0955194999999999E-2</v>
      </c>
      <c r="AL53" s="766">
        <v>1.9599498999999999E-2</v>
      </c>
      <c r="AM53" s="766">
        <v>6.9361445999999993E-2</v>
      </c>
      <c r="AN53" s="766">
        <v>-5.4703188E-2</v>
      </c>
      <c r="AO53" s="766">
        <v>-6.2706899999999996E-4</v>
      </c>
      <c r="AP53" s="766">
        <v>3.7786752E-2</v>
      </c>
      <c r="AQ53" s="766">
        <v>-9.2546500000000004E-2</v>
      </c>
      <c r="AR53" s="766">
        <v>-0.151139571</v>
      </c>
      <c r="AS53" s="766">
        <v>-0.17565853000000001</v>
      </c>
      <c r="AT53" s="766">
        <v>-0.20698450900000001</v>
      </c>
      <c r="AU53" s="766">
        <v>-0.24426347000000001</v>
      </c>
      <c r="AV53" s="766">
        <v>-0.16364144799999999</v>
      </c>
      <c r="AW53" s="766">
        <v>-0.134138011</v>
      </c>
      <c r="AX53" s="766">
        <v>-0.11490700500000001</v>
      </c>
      <c r="AY53" s="766">
        <v>-3.4154183999999997E-2</v>
      </c>
      <c r="AZ53" s="766">
        <v>-8.197948E-3</v>
      </c>
      <c r="BA53" s="766">
        <v>-8.6573729999999995E-3</v>
      </c>
      <c r="BB53" s="766">
        <v>-5.6943241999999998E-2</v>
      </c>
      <c r="BC53" s="766">
        <v>-6.5746891000000002E-2</v>
      </c>
      <c r="BD53" s="766">
        <v>-0.16781216800000001</v>
      </c>
      <c r="BE53" s="766">
        <v>-0.18368470000000001</v>
      </c>
      <c r="BF53" s="766">
        <v>-0.1885725</v>
      </c>
      <c r="BG53" s="767">
        <v>-0.23639080000000001</v>
      </c>
      <c r="BH53" s="767">
        <v>-0.15563959999999999</v>
      </c>
      <c r="BI53" s="767">
        <v>-0.13306460000000001</v>
      </c>
      <c r="BJ53" s="767">
        <v>-0.11457589999999999</v>
      </c>
      <c r="BK53" s="767">
        <v>-4.0337199999999997E-2</v>
      </c>
      <c r="BL53" s="767">
        <v>-2.3126500000000001E-2</v>
      </c>
      <c r="BM53" s="767">
        <v>-3.7130999999999997E-2</v>
      </c>
      <c r="BN53" s="767">
        <v>-3.05793E-2</v>
      </c>
      <c r="BO53" s="767">
        <v>-8.8262599999999997E-2</v>
      </c>
      <c r="BP53" s="767">
        <v>-0.18345639999999999</v>
      </c>
      <c r="BQ53" s="767">
        <v>-0.20112969999999999</v>
      </c>
      <c r="BR53" s="767">
        <v>-0.21927540000000001</v>
      </c>
      <c r="BS53" s="767">
        <v>-0.22887950000000001</v>
      </c>
      <c r="BT53" s="767">
        <v>-0.1527135</v>
      </c>
      <c r="BU53" s="767">
        <v>-0.12801599999999999</v>
      </c>
      <c r="BV53" s="767">
        <v>-0.1130148</v>
      </c>
    </row>
    <row r="54" spans="1:74" ht="11.1" customHeight="1" x14ac:dyDescent="0.2">
      <c r="A54" s="545" t="s">
        <v>1288</v>
      </c>
      <c r="B54" s="548" t="s">
        <v>1263</v>
      </c>
      <c r="C54" s="766">
        <v>61.677839511000002</v>
      </c>
      <c r="D54" s="766">
        <v>53.745886194999997</v>
      </c>
      <c r="E54" s="766">
        <v>48.628896685000001</v>
      </c>
      <c r="F54" s="766">
        <v>46.373233622999997</v>
      </c>
      <c r="G54" s="766">
        <v>52.588715856</v>
      </c>
      <c r="H54" s="766">
        <v>62.420170298000002</v>
      </c>
      <c r="I54" s="766">
        <v>69.198293023000005</v>
      </c>
      <c r="J54" s="766">
        <v>69.173266130000002</v>
      </c>
      <c r="K54" s="766">
        <v>59.012758105000003</v>
      </c>
      <c r="L54" s="766">
        <v>49.474651743999999</v>
      </c>
      <c r="M54" s="766">
        <v>47.679556708</v>
      </c>
      <c r="N54" s="766">
        <v>55.669420754000001</v>
      </c>
      <c r="O54" s="766">
        <v>55.063572962999999</v>
      </c>
      <c r="P54" s="766">
        <v>45.805775615000002</v>
      </c>
      <c r="Q54" s="766">
        <v>51.306700241999998</v>
      </c>
      <c r="R54" s="766">
        <v>47.452324547000003</v>
      </c>
      <c r="S54" s="766">
        <v>53.68617381</v>
      </c>
      <c r="T54" s="766">
        <v>57.989172674000002</v>
      </c>
      <c r="U54" s="766">
        <v>66.479321010999996</v>
      </c>
      <c r="V54" s="766">
        <v>64.18728874</v>
      </c>
      <c r="W54" s="766">
        <v>53.481518844</v>
      </c>
      <c r="X54" s="766">
        <v>50.856904073000003</v>
      </c>
      <c r="Y54" s="766">
        <v>49.254259290999997</v>
      </c>
      <c r="Z54" s="766">
        <v>57.883987382000001</v>
      </c>
      <c r="AA54" s="766">
        <v>66.628013693</v>
      </c>
      <c r="AB54" s="766">
        <v>47.449592715999998</v>
      </c>
      <c r="AC54" s="766">
        <v>51.361476760000002</v>
      </c>
      <c r="AD54" s="766">
        <v>47.065557769000002</v>
      </c>
      <c r="AE54" s="766">
        <v>56.729136136999998</v>
      </c>
      <c r="AF54" s="766">
        <v>63.201139402000003</v>
      </c>
      <c r="AG54" s="766">
        <v>66.926576116999996</v>
      </c>
      <c r="AH54" s="766">
        <v>65.845609159999995</v>
      </c>
      <c r="AI54" s="766">
        <v>59.602881785999998</v>
      </c>
      <c r="AJ54" s="766">
        <v>51.875176684000003</v>
      </c>
      <c r="AK54" s="766">
        <v>52.026951488999998</v>
      </c>
      <c r="AL54" s="766">
        <v>54.716295739000003</v>
      </c>
      <c r="AM54" s="766">
        <v>58.400908278000003</v>
      </c>
      <c r="AN54" s="766">
        <v>48.066963192000003</v>
      </c>
      <c r="AO54" s="766">
        <v>50.721697206000002</v>
      </c>
      <c r="AP54" s="766">
        <v>46.313540488000001</v>
      </c>
      <c r="AQ54" s="766">
        <v>57.778855528999998</v>
      </c>
      <c r="AR54" s="766">
        <v>58.853196251999996</v>
      </c>
      <c r="AS54" s="766">
        <v>67.886131187999993</v>
      </c>
      <c r="AT54" s="766">
        <v>66.224245212</v>
      </c>
      <c r="AU54" s="766">
        <v>61.047032708000003</v>
      </c>
      <c r="AV54" s="766">
        <v>51.387192495999997</v>
      </c>
      <c r="AW54" s="766">
        <v>50.813447312000001</v>
      </c>
      <c r="AX54" s="766">
        <v>53.640480818</v>
      </c>
      <c r="AY54" s="766">
        <v>54.481015456999998</v>
      </c>
      <c r="AZ54" s="766">
        <v>50.959995900999999</v>
      </c>
      <c r="BA54" s="766">
        <v>47.660047151999997</v>
      </c>
      <c r="BB54" s="766">
        <v>42.117436556999998</v>
      </c>
      <c r="BC54" s="766">
        <v>47.974750374999999</v>
      </c>
      <c r="BD54" s="766">
        <v>56.476486405000003</v>
      </c>
      <c r="BE54" s="766">
        <v>64.678790000000006</v>
      </c>
      <c r="BF54" s="766">
        <v>64.292370000000005</v>
      </c>
      <c r="BG54" s="767">
        <v>55.762090000000001</v>
      </c>
      <c r="BH54" s="767">
        <v>48.704050000000002</v>
      </c>
      <c r="BI54" s="767">
        <v>48.239339999999999</v>
      </c>
      <c r="BJ54" s="767">
        <v>54.162840000000003</v>
      </c>
      <c r="BK54" s="767">
        <v>55.675699999999999</v>
      </c>
      <c r="BL54" s="767">
        <v>48.747979999999998</v>
      </c>
      <c r="BM54" s="767">
        <v>45.065890000000003</v>
      </c>
      <c r="BN54" s="767">
        <v>43.452539999999999</v>
      </c>
      <c r="BO54" s="767">
        <v>50.89875</v>
      </c>
      <c r="BP54" s="767">
        <v>59.053190000000001</v>
      </c>
      <c r="BQ54" s="767">
        <v>67.748549999999994</v>
      </c>
      <c r="BR54" s="767">
        <v>67.405180000000001</v>
      </c>
      <c r="BS54" s="767">
        <v>55.988610000000001</v>
      </c>
      <c r="BT54" s="767">
        <v>50.667009999999998</v>
      </c>
      <c r="BU54" s="767">
        <v>49.625419999999998</v>
      </c>
      <c r="BV54" s="767">
        <v>55.784019999999998</v>
      </c>
    </row>
    <row r="55" spans="1:74" ht="11.1" customHeight="1" x14ac:dyDescent="0.2">
      <c r="A55" s="545" t="s">
        <v>1289</v>
      </c>
      <c r="B55" s="546" t="s">
        <v>1364</v>
      </c>
      <c r="C55" s="766">
        <v>62.101066177</v>
      </c>
      <c r="D55" s="766">
        <v>53.938259307999999</v>
      </c>
      <c r="E55" s="766">
        <v>48.612791841000004</v>
      </c>
      <c r="F55" s="766">
        <v>46.557834866999997</v>
      </c>
      <c r="G55" s="766">
        <v>51.881134907000003</v>
      </c>
      <c r="H55" s="766">
        <v>61.745434690000003</v>
      </c>
      <c r="I55" s="766">
        <v>68.345205114999999</v>
      </c>
      <c r="J55" s="766">
        <v>68.273587769000002</v>
      </c>
      <c r="K55" s="766">
        <v>58.802512554000003</v>
      </c>
      <c r="L55" s="766">
        <v>49.158822688000001</v>
      </c>
      <c r="M55" s="766">
        <v>47.468506748000003</v>
      </c>
      <c r="N55" s="766">
        <v>55.642136417000003</v>
      </c>
      <c r="O55" s="766">
        <v>55.621667490999997</v>
      </c>
      <c r="P55" s="766">
        <v>46.575712733000003</v>
      </c>
      <c r="Q55" s="766">
        <v>52.137053154999997</v>
      </c>
      <c r="R55" s="766">
        <v>47.996347002</v>
      </c>
      <c r="S55" s="766">
        <v>53.715443694999998</v>
      </c>
      <c r="T55" s="766">
        <v>58.022488349</v>
      </c>
      <c r="U55" s="766">
        <v>66.130823512000006</v>
      </c>
      <c r="V55" s="766">
        <v>63.632087390000002</v>
      </c>
      <c r="W55" s="766">
        <v>53.397994869999998</v>
      </c>
      <c r="X55" s="766">
        <v>49.996052208000002</v>
      </c>
      <c r="Y55" s="766">
        <v>48.342561779999997</v>
      </c>
      <c r="Z55" s="766">
        <v>56.648190575000001</v>
      </c>
      <c r="AA55" s="766">
        <v>67.232203939000001</v>
      </c>
      <c r="AB55" s="766">
        <v>47.859985313999999</v>
      </c>
      <c r="AC55" s="766">
        <v>52.000703518999998</v>
      </c>
      <c r="AD55" s="766">
        <v>46.998840584</v>
      </c>
      <c r="AE55" s="766">
        <v>56.528330179999998</v>
      </c>
      <c r="AF55" s="766">
        <v>63.083319611</v>
      </c>
      <c r="AG55" s="766">
        <v>66.355327790999993</v>
      </c>
      <c r="AH55" s="766">
        <v>65.359433609999996</v>
      </c>
      <c r="AI55" s="766">
        <v>60.115325212000002</v>
      </c>
      <c r="AJ55" s="766">
        <v>52.054348021999999</v>
      </c>
      <c r="AK55" s="766">
        <v>52.239355140999997</v>
      </c>
      <c r="AL55" s="766">
        <v>58.114337046000003</v>
      </c>
      <c r="AM55" s="766">
        <v>59.161172356999998</v>
      </c>
      <c r="AN55" s="766">
        <v>48.640094703000003</v>
      </c>
      <c r="AO55" s="766">
        <v>54.498688581000003</v>
      </c>
      <c r="AP55" s="766">
        <v>47.010955248999998</v>
      </c>
      <c r="AQ55" s="766">
        <v>58.128730908000001</v>
      </c>
      <c r="AR55" s="766">
        <v>59.484531445999998</v>
      </c>
      <c r="AS55" s="766">
        <v>67.278932816999998</v>
      </c>
      <c r="AT55" s="766">
        <v>66.633391351</v>
      </c>
      <c r="AU55" s="766">
        <v>61.119834705000002</v>
      </c>
      <c r="AV55" s="766">
        <v>52.506315387000001</v>
      </c>
      <c r="AW55" s="766">
        <v>51.153725428000001</v>
      </c>
      <c r="AX55" s="766">
        <v>53.890386624000001</v>
      </c>
      <c r="AY55" s="766">
        <v>55.258844052000001</v>
      </c>
      <c r="AZ55" s="766">
        <v>52.166701199999999</v>
      </c>
      <c r="BA55" s="766">
        <v>51.778092366000003</v>
      </c>
      <c r="BB55" s="766">
        <v>42.912821555000001</v>
      </c>
      <c r="BC55" s="766">
        <v>48.949980388</v>
      </c>
      <c r="BD55" s="766">
        <v>56.561970000000002</v>
      </c>
      <c r="BE55" s="766">
        <v>64.246970000000005</v>
      </c>
      <c r="BF55" s="766">
        <v>61.603360000000002</v>
      </c>
      <c r="BG55" s="767">
        <v>54.402589999999996</v>
      </c>
      <c r="BH55" s="767">
        <v>47.932549999999999</v>
      </c>
      <c r="BI55" s="767">
        <v>47.216149999999999</v>
      </c>
      <c r="BJ55" s="767">
        <v>54.365839999999999</v>
      </c>
      <c r="BK55" s="767">
        <v>56.380299999999998</v>
      </c>
      <c r="BL55" s="767">
        <v>49.000599999999999</v>
      </c>
      <c r="BM55" s="767">
        <v>48.810360000000003</v>
      </c>
      <c r="BN55" s="767">
        <v>44.35163</v>
      </c>
      <c r="BO55" s="767">
        <v>50.962690000000002</v>
      </c>
      <c r="BP55" s="767">
        <v>59.658259999999999</v>
      </c>
      <c r="BQ55" s="767">
        <v>66.126130000000003</v>
      </c>
      <c r="BR55" s="767">
        <v>64.173860000000005</v>
      </c>
      <c r="BS55" s="767">
        <v>54.947130000000001</v>
      </c>
      <c r="BT55" s="767">
        <v>49.946770000000001</v>
      </c>
      <c r="BU55" s="767">
        <v>48.287759999999999</v>
      </c>
      <c r="BV55" s="767">
        <v>55.685780000000001</v>
      </c>
    </row>
    <row r="56" spans="1:74" ht="11.1" customHeight="1" x14ac:dyDescent="0.2">
      <c r="A56" s="539"/>
      <c r="B56" s="131" t="s">
        <v>1290</v>
      </c>
      <c r="C56" s="249"/>
      <c r="D56" s="249"/>
      <c r="E56" s="249"/>
      <c r="F56" s="249"/>
      <c r="G56" s="249"/>
      <c r="H56" s="249"/>
      <c r="I56" s="249"/>
      <c r="J56" s="249"/>
      <c r="K56" s="249"/>
      <c r="L56" s="249"/>
      <c r="M56" s="249"/>
      <c r="N56" s="249"/>
      <c r="O56" s="249"/>
      <c r="P56" s="249"/>
      <c r="Q56" s="249"/>
      <c r="R56" s="249"/>
      <c r="S56" s="249"/>
      <c r="T56" s="249"/>
      <c r="U56" s="249"/>
      <c r="V56" s="249"/>
      <c r="W56" s="249"/>
      <c r="X56" s="249"/>
      <c r="Y56" s="249"/>
      <c r="Z56" s="249"/>
      <c r="AA56" s="249"/>
      <c r="AB56" s="249"/>
      <c r="AC56" s="249"/>
      <c r="AD56" s="249"/>
      <c r="AE56" s="249"/>
      <c r="AF56" s="249"/>
      <c r="AG56" s="249"/>
      <c r="AH56" s="249"/>
      <c r="AI56" s="249"/>
      <c r="AJ56" s="249"/>
      <c r="AK56" s="249"/>
      <c r="AL56" s="249"/>
      <c r="AM56" s="249"/>
      <c r="AN56" s="249"/>
      <c r="AO56" s="249"/>
      <c r="AP56" s="249"/>
      <c r="AQ56" s="249"/>
      <c r="AR56" s="249"/>
      <c r="AS56" s="249"/>
      <c r="AT56" s="249"/>
      <c r="AU56" s="249"/>
      <c r="AV56" s="249"/>
      <c r="AW56" s="249"/>
      <c r="AX56" s="249"/>
      <c r="AY56" s="249"/>
      <c r="AZ56" s="249"/>
      <c r="BA56" s="249"/>
      <c r="BB56" s="249"/>
      <c r="BC56" s="249"/>
      <c r="BD56" s="249"/>
      <c r="BE56" s="249"/>
      <c r="BF56" s="249"/>
      <c r="BG56" s="360"/>
      <c r="BH56" s="360"/>
      <c r="BI56" s="360"/>
      <c r="BJ56" s="360"/>
      <c r="BK56" s="360"/>
      <c r="BL56" s="360"/>
      <c r="BM56" s="360"/>
      <c r="BN56" s="360"/>
      <c r="BO56" s="360"/>
      <c r="BP56" s="360"/>
      <c r="BQ56" s="360"/>
      <c r="BR56" s="360"/>
      <c r="BS56" s="360"/>
      <c r="BT56" s="360"/>
      <c r="BU56" s="360"/>
      <c r="BV56" s="360"/>
    </row>
    <row r="57" spans="1:74" ht="11.1" customHeight="1" x14ac:dyDescent="0.2">
      <c r="A57" s="545" t="s">
        <v>1291</v>
      </c>
      <c r="B57" s="546" t="s">
        <v>86</v>
      </c>
      <c r="C57" s="766">
        <v>11.144365841000001</v>
      </c>
      <c r="D57" s="766">
        <v>10.408722696</v>
      </c>
      <c r="E57" s="766">
        <v>11.253617881</v>
      </c>
      <c r="F57" s="766">
        <v>12.510749446</v>
      </c>
      <c r="G57" s="766">
        <v>13.265055987</v>
      </c>
      <c r="H57" s="766">
        <v>14.436631579</v>
      </c>
      <c r="I57" s="766">
        <v>15.617176013</v>
      </c>
      <c r="J57" s="766">
        <v>15.696608917000001</v>
      </c>
      <c r="K57" s="766">
        <v>14.242105703</v>
      </c>
      <c r="L57" s="766">
        <v>13.099575761000001</v>
      </c>
      <c r="M57" s="766">
        <v>10.01723269</v>
      </c>
      <c r="N57" s="766">
        <v>10.274669609</v>
      </c>
      <c r="O57" s="766">
        <v>10.358896862</v>
      </c>
      <c r="P57" s="766">
        <v>9.7268409780000002</v>
      </c>
      <c r="Q57" s="766">
        <v>11.365432492</v>
      </c>
      <c r="R57" s="766">
        <v>11.991657621</v>
      </c>
      <c r="S57" s="766">
        <v>14.079647325</v>
      </c>
      <c r="T57" s="766">
        <v>13.940949749</v>
      </c>
      <c r="U57" s="766">
        <v>16.036507297</v>
      </c>
      <c r="V57" s="766">
        <v>16.651808118000002</v>
      </c>
      <c r="W57" s="766">
        <v>14.400463351000001</v>
      </c>
      <c r="X57" s="766">
        <v>13.927178537</v>
      </c>
      <c r="Y57" s="766">
        <v>11.029162264</v>
      </c>
      <c r="Z57" s="766">
        <v>10.873257008</v>
      </c>
      <c r="AA57" s="766">
        <v>11.67024627</v>
      </c>
      <c r="AB57" s="766">
        <v>10.852148785000001</v>
      </c>
      <c r="AC57" s="766">
        <v>11.647886418000001</v>
      </c>
      <c r="AD57" s="766">
        <v>12.420406678999999</v>
      </c>
      <c r="AE57" s="766">
        <v>13.612432969</v>
      </c>
      <c r="AF57" s="766">
        <v>15.35300713</v>
      </c>
      <c r="AG57" s="766">
        <v>16.482280360000001</v>
      </c>
      <c r="AH57" s="766">
        <v>16.745342182000002</v>
      </c>
      <c r="AI57" s="766">
        <v>16.771030188000001</v>
      </c>
      <c r="AJ57" s="766">
        <v>15.826186211</v>
      </c>
      <c r="AK57" s="766">
        <v>12.235906895999999</v>
      </c>
      <c r="AL57" s="766">
        <v>11.222797577</v>
      </c>
      <c r="AM57" s="766">
        <v>11.883701715000001</v>
      </c>
      <c r="AN57" s="766">
        <v>11.236760059</v>
      </c>
      <c r="AO57" s="766">
        <v>12.413098612000001</v>
      </c>
      <c r="AP57" s="766">
        <v>13.055233660000001</v>
      </c>
      <c r="AQ57" s="766">
        <v>16.490435376000001</v>
      </c>
      <c r="AR57" s="766">
        <v>16.868926950999999</v>
      </c>
      <c r="AS57" s="766">
        <v>17.533872409000001</v>
      </c>
      <c r="AT57" s="766">
        <v>17.909336274000001</v>
      </c>
      <c r="AU57" s="766">
        <v>17.141315286000001</v>
      </c>
      <c r="AV57" s="766">
        <v>16.162803630999999</v>
      </c>
      <c r="AW57" s="766">
        <v>11.755203635999999</v>
      </c>
      <c r="AX57" s="766">
        <v>11.979226031</v>
      </c>
      <c r="AY57" s="766">
        <v>12.761970914000001</v>
      </c>
      <c r="AZ57" s="766">
        <v>12.711339408000001</v>
      </c>
      <c r="BA57" s="766">
        <v>14.603481095999999</v>
      </c>
      <c r="BB57" s="766">
        <v>14.37240985</v>
      </c>
      <c r="BC57" s="766">
        <v>14.560415683</v>
      </c>
      <c r="BD57" s="766">
        <v>16.889617599000001</v>
      </c>
      <c r="BE57" s="766">
        <v>18.101939999999999</v>
      </c>
      <c r="BF57" s="766">
        <v>17.717030000000001</v>
      </c>
      <c r="BG57" s="767">
        <v>16.47635</v>
      </c>
      <c r="BH57" s="767">
        <v>14.733079999999999</v>
      </c>
      <c r="BI57" s="767">
        <v>10.76347</v>
      </c>
      <c r="BJ57" s="767">
        <v>10.90419</v>
      </c>
      <c r="BK57" s="767">
        <v>10.416359999999999</v>
      </c>
      <c r="BL57" s="767">
        <v>10.34271</v>
      </c>
      <c r="BM57" s="767">
        <v>12.09233</v>
      </c>
      <c r="BN57" s="767">
        <v>11.7219</v>
      </c>
      <c r="BO57" s="767">
        <v>12.247949999999999</v>
      </c>
      <c r="BP57" s="767">
        <v>15.22081</v>
      </c>
      <c r="BQ57" s="767">
        <v>15.9887</v>
      </c>
      <c r="BR57" s="767">
        <v>16.51839</v>
      </c>
      <c r="BS57" s="767">
        <v>14.73127</v>
      </c>
      <c r="BT57" s="767">
        <v>14.26604</v>
      </c>
      <c r="BU57" s="767">
        <v>10.853899999999999</v>
      </c>
      <c r="BV57" s="767">
        <v>11.28767</v>
      </c>
    </row>
    <row r="58" spans="1:74" ht="11.1" customHeight="1" x14ac:dyDescent="0.2">
      <c r="A58" s="545" t="s">
        <v>1292</v>
      </c>
      <c r="B58" s="548" t="s">
        <v>85</v>
      </c>
      <c r="C58" s="766">
        <v>2.2950097120000001</v>
      </c>
      <c r="D58" s="766">
        <v>2.152566143</v>
      </c>
      <c r="E58" s="766">
        <v>2.0051359990000002</v>
      </c>
      <c r="F58" s="766">
        <v>2.296301653</v>
      </c>
      <c r="G58" s="766">
        <v>2.7952287130000002</v>
      </c>
      <c r="H58" s="766">
        <v>3.6199175320000001</v>
      </c>
      <c r="I58" s="766">
        <v>4.310834399</v>
      </c>
      <c r="J58" s="766">
        <v>4.1250851910000002</v>
      </c>
      <c r="K58" s="766">
        <v>3.679938376</v>
      </c>
      <c r="L58" s="766">
        <v>3.2448665879999998</v>
      </c>
      <c r="M58" s="766">
        <v>2.8174715620000002</v>
      </c>
      <c r="N58" s="766">
        <v>3.273680996</v>
      </c>
      <c r="O58" s="766">
        <v>3.0212466560000002</v>
      </c>
      <c r="P58" s="766">
        <v>2.4939706500000001</v>
      </c>
      <c r="Q58" s="766">
        <v>2.7592360230000001</v>
      </c>
      <c r="R58" s="766">
        <v>2.997461661</v>
      </c>
      <c r="S58" s="766">
        <v>3.1750902239999998</v>
      </c>
      <c r="T58" s="766">
        <v>3.3441934249999998</v>
      </c>
      <c r="U58" s="766">
        <v>3.4963205629999998</v>
      </c>
      <c r="V58" s="766">
        <v>3.2023226390000001</v>
      </c>
      <c r="W58" s="766">
        <v>2.5075506910000001</v>
      </c>
      <c r="X58" s="766">
        <v>3.0379125789999999</v>
      </c>
      <c r="Y58" s="766">
        <v>2.1902409459999999</v>
      </c>
      <c r="Z58" s="766">
        <v>2.1787367010000001</v>
      </c>
      <c r="AA58" s="766">
        <v>3.114699281</v>
      </c>
      <c r="AB58" s="766">
        <v>1.737625703</v>
      </c>
      <c r="AC58" s="766">
        <v>1.5220968909999999</v>
      </c>
      <c r="AD58" s="766">
        <v>1.960638441</v>
      </c>
      <c r="AE58" s="766">
        <v>2.2408358979999998</v>
      </c>
      <c r="AF58" s="766">
        <v>2.5152366800000001</v>
      </c>
      <c r="AG58" s="766">
        <v>2.4736096019999998</v>
      </c>
      <c r="AH58" s="766">
        <v>2.8997226989999998</v>
      </c>
      <c r="AI58" s="766">
        <v>2.470995668</v>
      </c>
      <c r="AJ58" s="766">
        <v>2.1342549790000001</v>
      </c>
      <c r="AK58" s="766">
        <v>1.8814072900000001</v>
      </c>
      <c r="AL58" s="766">
        <v>2.0974131690000002</v>
      </c>
      <c r="AM58" s="766">
        <v>1.7345724629999999</v>
      </c>
      <c r="AN58" s="766">
        <v>0.92068753400000003</v>
      </c>
      <c r="AO58" s="766">
        <v>1.087805044</v>
      </c>
      <c r="AP58" s="766">
        <v>1.167952192</v>
      </c>
      <c r="AQ58" s="766">
        <v>1.7305873510000001</v>
      </c>
      <c r="AR58" s="766">
        <v>1.8876953400000001</v>
      </c>
      <c r="AS58" s="766">
        <v>1.928923977</v>
      </c>
      <c r="AT58" s="766">
        <v>1.712507166</v>
      </c>
      <c r="AU58" s="766">
        <v>1.662759554</v>
      </c>
      <c r="AV58" s="766">
        <v>1.9560435650000001</v>
      </c>
      <c r="AW58" s="766">
        <v>1.808206744</v>
      </c>
      <c r="AX58" s="766">
        <v>1.034348912</v>
      </c>
      <c r="AY58" s="766">
        <v>0.96290076099999999</v>
      </c>
      <c r="AZ58" s="766">
        <v>0.53999663600000003</v>
      </c>
      <c r="BA58" s="766">
        <v>0.57244601100000003</v>
      </c>
      <c r="BB58" s="766">
        <v>0.87348255399999997</v>
      </c>
      <c r="BC58" s="766">
        <v>1.1971562570000001</v>
      </c>
      <c r="BD58" s="766">
        <v>1.466689599</v>
      </c>
      <c r="BE58" s="766">
        <v>1.5849470000000001</v>
      </c>
      <c r="BF58" s="766">
        <v>1.8376330000000001</v>
      </c>
      <c r="BG58" s="767">
        <v>1.7464820000000001</v>
      </c>
      <c r="BH58" s="767">
        <v>1.7186060000000001</v>
      </c>
      <c r="BI58" s="767">
        <v>1.932202</v>
      </c>
      <c r="BJ58" s="767">
        <v>1.923902</v>
      </c>
      <c r="BK58" s="767">
        <v>2.9631799999999999</v>
      </c>
      <c r="BL58" s="767">
        <v>1.2942910000000001</v>
      </c>
      <c r="BM58" s="767">
        <v>2.1383779999999999</v>
      </c>
      <c r="BN58" s="767">
        <v>1.8280350000000001</v>
      </c>
      <c r="BO58" s="767">
        <v>3.5379179999999999</v>
      </c>
      <c r="BP58" s="767">
        <v>2.446005</v>
      </c>
      <c r="BQ58" s="767">
        <v>2.8759429999999999</v>
      </c>
      <c r="BR58" s="767">
        <v>2.5955750000000002</v>
      </c>
      <c r="BS58" s="767">
        <v>2.3055919999999999</v>
      </c>
      <c r="BT58" s="767">
        <v>2.9666999999999999</v>
      </c>
      <c r="BU58" s="767">
        <v>1.771801</v>
      </c>
      <c r="BV58" s="767">
        <v>1.3656870000000001</v>
      </c>
    </row>
    <row r="59" spans="1:74" ht="11.1" customHeight="1" x14ac:dyDescent="0.2">
      <c r="A59" s="545" t="s">
        <v>1293</v>
      </c>
      <c r="B59" s="548" t="s">
        <v>88</v>
      </c>
      <c r="C59" s="766">
        <v>2.74871</v>
      </c>
      <c r="D59" s="766">
        <v>2.5857749999999999</v>
      </c>
      <c r="E59" s="766">
        <v>2.6758920000000002</v>
      </c>
      <c r="F59" s="766">
        <v>2.0504730000000002</v>
      </c>
      <c r="G59" s="766">
        <v>2.699532</v>
      </c>
      <c r="H59" s="766">
        <v>2.613753</v>
      </c>
      <c r="I59" s="766">
        <v>2.645505</v>
      </c>
      <c r="J59" s="766">
        <v>1.970869</v>
      </c>
      <c r="K59" s="766">
        <v>2.4762219999999999</v>
      </c>
      <c r="L59" s="766">
        <v>1.70394</v>
      </c>
      <c r="M59" s="766">
        <v>2.4022070000000002</v>
      </c>
      <c r="N59" s="766">
        <v>2.747144</v>
      </c>
      <c r="O59" s="766">
        <v>2.7358039999999999</v>
      </c>
      <c r="P59" s="766">
        <v>2.0829119999999999</v>
      </c>
      <c r="Q59" s="766">
        <v>1.857086</v>
      </c>
      <c r="R59" s="766">
        <v>2.09057</v>
      </c>
      <c r="S59" s="766">
        <v>2.7230810000000001</v>
      </c>
      <c r="T59" s="766">
        <v>2.6348250000000002</v>
      </c>
      <c r="U59" s="766">
        <v>2.7092109999999998</v>
      </c>
      <c r="V59" s="766">
        <v>2.700717</v>
      </c>
      <c r="W59" s="766">
        <v>2.3546369999999999</v>
      </c>
      <c r="X59" s="766">
        <v>2.0694750000000002</v>
      </c>
      <c r="Y59" s="766">
        <v>2.432776</v>
      </c>
      <c r="Z59" s="766">
        <v>2.755125</v>
      </c>
      <c r="AA59" s="766">
        <v>2.7718669999999999</v>
      </c>
      <c r="AB59" s="766">
        <v>2.4831750000000001</v>
      </c>
      <c r="AC59" s="766">
        <v>2.2617859999999999</v>
      </c>
      <c r="AD59" s="766">
        <v>2.3624079999999998</v>
      </c>
      <c r="AE59" s="766">
        <v>2.7343489999999999</v>
      </c>
      <c r="AF59" s="766">
        <v>2.622598</v>
      </c>
      <c r="AG59" s="766">
        <v>2.687157</v>
      </c>
      <c r="AH59" s="766">
        <v>2.4485920000000001</v>
      </c>
      <c r="AI59" s="766">
        <v>1.8734170000000001</v>
      </c>
      <c r="AJ59" s="766">
        <v>1.816878</v>
      </c>
      <c r="AK59" s="766">
        <v>2.4661360000000001</v>
      </c>
      <c r="AL59" s="766">
        <v>2.7839860000000001</v>
      </c>
      <c r="AM59" s="766">
        <v>2.7848850000000001</v>
      </c>
      <c r="AN59" s="766">
        <v>2.5095320000000001</v>
      </c>
      <c r="AO59" s="766">
        <v>2.3357999999999999</v>
      </c>
      <c r="AP59" s="766">
        <v>2.2938939999999999</v>
      </c>
      <c r="AQ59" s="766">
        <v>1.9673590000000001</v>
      </c>
      <c r="AR59" s="766">
        <v>2.1528749999999999</v>
      </c>
      <c r="AS59" s="766">
        <v>2.7412879999999999</v>
      </c>
      <c r="AT59" s="766">
        <v>2.7347519999999998</v>
      </c>
      <c r="AU59" s="766">
        <v>2.2733889999999999</v>
      </c>
      <c r="AV59" s="766">
        <v>2.3089050000000002</v>
      </c>
      <c r="AW59" s="766">
        <v>2.2236530000000001</v>
      </c>
      <c r="AX59" s="766">
        <v>2.7817340000000002</v>
      </c>
      <c r="AY59" s="766">
        <v>2.785361</v>
      </c>
      <c r="AZ59" s="766">
        <v>2.2682500000000001</v>
      </c>
      <c r="BA59" s="766">
        <v>2.2341259999999998</v>
      </c>
      <c r="BB59" s="766">
        <v>2.138395</v>
      </c>
      <c r="BC59" s="766">
        <v>2.7600850000000001</v>
      </c>
      <c r="BD59" s="766">
        <v>2.656558</v>
      </c>
      <c r="BE59" s="766">
        <v>2.3957899999999999</v>
      </c>
      <c r="BF59" s="766">
        <v>2.5447199999999999</v>
      </c>
      <c r="BG59" s="767">
        <v>2.1183200000000002</v>
      </c>
      <c r="BH59" s="767">
        <v>2.3994200000000001</v>
      </c>
      <c r="BI59" s="767">
        <v>2.5943100000000001</v>
      </c>
      <c r="BJ59" s="767">
        <v>2.68079</v>
      </c>
      <c r="BK59" s="767">
        <v>2.68079</v>
      </c>
      <c r="BL59" s="767">
        <v>2.4213499999999999</v>
      </c>
      <c r="BM59" s="767">
        <v>2.68079</v>
      </c>
      <c r="BN59" s="767">
        <v>2.1706699999999999</v>
      </c>
      <c r="BO59" s="767">
        <v>2.2107999999999999</v>
      </c>
      <c r="BP59" s="767">
        <v>2.5943100000000001</v>
      </c>
      <c r="BQ59" s="767">
        <v>2.68079</v>
      </c>
      <c r="BR59" s="767">
        <v>2.68079</v>
      </c>
      <c r="BS59" s="767">
        <v>2.4466199999999998</v>
      </c>
      <c r="BT59" s="767">
        <v>1.48095</v>
      </c>
      <c r="BU59" s="767">
        <v>2.5943100000000001</v>
      </c>
      <c r="BV59" s="767">
        <v>2.68079</v>
      </c>
    </row>
    <row r="60" spans="1:74" ht="11.1" customHeight="1" x14ac:dyDescent="0.2">
      <c r="A60" s="545" t="s">
        <v>1294</v>
      </c>
      <c r="B60" s="548" t="s">
        <v>1259</v>
      </c>
      <c r="C60" s="766">
        <v>3.5240887999999998E-2</v>
      </c>
      <c r="D60" s="766">
        <v>2.5956166999999999E-2</v>
      </c>
      <c r="E60" s="766">
        <v>2.0033068000000001E-2</v>
      </c>
      <c r="F60" s="766">
        <v>1.2362677000000001E-2</v>
      </c>
      <c r="G60" s="766">
        <v>1.5191995E-2</v>
      </c>
      <c r="H60" s="766">
        <v>1.0095299E-2</v>
      </c>
      <c r="I60" s="766">
        <v>9.613356E-3</v>
      </c>
      <c r="J60" s="766">
        <v>1.0596578000000001E-2</v>
      </c>
      <c r="K60" s="766">
        <v>7.6419349999999999E-3</v>
      </c>
      <c r="L60" s="766">
        <v>1.0878377999999999E-2</v>
      </c>
      <c r="M60" s="766">
        <v>6.8804230000000001E-3</v>
      </c>
      <c r="N60" s="766">
        <v>1.0060236E-2</v>
      </c>
      <c r="O60" s="766">
        <v>2.3294117999999999E-2</v>
      </c>
      <c r="P60" s="766">
        <v>1.9630505999999999E-2</v>
      </c>
      <c r="Q60" s="766">
        <v>2.0958880999999999E-2</v>
      </c>
      <c r="R60" s="766">
        <v>2.5552844000000002E-2</v>
      </c>
      <c r="S60" s="766">
        <v>2.6227668999999999E-2</v>
      </c>
      <c r="T60" s="766">
        <v>2.1091854E-2</v>
      </c>
      <c r="U60" s="766">
        <v>1.8160875999999999E-2</v>
      </c>
      <c r="V60" s="766">
        <v>1.4844748E-2</v>
      </c>
      <c r="W60" s="766">
        <v>1.0513012E-2</v>
      </c>
      <c r="X60" s="766">
        <v>1.0674751999999999E-2</v>
      </c>
      <c r="Y60" s="766">
        <v>1.6284218E-2</v>
      </c>
      <c r="Z60" s="766">
        <v>1.1065522E-2</v>
      </c>
      <c r="AA60" s="766">
        <v>1.4669313E-2</v>
      </c>
      <c r="AB60" s="766">
        <v>1.7589282000000001E-2</v>
      </c>
      <c r="AC60" s="766">
        <v>1.5322136E-2</v>
      </c>
      <c r="AD60" s="766">
        <v>2.0510703000000002E-2</v>
      </c>
      <c r="AE60" s="766">
        <v>2.0323805E-2</v>
      </c>
      <c r="AF60" s="766">
        <v>1.37316E-2</v>
      </c>
      <c r="AG60" s="766">
        <v>1.4107952999999999E-2</v>
      </c>
      <c r="AH60" s="766">
        <v>2.0838812000000002E-2</v>
      </c>
      <c r="AI60" s="766">
        <v>2.0121963999999999E-2</v>
      </c>
      <c r="AJ60" s="766">
        <v>2.2375274000000001E-2</v>
      </c>
      <c r="AK60" s="766">
        <v>2.4389589999999999E-2</v>
      </c>
      <c r="AL60" s="766">
        <v>2.8593568E-2</v>
      </c>
      <c r="AM60" s="766">
        <v>2.3278818999999999E-2</v>
      </c>
      <c r="AN60" s="766">
        <v>1.8877358E-2</v>
      </c>
      <c r="AO60" s="766">
        <v>2.1315824000000001E-2</v>
      </c>
      <c r="AP60" s="766">
        <v>1.9047323000000001E-2</v>
      </c>
      <c r="AQ60" s="766">
        <v>2.0006921E-2</v>
      </c>
      <c r="AR60" s="766">
        <v>1.8508785999999999E-2</v>
      </c>
      <c r="AS60" s="766">
        <v>1.9693222E-2</v>
      </c>
      <c r="AT60" s="766">
        <v>1.4661113999999999E-2</v>
      </c>
      <c r="AU60" s="766">
        <v>1.2679121999999999E-2</v>
      </c>
      <c r="AV60" s="766">
        <v>1.276468E-2</v>
      </c>
      <c r="AW60" s="766">
        <v>1.7773374000000002E-2</v>
      </c>
      <c r="AX60" s="766">
        <v>2.1198274E-2</v>
      </c>
      <c r="AY60" s="766">
        <v>2.1533152E-2</v>
      </c>
      <c r="AZ60" s="766">
        <v>1.8674513E-2</v>
      </c>
      <c r="BA60" s="766">
        <v>1.9766846000000001E-2</v>
      </c>
      <c r="BB60" s="766">
        <v>1.9165264000000001E-2</v>
      </c>
      <c r="BC60" s="766">
        <v>1.9334614999999999E-2</v>
      </c>
      <c r="BD60" s="766">
        <v>1.7274464E-2</v>
      </c>
      <c r="BE60" s="766">
        <v>1.92604E-2</v>
      </c>
      <c r="BF60" s="766">
        <v>1.53749E-2</v>
      </c>
      <c r="BG60" s="767">
        <v>1.39224E-2</v>
      </c>
      <c r="BH60" s="767">
        <v>1.3518499999999999E-2</v>
      </c>
      <c r="BI60" s="767">
        <v>1.68355E-2</v>
      </c>
      <c r="BJ60" s="767">
        <v>2.0198199999999999E-2</v>
      </c>
      <c r="BK60" s="767">
        <v>2.1575799999999999E-2</v>
      </c>
      <c r="BL60" s="767">
        <v>1.7795600000000002E-2</v>
      </c>
      <c r="BM60" s="767">
        <v>2.1713E-2</v>
      </c>
      <c r="BN60" s="767">
        <v>2.0976000000000002E-2</v>
      </c>
      <c r="BO60" s="767">
        <v>1.90548E-2</v>
      </c>
      <c r="BP60" s="767">
        <v>1.66017E-2</v>
      </c>
      <c r="BQ60" s="767">
        <v>1.85834E-2</v>
      </c>
      <c r="BR60" s="767">
        <v>1.45925E-2</v>
      </c>
      <c r="BS60" s="767">
        <v>1.2997999999999999E-2</v>
      </c>
      <c r="BT60" s="767">
        <v>1.35202E-2</v>
      </c>
      <c r="BU60" s="767">
        <v>1.5867300000000001E-2</v>
      </c>
      <c r="BV60" s="767">
        <v>1.9532600000000001E-2</v>
      </c>
    </row>
    <row r="61" spans="1:74" ht="11.1" customHeight="1" x14ac:dyDescent="0.2">
      <c r="A61" s="545" t="s">
        <v>1295</v>
      </c>
      <c r="B61" s="548" t="s">
        <v>1362</v>
      </c>
      <c r="C61" s="766">
        <v>0.231585398</v>
      </c>
      <c r="D61" s="766">
        <v>0.228564347</v>
      </c>
      <c r="E61" s="766">
        <v>0.215857509</v>
      </c>
      <c r="F61" s="766">
        <v>0.21867958900000001</v>
      </c>
      <c r="G61" s="766">
        <v>0.23896745999999999</v>
      </c>
      <c r="H61" s="766">
        <v>0.22124923599999999</v>
      </c>
      <c r="I61" s="766">
        <v>0.22606453200000001</v>
      </c>
      <c r="J61" s="766">
        <v>0.230274379</v>
      </c>
      <c r="K61" s="766">
        <v>0.21813218700000001</v>
      </c>
      <c r="L61" s="766">
        <v>0.21223341300000001</v>
      </c>
      <c r="M61" s="766">
        <v>0.222823359</v>
      </c>
      <c r="N61" s="766">
        <v>0.244382339</v>
      </c>
      <c r="O61" s="766">
        <v>0.31924698200000001</v>
      </c>
      <c r="P61" s="766">
        <v>0.293151461</v>
      </c>
      <c r="Q61" s="766">
        <v>0.32641483999999998</v>
      </c>
      <c r="R61" s="766">
        <v>0.33217134700000001</v>
      </c>
      <c r="S61" s="766">
        <v>0.32672215199999999</v>
      </c>
      <c r="T61" s="766">
        <v>0.25830676400000002</v>
      </c>
      <c r="U61" s="766">
        <v>0.26751617900000002</v>
      </c>
      <c r="V61" s="766">
        <v>0.27249363300000001</v>
      </c>
      <c r="W61" s="766">
        <v>0.27587152199999998</v>
      </c>
      <c r="X61" s="766">
        <v>0.30431004900000003</v>
      </c>
      <c r="Y61" s="766">
        <v>0.34708858999999997</v>
      </c>
      <c r="Z61" s="766">
        <v>0.401562111</v>
      </c>
      <c r="AA61" s="766">
        <v>0.43221969300000002</v>
      </c>
      <c r="AB61" s="766">
        <v>0.418596089</v>
      </c>
      <c r="AC61" s="766">
        <v>0.49259858699999998</v>
      </c>
      <c r="AD61" s="766">
        <v>0.45300236500000002</v>
      </c>
      <c r="AE61" s="766">
        <v>0.41204839799999998</v>
      </c>
      <c r="AF61" s="766">
        <v>0.46489594499999998</v>
      </c>
      <c r="AG61" s="766">
        <v>0.42358074400000001</v>
      </c>
      <c r="AH61" s="766">
        <v>0.42605112299999998</v>
      </c>
      <c r="AI61" s="766">
        <v>0.40338457500000002</v>
      </c>
      <c r="AJ61" s="766">
        <v>0.44182218600000001</v>
      </c>
      <c r="AK61" s="766">
        <v>0.42019799400000002</v>
      </c>
      <c r="AL61" s="766">
        <v>0.408380464</v>
      </c>
      <c r="AM61" s="766">
        <v>0.47453203700000002</v>
      </c>
      <c r="AN61" s="766">
        <v>0.44681322400000001</v>
      </c>
      <c r="AO61" s="766">
        <v>0.54778360299999995</v>
      </c>
      <c r="AP61" s="766">
        <v>0.55282690099999998</v>
      </c>
      <c r="AQ61" s="766">
        <v>0.61130742800000004</v>
      </c>
      <c r="AR61" s="766">
        <v>0.54122941999999996</v>
      </c>
      <c r="AS61" s="766">
        <v>0.54363801300000003</v>
      </c>
      <c r="AT61" s="766">
        <v>0.51700404499999997</v>
      </c>
      <c r="AU61" s="766">
        <v>0.55610677500000005</v>
      </c>
      <c r="AV61" s="766">
        <v>0.50959023699999995</v>
      </c>
      <c r="AW61" s="766">
        <v>0.41019671800000002</v>
      </c>
      <c r="AX61" s="766">
        <v>0.43975164100000003</v>
      </c>
      <c r="AY61" s="766">
        <v>0.54366256599999996</v>
      </c>
      <c r="AZ61" s="766">
        <v>0.57856872199999998</v>
      </c>
      <c r="BA61" s="766">
        <v>0.71514731600000003</v>
      </c>
      <c r="BB61" s="766">
        <v>0.72425841599999996</v>
      </c>
      <c r="BC61" s="766">
        <v>0.84475721599999998</v>
      </c>
      <c r="BD61" s="766">
        <v>0.78726516899999999</v>
      </c>
      <c r="BE61" s="766">
        <v>0.78785959999999999</v>
      </c>
      <c r="BF61" s="766">
        <v>0.79138379999999997</v>
      </c>
      <c r="BG61" s="767">
        <v>0.79682980000000003</v>
      </c>
      <c r="BH61" s="767">
        <v>0.7778022</v>
      </c>
      <c r="BI61" s="767">
        <v>0.59258869999999997</v>
      </c>
      <c r="BJ61" s="767">
        <v>0.70846529999999996</v>
      </c>
      <c r="BK61" s="767">
        <v>0.77890939999999997</v>
      </c>
      <c r="BL61" s="767">
        <v>0.79280640000000002</v>
      </c>
      <c r="BM61" s="767">
        <v>1.0282020000000001</v>
      </c>
      <c r="BN61" s="767">
        <v>1.003808</v>
      </c>
      <c r="BO61" s="767">
        <v>1.223873</v>
      </c>
      <c r="BP61" s="767">
        <v>1.0167390000000001</v>
      </c>
      <c r="BQ61" s="767">
        <v>1.0246960000000001</v>
      </c>
      <c r="BR61" s="767">
        <v>1.0627040000000001</v>
      </c>
      <c r="BS61" s="767">
        <v>1.0705100000000001</v>
      </c>
      <c r="BT61" s="767">
        <v>1.108501</v>
      </c>
      <c r="BU61" s="767">
        <v>0.74182610000000004</v>
      </c>
      <c r="BV61" s="767">
        <v>0.90461639999999999</v>
      </c>
    </row>
    <row r="62" spans="1:74" ht="11.1" customHeight="1" x14ac:dyDescent="0.2">
      <c r="A62" s="545" t="s">
        <v>1296</v>
      </c>
      <c r="B62" s="546" t="s">
        <v>1363</v>
      </c>
      <c r="C62" s="766">
        <v>0.353156256</v>
      </c>
      <c r="D62" s="766">
        <v>0.24322039500000001</v>
      </c>
      <c r="E62" s="766">
        <v>0.35191929399999999</v>
      </c>
      <c r="F62" s="766">
        <v>0.36236035100000002</v>
      </c>
      <c r="G62" s="766">
        <v>0.365608129</v>
      </c>
      <c r="H62" s="766">
        <v>0.39438652800000001</v>
      </c>
      <c r="I62" s="766">
        <v>0.57202864200000003</v>
      </c>
      <c r="J62" s="766">
        <v>0.50986425199999996</v>
      </c>
      <c r="K62" s="766">
        <v>0.342803211</v>
      </c>
      <c r="L62" s="766">
        <v>0.239489179</v>
      </c>
      <c r="M62" s="766">
        <v>0.222190427</v>
      </c>
      <c r="N62" s="766">
        <v>0.277486913</v>
      </c>
      <c r="O62" s="766">
        <v>0.27589156500000001</v>
      </c>
      <c r="P62" s="766">
        <v>0.25668819999999998</v>
      </c>
      <c r="Q62" s="766">
        <v>0.19430915000000001</v>
      </c>
      <c r="R62" s="766">
        <v>0.20476687900000001</v>
      </c>
      <c r="S62" s="766">
        <v>0.208422722</v>
      </c>
      <c r="T62" s="766">
        <v>0.29644658200000001</v>
      </c>
      <c r="U62" s="766">
        <v>0.23121444299999999</v>
      </c>
      <c r="V62" s="766">
        <v>0.27246383400000002</v>
      </c>
      <c r="W62" s="766">
        <v>0.248594181</v>
      </c>
      <c r="X62" s="766">
        <v>0.245637775</v>
      </c>
      <c r="Y62" s="766">
        <v>0.18302042199999999</v>
      </c>
      <c r="Z62" s="766">
        <v>0.26083365200000003</v>
      </c>
      <c r="AA62" s="766">
        <v>0.47530421099999998</v>
      </c>
      <c r="AB62" s="766">
        <v>0.25676259400000001</v>
      </c>
      <c r="AC62" s="766">
        <v>0.218893579</v>
      </c>
      <c r="AD62" s="766">
        <v>0.23075362799999999</v>
      </c>
      <c r="AE62" s="766">
        <v>0.22717443200000001</v>
      </c>
      <c r="AF62" s="766">
        <v>0.33799332599999998</v>
      </c>
      <c r="AG62" s="766">
        <v>0.35617348100000001</v>
      </c>
      <c r="AH62" s="766">
        <v>0.36540869399999998</v>
      </c>
      <c r="AI62" s="766">
        <v>0.40646457499999999</v>
      </c>
      <c r="AJ62" s="766">
        <v>0.25227106100000002</v>
      </c>
      <c r="AK62" s="766">
        <v>0.16104269700000001</v>
      </c>
      <c r="AL62" s="766">
        <v>0.263396293</v>
      </c>
      <c r="AM62" s="766">
        <v>0.30136763900000002</v>
      </c>
      <c r="AN62" s="766">
        <v>0.27160494800000001</v>
      </c>
      <c r="AO62" s="766">
        <v>0.25392495799999998</v>
      </c>
      <c r="AP62" s="766">
        <v>0.247508961</v>
      </c>
      <c r="AQ62" s="766">
        <v>0.30685889900000002</v>
      </c>
      <c r="AR62" s="766">
        <v>0.29911631300000002</v>
      </c>
      <c r="AS62" s="766">
        <v>0.26158471799999999</v>
      </c>
      <c r="AT62" s="766">
        <v>0.254773256</v>
      </c>
      <c r="AU62" s="766">
        <v>0.25333699300000001</v>
      </c>
      <c r="AV62" s="766">
        <v>0.178635772</v>
      </c>
      <c r="AW62" s="766">
        <v>0.24075734900000001</v>
      </c>
      <c r="AX62" s="766">
        <v>0.26337421999999999</v>
      </c>
      <c r="AY62" s="766">
        <v>0.326662279</v>
      </c>
      <c r="AZ62" s="766">
        <v>0.32020273199999999</v>
      </c>
      <c r="BA62" s="766">
        <v>0.23645717499999999</v>
      </c>
      <c r="BB62" s="766">
        <v>0.229486104</v>
      </c>
      <c r="BC62" s="766">
        <v>0.226129512</v>
      </c>
      <c r="BD62" s="766">
        <v>0.31898909800000003</v>
      </c>
      <c r="BE62" s="766">
        <v>0.26756649999999998</v>
      </c>
      <c r="BF62" s="766">
        <v>0.26208989999999999</v>
      </c>
      <c r="BG62" s="767">
        <v>0.25092379999999997</v>
      </c>
      <c r="BH62" s="767">
        <v>0.16975100000000001</v>
      </c>
      <c r="BI62" s="767">
        <v>0.2628257</v>
      </c>
      <c r="BJ62" s="767">
        <v>0.27518779999999998</v>
      </c>
      <c r="BK62" s="767">
        <v>0.3334087</v>
      </c>
      <c r="BL62" s="767">
        <v>0.295736</v>
      </c>
      <c r="BM62" s="767">
        <v>0.23406479999999999</v>
      </c>
      <c r="BN62" s="767">
        <v>0.211731</v>
      </c>
      <c r="BO62" s="767">
        <v>0.18201539999999999</v>
      </c>
      <c r="BP62" s="767">
        <v>0.2785475</v>
      </c>
      <c r="BQ62" s="767">
        <v>0.26016289999999997</v>
      </c>
      <c r="BR62" s="767">
        <v>0.25515179999999998</v>
      </c>
      <c r="BS62" s="767">
        <v>0.2407733</v>
      </c>
      <c r="BT62" s="767">
        <v>0.16936229999999999</v>
      </c>
      <c r="BU62" s="767">
        <v>0.2369946</v>
      </c>
      <c r="BV62" s="767">
        <v>0.26310699999999998</v>
      </c>
    </row>
    <row r="63" spans="1:74" ht="11.1" customHeight="1" x14ac:dyDescent="0.2">
      <c r="A63" s="545" t="s">
        <v>1297</v>
      </c>
      <c r="B63" s="548" t="s">
        <v>1263</v>
      </c>
      <c r="C63" s="766">
        <v>16.808068094999999</v>
      </c>
      <c r="D63" s="766">
        <v>15.644804748</v>
      </c>
      <c r="E63" s="766">
        <v>16.522455750999999</v>
      </c>
      <c r="F63" s="766">
        <v>17.450926716000001</v>
      </c>
      <c r="G63" s="766">
        <v>19.379584284</v>
      </c>
      <c r="H63" s="766">
        <v>21.296033174000002</v>
      </c>
      <c r="I63" s="766">
        <v>23.381221942</v>
      </c>
      <c r="J63" s="766">
        <v>22.543298317000001</v>
      </c>
      <c r="K63" s="766">
        <v>20.966843411999999</v>
      </c>
      <c r="L63" s="766">
        <v>18.510983319000001</v>
      </c>
      <c r="M63" s="766">
        <v>15.688805460999999</v>
      </c>
      <c r="N63" s="766">
        <v>16.827424093000001</v>
      </c>
      <c r="O63" s="766">
        <v>16.734380182999999</v>
      </c>
      <c r="P63" s="766">
        <v>14.873193795000001</v>
      </c>
      <c r="Q63" s="766">
        <v>16.523437386000001</v>
      </c>
      <c r="R63" s="766">
        <v>17.642180352</v>
      </c>
      <c r="S63" s="766">
        <v>20.539191091999999</v>
      </c>
      <c r="T63" s="766">
        <v>20.495813374000001</v>
      </c>
      <c r="U63" s="766">
        <v>22.758930358000001</v>
      </c>
      <c r="V63" s="766">
        <v>23.114649971999999</v>
      </c>
      <c r="W63" s="766">
        <v>19.797629756999999</v>
      </c>
      <c r="X63" s="766">
        <v>19.595188692000001</v>
      </c>
      <c r="Y63" s="766">
        <v>16.19857244</v>
      </c>
      <c r="Z63" s="766">
        <v>16.480579993999999</v>
      </c>
      <c r="AA63" s="766">
        <v>18.479005768</v>
      </c>
      <c r="AB63" s="766">
        <v>15.765897452999999</v>
      </c>
      <c r="AC63" s="766">
        <v>16.158583611000001</v>
      </c>
      <c r="AD63" s="766">
        <v>17.447719815999999</v>
      </c>
      <c r="AE63" s="766">
        <v>19.247164502</v>
      </c>
      <c r="AF63" s="766">
        <v>21.307462681000001</v>
      </c>
      <c r="AG63" s="766">
        <v>22.436909140000001</v>
      </c>
      <c r="AH63" s="766">
        <v>22.905955509999998</v>
      </c>
      <c r="AI63" s="766">
        <v>21.945413970000001</v>
      </c>
      <c r="AJ63" s="766">
        <v>20.493787711</v>
      </c>
      <c r="AK63" s="766">
        <v>17.189080467</v>
      </c>
      <c r="AL63" s="766">
        <v>16.804567071000001</v>
      </c>
      <c r="AM63" s="766">
        <v>17.202337672999999</v>
      </c>
      <c r="AN63" s="766">
        <v>15.404275123</v>
      </c>
      <c r="AO63" s="766">
        <v>16.659728041000001</v>
      </c>
      <c r="AP63" s="766">
        <v>17.336463037000001</v>
      </c>
      <c r="AQ63" s="766">
        <v>21.126554975000001</v>
      </c>
      <c r="AR63" s="766">
        <v>21.768351809999999</v>
      </c>
      <c r="AS63" s="766">
        <v>23.029000339</v>
      </c>
      <c r="AT63" s="766">
        <v>23.143033854999999</v>
      </c>
      <c r="AU63" s="766">
        <v>21.899586729999999</v>
      </c>
      <c r="AV63" s="766">
        <v>21.128742885000001</v>
      </c>
      <c r="AW63" s="766">
        <v>16.455790821000001</v>
      </c>
      <c r="AX63" s="766">
        <v>16.519633077999998</v>
      </c>
      <c r="AY63" s="766">
        <v>17.402090672</v>
      </c>
      <c r="AZ63" s="766">
        <v>16.437032010999999</v>
      </c>
      <c r="BA63" s="766">
        <v>18.381424444</v>
      </c>
      <c r="BB63" s="766">
        <v>18.357197188000001</v>
      </c>
      <c r="BC63" s="766">
        <v>19.607878283000002</v>
      </c>
      <c r="BD63" s="766">
        <v>22.136393929</v>
      </c>
      <c r="BE63" s="766">
        <v>23.157360000000001</v>
      </c>
      <c r="BF63" s="766">
        <v>23.168230000000001</v>
      </c>
      <c r="BG63" s="767">
        <v>21.402830000000002</v>
      </c>
      <c r="BH63" s="767">
        <v>19.812180000000001</v>
      </c>
      <c r="BI63" s="767">
        <v>16.162230000000001</v>
      </c>
      <c r="BJ63" s="767">
        <v>16.512740000000001</v>
      </c>
      <c r="BK63" s="767">
        <v>17.194230000000001</v>
      </c>
      <c r="BL63" s="767">
        <v>15.16469</v>
      </c>
      <c r="BM63" s="767">
        <v>18.19548</v>
      </c>
      <c r="BN63" s="767">
        <v>16.95712</v>
      </c>
      <c r="BO63" s="767">
        <v>19.421610000000001</v>
      </c>
      <c r="BP63" s="767">
        <v>21.57301</v>
      </c>
      <c r="BQ63" s="767">
        <v>22.848880000000001</v>
      </c>
      <c r="BR63" s="767">
        <v>23.127210000000002</v>
      </c>
      <c r="BS63" s="767">
        <v>20.807759999999998</v>
      </c>
      <c r="BT63" s="767">
        <v>20.00508</v>
      </c>
      <c r="BU63" s="767">
        <v>16.214700000000001</v>
      </c>
      <c r="BV63" s="767">
        <v>16.5214</v>
      </c>
    </row>
    <row r="64" spans="1:74" ht="11.1" customHeight="1" x14ac:dyDescent="0.2">
      <c r="A64" s="550" t="s">
        <v>1298</v>
      </c>
      <c r="B64" s="551" t="s">
        <v>1364</v>
      </c>
      <c r="C64" s="569">
        <v>17.113896128</v>
      </c>
      <c r="D64" s="569">
        <v>15.826545349</v>
      </c>
      <c r="E64" s="569">
        <v>17.391233572000001</v>
      </c>
      <c r="F64" s="569">
        <v>17.685286927</v>
      </c>
      <c r="G64" s="569">
        <v>20.506842556999999</v>
      </c>
      <c r="H64" s="569">
        <v>22.321435974</v>
      </c>
      <c r="I64" s="569">
        <v>24.581145646</v>
      </c>
      <c r="J64" s="569">
        <v>23.762218617999999</v>
      </c>
      <c r="K64" s="569">
        <v>21.945320205000002</v>
      </c>
      <c r="L64" s="569">
        <v>19.396570694000001</v>
      </c>
      <c r="M64" s="569">
        <v>16.089402827000001</v>
      </c>
      <c r="N64" s="569">
        <v>17.330080615</v>
      </c>
      <c r="O64" s="569">
        <v>17.021687236000002</v>
      </c>
      <c r="P64" s="569">
        <v>15.239779875</v>
      </c>
      <c r="Q64" s="569">
        <v>17.333512240000001</v>
      </c>
      <c r="R64" s="569">
        <v>18.540347918999998</v>
      </c>
      <c r="S64" s="569">
        <v>21.654631565999999</v>
      </c>
      <c r="T64" s="569">
        <v>21.221882701999998</v>
      </c>
      <c r="U64" s="569">
        <v>23.446976550999999</v>
      </c>
      <c r="V64" s="569">
        <v>24.101117329000001</v>
      </c>
      <c r="W64" s="569">
        <v>20.502037145999999</v>
      </c>
      <c r="X64" s="569">
        <v>19.851762920999999</v>
      </c>
      <c r="Y64" s="569">
        <v>15.939249765</v>
      </c>
      <c r="Z64" s="569">
        <v>16.353576363999998</v>
      </c>
      <c r="AA64" s="569">
        <v>18.488905944999999</v>
      </c>
      <c r="AB64" s="569">
        <v>15.932580275999999</v>
      </c>
      <c r="AC64" s="569">
        <v>16.386507584</v>
      </c>
      <c r="AD64" s="569">
        <v>17.824596919000001</v>
      </c>
      <c r="AE64" s="569">
        <v>19.515004794999999</v>
      </c>
      <c r="AF64" s="569">
        <v>21.988670413000001</v>
      </c>
      <c r="AG64" s="569">
        <v>23.247996042</v>
      </c>
      <c r="AH64" s="569">
        <v>23.568535399999998</v>
      </c>
      <c r="AI64" s="569">
        <v>22.570043138999999</v>
      </c>
      <c r="AJ64" s="569">
        <v>20.930957996</v>
      </c>
      <c r="AK64" s="569">
        <v>17.491305567000001</v>
      </c>
      <c r="AL64" s="569">
        <v>17.500340133000002</v>
      </c>
      <c r="AM64" s="569">
        <v>16.778692306</v>
      </c>
      <c r="AN64" s="569">
        <v>15.375256772</v>
      </c>
      <c r="AO64" s="569">
        <v>15.407315186</v>
      </c>
      <c r="AP64" s="569">
        <v>17.390909664999999</v>
      </c>
      <c r="AQ64" s="569">
        <v>21.343048113999998</v>
      </c>
      <c r="AR64" s="569">
        <v>21.891890725</v>
      </c>
      <c r="AS64" s="569">
        <v>23.446636718000001</v>
      </c>
      <c r="AT64" s="569">
        <v>22.923378732</v>
      </c>
      <c r="AU64" s="569">
        <v>22.054381742</v>
      </c>
      <c r="AV64" s="569">
        <v>20.571374767999998</v>
      </c>
      <c r="AW64" s="569">
        <v>16.353416708000001</v>
      </c>
      <c r="AX64" s="569">
        <v>16.271664765000001</v>
      </c>
      <c r="AY64" s="569">
        <v>16.217768285999998</v>
      </c>
      <c r="AZ64" s="569">
        <v>15.688051353000001</v>
      </c>
      <c r="BA64" s="569">
        <v>16.289360543000001</v>
      </c>
      <c r="BB64" s="569">
        <v>17.933598441000001</v>
      </c>
      <c r="BC64" s="569">
        <v>19.759684965999998</v>
      </c>
      <c r="BD64" s="569">
        <v>22.006250000000001</v>
      </c>
      <c r="BE64" s="569">
        <v>23.344460000000002</v>
      </c>
      <c r="BF64" s="569">
        <v>23.062249999999999</v>
      </c>
      <c r="BG64" s="570">
        <v>21.698920000000001</v>
      </c>
      <c r="BH64" s="570">
        <v>19.24128</v>
      </c>
      <c r="BI64" s="570">
        <v>15.97973</v>
      </c>
      <c r="BJ64" s="570">
        <v>16.264810000000001</v>
      </c>
      <c r="BK64" s="570">
        <v>16.088609999999999</v>
      </c>
      <c r="BL64" s="570">
        <v>14.47649</v>
      </c>
      <c r="BM64" s="570">
        <v>16.121200000000002</v>
      </c>
      <c r="BN64" s="570">
        <v>16.521190000000001</v>
      </c>
      <c r="BO64" s="570">
        <v>19.580850000000002</v>
      </c>
      <c r="BP64" s="570">
        <v>21.50516</v>
      </c>
      <c r="BQ64" s="570">
        <v>22.81906</v>
      </c>
      <c r="BR64" s="570">
        <v>22.734100000000002</v>
      </c>
      <c r="BS64" s="570">
        <v>21.079640000000001</v>
      </c>
      <c r="BT64" s="570">
        <v>19.561129999999999</v>
      </c>
      <c r="BU64" s="570">
        <v>16.078250000000001</v>
      </c>
      <c r="BV64" s="570">
        <v>16.266159999999999</v>
      </c>
    </row>
    <row r="65" spans="1:74" ht="10.5" customHeight="1" x14ac:dyDescent="0.25">
      <c r="A65" s="539"/>
      <c r="B65" s="862" t="s">
        <v>1367</v>
      </c>
      <c r="C65" s="863"/>
      <c r="D65" s="863"/>
      <c r="E65" s="863"/>
      <c r="F65" s="863"/>
      <c r="G65" s="863"/>
      <c r="H65" s="863"/>
      <c r="I65" s="863"/>
      <c r="J65" s="863"/>
      <c r="K65" s="863"/>
      <c r="L65" s="863"/>
      <c r="M65" s="863"/>
      <c r="N65" s="863"/>
      <c r="O65" s="863"/>
      <c r="P65" s="863"/>
      <c r="Q65" s="863"/>
      <c r="R65" s="553"/>
      <c r="S65" s="553"/>
      <c r="T65" s="553"/>
      <c r="U65" s="553"/>
      <c r="V65" s="553"/>
      <c r="W65" s="553"/>
      <c r="X65" s="553"/>
      <c r="Y65" s="553"/>
      <c r="Z65" s="553"/>
      <c r="AA65" s="553"/>
      <c r="AB65" s="553"/>
      <c r="AC65" s="553"/>
      <c r="AD65" s="553"/>
      <c r="AE65" s="553"/>
      <c r="AF65" s="553"/>
      <c r="AG65" s="553"/>
      <c r="AH65" s="553"/>
      <c r="AI65" s="553"/>
      <c r="AJ65" s="553"/>
      <c r="AK65" s="553"/>
      <c r="AL65" s="553"/>
      <c r="AM65" s="553"/>
      <c r="AN65" s="553"/>
      <c r="AO65" s="553"/>
      <c r="AP65" s="553"/>
      <c r="AQ65" s="553"/>
      <c r="AR65" s="553"/>
      <c r="AS65" s="553"/>
      <c r="AT65" s="553"/>
      <c r="AU65" s="553"/>
      <c r="AV65" s="553"/>
      <c r="AW65" s="553"/>
      <c r="AX65" s="553"/>
      <c r="AY65" s="553"/>
      <c r="AZ65" s="553"/>
      <c r="BA65" s="553"/>
      <c r="BB65" s="553"/>
      <c r="BC65" s="553"/>
      <c r="BD65" s="676"/>
      <c r="BE65" s="676"/>
      <c r="BF65" s="676"/>
      <c r="BG65" s="553"/>
      <c r="BH65" s="553"/>
      <c r="BI65" s="553"/>
      <c r="BJ65" s="553"/>
      <c r="BK65" s="553"/>
      <c r="BL65" s="553"/>
      <c r="BM65" s="553"/>
      <c r="BN65" s="553"/>
      <c r="BO65" s="553"/>
      <c r="BP65" s="553"/>
      <c r="BQ65" s="553"/>
      <c r="BR65" s="553"/>
      <c r="BS65" s="553"/>
      <c r="BT65" s="553"/>
      <c r="BU65" s="553"/>
      <c r="BV65" s="553"/>
    </row>
    <row r="66" spans="1:74" ht="10.5" customHeight="1" x14ac:dyDescent="0.25">
      <c r="A66" s="539"/>
      <c r="B66" s="864" t="s">
        <v>1368</v>
      </c>
      <c r="C66" s="863"/>
      <c r="D66" s="863"/>
      <c r="E66" s="863"/>
      <c r="F66" s="863"/>
      <c r="G66" s="863"/>
      <c r="H66" s="863"/>
      <c r="I66" s="863"/>
      <c r="J66" s="863"/>
      <c r="K66" s="863"/>
      <c r="L66" s="863"/>
      <c r="M66" s="863"/>
      <c r="N66" s="863"/>
      <c r="O66" s="863"/>
      <c r="P66" s="863"/>
      <c r="Q66" s="863"/>
      <c r="R66" s="553"/>
      <c r="S66" s="553"/>
      <c r="T66" s="553"/>
      <c r="U66" s="553"/>
      <c r="V66" s="553"/>
      <c r="W66" s="553"/>
      <c r="X66" s="553"/>
      <c r="Y66" s="553"/>
      <c r="Z66" s="553"/>
      <c r="AA66" s="553"/>
      <c r="AB66" s="553"/>
      <c r="AC66" s="553"/>
      <c r="AD66" s="553"/>
      <c r="AE66" s="553"/>
      <c r="AF66" s="553"/>
      <c r="AG66" s="553"/>
      <c r="AH66" s="553"/>
      <c r="AI66" s="553"/>
      <c r="AJ66" s="553"/>
      <c r="AK66" s="553"/>
      <c r="AL66" s="553"/>
      <c r="AM66" s="553"/>
      <c r="AN66" s="553"/>
      <c r="AO66" s="553"/>
      <c r="AP66" s="553"/>
      <c r="AQ66" s="553"/>
      <c r="AR66" s="553"/>
      <c r="AS66" s="553"/>
      <c r="AT66" s="553"/>
      <c r="AU66" s="553"/>
      <c r="AV66" s="553"/>
      <c r="AW66" s="553"/>
      <c r="AX66" s="553"/>
      <c r="AY66" s="553"/>
      <c r="AZ66" s="553"/>
      <c r="BA66" s="553"/>
      <c r="BB66" s="553"/>
      <c r="BC66" s="553"/>
      <c r="BD66" s="676"/>
      <c r="BE66" s="676"/>
      <c r="BF66" s="676"/>
      <c r="BG66" s="553"/>
      <c r="BH66" s="553"/>
      <c r="BI66" s="553"/>
      <c r="BJ66" s="553"/>
      <c r="BK66" s="553"/>
      <c r="BL66" s="553"/>
      <c r="BM66" s="553"/>
      <c r="BN66" s="553"/>
      <c r="BO66" s="553"/>
      <c r="BP66" s="553"/>
      <c r="BQ66" s="553"/>
      <c r="BR66" s="553"/>
      <c r="BS66" s="553"/>
      <c r="BT66" s="553"/>
      <c r="BU66" s="553"/>
      <c r="BV66" s="553"/>
    </row>
    <row r="67" spans="1:74" ht="10.5" customHeight="1" x14ac:dyDescent="0.25">
      <c r="A67" s="539"/>
      <c r="B67" s="859" t="s">
        <v>1400</v>
      </c>
      <c r="C67" s="860"/>
      <c r="D67" s="860"/>
      <c r="E67" s="860"/>
      <c r="F67" s="860"/>
      <c r="G67" s="860"/>
      <c r="H67" s="860"/>
      <c r="I67" s="860"/>
      <c r="J67" s="860"/>
      <c r="K67" s="860"/>
      <c r="L67" s="860"/>
      <c r="M67" s="860"/>
      <c r="N67" s="860"/>
      <c r="O67" s="860"/>
      <c r="P67" s="860"/>
      <c r="Q67" s="860"/>
      <c r="R67" s="553"/>
      <c r="S67" s="553"/>
      <c r="T67" s="553"/>
      <c r="U67" s="553"/>
      <c r="V67" s="553"/>
      <c r="W67" s="553"/>
      <c r="X67" s="553"/>
      <c r="Y67" s="553"/>
      <c r="Z67" s="553"/>
      <c r="AA67" s="553"/>
      <c r="AB67" s="553"/>
      <c r="AC67" s="553"/>
      <c r="AD67" s="553"/>
      <c r="AE67" s="553"/>
      <c r="AF67" s="553"/>
      <c r="AG67" s="553"/>
      <c r="AH67" s="553"/>
      <c r="AI67" s="553"/>
      <c r="AJ67" s="553"/>
      <c r="AK67" s="553"/>
      <c r="AL67" s="553"/>
      <c r="AM67" s="553"/>
      <c r="AN67" s="553"/>
      <c r="AO67" s="553"/>
      <c r="AP67" s="553"/>
      <c r="AQ67" s="553"/>
      <c r="AR67" s="553"/>
      <c r="AS67" s="553"/>
      <c r="AT67" s="553"/>
      <c r="AU67" s="553"/>
      <c r="AV67" s="553"/>
      <c r="AW67" s="553"/>
      <c r="AX67" s="553"/>
      <c r="AY67" s="553"/>
      <c r="AZ67" s="553"/>
      <c r="BA67" s="553"/>
      <c r="BB67" s="553"/>
      <c r="BC67" s="553"/>
      <c r="BD67" s="676"/>
      <c r="BE67" s="676"/>
      <c r="BF67" s="676"/>
      <c r="BG67" s="553"/>
      <c r="BH67" s="553"/>
      <c r="BI67" s="553"/>
      <c r="BJ67" s="553"/>
      <c r="BK67" s="553"/>
      <c r="BL67" s="553"/>
      <c r="BM67" s="553"/>
      <c r="BN67" s="553"/>
      <c r="BO67" s="553"/>
      <c r="BP67" s="553"/>
      <c r="BQ67" s="553"/>
      <c r="BR67" s="553"/>
      <c r="BS67" s="553"/>
      <c r="BT67" s="553"/>
      <c r="BU67" s="553"/>
      <c r="BV67" s="553"/>
    </row>
    <row r="68" spans="1:74" ht="10.5" customHeight="1" x14ac:dyDescent="0.25">
      <c r="A68" s="539"/>
      <c r="B68" s="859" t="s">
        <v>1370</v>
      </c>
      <c r="C68" s="860"/>
      <c r="D68" s="860"/>
      <c r="E68" s="860"/>
      <c r="F68" s="860"/>
      <c r="G68" s="860"/>
      <c r="H68" s="860"/>
      <c r="I68" s="860"/>
      <c r="J68" s="860"/>
      <c r="K68" s="860"/>
      <c r="L68" s="860"/>
      <c r="M68" s="860"/>
      <c r="N68" s="860"/>
      <c r="O68" s="860"/>
      <c r="P68" s="860"/>
      <c r="Q68" s="860"/>
      <c r="R68" s="553"/>
      <c r="S68" s="553"/>
      <c r="T68" s="553"/>
      <c r="U68" s="553"/>
      <c r="V68" s="553"/>
      <c r="W68" s="553"/>
      <c r="X68" s="553"/>
      <c r="Y68" s="553"/>
      <c r="Z68" s="553"/>
      <c r="AA68" s="553"/>
      <c r="AB68" s="553"/>
      <c r="AC68" s="553"/>
      <c r="AD68" s="553"/>
      <c r="AE68" s="553"/>
      <c r="AF68" s="553"/>
      <c r="AG68" s="553"/>
      <c r="AH68" s="553"/>
      <c r="AI68" s="553"/>
      <c r="AJ68" s="553"/>
      <c r="AK68" s="553"/>
      <c r="AL68" s="553"/>
      <c r="AM68" s="553"/>
      <c r="AN68" s="553"/>
      <c r="AO68" s="553"/>
      <c r="AP68" s="553"/>
      <c r="AQ68" s="553"/>
      <c r="AR68" s="553"/>
      <c r="AS68" s="553"/>
      <c r="AT68" s="553"/>
      <c r="AU68" s="553"/>
      <c r="AV68" s="553"/>
      <c r="AW68" s="553"/>
      <c r="AX68" s="553"/>
      <c r="AY68" s="553"/>
      <c r="AZ68" s="553"/>
      <c r="BA68" s="553"/>
      <c r="BB68" s="553"/>
      <c r="BC68" s="553"/>
      <c r="BD68" s="676"/>
      <c r="BE68" s="676"/>
      <c r="BF68" s="676"/>
      <c r="BG68" s="553"/>
      <c r="BH68" s="553"/>
      <c r="BI68" s="553"/>
      <c r="BJ68" s="553"/>
      <c r="BK68" s="553"/>
      <c r="BL68" s="553"/>
      <c r="BM68" s="553"/>
      <c r="BN68" s="553"/>
      <c r="BO68" s="553"/>
      <c r="BP68" s="553"/>
      <c r="BQ68" s="553"/>
      <c r="BR68" s="553"/>
      <c r="BS68" s="553"/>
      <c r="BT68" s="553"/>
      <c r="BU68" s="553"/>
      <c r="BV68" s="553"/>
    </row>
    <row r="69" spans="1:74" ht="10.5" customHeight="1" x14ac:dyDescent="0.25">
      <c r="A69" s="554"/>
      <c r="B69" s="859" t="s">
        <v>1371</v>
      </c>
      <c r="C69" s="860"/>
      <c r="D69" s="860"/>
      <c r="E69" s="860"/>
      <c r="F69" s="860"/>
      <c r="G69" s="860"/>
      <c r="H69" s="860"/>
      <c r="I69" s="860"/>
      <c r="J69" s="860"/>
      <c r="K69" s="860"/>
      <c r="L69" s="860"/>
      <c r="M69" s="860"/>
      <c r="N69" s="860"/>
      <c r="O69" s="860"/>
      <c r="P69" s="860"/>
      <c r="Q69" s="860"/>
      <c r="R69" s="555"/>
      <c r="S69" s="555"/>
      <c r="T69" s="555"/>
      <c r="U69" s="555"/>
      <c r="V69" s="555"/>
      <c r="W69" s="555"/>
      <c r="X69" s="555"/>
      <c r="Y69" s="555"/>
      <c r="Z69" s="555"/>
      <c r="AA69" s="555"/>
      <c r="AB69" s="555"/>
      <c r="AC69" s="555"/>
      <c r="AD69" s="555"/>
      <c r="AE69" s="555"/>
      <c r="AF69" s="555"/>
      <c r="AG69" s="555"/>
      <c r="AH69" s="555"/>
      <c r="AI69" s="555"/>
      <c r="AJ69" s="555"/>
      <c r="AK69" s="555"/>
      <c r="AL69" s="555"/>
      <c r="AM69" s="555"/>
      <c r="AN69" s="555"/>
      <c r="AO69" s="555"/>
      <c r="AP69" s="555"/>
      <c r="AQ69" s="555"/>
      <c r="AR69" s="555"/>
      <c r="AS69" s="555"/>
      <c r="AT69" s="555"/>
      <c r="AU69" s="555"/>
      <c r="AV69" s="555"/>
      <c r="AW69" s="555"/>
      <c r="AX69" s="555"/>
      <c r="AY69" s="555"/>
      <c r="AZ69" s="555"/>
      <c r="BA69" s="555"/>
      <c r="BB69" s="555"/>
      <c r="BC69" s="555"/>
      <c r="BD69" s="677"/>
      <c r="BE69" s="677"/>
      <c r="BF69" s="677"/>
      <c r="BG69" s="555"/>
      <c r="BH69" s="555"/>
      <c r="BI69" s="555"/>
      <c r="BJ69" s="555"/>
      <c r="BK69" s="555"/>
      <c r="BL69" s="555"/>
      <c r="BM69" s="555"/>
      <c r="BN69" s="555"/>
      <c r="BO69" s="555"/>
      <c r="BP69" s="555"/>
      <c r="BQ69" s="555"/>
      <c r="BR69" s="555"/>
      <c r="BS69" s="555"/>
      <c r="BT69" s="555"/>
      <c r="BU69" s="555"/>
      <c r="BV69" s="555"/>
    </row>
    <row r="70" spans="1:74" ht="10.5" customHeight="1" x14ac:dyDescent="0.25">
      <c r="A70" s="554"/>
      <c r="B70" s="859" t="s">
        <v>1372</v>
      </c>
      <c r="C70" s="860"/>
      <c r="D70" s="860"/>
      <c r="E70" s="860"/>
      <c r="F70" s="860"/>
      <c r="G70" s="860"/>
      <c r="H70" s="860"/>
      <c r="I70" s="860"/>
      <c r="J70" s="860"/>
      <c r="K70" s="860"/>
      <c r="L70" s="860"/>
      <c r="M70" s="860"/>
      <c r="N70" s="860"/>
      <c r="O70" s="860"/>
      <c r="P70" s="860"/>
      <c r="Q70" s="860"/>
      <c r="R70" s="555"/>
      <c r="S70" s="555"/>
      <c r="T70" s="555"/>
      <c r="U70" s="555"/>
      <c r="V70" s="555"/>
      <c r="W70" s="555"/>
      <c r="X70" s="555"/>
      <c r="Y70" s="555"/>
      <c r="Z70" s="555"/>
      <c r="AA70" s="555"/>
      <c r="AB70" s="555"/>
      <c r="AC70" s="555"/>
      <c r="AD70" s="555"/>
      <c r="AE70" s="555"/>
      <c r="AF70" s="555"/>
      <c r="AG70" s="555"/>
      <c r="AH70" s="555"/>
      <c r="AI70" s="555"/>
      <c r="AJ70" s="555"/>
      <c r="AK70" s="555"/>
      <c r="AL70" s="555"/>
      <c r="AM70" s="555"/>
      <c r="AN70" s="555"/>
      <c r="AO70" s="555"/>
      <c r="AP70" s="555"/>
      <c r="AQ70" s="555"/>
      <c r="AR70" s="555"/>
      <c r="AS70" s="555"/>
      <c r="AT70" s="555"/>
      <c r="AU70" s="555"/>
      <c r="AV70" s="555"/>
      <c r="AW70" s="555"/>
      <c r="AX70" s="555"/>
      <c r="AY70" s="555"/>
      <c r="AZ70" s="555"/>
      <c r="BA70" s="555"/>
      <c r="BB70" s="555"/>
      <c r="BC70" s="555"/>
      <c r="BD70" s="677"/>
      <c r="BE70" s="677"/>
      <c r="BF70" s="677"/>
      <c r="BG70" s="555"/>
      <c r="BH70" s="555"/>
      <c r="BI70" s="555"/>
      <c r="BJ70" s="555"/>
      <c r="BK70" s="555"/>
      <c r="BL70" s="555"/>
      <c r="BM70" s="555"/>
      <c r="BN70" s="555"/>
      <c r="BO70" s="555"/>
      <c r="BP70" s="555"/>
      <c r="BQ70" s="555"/>
      <c r="BR70" s="555"/>
      <c r="BS70" s="555"/>
      <c r="BT70" s="555"/>
      <c r="BU70" s="555"/>
      <c r="BV70" s="555"/>
    </row>
    <row r="71" spans="1:74" ht="10.5" customHeight="1" x14ac:dyDescent="0.25">
      <c r="A71" s="554"/>
      <c r="B71" s="859" t="s">
        <v>1373</v>
      </c>
      <c r="C71" s="860"/>
      <c r="D71" s="860"/>
      <c r="E71" s="860"/>
      <c r="F71" s="860"/>
      <c r="G71" s="860"/>
      <c r="H71" s="860"/>
      <c r="I71" s="860"/>
      <c r="J71" s="860"/>
      <c r="K71" s="860"/>
      <c r="L71" s="860"/>
      <c r="M71" s="860"/>
      <c r="N71" s="860"/>
      <c r="O71" s="860"/>
      <c r="P71" s="860"/>
      <c r="Q71" s="860"/>
      <c r="R71" s="555"/>
      <c r="S71" s="555"/>
      <c r="T71" s="555"/>
      <c r="U71" s="555"/>
      <c r="V71" s="555"/>
      <c r="W71" s="555"/>
      <c r="X71" s="555"/>
      <c r="Y71" s="555"/>
      <c r="Z71" s="555"/>
      <c r="AA71" s="555"/>
      <c r="AB71" s="555"/>
      <c r="AC71" s="555"/>
      <c r="AD71" s="555"/>
      <c r="AE71" s="555"/>
      <c r="AF71" s="555"/>
      <c r="AG71" s="555"/>
      <c r="AH71" s="555"/>
      <c r="AI71" s="555"/>
      <c r="AJ71" s="555"/>
      <c r="AK71" s="555"/>
      <c r="AL71" s="555"/>
      <c r="AM71" s="555"/>
      <c r="AN71" s="555"/>
      <c r="AO71" s="555"/>
      <c r="AP71" s="555"/>
      <c r="AQ71" s="555"/>
      <c r="AR71" s="555"/>
      <c r="AS71" s="555"/>
      <c r="AT71" s="555"/>
      <c r="AU71" s="555"/>
      <c r="AV71" s="555"/>
      <c r="AW71" s="555"/>
      <c r="AX71" s="555"/>
      <c r="AY71" s="555"/>
      <c r="AZ71" s="555"/>
      <c r="BA71" s="555"/>
      <c r="BB71" s="555"/>
      <c r="BC71" s="555"/>
      <c r="BD71" s="677"/>
      <c r="BE71" s="677"/>
      <c r="BF71" s="677"/>
      <c r="BG71" s="555"/>
      <c r="BH71" s="555"/>
      <c r="BI71" s="555"/>
      <c r="BJ71" s="555"/>
      <c r="BK71" s="555"/>
      <c r="BL71" s="555"/>
      <c r="BM71" s="555"/>
      <c r="BN71" s="555"/>
      <c r="BO71" s="555"/>
      <c r="BP71" s="555"/>
      <c r="BQ71" s="555"/>
      <c r="BR71" s="555"/>
      <c r="BS71" s="555"/>
      <c r="BT71" s="555"/>
      <c r="BU71" s="555"/>
      <c r="BV71" s="555"/>
    </row>
    <row r="72" spans="1:74" ht="10.5" customHeight="1" x14ac:dyDescent="0.25">
      <c r="A72" s="554"/>
      <c r="B72" s="859" t="s">
        <v>1374</v>
      </c>
      <c r="C72" s="860"/>
      <c r="D72" s="860"/>
      <c r="E72" s="860"/>
      <c r="F72" s="860"/>
      <c r="G72" s="860"/>
      <c r="H72" s="860"/>
      <c r="I72" s="860"/>
      <c r="J72" s="860"/>
      <c r="K72" s="860"/>
      <c r="L72" s="860"/>
      <c r="M72" s="860"/>
      <c r="N72" s="860"/>
      <c r="O72" s="860"/>
      <c r="P72" s="860"/>
      <c r="Q72" s="860"/>
      <c r="R72" s="555"/>
      <c r="S72" s="555"/>
      <c r="T72" s="555"/>
      <c r="U72" s="555"/>
      <c r="V72" s="555"/>
      <c r="W72" s="555"/>
      <c r="X72" s="555"/>
      <c r="Y72" s="555"/>
      <c r="Z72" s="555"/>
      <c r="AA72" s="555"/>
      <c r="AB72" s="555"/>
      <c r="AC72" s="555"/>
      <c r="AD72" s="555"/>
      <c r="AE72" s="555"/>
      <c r="AF72" s="555"/>
      <c r="AG72" s="555"/>
      <c r="AH72" s="555"/>
      <c r="AI72" s="555"/>
      <c r="AJ72" s="555"/>
      <c r="AK72" s="555"/>
      <c r="AL72" s="555"/>
      <c r="AM72" s="555"/>
      <c r="AN72" s="555"/>
      <c r="AO72" s="555"/>
      <c r="AP72" s="555"/>
      <c r="AQ72" s="555"/>
      <c r="AR72" s="555"/>
      <c r="AS72" s="555"/>
      <c r="AT72" s="555"/>
      <c r="AU72" s="555"/>
      <c r="AV72" s="555"/>
      <c r="AW72" s="555"/>
      <c r="AX72" s="555"/>
      <c r="AY72" s="555"/>
      <c r="AZ72" s="555"/>
      <c r="BA72" s="555"/>
      <c r="BB72" s="555"/>
      <c r="BC72" s="555"/>
      <c r="BD72" s="677"/>
      <c r="BE72" s="677"/>
      <c r="BF72" s="677"/>
      <c r="BG72" s="555"/>
      <c r="BH72" s="555"/>
      <c r="BI72" s="555"/>
      <c r="BJ72" s="555"/>
      <c r="BK72" s="555"/>
      <c r="BL72" s="555"/>
      <c r="BM72" s="555"/>
      <c r="BN72" s="555"/>
      <c r="BO72" s="555"/>
      <c r="BP72" s="555"/>
      <c r="BQ72" s="555"/>
      <c r="BR72" s="555"/>
      <c r="BS72" s="555"/>
      <c r="BT72" s="555"/>
      <c r="BU72" s="555"/>
      <c r="BV72" s="555"/>
    </row>
    <row r="73" spans="1:74" ht="10.5" customHeight="1" x14ac:dyDescent="0.25">
      <c r="A73" s="554"/>
      <c r="B73" s="861" t="s">
        <v>1376</v>
      </c>
      <c r="C73" s="860"/>
      <c r="D73" s="860"/>
      <c r="E73" s="860"/>
      <c r="F73" s="860"/>
      <c r="G73" s="860"/>
      <c r="H73" s="860"/>
      <c r="I73" s="860"/>
      <c r="J73" s="860"/>
      <c r="K73" s="860"/>
      <c r="L73" s="860"/>
      <c r="M73" s="860"/>
      <c r="N73" s="860"/>
      <c r="O73" s="860"/>
      <c r="P73" s="860"/>
      <c r="Q73" s="860"/>
      <c r="R73" s="555"/>
      <c r="S73" s="555"/>
      <c r="T73" s="555"/>
      <c r="U73" s="555"/>
      <c r="V73" s="555"/>
      <c r="W73" s="555"/>
      <c r="X73" s="555"/>
      <c r="Y73" s="555"/>
      <c r="Z73" s="555"/>
      <c r="AA73" s="555"/>
      <c r="AB73" s="555"/>
      <c r="AC73" s="555"/>
      <c r="AD73" s="555"/>
      <c r="AE73" s="555"/>
      <c r="AF73" s="555"/>
      <c r="AG73" s="555"/>
      <c r="AH73" s="555"/>
      <c r="AI73" s="555"/>
      <c r="AJ73" s="555"/>
      <c r="AK73" s="555"/>
      <c r="AL73" s="555"/>
      <c r="AM73" s="555"/>
      <c r="AN73" s="555"/>
      <c r="AO73" s="555"/>
      <c r="AP73" s="555"/>
      <c r="AQ73" s="555"/>
      <c r="AR73" s="555"/>
      <c r="AS73" s="555"/>
      <c r="AT73" s="555"/>
      <c r="AU73" s="555"/>
      <c r="AV73" s="555"/>
      <c r="AW73" s="555"/>
      <c r="AX73" s="555"/>
      <c r="AY73" s="555"/>
      <c r="AZ73" s="555"/>
      <c r="BA73" s="555"/>
      <c r="BB73" s="555"/>
      <c r="BC73" s="555"/>
      <c r="BD73" s="677"/>
      <c r="BE73" s="677"/>
      <c r="BF73" s="677"/>
      <c r="BG73" s="555"/>
      <c r="BH73" s="555"/>
      <c r="BI73" s="555"/>
      <c r="BJ73" s="555"/>
      <c r="BK73" s="555"/>
      <c r="BL73" s="555"/>
      <c r="BM73" s="555"/>
      <c r="BN73" s="555"/>
      <c r="BO73" s="555"/>
      <c r="BP73" s="555"/>
      <c r="BQ73" s="555"/>
      <c r="BR73" s="555"/>
      <c r="BS73" s="555"/>
      <c r="BT73" s="555"/>
      <c r="BU73" s="555"/>
      <c r="BV73" s="555"/>
    </row>
    <row r="74" spans="1:74" ht="10.5" customHeight="1" x14ac:dyDescent="0.25">
      <c r="A74" s="554"/>
      <c r="B74" s="859" t="s">
        <v>1377</v>
      </c>
      <c r="C74" s="860"/>
      <c r="D74" s="860"/>
      <c r="E74" s="860"/>
      <c r="F74" s="860"/>
      <c r="G74" s="860"/>
      <c r="H74" s="860"/>
      <c r="I74" s="860"/>
      <c r="J74" s="860"/>
      <c r="K74" s="860"/>
      <c r="L74" s="860"/>
      <c r="M74" s="860"/>
      <c r="N74" s="860"/>
      <c r="O74" s="860"/>
      <c r="P74" s="860"/>
      <c r="Q74" s="860"/>
      <c r="R74" s="555"/>
      <c r="S74" s="555"/>
      <c r="T74" s="555"/>
      <c r="U74" s="555"/>
      <c r="V74" s="555"/>
      <c r="W74" s="555"/>
      <c r="X74" s="555"/>
      <c r="Y74" s="555"/>
      <c r="Z74" s="555"/>
      <c r="AA74" s="555"/>
      <c r="AB74" s="555"/>
      <c r="AC74" s="555"/>
      <c r="AD74" s="555"/>
      <c r="AE74" s="555"/>
      <c r="AF74" s="555"/>
      <c r="AG74" s="555"/>
      <c r="AH74" s="555"/>
      <c r="AI74" s="555"/>
      <c r="AJ74" s="555"/>
      <c r="AK74" s="555"/>
      <c r="AL74" s="555"/>
      <c r="AM74" s="555"/>
      <c r="AN74" s="555"/>
      <c r="AO74" s="555"/>
      <c r="AP74" s="555"/>
      <c r="AQ74" s="555"/>
      <c r="AR74" s="555"/>
      <c r="AS74" s="555"/>
      <c r="AT74" s="555"/>
      <c r="AU74" s="555"/>
      <c r="AV74" s="555"/>
      <c r="AW74" s="555"/>
      <c r="AX74" s="555"/>
      <c r="AY74" s="555"/>
      <c r="AZ74" s="555"/>
      <c r="BA74" s="555"/>
      <c r="BB74" s="555"/>
      <c r="BC74" s="555"/>
      <c r="BD74" s="677"/>
      <c r="BE74" s="677"/>
      <c r="BF74" s="677"/>
      <c r="BG74" s="555"/>
      <c r="BH74" s="555"/>
      <c r="BI74" s="555"/>
      <c r="BJ74" s="555"/>
      <c r="BK74" s="555"/>
      <c r="BL74" s="555"/>
      <c r="BM74" s="555"/>
      <c r="BN74" s="555"/>
      <c r="BO74" s="555"/>
      <c r="BP74" s="555"/>
      <c r="BQ74" s="555"/>
      <c r="BR74" s="555"/>
      <c r="BS74" s="555"/>
      <c r="BT74" s="555"/>
      <c r="BU74" s="555"/>
      <c r="BV74" s="555"/>
    </row>
    <row r="75" spans="1:74" x14ac:dyDescent="0.2">
      <c r="A75" s="557"/>
      <c r="B75" s="558"/>
      <c r="C75" s="558"/>
      <c r="D75" s="559"/>
      <c r="E75" s="559"/>
      <c r="F75" s="559"/>
      <c r="G75" s="559"/>
      <c r="H75" s="559"/>
      <c r="I75" s="559"/>
      <c r="J75" s="559"/>
      <c r="K75" s="559"/>
      <c r="L75" s="559"/>
      <c r="M75" s="559"/>
      <c r="N75" s="559"/>
      <c r="O75" s="558"/>
      <c r="P75" s="559"/>
      <c r="Q75" s="559"/>
      <c r="R75" s="559"/>
      <c r="S75" s="559"/>
      <c r="T75" s="559"/>
      <c r="U75" s="559"/>
      <c r="V75" s="559"/>
      <c r="W75" s="559"/>
      <c r="X75" s="559"/>
      <c r="Y75" s="559"/>
      <c r="Z75" s="559"/>
      <c r="AA75" s="558"/>
      <c r="AB75" s="559"/>
      <c r="AC75" s="559"/>
      <c r="AD75" s="559"/>
      <c r="AE75" s="559"/>
      <c r="AF75" s="559"/>
      <c r="AG75" s="559"/>
      <c r="AH75" s="559"/>
      <c r="AI75" s="559"/>
      <c r="AJ75" s="559"/>
      <c r="AK75" s="559"/>
      <c r="AL75" s="559"/>
      <c r="AM75" s="558"/>
      <c r="AN75" s="559"/>
      <c r="AO75" s="559"/>
      <c r="AP75" s="559"/>
      <c r="AQ75" s="559"/>
      <c r="AR75" s="559"/>
      <c r="AS75" s="559"/>
      <c r="AT75" s="559"/>
      <c r="AU75" s="559"/>
      <c r="AV75" s="559"/>
      <c r="AW75" s="559"/>
      <c r="AX75" s="559"/>
      <c r="AY75" s="558"/>
      <c r="AZ75" s="559"/>
      <c r="BA75" s="559"/>
      <c r="BB75" s="559"/>
      <c r="BC75" s="559"/>
      <c r="BD75" s="660"/>
      <c r="BE75" s="660"/>
      <c r="BF75" s="660"/>
      <c r="BG75" s="559"/>
      <c r="BH75" s="559"/>
      <c r="BI75" s="559"/>
      <c r="BJ75" s="559"/>
      <c r="BK75" s="558"/>
      <c r="BL75" s="559"/>
      <c r="BM75" s="559"/>
      <c r="BN75" s="559"/>
      <c r="BO75" s="559"/>
      <c r="BP75" s="559"/>
      <c r="BQ75" s="559"/>
      <c r="BR75" s="559"/>
      <c r="BS75" s="559"/>
      <c r="BT75" s="559"/>
      <c r="BU75" s="559"/>
      <c r="BV75" s="559"/>
    </row>
    <row r="76" spans="1:74" x14ac:dyDescent="0.2">
      <c r="A76" s="559"/>
      <c r="B76" s="560"/>
      <c r="C76" s="561"/>
      <c r="D76" s="561"/>
      <c r="E76" s="561"/>
      <c r="F76" s="561"/>
      <c r="G76" s="561"/>
      <c r="H76" s="561"/>
      <c r="I76" s="561"/>
      <c r="J76" s="561"/>
      <c r="K76" s="561"/>
      <c r="L76" s="561"/>
      <c r="M76" s="561"/>
      <c r="N76" s="561"/>
      <c r="O76" s="561"/>
      <c r="P76" s="561"/>
      <c r="Q76" s="561"/>
      <c r="R76" s="561"/>
      <c r="S76" s="561"/>
      <c r="T76" s="561"/>
      <c r="U76" s="561"/>
      <c r="V76" s="561"/>
      <c r="W76" s="561"/>
      <c r="X76" s="561"/>
      <c r="Y76" s="561"/>
      <c r="Z76" s="561"/>
      <c r="AA76" s="561"/>
      <c r="AB76" s="561"/>
      <c r="AC76" s="561"/>
      <c r="AD76" s="561"/>
      <c r="AE76" s="561"/>
      <c r="AF76" s="561"/>
      <c r="AG76" s="561"/>
      <c r="AH76" s="561"/>
      <c r="AI76" s="561"/>
      <c r="AJ76" s="561"/>
      <c r="AK76" s="561"/>
      <c r="AL76" s="561"/>
      <c r="AM76" s="561"/>
      <c r="AN76" s="561"/>
      <c r="AO76" s="561"/>
      <c r="AP76" s="561"/>
      <c r="AQ76" s="561"/>
      <c r="AR76" s="561"/>
      <c r="AS76" s="561"/>
      <c r="AT76" s="561"/>
      <c r="AU76" s="561"/>
      <c r="AV76" s="561"/>
      <c r="AW76" s="561"/>
      <c r="AX76" s="561"/>
      <c r="AY76" s="561"/>
      <c r="AZ76" s="561"/>
      <c r="BA76" s="561"/>
      <c r="BB76" s="561"/>
      <c r="BC76" s="561"/>
      <c r="BD76" s="679"/>
      <c r="BE76" s="679"/>
      <c r="BF76" s="679"/>
      <c r="BG76" s="561"/>
      <c r="BH76" s="561"/>
      <c r="BI76" s="561"/>
      <c r="BJ76" s="561"/>
      <c r="BK76" s="561"/>
      <c r="BL76" s="561"/>
      <c r="BM76" s="561"/>
      <c r="BN76" s="561"/>
      <c r="BO76" s="561"/>
      <c r="BP76" s="561"/>
      <c r="BQ76" s="561"/>
      <c r="BR76" s="561"/>
      <c r="BS76" s="561"/>
      <c r="BT76" s="561"/>
      <c r="BU76" s="561"/>
      <c r="BV76" s="561"/>
    </row>
    <row r="77" spans="1:74" x14ac:dyDescent="0.2">
      <c r="A77" s="559"/>
      <c r="B77" s="558"/>
      <c r="C77" s="561"/>
      <c r="D77" s="561"/>
      <c r="E77" s="561"/>
      <c r="F77" s="561"/>
      <c r="G77" s="561"/>
      <c r="H77" s="561"/>
      <c r="I77" s="561"/>
      <c r="J77" s="561"/>
      <c r="K77" s="561"/>
      <c r="L77" s="561"/>
      <c r="M77" s="561"/>
      <c r="N77" s="561"/>
      <c r="O77" s="561"/>
      <c r="P77" s="561"/>
      <c r="Q77" s="561"/>
      <c r="R77" s="561"/>
      <c r="S77" s="561"/>
      <c r="T77" s="561"/>
      <c r="U77" s="561"/>
      <c r="V77" s="561"/>
      <c r="W77" s="561"/>
      <c r="X77" s="561"/>
      <c r="Y77" s="561"/>
      <c r="Z77" s="561"/>
      <c r="AA77" s="561"/>
      <c r="AB77" s="561"/>
      <c r="AC77" s="561"/>
      <c r="AD77" s="561"/>
      <c r="AE77" s="561"/>
      <c r="AF77" s="561"/>
      <c r="AG77" s="561"/>
      <c r="AH77" s="561"/>
      <c r="AI77" s="561"/>
      <c r="AJ77" s="561"/>
      <c r="AK77" s="561"/>
      <c r="AL77" s="561"/>
      <c r="AM77" s="561"/>
      <c r="AN77" s="561"/>
      <c r="AO77" s="561"/>
      <c r="AP77" s="561"/>
      <c r="AQ77" s="561"/>
      <c r="AR77" s="561"/>
      <c r="AS77" s="561"/>
      <c r="AT77" s="561"/>
      <c r="AU77" s="561"/>
      <c r="AV77" s="561"/>
      <c r="AW77" s="561"/>
      <c r="AX77" s="561"/>
      <c r="AY77" s="561"/>
      <c r="AZ77" s="561"/>
      <c r="BA77" s="561"/>
      <c r="BB77" s="561"/>
      <c r="BC77" s="561"/>
      <c r="BD77" s="679"/>
      <c r="BE77" s="679"/>
      <c r="BF77" s="679"/>
      <c r="BG77" s="561"/>
      <c r="BH77" s="561"/>
      <c r="BI77" s="561"/>
      <c r="BJ77" s="561"/>
      <c r="BK77" s="561"/>
      <c r="BL77" s="561"/>
      <c r="BM77" s="561"/>
      <c r="BN77" s="561"/>
      <c r="BO77" s="561"/>
      <c r="BP77" s="561"/>
      <c r="BQ77" s="561"/>
      <c r="BR77" s="561"/>
      <c r="BS77" s="561"/>
      <c r="BT77" s="561"/>
      <c r="BU77" s="561"/>
      <c r="BV77" s="561"/>
    </row>
    <row r="78" spans="1:74" x14ac:dyDescent="0.2">
      <c r="A78" s="559"/>
      <c r="B78" s="558"/>
      <c r="C78" s="561">
        <f t="shared" ref="C78:AH78" si="0">C11-SUM(C12:C16)</f>
        <v>11.059093181000001</v>
      </c>
      <c r="D78" s="561">
        <f t="shared" si="0"/>
        <v>12.386672400000002</v>
      </c>
      <c r="E78" s="561">
        <f t="shared" si="0"/>
        <v>14.097505349</v>
      </c>
      <c r="F78" s="561">
        <f t="shared" si="0"/>
        <v>13.063190547000001</v>
      </c>
      <c r="G78" s="561">
        <f t="shared" si="0"/>
        <v>10.089185725</v>
      </c>
      <c r="H78" s="561">
        <f t="shared" si="0"/>
        <v>7.6607314350000006</v>
      </c>
      <c r="I78" s="561">
        <f t="shared" si="0"/>
        <v>8.2289150800000002</v>
      </c>
      <c r="J78" s="561">
        <f t="shared" si="0"/>
        <v>4.1681857449999988</v>
      </c>
      <c r="K78" s="561">
        <f t="shared" si="0"/>
        <v>7.7310871639999998</v>
      </c>
      <c r="L78" s="561">
        <f t="shared" si="0"/>
        <v>12.572114326999998</v>
      </c>
      <c r="M78" s="561">
        <f t="shared" si="0"/>
        <v>11.521516539</v>
      </c>
      <c r="N78" s="561">
        <f t="shared" si="0"/>
        <v>15.261542107000002</v>
      </c>
      <c r="O78" s="561">
        <f t="shared" si="0"/>
        <v>12.081224004999999</v>
      </c>
      <c r="P78" s="561">
        <f t="shared" si="0"/>
        <v>13.946875941000002</v>
      </c>
      <c r="Q78" s="561">
        <f t="shared" si="0"/>
        <v>15.625071367</v>
      </c>
      <c r="R78" s="561">
        <f t="shared" si="0"/>
        <v>15.428364076000001</v>
      </c>
      <c r="S78" s="561">
        <f t="shared" si="0"/>
        <v>11.712377450999998</v>
      </c>
      <c r="T78" s="561">
        <f t="shared" si="0"/>
        <v>8.6348164710000006</v>
      </c>
      <c r="U78" s="561">
        <f t="shared" si="0"/>
        <v>5.2236550799999986</v>
      </c>
      <c r="V78" s="561">
        <f t="shared" si="0"/>
        <v>3.1419651740000027</v>
      </c>
      <c r="W78" s="561">
        <f t="shared" si="0"/>
        <v>8.0377838920000002</v>
      </c>
      <c r="X78" s="561">
        <f t="shared" si="0"/>
        <v>15.799646844</v>
      </c>
      <c r="Y78" s="561">
        <f t="shared" si="0"/>
        <v>15.674697351000001</v>
      </c>
      <c r="Z78" s="561">
        <f t="shared" si="0"/>
        <v>14.848012193000001</v>
      </c>
      <c r="AA78" s="561">
        <f t="shared" si="0"/>
        <v>12.286271473999999</v>
      </c>
      <c r="AB78" s="561">
        <f t="shared" si="0"/>
        <v>14.298548537999999</v>
      </c>
      <c r="AC78" s="561">
        <f t="shared" si="0"/>
        <v>16.445002090000003</v>
      </c>
      <c r="AD78" s="561">
        <f t="shared" si="0"/>
        <v>15.746442021</v>
      </c>
      <c r="AE78" s="561">
        <f t="shared" si="0"/>
        <v>12.203845294000002</v>
      </c>
      <c r="AF78" s="561">
        <f t="shared" si="0"/>
        <v>12.043768249000003</v>
      </c>
      <c r="AG78" s="561">
        <f t="shared" si="0"/>
        <v>4.4793414789999986</v>
      </c>
      <c r="AH78" s="561">
        <f t="shared" si="0"/>
        <v>8.046891059</v>
      </c>
      <c r="AI78" s="561">
        <f t="shared" ref="AI78:BN78" si="1">AI11-SUM(AI12:AI16)</f>
        <v>7.7177984300000002</v>
      </c>
      <c r="AJ78" s="561">
        <f t="shared" si="1"/>
        <v>11.534439194000001</v>
      </c>
      <c r="AK78" s="561">
        <f t="shared" si="1"/>
        <v>13.241988624999999</v>
      </c>
      <c r="AL78" s="561">
        <f t="shared" si="1"/>
        <v>16.115979692</v>
      </c>
      <c r="AM78" s="561">
        <f t="shared" si="1"/>
        <v>15.749276335999999</v>
      </c>
      <c r="AN78" s="561">
        <f t="shared" si="1"/>
        <v>14.554103143000001</v>
      </c>
      <c r="AO78" s="561">
        <f t="shared" si="1"/>
        <v>15.556362906</v>
      </c>
      <c r="AP78" s="561">
        <f t="shared" si="1"/>
        <v>18.555140962999999</v>
      </c>
      <c r="AQ78" s="561">
        <f t="shared" si="1"/>
        <v>13.784032034999999</v>
      </c>
      <c r="AR78" s="561">
        <f t="shared" si="1"/>
        <v>10.211939745999999</v>
      </c>
      <c r="AS78" s="561">
        <f t="shared" si="1"/>
        <v>8.9809259830000023</v>
      </c>
      <c r="AT78" s="561">
        <f t="shared" si="1"/>
        <v>6.9056530580000004</v>
      </c>
      <c r="AU78" s="561">
        <f t="shared" si="1"/>
        <v>13.108829700999998</v>
      </c>
      <c r="AV78" s="561">
        <f t="shared" si="1"/>
        <v>17.816280863000003</v>
      </c>
      <c r="AW78" s="561">
        <f t="shared" si="1"/>
        <v>17.352870940000003</v>
      </c>
      <c r="AX78" s="561">
        <f t="shared" si="1"/>
        <v>19.252715183999999</v>
      </c>
      <c r="AY78" s="561">
        <f t="shared" si="1"/>
        <v>19.109777077</v>
      </c>
      <c r="AZ78" s="561">
        <f t="shared" si="1"/>
        <v>19.368588322999997</v>
      </c>
      <c r="BA78" s="561">
        <f t="shared" si="1"/>
        <v>18.415533534000001</v>
      </c>
      <c r="BB78" s="561">
        <f t="shared" si="1"/>
        <v>17.243964943999998</v>
      </c>
      <c r="BC78" s="561">
        <f t="shared" si="1"/>
        <v>13.944401861999999</v>
      </c>
      <c r="BD78" s="679">
        <f t="shared" si="1"/>
        <v>16.170364403000001</v>
      </c>
      <c r="BE78" s="679">
        <f t="shared" si="1"/>
        <v>9.5755406000000001</v>
      </c>
      <c r="BF78" s="679">
        <f t="shared" si="1"/>
        <v>9.2998109999999983</v>
      </c>
      <c r="BG78" s="561">
        <f t="shared" si="1"/>
        <v>11.962387199999998</v>
      </c>
      <c r="BH78" s="561">
        <f t="shared" si="1"/>
        <v>21.271432500000003</v>
      </c>
      <c r="BI78" s="561">
        <f t="shared" si="1"/>
        <v>19.1572143</v>
      </c>
      <c r="BJ78" s="561">
        <f t="shared" si="1"/>
        <v>24.591288700000007</v>
      </c>
      <c r="BK78" s="561">
        <f t="shared" si="1"/>
        <v>23.696773999999998</v>
      </c>
      <c r="BL78" s="561">
        <f t="shared" si="1"/>
        <v>22.972558300000003</v>
      </c>
      <c r="BM78" s="561">
        <f t="shared" si="1"/>
        <v>22.978936099999999</v>
      </c>
      <c r="BN78" s="561">
        <f t="shared" si="1"/>
        <v>20.417222499999998</v>
      </c>
      <c r="BO78" s="561">
        <f t="shared" ref="BO78:BV78" si="2">BO11-SUM(BO12:BO16)</f>
        <v>15.471413199999997</v>
      </c>
      <c r="BP78" s="561">
        <f t="shared" si="2"/>
        <v>18.112763600000001</v>
      </c>
      <c r="BQ78" s="561">
        <f t="shared" si="2"/>
        <v>11.551067100000001</v>
      </c>
      <c r="BR78" s="561">
        <f t="shared" si="2"/>
        <v>10.226727800000003</v>
      </c>
      <c r="BS78" s="561">
        <f t="shared" si="2"/>
        <v>13.605895700000001</v>
      </c>
      <c r="BT78" s="561">
        <f t="shared" si="2"/>
        <v>22.803788200000003</v>
      </c>
      <c r="BU78" s="561">
        <f t="shared" si="2"/>
        <v>20.969385700000004</v>
      </c>
      <c r="BV78" s="561">
        <f t="shared" si="2"/>
        <v>25.4293434</v>
      </c>
    </row>
    <row r="80" spans="1:74" x14ac:dyDescent="0.2">
      <c r="B80" s="560"/>
      <c r="C80" s="561"/>
      <c r="D80" s="561"/>
      <c r="E80" s="561"/>
      <c r="F80" s="561"/>
      <c r="G80" s="561"/>
      <c r="H80" s="561"/>
      <c r="I80" s="561"/>
      <c r="J80" s="561"/>
      <c r="K80" s="561"/>
      <c r="L80" s="561"/>
      <c r="M80" s="561"/>
      <c r="N80" s="561"/>
      <c r="O80" s="561"/>
      <c r="P80" s="561"/>
      <c r="Q80" s="561"/>
      <c r="R80" s="561"/>
      <c r="S80" s="561"/>
      <c r="T80" s="561"/>
      <c r="U80" s="561"/>
      <c r="V80" s="561"/>
      <c r="W80" s="561"/>
      <c r="X80" s="561"/>
      <c r="Y80" s="561"/>
      <c r="Z80" s="561"/>
      <c r="AA80" s="561"/>
      <c r="AB80" s="561"/>
      <c r="AC80" s="561"/>
      <c r="AD80" s="561"/>
      <c r="AE80" s="561"/>
      <c r="AF80" s="561"/>
      <c r="AG80" s="561"/>
      <c r="AH80" s="561"/>
      <c r="AI80" s="561"/>
      <c r="AJ80" s="561"/>
      <c r="AK80" s="561"/>
      <c r="AL80" s="561"/>
      <c r="AM80" s="561"/>
      <c r="AN80" s="561"/>
      <c r="AO80" s="561"/>
      <c r="AP80" s="561"/>
      <c r="AQ80" s="561"/>
      <c r="AR80" s="561"/>
      <c r="AS80" s="561"/>
      <c r="AT80" s="561"/>
      <c r="AU80" s="561"/>
      <c r="AV80" s="561"/>
      <c r="AW80" s="561"/>
      <c r="AX80" s="561"/>
      <c r="AY80" s="561"/>
      <c r="AZ80" s="561"/>
      <c r="BA80" s="561"/>
      <c r="BB80" s="561"/>
      <c r="BC80" s="561"/>
      <c r="BD80" s="679"/>
      <c r="BE80" s="679"/>
      <c r="BF80" s="679"/>
      <c r="BG80" s="561"/>
      <c r="BH80" s="561"/>
      <c r="BI80" s="561"/>
      <c r="BJ80" s="561"/>
      <c r="BK80" s="561"/>
      <c r="BL80" s="561"/>
      <c r="BM80" s="561"/>
      <c r="BN80" s="561"/>
      <c r="BO80" s="561"/>
      <c r="BP80" s="561"/>
      <c r="BQ80" s="561"/>
      <c r="BR80" s="561"/>
      <c r="BS80" s="561"/>
      <c r="BT80" s="561"/>
      <c r="BU80" s="561"/>
      <c r="BV80" s="561"/>
    </row>
    <row r="81" spans="1:74" x14ac:dyDescent="0.2">
      <c r="B81" s="558"/>
      <c r="C81" s="561"/>
      <c r="D81" s="561"/>
      <c r="E81" s="561"/>
      <c r="F81" s="561"/>
      <c r="G81" s="561"/>
      <c r="H81" s="561"/>
      <c r="I81" s="561"/>
      <c r="J81" s="561"/>
      <c r="K81" s="561"/>
      <c r="L81" s="561"/>
      <c r="M81" s="561"/>
      <c r="N81" s="561"/>
      <c r="O81" s="561"/>
      <c r="P81" s="561"/>
      <c r="Q81" s="561"/>
      <c r="R81" s="561"/>
      <c r="S81" s="561"/>
      <c r="T81" s="561"/>
      <c r="U81" s="561"/>
      <c r="V81" s="561"/>
      <c r="W81" s="561"/>
      <c r="X81" s="561"/>
      <c r="Y81" s="561"/>
      <c r="Z81" s="561"/>
      <c r="AA81" s="561"/>
      <c r="AB81" s="561"/>
      <c r="AC81" s="561"/>
      <c r="AD81" s="561"/>
      <c r="AE81" s="561"/>
      <c r="AF81" s="561"/>
      <c r="AG81" s="561"/>
      <c r="AH81" s="561"/>
      <c r="AI81" s="561"/>
      <c r="AJ81" s="561"/>
      <c r="AK81" s="561"/>
      <c r="AL81" s="561"/>
      <c r="AM81" s="561"/>
      <c r="AN81" s="561"/>
      <c r="AO81" s="561"/>
      <c r="AP81" s="561"/>
      <c r="AQ81" s="561"/>
      <c r="AR81" s="561"/>
      <c r="AS81" s="561"/>
      <c r="AT81" s="561"/>
      <c r="AU81" s="561"/>
      <c r="AV81" s="561"/>
      <c r="AW81" s="561"/>
      <c r="AX81" s="561"/>
      <c r="AY81" s="561"/>
      <c r="AZ81" s="561"/>
      <c r="BA81" s="561"/>
      <c r="BB81" s="561"/>
      <c r="BC81" s="561"/>
      <c r="BD81" s="679"/>
      <c r="BE81" s="679"/>
      <c r="BF81" s="679"/>
      <c r="BG81" s="561"/>
      <c r="BH81" s="561"/>
      <c r="BI81" s="561"/>
      <c r="BJ81" s="561"/>
      <c r="BK81" s="561"/>
      <c r="BL81" s="561"/>
      <c r="BM81" s="561"/>
      <c r="BN81" s="561"/>
      <c r="BO81" s="561"/>
      <c r="BP81" s="561"/>
      <c r="BQ81" s="561"/>
      <c r="BR81" s="561"/>
      <c r="BS81" s="561"/>
      <c r="BT81" s="561"/>
      <c r="BU81" s="561"/>
      <c r="BV81" s="561"/>
    </row>
    <row r="82" spans="1:74" x14ac:dyDescent="0.2">
      <c r="A82" s="559"/>
      <c r="B82" s="558"/>
      <c r="C82" s="561"/>
      <c r="D82" s="561"/>
      <c r="E82" s="561"/>
      <c r="F82" s="561"/>
      <c r="G82" s="561"/>
      <c r="H82" s="561"/>
      <c r="I82" s="561"/>
      <c r="J82" s="561"/>
      <c r="K82" s="561"/>
      <c r="L82" s="561"/>
      <c r="M82" s="561"/>
      <c r="N82" s="561"/>
      <c r="O82" s="561"/>
      <c r="P82" s="561"/>
      <c r="Q82" s="561"/>
      <c r="R82" s="561"/>
      <c r="S82" s="561"/>
      <c r="T82" s="561"/>
      <c r="U82" s="561"/>
      <c r="V82" s="561"/>
      <c r="W82" s="561"/>
      <c r="X82" s="561"/>
      <c r="Y82" s="561"/>
      <c r="Z82" s="561"/>
      <c r="AA82" s="561"/>
      <c r="AB82" s="561"/>
      <c r="AC82" s="561"/>
      <c r="AD82" s="561"/>
      <c r="AE82" s="561"/>
      <c r="AF82" s="561"/>
      <c r="AG82" s="561"/>
      <c r="AH82" s="561"/>
      <c r="AI82" s="561"/>
      <c r="AJ82" s="561"/>
      <c r="AK82" s="561"/>
      <c r="AL82" s="561"/>
      <c r="AM82" s="561"/>
      <c r="AN82" s="561"/>
      <c r="AO82" s="561"/>
      <c r="AP82" s="561"/>
      <c r="AQ82" s="561"/>
      <c r="AR82" s="561"/>
      <c r="AS82" s="561"/>
      <c r="AT82" s="561"/>
      <c r="AU82" s="561"/>
      <c r="AV82" s="561"/>
      <c r="AW82" s="561"/>
      <c r="AX82" s="561"/>
      <c r="AY82" s="561"/>
      <c r="AZ82" s="561"/>
      <c r="BA82" s="561"/>
      <c r="BB82" s="561"/>
      <c r="BC82" s="561"/>
      <c r="BD82" s="679"/>
      <c r="BE82" s="679"/>
      <c r="BF82" s="679"/>
      <c r="BG82" s="561"/>
      <c r="BH82" s="561"/>
      <c r="BI82" s="561"/>
      <c r="BJ82" s="561"/>
      <c r="BK82" s="561"/>
      <c r="BL82" s="561"/>
      <c r="BM82" s="561"/>
      <c r="BN82" s="561"/>
      <c r="BO82" s="561"/>
      <c r="BP82" s="561"/>
      <c r="BQ82" s="561"/>
      <c r="BR82" s="561"/>
      <c r="BS82" s="561"/>
      <c r="BT82" s="561"/>
      <c r="BU82" s="561"/>
      <c r="BV82" s="561"/>
    </row>
    <row r="83" spans="1:74" x14ac:dyDescent="0.2">
      <c r="A83" s="559"/>
      <c r="B83" s="558"/>
      <c r="C83" s="561"/>
      <c r="D83" s="561"/>
      <c r="E83" s="561"/>
      <c r="F83" s="561"/>
      <c r="G83" s="561"/>
      <c r="H83" s="561"/>
      <c r="I83" s="561"/>
      <c r="J83" s="561"/>
      <c r="K83" s="561"/>
      <c r="L83" s="561"/>
      <c r="M83" s="561"/>
      <c r="N83" s="561"/>
      <c r="O83" s="561"/>
      <c r="P83" s="561"/>
      <c r="Q83" s="561"/>
      <c r="R83" s="561"/>
      <c r="S83" s="561"/>
      <c r="T83" s="561"/>
      <c r="U83" s="561"/>
      <c r="V83" s="561"/>
      <c r="W83" s="561"/>
      <c r="X83" s="561"/>
      <c r="Y83" s="561"/>
      <c r="Z83" s="561"/>
      <c r="AA83" s="561"/>
      <c r="AB83" s="561"/>
      <c r="AC83" s="561"/>
      <c r="AD83" s="561"/>
      <c r="AE83" s="561"/>
      <c r="AF83" s="561"/>
      <c r="AG83" s="561"/>
      <c r="AH83" s="561"/>
      <c r="AI83" s="561"/>
      <c r="AJ83" s="561"/>
      <c r="AK83" s="561"/>
      <c r="AL83" s="561"/>
      <c r="AM83" s="561"/>
      <c r="AN83" s="561"/>
      <c r="AO83" s="561"/>
      <c r="AP83" s="561"/>
      <c r="AQ83" s="561"/>
      <c r="AR83" s="561"/>
      <c r="AS83" s="561"/>
      <c r="AT83" s="561"/>
      <c r="AU83" s="561"/>
      <c r="AV83" s="561"/>
      <c r="AW83" s="561"/>
      <c r="AX83" s="561"/>
      <c r="AY83" s="561"/>
      <c r="AZ83" s="561"/>
      <c r="BA83" s="561"/>
      <c r="BB83" s="561"/>
      <c r="BC83" s="561"/>
      <c r="BD83" s="679"/>
      <c r="BE83" s="679"/>
      <c r="BF83" s="679"/>
      <c r="BG83" s="561"/>
      <c r="BH83" s="561"/>
      <c r="BI83" s="561"/>
      <c r="BJ83" s="561"/>
      <c r="BK83" s="561"/>
      <c r="BL83" s="561"/>
      <c r="BM83" s="561"/>
      <c r="BN83" s="561"/>
      <c r="BO83" s="561"/>
      <c r="BP83" s="561"/>
      <c r="BQ83" s="561"/>
      <c r="BR83" s="561"/>
      <c r="BS83" s="561"/>
      <c r="BT83" s="561"/>
      <c r="BU83" s="561"/>
      <c r="BV83" s="561"/>
    </row>
    <row r="84" spans="1:74" x14ac:dyDescent="0.2">
      <c r="B84" s="560"/>
      <c r="C84" s="561"/>
      <c r="D84" s="561"/>
      <c r="E84" s="561"/>
      <c r="F84" s="561"/>
      <c r="G84" s="561"/>
      <c r="H84" s="561"/>
      <c r="I84" s="561"/>
      <c r="J84" s="561"/>
      <c r="K84" s="561"/>
      <c r="L84" s="561"/>
      <c r="M84" s="561"/>
      <c r="N84" s="561"/>
      <c r="O84" s="561"/>
      <c r="P84" s="561"/>
      <c r="Q84" s="561"/>
      <c r="R84" s="561"/>
      <c r="S84" s="561"/>
      <c r="T84" s="561"/>
      <c r="U84" s="561"/>
      <c r="V84" s="561"/>
      <c r="W84" s="561"/>
      <c r="X84" s="561"/>
      <c r="Y84" s="561"/>
      <c r="Z84" s="561"/>
      <c r="AA84" s="561"/>
      <c r="AB84" s="561"/>
      <c r="AC84" s="561"/>
      <c r="AD84" s="561"/>
      <c r="AE84" s="561"/>
      <c r="AF84" s="561"/>
      <c r="AG84" s="561"/>
      <c r="AH84" s="561"/>
      <c r="AI84" s="561"/>
      <c r="AJ84" s="561"/>
      <c r="AK84" s="561"/>
      <c r="AL84" s="561"/>
      <c r="AM84" s="561"/>
      <c r="AN84" s="561"/>
      <c r="AO84" s="561"/>
      <c r="AP84" s="561"/>
      <c r="AQ84" s="561"/>
      <c r="AR84" s="561"/>
      <c r="AS84" s="561"/>
      <c r="AT84" s="561"/>
      <c r="AU84" s="561"/>
      <c r="AV84" s="561"/>
      <c r="AW84" s="561"/>
      <c r="AX84" s="561"/>
      <c r="AY84" s="561"/>
      <c r="AZ84" s="561"/>
      <c r="BA84" s="561"/>
      <c r="BB84" s="561"/>
      <c r="BC84" s="561"/>
      <c r="BD84" s="679"/>
      <c r="BE84" s="679"/>
      <c r="BF84" s="679"/>
      <c r="BG84" s="561"/>
      <c r="BH84" s="561"/>
      <c r="BI84" s="561"/>
      <c r="BJ84" s="561"/>
      <c r="BK84" s="561"/>
      <c r="BL84" s="561"/>
      <c r="BM84" s="561"/>
      <c r="BN84" s="561"/>
      <c r="BO84" s="561"/>
      <c r="BP84" s="561"/>
      <c r="BQ84" s="561"/>
      <c r="BR84" s="561"/>
      <c r="BS84" s="561"/>
      <c r="BT84" s="561"/>
      <c r="BU84" s="561"/>
      <c r="BV84" s="561"/>
    </row>
    <row r="85" spans="1:74" x14ac:dyDescent="0.2">
      <c r="B85" s="558"/>
      <c r="C85" s="561"/>
      <c r="D85" s="561"/>
      <c r="E85" s="561"/>
      <c r="F85" s="561"/>
      <c r="G85" s="561"/>
      <c r="H85" s="561"/>
      <c r="I85" s="561"/>
      <c r="J85" s="561"/>
      <c r="K85" s="561"/>
      <c r="L85" s="561"/>
      <c r="M85" s="561"/>
      <c r="N85" s="561"/>
      <c r="O85" s="561"/>
      <c r="P85" s="561"/>
      <c r="Q85" s="561"/>
      <c r="R85" s="561"/>
      <c r="S85" s="561"/>
      <c r="T85" s="561"/>
      <c r="U85" s="561"/>
      <c r="V85" s="561"/>
      <c r="W85" s="561"/>
      <c r="X85" s="561"/>
      <c r="Y85" s="561"/>
      <c r="Z85" s="561"/>
      <c r="AA85" s="561"/>
      <c r="AB85" s="561"/>
      <c r="AC85" s="561"/>
      <c r="AD85" s="561"/>
      <c r="AE85" s="561"/>
      <c r="AF85" s="561"/>
      <c r="AG85" s="561"/>
      <c r="AH85" s="561"/>
      <c r="AI85" s="561"/>
      <c r="AJ85" s="561"/>
      <c r="AK85" s="561"/>
      <c r="AL85" s="561"/>
      <c r="AM85" s="561"/>
      <c r="AN85" s="561"/>
      <c r="AO85" s="561"/>
      <c r="AP85" s="561"/>
      <c r="AQ85" s="561"/>
      <c r="AR85" s="561"/>
      <c r="AS85" s="561"/>
      <c r="AT85" s="561"/>
      <c r="AU85" s="561"/>
      <c r="AV85" s="561"/>
      <c r="AW85" s="561"/>
      <c r="AX85" s="561"/>
      <c r="AY85" s="561"/>
      <c r="AZ85" s="561"/>
      <c r="BA85" s="561"/>
      <c r="BB85" s="561"/>
      <c r="BC85" s="561"/>
      <c r="BD85" s="679"/>
      <c r="BE85" s="679"/>
      <c r="BF85" s="679"/>
      <c r="BG85" s="561"/>
      <c r="BH85" s="561"/>
      <c r="BI85" s="561"/>
      <c r="BJ85" s="561"/>
      <c r="BK85" s="561"/>
      <c r="BL85" s="561"/>
      <c r="BM85" s="561"/>
      <c r="BN85" s="561"/>
      <c r="BO85" s="561"/>
      <c r="BP85" s="561"/>
      <c r="BQ85" s="561"/>
      <c r="BR85" s="561"/>
      <c r="BS85" s="561"/>
      <c r="BT85" s="561"/>
      <c r="BU85" s="561"/>
      <c r="BV85" s="561"/>
    </row>
    <row r="86" spans="1:74" x14ac:dyDescent="0.2">
      <c r="A86" s="559"/>
      <c r="B86" s="558"/>
      <c r="C86" s="561"/>
      <c r="D86" s="561"/>
      <c r="E86" s="561"/>
      <c r="F86" s="561"/>
      <c r="G86" s="561"/>
      <c r="H86" s="561"/>
      <c r="I86" s="561"/>
      <c r="J86" s="561"/>
      <c r="K86" s="561"/>
      <c r="L86" s="561"/>
      <c r="M86" s="561"/>
      <c r="N86" s="561"/>
      <c r="O86" s="561"/>
      <c r="P86" s="561"/>
      <c r="Q86" s="561"/>
      <c r="R86" s="561"/>
      <c r="S86" s="561"/>
      <c r="T86" s="561"/>
      <c r="U86" s="561"/>
      <c r="V86" s="561"/>
      <c r="W86" s="561"/>
      <c r="X86" s="561"/>
      <c r="Y86" s="561"/>
      <c r="Z86" s="561"/>
      <c r="AA86" s="561"/>
      <c r="AB86" s="561"/>
      <c r="AC86" s="561"/>
      <c r="AD86" s="561"/>
      <c r="AE86" s="561"/>
      <c r="AF86" s="561"/>
      <c r="AG86" s="561"/>
      <c r="AH86" s="561"/>
      <c r="AI86" s="561"/>
      <c r="AJ86" s="561"/>
      <c r="AK86" s="561"/>
      <c r="AL86" s="561"/>
      <c r="AM86" s="561"/>
      <c r="AN86" s="561"/>
      <c r="AO86" s="561"/>
      <c r="AP86" s="561"/>
      <c r="AQ86" s="561"/>
      <c r="AR86" s="561"/>
      <c r="AS86" s="561"/>
      <c r="AT86" s="561"/>
      <c r="AU86" s="561"/>
      <c r="AV86" s="561"/>
      <c r="AW86" s="561"/>
      <c r="AX86" s="561"/>
      <c r="AY86" s="561"/>
      <c r="AZ86" s="561"/>
      <c r="BA86" s="561"/>
      <c r="BB86" s="561"/>
      <c r="BC86" s="561"/>
      <c r="BD86" s="679"/>
      <c r="BE86" s="679"/>
      <c r="BF86" s="679"/>
      <c r="BG86" s="561"/>
      <c r="BH86" s="561"/>
      <c r="BI86" s="561"/>
      <c r="BJ86" s="561"/>
      <c r="BK86" s="561"/>
      <c r="BL86" s="561"/>
      <c r="BM86" s="561"/>
      <c r="BN86" s="561"/>
      <c r="BO86" s="561"/>
      <c r="BP86" s="561"/>
      <c r="BQ86" s="561"/>
      <c r="BR86" s="561"/>
      <c r="BS86" s="561"/>
      <c r="BT86" s="561"/>
      <c r="BU86" s="561"/>
      <c r="BV86" s="561"/>
    </row>
    <row r="88" spans="1:74" x14ac:dyDescent="0.2">
      <c r="B88" s="560"/>
      <c r="C88" s="561"/>
      <c r="D88" s="561"/>
      <c r="E88" s="561"/>
      <c r="F88" s="561"/>
      <c r="G88" s="561"/>
      <c r="H88" s="561"/>
      <c r="I88" s="561"/>
      <c r="J88" s="561"/>
      <c r="K88" s="561"/>
      <c r="L88" s="561"/>
      <c r="M88" s="561"/>
      <c r="N88" s="561"/>
      <c r="O88" s="561"/>
      <c r="P88" s="561"/>
      <c r="Q88" s="561"/>
      <c r="R88" s="561"/>
      <c r="S88" s="561"/>
      <c r="T88" s="561"/>
      <c r="U88" s="561"/>
      <c r="V88" s="561"/>
      <c r="W88" s="561"/>
      <c r="X88" s="561"/>
      <c r="Y88" s="561"/>
      <c r="Z88" s="561"/>
      <c r="AA88" s="561"/>
      <c r="AB88" s="561"/>
      <c r="AC88" s="561"/>
      <c r="AD88" s="561"/>
      <c r="AE88" s="561"/>
      <c r="AF88" s="561"/>
      <c r="AG88" s="561"/>
      <c r="AH88" s="561"/>
      <c r="AI88" s="561"/>
      <c r="AJ88" s="561"/>
      <c r="AK88" s="561"/>
      <c r="AL88" s="561"/>
      <c r="AM88" s="561"/>
      <c r="AN88" s="561"/>
      <c r="AO88" s="561"/>
      <c r="AP88" s="561"/>
      <c r="AQ88" s="561"/>
      <c r="AR88" s="561"/>
      <c r="AS88" s="561"/>
      <c r="AT88" s="561"/>
      <c r="AU88" s="561"/>
      <c r="AV88" s="561"/>
      <c r="AW88" s="561"/>
      <c r="AX88" s="561"/>
      <c r="AY88" s="561"/>
      <c r="AZ88" s="561"/>
      <c r="BA88" s="561"/>
      <c r="BB88" s="561"/>
      <c r="BC88" s="561"/>
      <c r="BD88" s="679"/>
      <c r="BE88" s="679"/>
      <c r="BF88" s="679"/>
      <c r="BG88" s="561"/>
      <c r="BH88" s="561"/>
      <c r="BI88" s="561"/>
      <c r="BJ88" s="561"/>
      <c r="BK88" s="561"/>
      <c r="BL88" s="561"/>
      <c r="BM88" s="561"/>
      <c r="BN88" s="561"/>
      <c r="BO88" s="561"/>
      <c r="BP88" s="561"/>
      <c r="BQ88" s="561"/>
      <c r="BR88" s="561"/>
      <c r="BS88" s="561"/>
      <c r="BT88" s="561"/>
      <c r="BU88" s="561"/>
      <c r="BV88" s="561"/>
    </row>
    <row r="89" spans="1:74" x14ac:dyDescent="0.2">
      <c r="B89" s="558"/>
      <c r="C89" s="561"/>
      <c r="D89" s="561"/>
      <c r="E89" s="561"/>
      <c r="F89" s="561"/>
      <c r="G89" s="561"/>
      <c r="H89" s="561"/>
      <c r="I89" s="561"/>
      <c r="J89" s="561"/>
      <c r="K89" s="561"/>
      <c r="L89" s="561"/>
      <c r="M89" s="561"/>
      <c r="N89" s="561"/>
      <c r="O89" s="561"/>
      <c r="P89" s="561"/>
      <c r="Q89" s="561"/>
      <c r="R89" s="561"/>
      <c r="S89" s="561"/>
      <c r="T89" s="561"/>
      <c r="U89" s="561"/>
      <c r="V89" s="561"/>
      <c r="W89" s="561"/>
      <c r="X89" s="561"/>
      <c r="Y89" s="561"/>
      <c r="Z89" s="561"/>
      <c r="AA89" s="561"/>
      <c r="AB89" s="561"/>
      <c r="AC89" s="561"/>
      <c r="AD89" s="561"/>
      <c r="AE89" s="561"/>
      <c r="AF89" s="561"/>
      <c r="AG89" s="561"/>
      <c r="AH89" s="561"/>
      <c r="AI89" s="561"/>
      <c r="AJ89" s="561"/>
      <c r="AK89" s="561"/>
      <c r="AL89" s="561"/>
      <c r="AM89" s="561"/>
      <c r="AN89" s="561"/>
      <c r="AO89" s="561"/>
      <c r="AP89" s="561"/>
      <c r="AQ89" s="561"/>
      <c r="AR89" s="561"/>
      <c r="AS89" s="561"/>
      <c r="AT89" s="561"/>
      <c r="AU89" s="561"/>
      <c r="AV89" s="561"/>
      <c r="AW89" s="561"/>
      <c r="AX89" s="561"/>
      <c r="AY89" s="561"/>
      <c r="AZ89" s="561"/>
      <c r="BA89" s="561"/>
      <c r="BB89" s="561"/>
      <c r="BC89" s="561"/>
      <c r="BD89" s="679"/>
      <c r="BE89" s="679"/>
      <c r="BF89" s="679"/>
      <c r="BG89" s="561"/>
      <c r="BH89" s="561"/>
      <c r="BI89" s="561"/>
      <c r="BJ89" s="561"/>
      <c r="BK89" s="561"/>
      <c r="BL89" s="561"/>
      <c r="BM89" s="561"/>
      <c r="BN89" s="561"/>
      <c r="BO89" s="561"/>
      <c r="BP89" s="561"/>
      <c r="BQ89" s="561"/>
      <c r="BR89" s="561"/>
      <c r="BS89" s="561"/>
      <c r="BT89" s="561"/>
      <c r="BU89" s="561"/>
      <c r="BV89" s="561"/>
    </row>
    <row r="90" spans="1:74" x14ac:dyDescent="0.2">
      <c r="A90" s="559"/>
      <c r="B90" s="558"/>
      <c r="C90" s="561"/>
      <c r="D90" s="561"/>
      <c r="E90" s="561"/>
      <c r="F90" s="561"/>
      <c r="G90" s="561"/>
      <c r="H90" s="561"/>
      <c r="I90" s="561"/>
      <c r="J90" s="561"/>
      <c r="K90" s="561"/>
      <c r="L90" s="561"/>
      <c r="M90" s="561"/>
      <c r="N90" s="561"/>
      <c r="O90" s="561"/>
      <c r="P90" s="561"/>
      <c r="Q90" s="561"/>
      <c r="R90" s="561"/>
      <c r="S90" s="561"/>
      <c r="T90" s="561"/>
      <c r="U90" s="561"/>
      <c r="V90" s="561"/>
      <c r="W90" s="561"/>
      <c r="X90" s="561"/>
      <c r="Y90" s="561"/>
      <c r="Z90" s="561"/>
      <c r="AA90" s="561"/>
      <c r="AB90" s="561"/>
      <c r="AC90" s="561"/>
      <c r="AD90" s="561"/>
      <c r="AE90" s="561"/>
      <c r="AF90" s="561"/>
      <c r="AG90" s="561"/>
      <c r="AH90" s="561"/>
      <c r="AI90" s="561"/>
      <c r="AJ90" s="561"/>
      <c r="AK90" s="561"/>
      <c r="AL90" s="561"/>
      <c r="AM90" s="561"/>
      <c r="AN90" s="561"/>
      <c r="AO90" s="561"/>
      <c r="AP90" s="561"/>
      <c r="AQ90" s="561"/>
      <c r="AR90" s="561"/>
      <c r="AS90" s="561"/>
      <c r="AT90" s="561"/>
      <c r="AU90" s="561"/>
      <c r="AV90" s="561"/>
      <c r="AW90" s="561"/>
      <c r="AX90" s="561"/>
      <c r="AY90" s="561"/>
      <c r="AZ90" s="561"/>
      <c r="BA90" s="561"/>
      <c r="BB90" s="561"/>
      <c r="BC90" s="561"/>
      <c r="BD90" s="679"/>
      <c r="BE90" s="679"/>
      <c r="BF90" s="679"/>
      <c r="BG90" s="561"/>
      <c r="BH90" s="561"/>
      <c r="BI90" s="561"/>
      <c r="BJ90" s="561"/>
      <c r="BK90" s="561"/>
      <c r="BL90" s="561"/>
      <c r="BM90" s="561"/>
      <c r="BN90" s="561"/>
      <c r="BO90" s="561"/>
      <c r="BP90" s="561"/>
      <c r="BQ90" s="561"/>
      <c r="BR90" s="561"/>
      <c r="BS90" s="561"/>
      <c r="BT90" s="561"/>
      <c r="BU90" s="561"/>
      <c r="BV90" s="561"/>
    </row>
    <row r="92" spans="1:74" x14ac:dyDescent="0.2">
      <c r="B92" s="560"/>
      <c r="C92" s="562"/>
      <c r="D92" s="562"/>
      <c r="E92" s="562"/>
      <c r="F92" s="562"/>
      <c r="G92" s="562"/>
      <c r="H92" s="562"/>
      <c r="I92" s="562"/>
      <c r="J92" s="562"/>
      <c r="K92" s="562"/>
      <c r="L92" s="562"/>
      <c r="M92" s="562"/>
      <c r="N92" s="562"/>
      <c r="O92" s="562"/>
      <c r="P92" s="562"/>
      <c r="Q92" s="562"/>
      <c r="R92" s="562"/>
      <c r="S92" s="562"/>
      <c r="T92" s="562"/>
      <c r="U92" s="562"/>
      <c r="V92" s="562"/>
      <c r="W92" s="562"/>
      <c r="X92" s="562"/>
      <c r="Y92" s="562"/>
      <c r="Z92" s="562"/>
      <c r="AA92" s="562"/>
      <c r="AB92" s="562"/>
      <c r="AC92" s="562"/>
      <c r="AD92" s="562"/>
      <c r="AE92" s="562"/>
      <c r="AF92" s="562"/>
      <c r="AG92" s="562"/>
      <c r="AH92" s="562"/>
      <c r="AI92" s="562"/>
      <c r="AJ92" s="562"/>
      <c r="AK92" s="562"/>
      <c r="AL92" s="562"/>
      <c r="AM92" s="562"/>
      <c r="AN92" s="562"/>
      <c r="AO92" s="562"/>
      <c r="AP92" s="562"/>
      <c r="AQ92" s="562"/>
      <c r="AR92" s="562"/>
      <c r="AS92" s="562"/>
      <c r="AT92" s="562"/>
      <c r="AU92" s="562"/>
      <c r="AV92" s="562"/>
      <c r="AW92" s="562"/>
      <c r="AX92" s="562"/>
      <c r="AY92" s="562"/>
      <c r="AZ92" s="562"/>
      <c r="BA92" s="562"/>
      <c r="BB92" s="562"/>
      <c r="BC92" s="562"/>
      <c r="BD92" s="680"/>
      <c r="BE92" s="680"/>
      <c r="BF92" s="680"/>
      <c r="BG92" s="562"/>
      <c r="BH92" s="562"/>
      <c r="BI92" s="562"/>
      <c r="BJ92" s="562"/>
      <c r="BK92" s="562"/>
      <c r="BL92" s="562"/>
      <c r="BM92" s="562"/>
      <c r="BN92" s="562"/>
      <c r="BO92" s="562"/>
      <c r="BP92" s="562"/>
      <c r="BQ92" s="562"/>
      <c r="BR92" s="562"/>
      <c r="BS92" s="562"/>
      <c r="BT92" s="562"/>
      <c r="BU92" s="562"/>
      <c r="BV92" s="562"/>
    </row>
    <row r="93" spans="1:74" x14ac:dyDescent="0.2">
      <c r="B93" s="558"/>
      <c r="C93" s="562"/>
      <c r="D93" s="562"/>
      <c r="E93" s="562"/>
      <c r="F93" s="562"/>
      <c r="G93" s="562"/>
      <c r="H93" s="562"/>
      <c r="I93" s="562"/>
      <c r="J93" s="562"/>
      <c r="K93" s="562"/>
      <c r="L93" s="562"/>
      <c r="M93" s="562"/>
      <c r="N93" s="562"/>
      <c r="O93" s="562"/>
      <c r="P93" s="562"/>
      <c r="Q93" s="562"/>
      <c r="R93" s="562"/>
      <c r="S93" s="562"/>
      <c r="T93" s="562"/>
      <c r="U93" s="562"/>
      <c r="V93" s="562"/>
      <c r="W93" s="562"/>
      <c r="X93" s="562"/>
      <c r="Y93" s="562"/>
      <c r="Z93" s="562"/>
      <c r="AA93" s="562"/>
      <c r="AB93" s="562"/>
      <c r="AC93" s="562"/>
      <c r="AD93" s="562"/>
      <c r="AE93" s="562"/>
      <c r="AF93" s="562"/>
      <c r="AG93" s="562"/>
      <c r="AH93" s="562"/>
      <c r="AI93" s="562"/>
      <c r="AJ93" s="562"/>
      <c r="AK93" s="562"/>
      <c r="AL93" s="562"/>
      <c r="AM93" s="562"/>
      <c r="AN93" s="562"/>
      <c r="AO93" s="562"/>
      <c r="AP93" s="562"/>
      <c r="AQ93" s="562"/>
      <c r="AR93" s="562"/>
      <c r="AS93" s="562"/>
      <c r="AT93" s="562"/>
      <c r="AU93" s="562"/>
      <c r="AV93" s="562"/>
      <c r="AW93" s="562"/>
      <c r="AX93" s="562"/>
      <c r="AY93" s="562"/>
      <c r="AZ93" s="562"/>
      <c r="BA93" s="562"/>
      <c r="BB93" s="562"/>
      <c r="BC93" s="562"/>
      <c r="BD93" s="680"/>
      <c r="BE93" s="680"/>
      <c r="BF93" s="680"/>
      <c r="BG93" s="562"/>
      <c r="BH93" s="562"/>
      <c r="BI93" s="562"/>
      <c r="BJ93" s="562"/>
      <c r="BK93" s="562"/>
      <c r="BL93" s="562"/>
      <c r="BM93" s="562"/>
      <c r="BN93" s="562"/>
      <c r="BO93" s="562"/>
      <c r="BP93" s="562"/>
      <c r="BQ93" s="562"/>
      <c r="BR93" s="562"/>
      <c r="BS93" s="562"/>
      <c r="BT93" s="562"/>
      <c r="BU93" s="562"/>
      <c r="BV93" s="562"/>
    </row>
    <row r="94" spans="1:74" x14ac:dyDescent="0.2">
      <c r="A94" s="559"/>
      <c r="B94" s="558"/>
      <c r="C94" s="561"/>
      <c r="D94" s="561"/>
      <c r="E94" s="561"/>
      <c r="F94" s="561"/>
      <c r="G94" s="561"/>
      <c r="H94" s="561"/>
      <c r="I94" s="561"/>
      <c r="J94" s="561"/>
      <c r="K94" s="561"/>
      <c r="L94" s="561"/>
      <c r="M94" s="561"/>
      <c r="N94" s="561"/>
      <c r="O94" s="561"/>
      <c r="P94" s="561"/>
      <c r="Q94" s="561"/>
      <c r="R94" s="561"/>
      <c r="S94" s="561"/>
      <c r="T94" s="561"/>
      <c r="U94" s="561"/>
      <c r="V94" s="561"/>
      <c r="W94" s="561"/>
      <c r="X94" s="561"/>
      <c r="Y94" s="561"/>
      <c r="Z94" s="561"/>
      <c r="AA94" s="561"/>
      <c r="AB94" s="561"/>
      <c r="AC94" s="561"/>
      <c r="AD94" s="561"/>
      <c r="AE94" s="561"/>
      <c r="AF94" s="561"/>
      <c r="AG94" s="561"/>
      <c r="AH94" s="561"/>
      <c r="AI94" s="561"/>
      <c r="AJ94" s="561"/>
      <c r="AK94" s="561"/>
      <c r="AL94" s="561"/>
      <c r="AM94" s="561"/>
      <c r="AN94" s="561"/>
      <c r="AO94" s="561"/>
      <c r="AP94" s="561"/>
      <c r="AQ94" s="561"/>
      <c r="AR94" s="561"/>
      <c r="AS94" s="561"/>
      <c r="AT94" s="561"/>
      <c r="AU94" s="561"/>
      <c r="AV94" s="561"/>
      <c r="AW94" s="561"/>
      <c r="AX94" s="561"/>
      <c r="AY94" s="561"/>
      <c r="AZ94" s="561"/>
      <c r="BA94" s="561"/>
      <c r="BB94" s="561"/>
      <c r="BC94" s="561"/>
      <c r="BD94" s="679"/>
      <c r="BE94" s="679"/>
      <c r="BF94" s="679"/>
      <c r="BG94" s="561"/>
      <c r="BH94" s="561"/>
      <c r="BI94" s="561"/>
      <c r="BJ94" s="561"/>
      <c r="BK94" s="561"/>
      <c r="BL94" s="561"/>
      <c r="BM94" s="561"/>
      <c r="BN94" s="561"/>
      <c r="BO94" s="561"/>
      <c r="BP94" s="561"/>
      <c r="BQ94" s="561"/>
      <c r="BR94" s="561"/>
      <c r="BS94" s="561"/>
      <c r="BT94" s="561"/>
      <c r="BU94" s="561"/>
      <c r="BV94" s="561"/>
    </row>
    <row r="96" spans="1:74" x14ac:dyDescent="0.2">
      <c r="C96" s="563"/>
      <c r="D96" s="563"/>
      <c r="E96" s="563"/>
      <c r="F96" s="563"/>
      <c r="G96" s="563"/>
      <c r="H96" s="563"/>
      <c r="I96" s="563"/>
      <c r="J96" s="563"/>
      <c r="K96" s="563"/>
      <c r="L96" s="563"/>
      <c r="M96" s="563"/>
      <c r="N96" s="563"/>
      <c r="O96" s="563"/>
      <c r="P96" s="563"/>
      <c r="Q96" s="563"/>
      <c r="R96" s="563"/>
      <c r="S96" s="563"/>
      <c r="T96" s="563"/>
      <c r="U96" s="563"/>
      <c r="V96" s="563"/>
      <c r="W96" s="563"/>
      <c r="X96" s="563"/>
      <c r="Y96" s="563"/>
      <c r="Z96" s="563"/>
      <c r="AA96" s="563"/>
      <c r="AB96" s="563"/>
      <c r="AC96" s="563"/>
      <c r="AD96" s="563"/>
      <c r="AE96" s="563"/>
      <c r="AF96" s="563"/>
      <c r="AG96" s="563"/>
      <c r="AH96" s="563"/>
      <c r="AI96" s="563"/>
      <c r="AJ96" s="563"/>
      <c r="AK96" s="563"/>
      <c r="AL96" s="563"/>
      <c r="AM96" s="563"/>
      <c r="AN96" s="563"/>
      <c r="AO96" s="563"/>
      <c r="AP96" s="563"/>
      <c r="AQ96" s="563"/>
      <c r="AR96" s="563"/>
      <c r="AS96" s="563"/>
      <c r="AT96" s="563"/>
      <c r="AU96" s="563"/>
      <c r="AV96" s="563"/>
      <c r="AW96" s="563"/>
      <c r="AX96" s="563"/>
      <c r="AY96" s="563"/>
      <c r="AZ96" s="563"/>
      <c r="BA96" s="563"/>
      <c r="BB96" s="563"/>
      <c r="BC96" s="563"/>
      <c r="BD96" s="681"/>
      <c r="BE96" s="681"/>
      <c r="BF96" s="681"/>
      <c r="BG96" s="563"/>
      <c r="BH96" s="563"/>
      <c r="BI96" s="563"/>
      <c r="BJ96" s="563"/>
      <c r="BK96" s="563"/>
      <c r="BL96" s="563"/>
      <c r="BM96" s="563"/>
      <c r="BN96" s="563"/>
      <c r="BO96" s="563"/>
      <c r="BP96" s="563"/>
      <c r="BQ96" s="563"/>
      <c r="BR96" s="563"/>
      <c r="BS96" s="563"/>
      <c r="BT96" s="563"/>
      <c r="BU96" s="563"/>
      <c r="BV96" s="563"/>
    </row>
    <row r="97" spans="2:74" x14ac:dyDescent="0.2">
      <c r="C97" s="564"/>
      <c r="D97" s="564"/>
      <c r="E97" s="564"/>
      <c r="F97" s="564"/>
      <c r="G97" s="564"/>
      <c r="H97" s="564"/>
      <c r="I97" s="564"/>
      <c r="J97" s="564"/>
      <c r="K97" s="564"/>
      <c r="L97" s="564"/>
      <c r="M97" s="564"/>
      <c r="N97" s="564"/>
      <c r="O97" s="564"/>
      <c r="P97" s="564"/>
      <c r="Q97" s="564"/>
      <c r="R97" s="564"/>
      <c r="S97" s="564"/>
      <c r="T97" s="564"/>
      <c r="U97" s="564"/>
      <c r="V97" s="564"/>
      <c r="W97" s="564"/>
      <c r="X97" s="564"/>
      <c r="Y97" s="564"/>
      <c r="Z97" s="564"/>
      <c r="AA97" s="564"/>
      <c r="AB97" s="564"/>
      <c r="AC97" s="564"/>
      <c r="AD97" s="564"/>
      <c r="AE97" s="564"/>
      <c r="AF97" s="564"/>
      <c r="AG97" s="564"/>
      <c r="AH97" s="564"/>
      <c r="AI97" s="564"/>
      <c r="AJ97" s="564"/>
      <c r="AK97" s="564"/>
      <c r="AL97" s="564"/>
      <c r="AM97" s="564"/>
      <c r="AN97" s="564"/>
      <c r="AO97" s="564"/>
      <c r="AP97" s="564"/>
      <c r="AQ97" s="564"/>
      <c r="AR97" s="564"/>
      <c r="AS97" s="564"/>
      <c r="AT97" s="564"/>
      <c r="AU97" s="564"/>
      <c r="AV97" s="564"/>
      <c r="AW97" s="564"/>
      <c r="AX97" s="564"/>
      <c r="AY97" s="564"/>
      <c r="AZ97" s="564"/>
      <c r="BA97" s="564"/>
      <c r="BB97" s="564"/>
      <c r="BC97" s="564"/>
      <c r="BD97" s="682"/>
      <c r="BE97" s="682"/>
      <c r="BF97" s="682"/>
      <c r="BG97" s="564"/>
      <c r="BH97" s="564"/>
      <c r="BI97" s="564"/>
      <c r="BJ97" s="564"/>
      <c r="BK97" s="564"/>
      <c r="BL97" s="564"/>
      <c r="BM97" s="564"/>
      <c r="BN97" s="564"/>
      <c r="BO97" s="564"/>
      <c r="BP97" s="564"/>
      <c r="BQ97" s="564"/>
      <c r="BR97" s="564"/>
      <c r="BS97" s="564"/>
      <c r="BT97" s="564"/>
      <c r="BU97" s="564"/>
      <c r="BV97" s="564"/>
    </row>
    <row r="98" spans="2:74" x14ac:dyDescent="0.2">
      <c r="B98" s="558"/>
    </row>
  </sheetData>
  <mergeCells count="17">
    <mergeCell ref="B71:Q71"/>
    <mergeCell ref="B73:Q73"/>
    <mergeCell ref="B74:Q74"/>
    <mergeCell ref="B72:Q72"/>
    <mergeCell ref="BK3:BV3"/>
    <mergeCell ref="AY3:BJ3"/>
    <mergeCell ref="B65:Q65"/>
    <mergeCell ref="B66:Q66"/>
    <mergeCell ref="B67:Q67"/>
    <mergeCell ref="B68:Q68"/>
    <mergeCell ref="B69:Q69"/>
    <mergeCell ref="B70:Q70"/>
    <mergeCell ref="A1:A2"/>
    <mergeCell ref="C3:N3"/>
    <mergeCell ref="O3:Z3"/>
    <mergeCell ref="AA3:AL3"/>
    <mergeCell ref="AM3:AX3"/>
  </mergeCells>
  <phoneticPr fontId="0" type="noConversion"/>
  <conditionalFormatting sqref="C82:BV82 C86:BV86 C90:BV90 C94:BV94 C98:BV98 C78:BV78">
    <cfRule type="cellIs" dxfId="0" priority="2" stopIfTrue="1" operator="notEqual">
      <formula>0</formula>
    </cfRule>
  </conditionalFormatting>
  <hyperlinks>
    <hyperlink ref="A1:A2" location="Contents!A1" display="Table of Contents"/>
  </hyperlinks>
  <printOptions horizontalCentered="1"/>
  <pageMargins left="0.25" right="0.25" top="0.25" bottom="0.25" header="0.5" footer="0.5"/>
  <pageSetup scale="78"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2">
    <pageSetUpPr fitToPage="1"/>
  </sheetPr>
  <dimension ref="A1:BV68"/>
  <sheetViews>
    <sheetView showGridLines="0" workbookViewId="0">
      <pane xSplit="2" ySplit="4" topLeftCell="AS5" activePane="bottomRight" state="frozen"/>
      <selection activeCell="BF63" sqref="BF63"/>
      <selection pane="topRight" activeCell="BF63" sqref="BF63"/>
      <selection pane="bottomLeft" activeCell="BF63" sqref="BF63"/>
      <selection pane="bottomRight" activeCell="B1" sqref="B1"/>
    </sheetView>
  </sheetViews>
  <sheetFormatPr defaultColWidth="11" defaultRowHeight="10.199999999999999" x14ac:dyDescent="0.2"/>
  <cols>
    <col min="1" max="1" width="11.5546875" style="537" customWidth="1"/>
    <col min="2" max="2" width="26.21875" style="537" customWidth="1"/>
    <col min="3" max="55" width="6.5546875" style="537" customWidth="1"/>
    <col min="56" max="58" width="6.5546875" style="683" customWidth="1"/>
    <col min="59" max="74" width="6.5546875" style="537" customWidth="1"/>
    <col min="75" max="249" width="11" style="537"/>
    <col min="250" max="250" width="1.5546875" style="537" customWidth="1"/>
    <col min="251" max="16384" width="11" style="537"/>
  </cols>
  <sheetData>
    <row r="1" spans="1:74" ht="12.75" customHeight="1" x14ac:dyDescent="0.25">
      <c r="A1" s="797" t="s">
        <v>809</v>
      </c>
      <c r="B1" s="536" t="s">
        <v>1422</v>
      </c>
      <c r="C1" s="536"/>
      <c r="D1" s="536"/>
      <c r="E1" s="536"/>
      <c r="F1" s="536"/>
      <c r="G1" s="536"/>
      <c r="H1" s="536"/>
      <c r="I1" s="536"/>
      <c r="J1" s="536"/>
      <c r="K1" s="536"/>
      <c r="L1" s="536"/>
      <c r="M1" s="536"/>
      <c r="N1" s="536"/>
      <c r="O1" s="536"/>
      <c r="P1" s="536"/>
      <c r="Q1" s="536"/>
      <c r="R1" s="536"/>
      <c r="S1" s="536"/>
      <c r="T1" s="536"/>
      <c r="U1" s="536"/>
      <c r="V1" s="536"/>
      <c r="W1" s="536"/>
      <c r="X1" s="536"/>
      <c r="Y1" s="536"/>
      <c r="Z1" s="536"/>
      <c r="AA1" s="536"/>
      <c r="AB1" s="536"/>
      <c r="AC1" s="536"/>
      <c r="AD1" s="536"/>
      <c r="AE1" s="536"/>
      <c r="AF1" s="536"/>
      <c r="AG1" s="536"/>
      <c r="AH1" s="536"/>
      <c r="AI1" s="536"/>
      <c r="AJ1" s="536"/>
      <c r="AK1" s="536"/>
      <c r="AL1" s="536"/>
      <c r="AM1" s="536"/>
      <c r="AN1" s="536"/>
      <c r="AO1" s="536"/>
      <c r="AP1" s="536"/>
      <c r="AQ1" s="536"/>
      <c r="AR1" s="536"/>
      <c r="AS1" s="536"/>
      <c r="AT1" s="536"/>
      <c r="AU1" s="536"/>
      <c r="AV1" s="536"/>
      <c r="AW1" s="536"/>
      <c r="AX1" s="536"/>
      <c r="AY1" s="536"/>
      <c r="AZ1" s="536"/>
      <c r="BA1" s="536"/>
      <c r="BB1" s="536"/>
      <c r="BC1" s="536"/>
      <c r="BD1" s="536"/>
      <c r="BE1" s="536"/>
      <c r="BF1" s="536"/>
      <c r="BG1" s="536"/>
      <c r="BH1" s="536"/>
      <c r="BI1" s="536"/>
      <c r="BJ1" s="536"/>
      <c r="BK1" s="536"/>
      <c r="BL1" s="536"/>
      <c r="BM1" s="536"/>
      <c r="BN1" s="536"/>
      <c r="BO1" s="536"/>
      <c r="BP1" s="536"/>
      <c r="BQ1" s="536"/>
      <c r="BR1" s="536"/>
      <c r="BS1" s="536"/>
      <c r="BT1" s="536"/>
      <c r="BU1" s="536"/>
      <c r="BV1" s="536"/>
    </row>
    <row r="2" spans="1:74" ht="12.75" customHeight="1" x14ac:dyDescent="0.25">
      <c r="A2" s="798"/>
      <c r="B2" s="532" t="str">
        <f>"U.S. Energy Information Administration  |  Short-Term Energy Outlook  - "&amp;Dates!D1</f>
        <v>U.S. Energy Information Administration  |  Short-Term Energy Outlook  - September 2020</v>
      </c>
      <c r="C2" s="538"/>
      <c r="D2" s="538"/>
      <c r="E2" s="538"/>
      <c r="F2" s="538"/>
      <c r="G2" s="538"/>
      <c r="H2" s="538"/>
      <c r="I2" s="538"/>
      <c r="J2" s="538"/>
      <c r="K2" s="538"/>
      <c r="L2" s="538"/>
      <c r="M2" s="538"/>
      <c r="N2" s="538"/>
      <c r="O2" s="538"/>
      <c r="P2" s="538"/>
      <c r="Q2" s="538"/>
      <c r="R2" s="538"/>
      <c r="S2" s="538"/>
      <c r="T2" s="538"/>
      <c r="U2" s="538"/>
      <c r="V2" s="538"/>
      <c r="W2" s="538"/>
      <c r="X2" s="538"/>
      <c r="Y2" s="538"/>
      <c r="Z2" s="538"/>
      <c r="AA2" s="538"/>
      <c r="AB2" s="538"/>
      <c r="AC2" s="538"/>
      <c r="AD2" s="538"/>
      <c r="AE2" s="538"/>
      <c r="AF2" s="538"/>
      <c r="AG2" s="538"/>
      <c r="AH2" s="538"/>
      <c r="AI2" s="538"/>
      <c r="AJ2" s="538"/>
      <c r="AK2" s="538"/>
      <c r="AL2" s="538"/>
      <c r="AM2" s="538"/>
      <c r="AN2" s="538"/>
      <c r="AO2" s="538"/>
      <c r="AP2" s="538"/>
      <c r="AQ2" s="538"/>
      <c r="AR2" s="538"/>
      <c r="AS2" s="538"/>
      <c r="AT2" s="538"/>
      <c r="AU2" s="538"/>
      <c r="AV2" s="538"/>
      <c r="AW2" s="538"/>
      <c r="AX2" s="538"/>
      <c r="AY2" s="538"/>
      <c r="AZ2" s="538"/>
      <c r="BA2" s="538"/>
      <c r="BB2" s="538"/>
      <c r="BC2" s="538"/>
      <c r="BD2" s="675"/>
      <c r="BE2" s="675"/>
      <c r="BF2" s="675"/>
      <c r="BG2" s="538"/>
      <c r="BH2" s="538"/>
      <c r="BI2" s="538"/>
      <c r="BJ2" s="538"/>
      <c r="BK2" s="538"/>
      <c r="BL2" s="538"/>
      <c r="BM2" s="538"/>
      <c r="BN2" s="538"/>
      <c r="BO2" s="538"/>
      <c r="BP2" s="538"/>
      <c r="BQ2" s="538"/>
      <c r="BR2" s="538"/>
      <c r="BS2" s="538"/>
      <c r="BT2" s="538"/>
      <c r="BU2" s="538"/>
      <c r="BV2" s="538"/>
    </row>
    <row r="3" spans="1:74" ht="12.75" customHeight="1" x14ac:dyDescent="0.2">
      <c r="A3" s="565"/>
      <c r="B3" s="540"/>
      <c r="C3" s="806">
        <f>Dates!D3</f>
        <v>2016</v>
      </c>
      <c r="D3" s="807"/>
      <c r="E3" s="807"/>
      <c r="F3" s="807"/>
      <c r="G3" s="807"/>
      <c r="H3" s="807"/>
      <c r="I3" s="807"/>
      <c r="J3" s="807"/>
      <c r="K3" s="807"/>
      <c r="L3" s="807"/>
      <c r="M3" s="807"/>
      <c r="N3" s="858"/>
      <c r="O3" s="806">
        <f>C3+1</f>
        <v>2017</v>
      </c>
      <c r="P3" s="807"/>
      <c r="Q3" s="807"/>
      <c r="R3" s="807"/>
      <c r="S3" s="807"/>
      <c r="T3" s="807"/>
      <c r="U3" s="807"/>
      <c r="V3" s="807"/>
      <c r="W3" s="807"/>
      <c r="X3" s="807"/>
      <c r="Y3" s="807"/>
      <c r="Z3" s="858"/>
      <c r="AA3" s="806">
        <f>O3+1</f>
        <v>2018</v>
      </c>
      <c r="AB3" s="807"/>
      <c r="AC3" s="807"/>
      <c r="AD3" s="807"/>
      <c r="AE3" s="807"/>
      <c r="AF3" s="807"/>
      <c r="AG3" s="807"/>
      <c r="AH3" s="807"/>
      <c r="AI3" s="807"/>
      <c r="AJ3" s="807"/>
      <c r="AK3" s="807"/>
      <c r="AL3" s="858"/>
      <c r="AM3" s="806">
        <f>AA3+1</f>
        <v>2019</v>
      </c>
      <c r="AN3" s="807"/>
      <c r="AO3" s="807"/>
      <c r="AP3" s="807"/>
      <c r="AQ3" s="807"/>
      <c r="AR3" s="807"/>
      <c r="AS3" s="807"/>
      <c r="AT3" s="807"/>
      <c r="AU3" s="807"/>
      <c r="AV3" s="807"/>
      <c r="AW3" s="807"/>
      <c r="AX3" s="858"/>
      <c r="AY3" s="806">
        <f>AM3+1</f>
        <v>2020</v>
      </c>
      <c r="AZ3" s="807"/>
      <c r="BA3" s="807"/>
      <c r="BB3" s="807"/>
      <c r="BC3" s="807"/>
      <c r="BD3" s="807"/>
      <c r="BE3" s="807"/>
      <c r="BF3" s="807"/>
      <c r="BG3" s="807"/>
      <c r="BH3" s="807"/>
      <c r="BI3" s="807"/>
      <c r="BJ3" s="858"/>
      <c r="BK3" s="806">
        <f>AY3+1</f>
        <v>2021</v>
      </c>
      <c r="BL3" s="807"/>
      <c r="BM3" s="807"/>
      <c r="BN3" s="807"/>
      <c r="BO3" s="807"/>
      <c r="BP3" s="807"/>
      <c r="BQ3" s="807"/>
      <c r="BR3" s="807"/>
      <c r="BS3" s="807"/>
      <c r="BT3" s="807"/>
      <c r="BU3" s="807"/>
      <c r="BV3" s="858"/>
    </row>
    <row r="4" spans="1:74" ht="12.75" customHeight="1" x14ac:dyDescent="0.2">
      <c r="A4" s="565"/>
      <c r="B4" s="541"/>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A5" s="565"/>
      <c r="B5" s="131" t="s">
        <v>1401</v>
      </c>
      <c r="C5" s="542"/>
      <c r="D5" s="542"/>
      <c r="E5" s="542"/>
      <c r="F5" s="542"/>
      <c r="G5" s="542"/>
      <c r="H5" s="542"/>
      <c r="I5" s="542"/>
      <c r="J5" s="542"/>
      <c r="K5" s="542"/>
      <c r="L5" s="542"/>
      <c r="M5" s="542"/>
      <c r="N5" s="542"/>
      <c r="O5" s="542"/>
      <c r="P5" s="542"/>
      <c r="Q5" s="542"/>
      <c r="R5" s="542"/>
      <c r="S5" s="542"/>
      <c r="T5" s="542"/>
      <c r="U5" s="542"/>
      <c r="V5" s="542"/>
      <c r="W5" s="542"/>
      <c r="X5" s="542"/>
      <c r="Y5" s="542"/>
      <c r="Z5" s="542"/>
      <c r="AA5" s="542"/>
      <c r="AB5" s="542"/>
      <c r="AC5" s="542"/>
      <c r="AD5" s="542"/>
      <c r="AE5" s="542"/>
      <c r="AF5" s="542"/>
      <c r="AG5" s="542"/>
      <c r="AH5" s="542"/>
      <c r="AI5" s="542"/>
      <c r="AJ5" s="542"/>
      <c r="AK5" s="542"/>
      <c r="AL5" s="542"/>
      <c r="AM5" s="542"/>
      <c r="AN5" s="542"/>
      <c r="AO5" s="542"/>
      <c r="AP5" s="542"/>
      <c r="AQ5" s="542"/>
      <c r="AR5" s="542"/>
      <c r="AS5" s="542"/>
      <c r="AT5" s="542"/>
      <c r="AU5" s="542"/>
      <c r="AV5" s="542"/>
      <c r="AW5" s="542"/>
      <c r="AX5" s="542"/>
      <c r="AY5" s="542"/>
      <c r="AZ5" s="542"/>
      <c r="BA5" s="542"/>
      <c r="BB5" s="542"/>
      <c r="BC5" s="542"/>
      <c r="BD5" s="684"/>
      <c r="BE5" s="684"/>
      <c r="BF5" s="684"/>
      <c r="BG5" s="684"/>
      <c r="BH5" s="684"/>
      <c r="BI5" s="684"/>
      <c r="BJ5" s="542"/>
      <c r="BK5" s="542"/>
      <c r="BL5" s="542"/>
      <c r="BM5" s="542"/>
      <c r="BN5" s="542"/>
      <c r="BO5" s="542"/>
      <c r="BP5" s="542"/>
      <c r="BQ5" s="542"/>
      <c r="BR5" s="542"/>
      <c r="BS5" s="542"/>
      <c r="BT5" s="542"/>
      <c r="BU5" s="542"/>
      <c r="BV5" s="542"/>
    </row>
    <row r="6" spans="1:74" ht="11.1" customHeight="1" x14ac:dyDescent="0.2">
      <c r="A6" s="545" t="s">
        <v>1299</v>
      </c>
      <c r="B6" s="546" t="s">
        <v>86</v>
      </c>
      <c r="C6" s="766">
        <v>34.025919123000001</v>
      </c>
      <c r="D6" s="766">
        <v>10.711766933</v>
      </c>
      <c r="E6" s="766">
        <v>12.73594696</v>
      </c>
      <c r="F6" s="766">
        <v>11.747345891</v>
      </c>
      <c r="G6" s="766">
        <v>13.076180303999999</v>
      </c>
      <c r="H6" s="766">
        <v>14.241234392000001</v>
      </c>
      <c r="I6" s="766">
        <v>16.279461104999999</v>
      </c>
      <c r="J6" s="766">
        <v>16.711047429000001</v>
      </c>
      <c r="K6" s="766">
        <v>11.830589895999999</v>
      </c>
      <c r="L6" s="766">
        <v>10.358074909999999</v>
      </c>
      <c r="M6" s="766">
        <v>10.125780722</v>
      </c>
      <c r="N6" s="766">
        <v>9.2284127940000005</v>
      </c>
      <c r="O6" s="766">
        <v>8.4897370619999997</v>
      </c>
      <c r="P6" s="766">
        <v>7.0327794839999997</v>
      </c>
      <c r="Q6" s="766">
        <v>10.457677449</v>
      </c>
      <c r="R6" s="766">
        <v>9.5948950750000002</v>
      </c>
      <c r="S6" s="766">
        <v>9.5720115660000005</v>
      </c>
      <c r="T6" s="766">
        <v>11.549784954</v>
      </c>
      <c r="U6" s="766">
        <v>15.101966707000001</v>
      </c>
      <c r="V6" s="766">
        <v>12.743937075</v>
      </c>
      <c r="W6" s="766">
        <v>11.343688671000001</v>
      </c>
      <c r="X6" s="766">
        <v>10.402173348</v>
      </c>
      <c r="Y6" s="766">
        <v>8.8856967709999992</v>
      </c>
      <c r="Z6" s="766">
        <v>12.138699162</v>
      </c>
      <c r="AA6" s="766">
        <v>12.682475276</v>
      </c>
      <c r="AB6" s="766">
        <v>10.579841371000001</v>
      </c>
      <c r="AC6" s="766">
        <v>12.218776676999999</v>
      </c>
      <c r="AD6" s="766">
        <v>12.101627088000001</v>
      </c>
      <c r="AE6" s="766">
        <v>15.440127674999999</v>
      </c>
      <c r="AF6" s="766">
        <v>15.045772139</v>
      </c>
      <c r="AG6" s="766">
        <v>17.864246377000001</v>
      </c>
      <c r="AH6" s="766">
        <v>16.532675281</v>
      </c>
      <c r="AI6" s="766">
        <v>13.788222940000001</v>
      </c>
      <c r="AJ6" s="766">
        <v>12.314887725</v>
      </c>
      <c r="AK6" s="766">
        <v>9.3283249690000005</v>
      </c>
      <c r="AL6" s="766">
        <v>9.3882858670000005</v>
      </c>
      <c r="AM6" s="766">
        <v>12.200584858999999</v>
      </c>
      <c r="AN6" s="766">
        <v>11.704919218000001</v>
      </c>
      <c r="AO6" s="766">
        <v>11.968813387999999</v>
      </c>
      <c r="AP6" s="766">
        <v>12.491137725</v>
      </c>
      <c r="AQ6" s="766">
        <v>12.961838935999999</v>
      </c>
      <c r="AR6" s="766">
        <v>15.430456503</v>
      </c>
      <c r="AS6" s="766">
        <v>21.049541141999999</v>
      </c>
      <c r="AT6" s="766">
        <v>20.883807783000002</v>
      </c>
      <c r="AU6" s="766">
        <v>16.138102643</v>
      </c>
      <c r="AV6" s="766">
        <v>15.911533424</v>
      </c>
      <c r="AW6" s="766">
        <v>12.669949731000001</v>
      </c>
      <c r="AX6" s="766">
        <v>13.766151023999999</v>
      </c>
      <c r="AY6" s="766">
        <v>15.882352749000001</v>
      </c>
      <c r="AZ6" s="766">
        <v>14.232662598999999</v>
      </c>
      <c r="BA6" s="766">
        <v>14.012138987</v>
      </c>
      <c r="BB6" s="766">
        <v>12.576668135</v>
      </c>
      <c r="BC6" s="766">
        <v>13.687314726</v>
      </c>
      <c r="BD6" s="766">
        <v>17.084408891999999</v>
      </c>
      <c r="BE6" s="766">
        <v>22.015370000000001</v>
      </c>
      <c r="BF6" s="766">
        <v>20.549320000000002</v>
      </c>
      <c r="BG6" s="767">
        <v>16.006260000000001</v>
      </c>
      <c r="BH6" s="767">
        <v>15.293279999999999</v>
      </c>
      <c r="BI6" s="767">
        <v>11.247350000000001</v>
      </c>
      <c r="BJ6" s="767">
        <v>12.14423</v>
      </c>
      <c r="BK6" s="767">
        <v>12.85075</v>
      </c>
      <c r="BL6" s="767">
        <v>10.06236</v>
      </c>
      <c r="BM6" s="767">
        <v>10.822979999999999</v>
      </c>
      <c r="BN6" s="767">
        <v>10.023669999999999</v>
      </c>
      <c r="BO6" s="767">
        <v>11.081469999999999</v>
      </c>
      <c r="BP6" s="767">
        <v>14.285270000000001</v>
      </c>
      <c r="BQ6" s="767">
        <v>17.569980000000001</v>
      </c>
      <c r="BR6" s="767">
        <v>18.726600000000001</v>
      </c>
      <c r="BS6" s="767">
        <v>13.67808</v>
      </c>
      <c r="BT6" s="767">
        <v>13.099629999999999</v>
      </c>
      <c r="BU6" s="767">
        <v>11.85943</v>
      </c>
      <c r="BV6" s="767">
        <v>12.04186</v>
      </c>
    </row>
    <row r="7" spans="1:74" ht="11.1" customHeight="1" x14ac:dyDescent="0.2">
      <c r="A7" s="545" t="s">
        <v>1300</v>
      </c>
      <c r="B7" s="546" t="s">
        <v>85</v>
      </c>
      <c r="C7" s="766">
        <v>82.539251460000003</v>
      </c>
      <c r="D7" s="766">
        <v>25.450394343999999</v>
      </c>
      <c r="E7" s="766">
        <v>21.001770036</v>
      </c>
      <c r="F7" s="766">
        <v>18.966985133000001</v>
      </c>
      <c r="G7" s="766">
        <v>20.708416637999999</v>
      </c>
      <c r="H7" s="766">
        <v>29.182616931999998</v>
      </c>
      <c r="I7" s="766">
        <v>33.27405555</v>
      </c>
      <c r="J7" s="766">
        <v>32.56595299</v>
      </c>
      <c r="K7" s="766">
        <v>27.859006948000001</v>
      </c>
      <c r="L7" s="766">
        <v>24.507146729999999</v>
      </c>
      <c r="M7" s="766">
        <v>21.894835775000001</v>
      </c>
      <c r="N7" s="766">
        <v>30.174490417000001</v>
      </c>
      <c r="O7" s="766">
        <v>32.207767830999998</v>
      </c>
      <c r="P7" s="766">
        <v>24.146972636000001</v>
      </c>
      <c r="Q7" s="766">
        <v>22.737011014</v>
      </c>
      <c r="R7" s="766">
        <v>22.048587721000001</v>
      </c>
      <c r="S7" s="766">
        <v>25.360741220000001</v>
      </c>
      <c r="T7" s="766">
        <v>29.246865969000002</v>
      </c>
      <c r="U7" s="766">
        <v>33.583942360999998</v>
      </c>
      <c r="V7" s="766">
        <v>30.888354226000001</v>
      </c>
      <c r="W7" s="766">
        <v>26.091083626</v>
      </c>
      <c r="X7" s="766">
        <v>24.448737812000001</v>
      </c>
      <c r="Y7" s="766">
        <v>26.568895692000002</v>
      </c>
      <c r="Z7" s="766">
        <v>29.199017700999999</v>
      </c>
      <c r="AA7" s="766">
        <v>32.768404087999997</v>
      </c>
      <c r="AB7" s="766">
        <v>25.680286255999999</v>
      </c>
      <c r="AC7" s="766">
        <v>24.134606596000001</v>
      </c>
      <c r="AD7" s="766">
        <v>22.608627373000001</v>
      </c>
      <c r="AE7" s="766">
        <v>25.306330289000002</v>
      </c>
      <c r="AF7" s="766">
        <v>29.888795932000001</v>
      </c>
      <c r="AG7" s="766">
        <v>33.005789204999999</v>
      </c>
      <c r="AH7" s="766">
        <v>32.634280216999997</v>
      </c>
      <c r="AI7" s="766">
        <v>27.832301411</v>
      </c>
      <c r="AJ7" s="766">
        <v>25.760542934</v>
      </c>
      <c r="AK7" s="766">
        <v>28.573866748</v>
      </c>
      <c r="AL7" s="766">
        <v>26.035060667</v>
      </c>
      <c r="AM7" s="766">
        <v>29.445250698999999</v>
      </c>
      <c r="AN7" s="766">
        <v>24.759411715999999</v>
      </c>
      <c r="AO7" s="766">
        <v>23.270797503000001</v>
      </c>
      <c r="AP7" s="766">
        <v>17.658480276999999</v>
      </c>
      <c r="AQ7" s="766">
        <v>20.997013290999998</v>
      </c>
      <c r="AR7" s="766">
        <v>22.505609349</v>
      </c>
      <c r="AS7" s="766">
        <v>28.243954721000001</v>
      </c>
      <c r="AT7" s="766">
        <v>25.459827759</v>
      </c>
      <c r="AU7" s="766">
        <v>22.520992535000001</v>
      </c>
      <c r="AV7" s="766">
        <v>18.179875613</v>
      </c>
      <c r="AW7" s="766">
        <v>22.011152902999999</v>
      </c>
      <c r="AX7" s="766">
        <v>21.114944860000001</v>
      </c>
      <c r="AY7" s="766">
        <v>19.300497665000002</v>
      </c>
      <c r="AZ7" s="766">
        <v>16.869236618999999</v>
      </c>
      <c r="BA7" s="766">
        <v>14.942403045000001</v>
      </c>
      <c r="BB7" s="766">
        <v>10.972654865999999</v>
      </c>
      <c r="BC7" s="766">
        <v>12.338890707999999</v>
      </c>
      <c r="BD7" s="766">
        <v>17.854858869000001</v>
      </c>
      <c r="BE7" s="766">
        <v>22.507380000000001</v>
      </c>
      <c r="BF7" s="766">
        <v>25.221070000000001</v>
      </c>
      <c r="BG7" s="767">
        <v>21.29448</v>
      </c>
      <c r="BH7" s="767">
        <v>17.4954</v>
      </c>
      <c r="BI7" s="767">
        <v>17.92052</v>
      </c>
      <c r="BJ7" s="767">
        <v>22.110990000000001</v>
      </c>
      <c r="BK7" s="767">
        <v>22.801079999999999</v>
      </c>
      <c r="BL7" s="767">
        <v>18.986229999999999</v>
      </c>
      <c r="BM7" s="767">
        <v>15.618779999999999</v>
      </c>
      <c r="BN7" s="767">
        <v>13.44402</v>
      </c>
      <c r="BO7" s="767">
        <v>17.718979999999998</v>
      </c>
      <c r="BP7" s="767">
        <v>20.38111</v>
      </c>
      <c r="BQ7" s="767">
        <v>25.497699999999998</v>
      </c>
      <c r="BR7" s="767">
        <v>27.415959999999998</v>
      </c>
      <c r="BS7" s="767">
        <v>21.289000000000001</v>
      </c>
      <c r="BT7" s="767">
        <v>18.748850000000001</v>
      </c>
      <c r="BU7" s="767">
        <v>16.899229999999999</v>
      </c>
      <c r="BV7" s="767">
        <v>22.868079999999999</v>
      </c>
    </row>
    <row r="8" spans="1:74" ht="11.1" customHeight="1" x14ac:dyDescent="0.2">
      <c r="A8" s="545" t="s">
        <v>1301</v>
      </c>
      <c r="B8" s="548" t="s">
        <v>88</v>
      </c>
      <c r="C8" s="766">
        <v>26.421645000000002</v>
      </c>
      <c r="D8" s="766">
        <v>7.9551059999999998</v>
      </c>
      <c r="E8" s="766">
        <v>8.2531230000000004</v>
      </c>
      <c r="F8" s="766">
        <v>8.3797829999999998</v>
      </c>
      <c r="G8" s="766">
        <v>8.7261240000000004</v>
      </c>
      <c r="H8" s="766">
        <v>8.5925720000000005</v>
      </c>
      <c r="I8" s="766">
        <v>8.8946480000000001</v>
      </c>
      <c r="J8" s="766">
        <v>9.5656459999999992</v>
      </c>
      <c r="K8" s="766">
        <v>8.1033919999999995</v>
      </c>
      <c r="L8" s="766">
        <v>6.5511439999999999</v>
      </c>
      <c r="M8" s="766">
        <v>7.3302670000000001</v>
      </c>
      <c r="N8" s="766">
        <v>8.4945559999999993</v>
      </c>
      <c r="O8" s="766">
        <v>8.5580499999999997</v>
      </c>
      <c r="P8" s="766">
        <v>7.9098740000000003</v>
      </c>
      <c r="Q8" s="766">
        <v>8.1775160000000007</v>
      </c>
      <c r="R8" s="766">
        <v>6.0110739999999998</v>
      </c>
      <c r="S8" s="766">
        <v>6.3005550000000001</v>
      </c>
      <c r="T8" s="766">
        <v>8.1147869999999998</v>
      </c>
      <c r="U8" s="766">
        <v>8.7635290000000001</v>
      </c>
      <c r="V8" s="766">
        <v>9.3251659999999994</v>
      </c>
      <c r="W8" s="766">
        <v>8.3040149999999997</v>
      </c>
      <c r="X8" s="766">
        <v>8.175535</v>
      </c>
      <c r="Y8" s="766">
        <v>7.7500359999999997</v>
      </c>
      <c r="Z8" s="766">
        <v>8.2838279999999997</v>
      </c>
      <c r="AA8" s="766">
        <v>8.7423920000000006</v>
      </c>
      <c r="AB8" s="766">
        <v>8.3149309999999996</v>
      </c>
      <c r="AC8" s="766">
        <v>9.3643219999999996</v>
      </c>
      <c r="AD8" s="766">
        <v>7.5869109999999997</v>
      </c>
      <c r="AE8" s="766">
        <v>7.2682719999999996</v>
      </c>
      <c r="AF8" s="766">
        <v>8.0426129999999993</v>
      </c>
      <c r="AG8" s="766">
        <v>8.5099830000000001</v>
      </c>
      <c r="AH8" s="766">
        <v>9.2652090000000005</v>
      </c>
      <c r="AI8" s="766">
        <v>7.9223990000000004</v>
      </c>
      <c r="AJ8" s="766">
        <v>7.0841339999999997</v>
      </c>
      <c r="AK8" s="766">
        <v>8.0397770000000008</v>
      </c>
      <c r="AL8" s="766">
        <v>8.1476240000000004</v>
      </c>
      <c r="AM8" s="766">
        <v>8.7238349999999993</v>
      </c>
      <c r="AN8" s="766">
        <v>7.7350099999999999</v>
      </c>
      <c r="AO8" s="766">
        <v>8.7955830000000006</v>
      </c>
      <c r="AP8" s="766">
        <v>7.1550209999999996</v>
      </c>
      <c r="AQ8" s="766">
        <v>7.5885829999999999</v>
      </c>
      <c r="AR8" s="766">
        <v>8.459816</v>
      </c>
      <c r="AS8" s="766">
        <v>8.9073829999999994</v>
      </c>
      <c r="AT8" s="766">
        <v>9.3191249999999997</v>
      </c>
      <c r="AU8" s="766">
        <v>8.877815</v>
      </c>
      <c r="AV8" s="766">
        <v>8.3179180000000006</v>
      </c>
      <c r="AW8" s="766">
        <v>8.6663490000000003</v>
      </c>
      <c r="AX8" s="766">
        <v>9.7175049999999992</v>
      </c>
      <c r="AY8" s="766">
        <v>9.8692480000000007</v>
      </c>
      <c r="AZ8" s="766">
        <v>8.9950550000000007</v>
      </c>
      <c r="BA8" s="766">
        <v>7.7540620000000002</v>
      </c>
      <c r="BB8" s="766">
        <v>6.8925970000000003</v>
      </c>
      <c r="BC8" s="766">
        <v>7.823499</v>
      </c>
      <c r="BD8" s="766">
        <v>8.1399600000000003</v>
      </c>
      <c r="BE8" s="766">
        <v>8.5586900000000004</v>
      </c>
      <c r="BF8" s="766">
        <v>8.1139100000000006</v>
      </c>
      <c r="BG8" s="767">
        <v>7.1773699999999998</v>
      </c>
      <c r="BH8" s="767">
        <v>6.3806799999999999</v>
      </c>
      <c r="BI8" s="767">
        <v>8.5413099999999993</v>
      </c>
      <c r="BJ8" s="767">
        <v>9.1782500000000002</v>
      </c>
      <c r="BK8" s="767">
        <v>8.7430000000000003</v>
      </c>
      <c r="BL8" s="767">
        <v>7.8968999999999996</v>
      </c>
      <c r="BM8" s="767">
        <v>8.2873999999999999</v>
      </c>
      <c r="BN8" s="767">
        <v>7.4226799999999997</v>
      </c>
      <c r="BO8" s="767">
        <v>8.0387699999999995</v>
      </c>
      <c r="BP8" s="767">
        <v>8.46096</v>
      </c>
      <c r="BQ8" s="767">
        <v>8.7430000000000003</v>
      </c>
      <c r="BR8" s="767">
        <v>8.7430000000000003</v>
      </c>
      <c r="BS8" s="767">
        <v>7.4782000000000002</v>
      </c>
      <c r="BT8" s="767">
        <v>7.1595000000000004</v>
      </c>
      <c r="BU8" s="767">
        <v>8.46096</v>
      </c>
      <c r="BV8" s="767">
        <v>8.7430000000000003</v>
      </c>
    </row>
    <row r="9" spans="1:74" ht="11.1" customHeight="1" x14ac:dyDescent="0.2">
      <c r="A9" s="545" t="s">
        <v>1302</v>
      </c>
      <c r="B9" s="548" t="s">
        <v>1259</v>
      </c>
      <c r="C9" s="766">
        <v>2.71876206</v>
      </c>
      <c r="D9" s="766">
        <v>0.82997862499999997</v>
      </c>
      <c r="E9" s="766">
        <v>0.98235752399999998</v>
      </c>
      <c r="F9" s="766">
        <v>0.95506548999999996</v>
      </c>
      <c r="G9" s="766">
        <v>0.78837928700000004</v>
      </c>
      <c r="H9" s="766">
        <v>0.816600518</v>
      </c>
      <c r="I9" s="766">
        <v>0.87682680700000004</v>
      </c>
      <c r="J9" s="766">
        <v>0.85230850400000002</v>
      </c>
      <c r="K9" s="766">
        <v>0.70300870400000004</v>
      </c>
      <c r="L9" s="766">
        <v>0.81650328800000005</v>
      </c>
      <c r="M9" s="766">
        <v>0.67493580799999997</v>
      </c>
      <c r="N9" s="766">
        <v>0.67445264199999999</v>
      </c>
      <c r="O9" s="766">
        <v>0.779732651</v>
      </c>
      <c r="P9" s="766">
        <v>0.68079292599999996</v>
      </c>
      <c r="Q9" s="766">
        <v>0.77315661599999996</v>
      </c>
      <c r="R9" s="766">
        <v>0.8493404</v>
      </c>
      <c r="S9" s="766">
        <v>0.81884271099999995</v>
      </c>
      <c r="T9" s="766">
        <v>0.83283584399999999</v>
      </c>
      <c r="U9" s="766">
        <v>0.94323286299999998</v>
      </c>
      <c r="V9" s="766">
        <v>0.85341465000000005</v>
      </c>
      <c r="W9" s="766">
        <v>0.73248724899999995</v>
      </c>
      <c r="X9" s="766">
        <v>0.82353308599999997</v>
      </c>
      <c r="Y9" s="766">
        <v>0.78919013100000002</v>
      </c>
      <c r="Z9" s="766">
        <v>0.74748394299999998</v>
      </c>
      <c r="AA9" s="766">
        <v>0.74260077199999996</v>
      </c>
      <c r="AB9" s="766">
        <v>0.676423263</v>
      </c>
      <c r="AC9" s="766">
        <v>0.70815714699999999</v>
      </c>
      <c r="AD9" s="766">
        <v>0.76303041400000005</v>
      </c>
      <c r="AE9" s="766">
        <v>0.82066013800000004</v>
      </c>
      <c r="AF9" s="766">
        <v>0.79759728500000004</v>
      </c>
      <c r="AG9" s="766">
        <v>0.84546830799999995</v>
      </c>
      <c r="AH9" s="766">
        <v>0.67577277599999996</v>
      </c>
      <c r="AI9" s="766">
        <v>0.663708195</v>
      </c>
      <c r="AJ9" s="766">
        <v>0.79972047800000001</v>
      </c>
      <c r="AK9" s="766">
        <v>0.84180094299999997</v>
      </c>
      <c r="AL9" s="766">
        <v>0.84821750100000004</v>
      </c>
      <c r="AM9" s="766">
        <v>0.80853283899999995</v>
      </c>
      <c r="AN9" s="766">
        <v>0.67980232299999999</v>
      </c>
      <c r="AO9" s="766">
        <v>0.72003353199999998</v>
      </c>
      <c r="AP9" s="766">
        <v>0.69458526399999998</v>
      </c>
      <c r="AQ9" s="766">
        <v>0.85312280900000004</v>
      </c>
      <c r="AR9" s="766">
        <v>0.71542151600000004</v>
      </c>
      <c r="AS9" s="766">
        <v>0.67560637700000004</v>
      </c>
      <c r="AT9" s="766">
        <v>0.57509136699999996</v>
      </c>
      <c r="AU9" s="766">
        <v>0.40820632099999998</v>
      </c>
      <c r="AV9" s="766">
        <v>0.43718989600000002</v>
      </c>
      <c r="AW9" s="766">
        <v>0.68320773000000001</v>
      </c>
      <c r="AX9" s="766">
        <v>0.71109123799999996</v>
      </c>
      <c r="AY9" s="766">
        <v>0.78523202599999997</v>
      </c>
      <c r="AZ9" s="766">
        <v>0.82950715799999997</v>
      </c>
      <c r="BA9" s="766">
        <v>0.715540536</v>
      </c>
      <c r="BB9" s="766">
        <v>0.64343324499999999</v>
      </c>
      <c r="BC9" s="766">
        <v>0.93428845999999999</v>
      </c>
      <c r="BD9" s="766">
        <v>0.92569440400000003</v>
      </c>
      <c r="BE9" s="766">
        <v>0.64445169999999996</v>
      </c>
      <c r="BF9" s="766">
        <v>0.57895450000000004</v>
      </c>
      <c r="BG9" s="767">
        <v>0.44124619999999998</v>
      </c>
      <c r="BH9" s="767">
        <v>0.46671210000000002</v>
      </c>
      <c r="BI9" s="767">
        <v>0.67213409999999996</v>
      </c>
      <c r="BJ9" s="767">
        <v>0.69116750000000005</v>
      </c>
      <c r="BK9" s="767">
        <v>0.80678530000000004</v>
      </c>
      <c r="BL9" s="767">
        <v>0.81063370000000001</v>
      </c>
      <c r="BM9" s="767">
        <v>0.79086069999999997</v>
      </c>
      <c r="BN9" s="767">
        <v>0.70309489999999997</v>
      </c>
      <c r="BO9" s="767">
        <v>0.94705170000000005</v>
      </c>
      <c r="BP9" s="767">
        <v>0.91828880000000002</v>
      </c>
      <c r="BQ9" s="767">
        <v>0.63231099999999996</v>
      </c>
      <c r="BR9" s="767">
        <v>0.56503970000000003</v>
      </c>
      <c r="BS9" s="767">
        <v>0.4209252</v>
      </c>
      <c r="BT9" s="767">
        <v>0.45555279999999998</v>
      </c>
      <c r="BU9" s="767">
        <v>0.63510009999999995</v>
      </c>
      <c r="BV9" s="767">
        <v>0.66662960000000004</v>
      </c>
    </row>
    <row r="10" spans="1:74" ht="11.1" customHeight="1" x14ac:dyDescent="0.2">
      <c r="A10" s="545" t="s">
        <v>1303</v>
      </c>
      <c r="B10" s="548" t="s">
        <v>1362</v>
      </c>
      <c r="C10" s="766">
        <v>18.050050650999999</v>
      </c>
      <c r="D10" s="766">
        <v>4.9860334210000001</v>
      </c>
      <c r="E10" s="766">
        <v>4.9623096350000004</v>
      </c>
      <c r="F10" s="766">
        <v>5.6427892440000003</v>
      </c>
      <c r="G10" s="766">
        <v>3.90699576</v>
      </c>
      <c r="H10" s="766">
        <v>3.7033912839999998</v>
      </c>
      <c r="I10" s="766">
        <v>3.0493171889999999</v>
      </c>
      <c r="J10" s="766">
        <v>2.6589697179999998</v>
      </c>
      <c r="K10" s="766">
        <v>4.2288911799999997</v>
      </c>
      <c r="L10" s="766">
        <v>4.8421920150000002</v>
      </c>
      <c r="M10" s="766">
        <v>5.3417526679999998</v>
      </c>
      <c r="N10" s="766">
        <v>6.40139412</v>
      </c>
      <c r="O10" s="766">
        <v>4.5510876490000003</v>
      </c>
      <c r="P10" s="766">
        <v>5.1498658749999997</v>
      </c>
      <c r="Q10" s="766">
        <v>5.771295318</v>
      </c>
      <c r="R10" s="766">
        <v>5.308944254</v>
      </c>
      <c r="S10" s="766">
        <v>4.9750758599999996</v>
      </c>
      <c r="T10" s="766">
        <v>4.3414912259999996</v>
      </c>
      <c r="U10" s="766">
        <v>2.9489492789999998</v>
      </c>
      <c r="V10" s="766">
        <v>2.6273848649999998</v>
      </c>
      <c r="W10" s="766">
        <v>3.9639207600000002</v>
      </c>
      <c r="X10" s="766">
        <v>6.4340382859999998</v>
      </c>
      <c r="Y10" s="766">
        <v>6.3675284599999999</v>
      </c>
      <c r="Z10" s="766">
        <v>6.9749074550000003</v>
      </c>
      <c r="AA10" s="766">
        <v>6.5712519069999997</v>
      </c>
      <c r="AB10" s="766">
        <v>5.132838456</v>
      </c>
      <c r="AC10" s="766">
        <v>5.7939865729999998</v>
      </c>
      <c r="AD10" s="766">
        <v>5.5365633289999998</v>
      </c>
      <c r="AE10" s="766">
        <v>4.3779558400000003</v>
      </c>
      <c r="AF10" s="766">
        <v>4.4878497959999999</v>
      </c>
      <c r="AG10" s="766">
        <v>3.2729811190000002</v>
      </c>
      <c r="AH10" s="766">
        <v>3.5157323659999999</v>
      </c>
      <c r="AI10" s="766">
        <v>4.4523159730000001</v>
      </c>
      <c r="AJ10" s="766">
        <v>5.1174406479999996</v>
      </c>
      <c r="AK10" s="766">
        <v>5.1136131149999997</v>
      </c>
      <c r="AL10" s="766">
        <v>5.6301649720000002</v>
      </c>
      <c r="AM10" s="766">
        <v>5.740953566</v>
      </c>
      <c r="AN10" s="766">
        <v>4.8445417659999999</v>
      </c>
      <c r="AO10" s="766">
        <v>6.1270091449999997</v>
      </c>
      <c r="AP10" s="766">
        <v>6.7766511319999996</v>
      </c>
      <c r="AQ10" s="766">
        <v>5.4944530250000003</v>
      </c>
      <c r="AR10" s="766">
        <v>5.0417184820000003</v>
      </c>
      <c r="AS10" s="766">
        <v>4.3851983250000002</v>
      </c>
      <c r="AT10" s="766">
        <v>3.8527498320000002</v>
      </c>
      <c r="AU10" s="766">
        <v>5.2460281670000004</v>
      </c>
      <c r="AV10" s="766">
        <v>6.3889902440000004</v>
      </c>
      <c r="AW10" s="766">
        <v>5.849321475</v>
      </c>
      <c r="AX10" s="766">
        <v>6.3395388090000004</v>
      </c>
      <c r="AY10" s="766">
        <v>6.0252983670000004</v>
      </c>
      <c r="AZ10" s="766">
        <v>6.9505152370000003</v>
      </c>
      <c r="BA10" s="766">
        <v>6.9687777970000004</v>
      </c>
      <c r="BB10" s="766">
        <v>6.872775528</v>
      </c>
      <c r="BC10" s="766">
        <v>6.2820098140000002</v>
      </c>
      <c r="BD10" s="766">
        <v>6.4067725639999997</v>
      </c>
      <c r="BE10" s="766">
        <v>4.7120379999999997</v>
      </c>
      <c r="BF10" s="766">
        <v>5.2002579999999998</v>
      </c>
      <c r="BG10" s="767">
        <v>5.7797660000000004</v>
      </c>
      <c r="BH10" s="767">
        <v>7.6934500000000003</v>
      </c>
      <c r="BI10" s="767">
        <v>6.8914780000000002</v>
      </c>
      <c r="BJ10" s="767">
        <v>8.8451050000000002</v>
      </c>
      <c r="BK10" s="767">
        <v>8.1010050000000007</v>
      </c>
      <c r="BL10" s="767">
        <v>8.2521850000000008</v>
      </c>
      <c r="BM10" s="767">
        <v>8.3976860000000002</v>
      </c>
      <c r="BN10" s="767">
        <v>8.6188540000000007</v>
      </c>
      <c r="BO10" s="767">
        <v>7.6606969999999999</v>
      </c>
      <c r="BP10" s="767">
        <v>7.7522279999999997</v>
      </c>
      <c r="BQ10" s="767">
        <v>5.8880699999999999</v>
      </c>
      <c r="BR10" s="767">
        <v>6.2858890000000001</v>
      </c>
      <c r="BS10" s="767">
        <v>6.9836299999999998</v>
      </c>
      <c r="BT10" s="767">
        <v>8.9011289999999992</v>
      </c>
      <c r="BU10" s="767">
        <v>7.6855310000000001</v>
      </c>
      <c r="BV10" s="767">
        <v>9.2426580000000005</v>
      </c>
    </row>
    <row r="11" spans="1:74" ht="11.1" customHeight="1" x14ac:dyDescent="0.2">
      <c r="A11" s="545" t="s">
        <v>1304</v>
      </c>
      <c r="B11" s="546" t="s">
        <v>1363</v>
      </c>
      <c r="C11" s="766">
        <v>2.00833394</v>
      </c>
      <c r="D11" s="766">
        <v>0.81358732199999995</v>
      </c>
      <c r="E11" s="766">
        <v>0.71082857099999996</v>
      </c>
      <c r="F11" s="766">
        <v>0.80808441099999995</v>
      </c>
      <c r="G11" s="766">
        <v>0.73924501399999998</v>
      </c>
      <c r="H11" s="766">
        <v>0.74990705300000005</v>
      </c>
      <c r="I11" s="766">
        <v>0.66478049900000002</v>
      </c>
      <c r="J11" s="766">
        <v>0.70015450999999995</v>
      </c>
      <c r="K11" s="766">
        <v>0.74167205899999999</v>
      </c>
      <c r="L11" s="766">
        <v>0.42026472399999998</v>
      </c>
      <c r="M11" s="766">
        <v>0.74370916600000003</v>
      </c>
      <c r="N11" s="766">
        <v>0.73420559500000004</v>
      </c>
      <c r="O11" s="766">
        <v>0.803342903</v>
      </c>
      <c r="P11" s="766">
        <v>0.62931200300000001</v>
      </c>
      <c r="Q11" s="766">
        <v>0.71167445600000001</v>
      </c>
      <c r="R11" s="766">
        <v>0.37433354600000002</v>
      </c>
      <c r="S11" s="766">
        <v>0.83242768599999994</v>
      </c>
      <c r="T11" s="766">
        <v>0.68874354800000004</v>
      </c>
      <c r="U11" s="766">
        <v>0.69374177000000004</v>
      </c>
      <c r="V11" s="766">
        <v>0.56629291000000004</v>
      </c>
      <c r="W11" s="766">
        <v>0.55419663900000005</v>
      </c>
      <c r="X11" s="766">
        <v>0.441765358</v>
      </c>
      <c r="Y11" s="766">
        <v>0.67469379799999996</v>
      </c>
      <c r="Z11" s="766">
        <v>0.654717259</v>
      </c>
      <c r="AA11" s="766">
        <v>0.72981700599999999</v>
      </c>
      <c r="AB11" s="766">
        <v>0.62538171200000003</v>
      </c>
      <c r="AC11" s="766">
        <v>0.62290398499999999</v>
      </c>
      <c r="AD11" s="766">
        <v>0.58601746499999996</v>
      </c>
      <c r="AE11" s="766">
        <v>0.44374851500000001</v>
      </c>
      <c r="AF11" s="766">
        <v>0.65435142700000004</v>
      </c>
      <c r="AG11" s="766">
        <v>0.62267478300000001</v>
      </c>
      <c r="AH11" s="766">
        <v>0.60604478100000003</v>
      </c>
      <c r="AI11" s="766">
        <v>0.616115262</v>
      </c>
      <c r="AJ11" s="766">
        <v>0.37546125499999999</v>
      </c>
      <c r="AK11" s="766">
        <v>0.60913320199999998</v>
      </c>
      <c r="AL11" s="766">
        <v>0.66831875299999999</v>
      </c>
      <c r="AM11" s="766">
        <v>0.72328856600000002</v>
      </c>
      <c r="AN11" s="766">
        <v>0.63262703099999995</v>
      </c>
      <c r="AO11" s="766">
        <v>0.59903679099999996</v>
      </c>
      <c r="AP11" s="766">
        <v>0.32251686000000002</v>
      </c>
      <c r="AQ11" s="766">
        <v>0.63599439800000002</v>
      </c>
      <c r="AR11" s="766">
        <v>0.479371406</v>
      </c>
      <c r="AS11" s="766">
        <v>0.62814062800000003</v>
      </c>
      <c r="AT11" s="766">
        <v>0.56906248000000004</v>
      </c>
      <c r="AU11" s="766">
        <v>0.480099516</v>
      </c>
      <c r="AV11" s="766">
        <v>0.212198252</v>
      </c>
      <c r="AW11" s="766">
        <v>0.34018732000000002</v>
      </c>
      <c r="AX11" s="766">
        <v>0.38847414600000002</v>
      </c>
      <c r="AY11" s="766">
        <v>0.494414627</v>
      </c>
      <c r="AZ11" s="766">
        <v>0.37937955200000001</v>
      </c>
      <c r="BA11" s="766">
        <v>0.55172339000000004</v>
      </c>
      <c r="BB11" s="766">
        <v>0.39587366299999999</v>
      </c>
      <c r="BC11" s="766">
        <v>0.39258062300000002</v>
      </c>
      <c r="BD11" s="766">
        <v>0.47817882099999998</v>
      </c>
      <c r="BE11" s="766">
        <v>0.61715960000000003</v>
      </c>
      <c r="BF11" s="766">
        <v>0.56861119999999998</v>
      </c>
      <c r="BG11" s="767">
        <v>0.4830353</v>
      </c>
      <c r="BH11" s="767">
        <v>0.49367040000000001</v>
      </c>
      <c r="BI11" s="767">
        <v>0.574708</v>
      </c>
      <c r="BJ11" s="767">
        <v>0.35646139999999998</v>
      </c>
      <c r="BK11" s="767">
        <v>0.29469810000000002</v>
      </c>
      <c r="BL11" s="767">
        <v>-0.1069175</v>
      </c>
      <c r="BM11" s="767">
        <v>0.56380070000000004</v>
      </c>
      <c r="BN11" s="767">
        <v>0.80883700000000003</v>
      </c>
      <c r="BO11" s="767">
        <v>0.36523990000000001</v>
      </c>
      <c r="BP11" s="767">
        <v>0.47968660000000002</v>
      </c>
      <c r="BQ11" s="767">
        <v>0.60850789999999999</v>
      </c>
      <c r="BR11" s="767">
        <v>0.53002349999999998</v>
      </c>
      <c r="BS11" s="767">
        <v>0.40795140000000002</v>
      </c>
      <c r="BT11" s="767">
        <v>0.50291180000000002</v>
      </c>
      <c r="BU11" s="767">
        <v>0.57260800000000001</v>
      </c>
      <c r="BV11" s="767">
        <v>0.35177170000000002</v>
      </c>
    </row>
    <row r="12" spans="1:74" ht="11.1" customHeight="1" x14ac:dyDescent="0.2">
      <c r="A12" s="545" t="s">
        <v>1305</v>
      </c>
      <c r="B12" s="546" t="s">
        <v>1263</v>
      </c>
      <c r="C12" s="766">
        <v>165.76396223</v>
      </c>
      <c r="D12" s="766">
        <v>50.746866644999997</v>
      </c>
      <c r="E12" s="766">
        <v>48.646335725999997</v>
      </c>
      <c r="F12" s="766">
        <v>46.500053168999997</v>
      </c>
      <c r="G12" s="766">
        <v>47.945341003000003</v>
      </c>
      <c r="H12" s="766">
        <v>57.286322179000003</v>
      </c>
      <c r="I12" s="766">
        <v>63.039089150000002</v>
      </c>
      <c r="J12" s="766">
        <v>63.054079151000003</v>
      </c>
      <c r="K12" s="766">
        <v>53.466560786999999</v>
      </c>
      <c r="L12" s="766">
        <v>47.495325667000003</v>
      </c>
      <c r="M12" s="766">
        <v>46.111281138999999</v>
      </c>
      <c r="N12" s="766">
        <v>55.707511568000001</v>
      </c>
      <c r="O12" s="766">
        <v>55.389718096000003</v>
      </c>
      <c r="P12" s="766">
        <v>45.549596923999999</v>
      </c>
      <c r="Q12" s="766">
        <v>48.628330853000001</v>
      </c>
      <c r="R12" s="766">
        <v>44.187174996000003</v>
      </c>
      <c r="S12" s="766">
        <v>47.859654042999999</v>
      </c>
      <c r="T12" s="766">
        <v>54.774508541000003</v>
      </c>
      <c r="U12" s="766">
        <v>62.035361979999998</v>
      </c>
      <c r="V12" s="766">
        <v>57.004549726</v>
      </c>
      <c r="W12" s="766">
        <v>50.989391945000001</v>
      </c>
      <c r="X12" s="766">
        <v>50.725782889999998</v>
      </c>
      <c r="Y12" s="766">
        <v>51.036040851999999</v>
      </c>
      <c r="Z12" s="766">
        <v>57.998653519999998</v>
      </c>
      <c r="AA12" s="766">
        <v>62.236941049000002</v>
      </c>
      <c r="AB12" s="766">
        <v>51.009702058000002</v>
      </c>
      <c r="AC12" s="766">
        <v>52.842752978</v>
      </c>
      <c r="AD12" s="766">
        <v>49.182776668999999</v>
      </c>
      <c r="AE12" s="766">
        <v>53.657094456999999</v>
      </c>
      <c r="AF12" s="766">
        <v>58.916979578999999</v>
      </c>
      <c r="AG12" s="766">
        <v>64.121142792000001</v>
      </c>
      <c r="AH12" s="766">
        <v>63.229714420999997</v>
      </c>
      <c r="AI12" s="766">
        <v>55.275062781000003</v>
      </c>
      <c r="AJ12" s="766">
        <v>51.452187039999998</v>
      </c>
      <c r="AK12" s="766">
        <v>52.506515976999999</v>
      </c>
      <c r="AL12" s="766">
        <v>50.717671760000002</v>
      </c>
      <c r="AM12" s="766">
        <v>57.642445529</v>
      </c>
      <c r="AN12" s="766">
        <v>50.356312054</v>
      </c>
      <c r="AO12" s="766">
        <v>51.481273358999999</v>
      </c>
      <c r="AP12" s="766">
        <v>45.098392257999997</v>
      </c>
      <c r="AQ12" s="766">
        <v>48.531005458999999</v>
      </c>
      <c r="AR12" s="766">
        <v>52.632393256</v>
      </c>
      <c r="AS12" s="766">
        <v>63.889824193000003</v>
      </c>
      <c r="AT12" s="766">
        <v>60.659664221</v>
      </c>
      <c r="AU12" s="766">
        <v>53.671244182000002</v>
      </c>
      <c r="AV12" s="766">
        <v>49.447705429000003</v>
      </c>
      <c r="AW12" s="766">
        <v>50.220168159000004</v>
      </c>
      <c r="AX12" s="766">
        <v>52.037705076999998</v>
      </c>
      <c r="AY12" s="766">
        <v>52.357043433999998</v>
      </c>
      <c r="AZ12" s="766">
        <v>48.256356165</v>
      </c>
      <c r="BA12" s="766">
        <v>44.944645755000003</v>
      </c>
      <c r="BB12" s="766">
        <v>38.354002436999998</v>
      </c>
      <c r="BC12" s="766">
        <v>41.458583331</v>
      </c>
      <c r="BD12" s="766">
        <v>50.889873549999997</v>
      </c>
      <c r="BE12" s="766">
        <v>59.05509</v>
      </c>
      <c r="BF12" s="766">
        <v>60.232129999999998</v>
      </c>
      <c r="BG12" s="767">
        <v>51.182160000000003</v>
      </c>
      <c r="BH12" s="767">
        <v>47.8232</v>
      </c>
      <c r="BI12" s="767">
        <v>45.847499999999997</v>
      </c>
      <c r="BJ12" s="767">
        <v>53.3262</v>
      </c>
      <c r="BK12" s="767">
        <v>53.597320000000003</v>
      </c>
      <c r="BL12" s="767">
        <v>45.901389999999999</v>
      </c>
      <c r="BM12" s="767">
        <v>44.48151</v>
      </c>
      <c r="BN12" s="767">
        <v>41.021149999999999</v>
      </c>
      <c r="BO12" s="767">
        <v>45.81221</v>
      </c>
      <c r="BP12" s="767">
        <v>52.277540000000002</v>
      </c>
      <c r="BQ12" s="767">
        <v>58.93956</v>
      </c>
      <c r="BR12" s="767">
        <v>62.266509999999997</v>
      </c>
      <c r="BS12" s="767">
        <v>50.257779999999997</v>
      </c>
      <c r="BT12" s="767">
        <v>48.867570000000001</v>
      </c>
      <c r="BU12" s="767">
        <v>46.112859999999998</v>
      </c>
      <c r="BV12" s="767">
        <v>53.913989999999998</v>
      </c>
    </row>
    <row r="13" spans="1:74" ht="11.1" customHeight="1" x14ac:dyDescent="0.2">
      <c r="A13" s="545" t="s">
        <v>1306</v>
      </c>
      <c r="B13" s="546" t="s">
        <v>1364</v>
      </c>
      <c r="C13" s="766">
        <v>161.98675231999999</v>
      </c>
      <c r="D13" s="766">
        <v>49.558733099999998</v>
      </c>
      <c r="E13" s="766">
        <v>46.927284299999997</v>
      </c>
      <c r="F13" s="766">
        <v>46.106594068</v>
      </c>
      <c r="G13" s="766">
        <v>49.415899885999998</v>
      </c>
      <c r="H13" s="766">
        <v>57.974695265999998</v>
      </c>
      <c r="I13" s="766">
        <v>63.330537565</v>
      </c>
      <c r="J13" s="766">
        <v>63.444750845000002</v>
      </c>
      <c r="K13" s="766">
        <v>54.677818500000001</v>
      </c>
      <c r="L13" s="766">
        <v>49.709900554000001</v>
      </c>
      <c r="M13" s="766">
        <v>46.674558116</v>
      </c>
      <c r="N13" s="766">
        <v>55.275045050000003</v>
      </c>
      <c r="O13" s="766">
        <v>54.019850591999997</v>
      </c>
      <c r="P13" s="766">
        <v>45.515019336000002</v>
      </c>
      <c r="Q13" s="766">
        <v>49.669127236000001</v>
      </c>
      <c r="R13" s="766">
        <v>45.765910959000003</v>
      </c>
      <c r="S13" s="766">
        <v>49.571356567999999</v>
      </c>
      <c r="T13" s="766">
        <v>55.586229430000003</v>
      </c>
      <c r="U13" s="766">
        <v>62.546108154999999</v>
      </c>
      <c r="V13" s="766">
        <v>57.934519729000002</v>
      </c>
      <c r="W13" s="766">
        <v>52.225578648999999</v>
      </c>
      <c r="X13" s="766">
        <v>50.704334154999998</v>
      </c>
      <c r="Y13" s="766">
        <v>50.052068650999999</v>
      </c>
      <c r="Z13" s="766">
        <v>56.603939513999997</v>
      </c>
      <c r="AA13" s="766">
        <v>60.142330704000003</v>
      </c>
      <c r="AB13" s="766">
        <v>49.822726482999997</v>
      </c>
      <c r="AC13" s="766">
        <v>50.922854690000001</v>
      </c>
      <c r="AD13" s="766">
        <v>47.624227318000003</v>
      </c>
      <c r="AE13" s="766">
        <v>54.155674114</v>
      </c>
      <c r="AF13" s="766">
        <v>59.185988328000001</v>
      </c>
      <c r="AG13" s="766">
        <v>63.444352928000001</v>
      </c>
      <c r="AH13" s="766">
        <v>62.994460764000003</v>
      </c>
      <c r="AI13" s="766">
        <v>55.296863510000001</v>
      </c>
      <c r="AJ13" s="766">
        <v>51.654477915000001</v>
      </c>
      <c r="AK13" s="766">
        <v>52.046126289</v>
      </c>
      <c r="AL13" s="766">
        <v>53.384666801999998</v>
      </c>
      <c r="AM13" s="766">
        <v>57.653622826000003</v>
      </c>
      <c r="AN13" s="766">
        <v>50.407788023000002</v>
      </c>
      <c r="AO13" s="766">
        <v>51.521276229999998</v>
      </c>
      <c r="AP13" s="766">
        <v>46.268539857999997</v>
      </c>
      <c r="AQ13" s="766">
        <v>50.592214745</v>
      </c>
      <c r="AR13" s="766">
        <v>54.685487512999998</v>
      </c>
      <c r="AS13" s="766">
        <v>63.882065107000003</v>
      </c>
      <c r="AT13" s="766">
        <v>61.014354283000003</v>
      </c>
      <c r="AU13" s="766">
        <v>55.732864309999997</v>
      </c>
      <c r="AV13" s="766">
        <v>50.405606507000002</v>
      </c>
      <c r="AW13" s="766">
        <v>50.407555019</v>
      </c>
      <c r="AX13" s="766">
        <v>52.982953801999997</v>
      </c>
      <c r="AY13" s="766">
        <v>54.065837569999999</v>
      </c>
      <c r="AZ13" s="766">
        <v>50.100394993999998</v>
      </c>
      <c r="BA13" s="766">
        <v>48.272613974999999</v>
      </c>
      <c r="BB13" s="766">
        <v>41.701552223999997</v>
      </c>
      <c r="BC13" s="766">
        <v>43.935828891</v>
      </c>
      <c r="BD13" s="766">
        <v>54.656821329000003</v>
      </c>
      <c r="BE13" s="766">
        <v>64.199010000000001</v>
      </c>
      <c r="BF13" s="766">
        <v>60.838329999999999</v>
      </c>
      <c r="BG13" s="767">
        <v>53.655279999999998</v>
      </c>
      <c r="BH13" s="767">
        <v>49.889249999999997</v>
      </c>
      <c r="BI13" s="767">
        <v>48.843969999999999</v>
      </c>
      <c r="BJ13" s="767">
        <v>53.35801</v>
      </c>
      <c r="BK13" s="767">
        <v>53.784520000000001</v>
      </c>
      <c r="BL13" s="767">
        <v>47.450279999999999</v>
      </c>
      <c r="BM13" s="767">
        <v>48.883699999999997</v>
      </c>
      <c r="BN13" s="767">
        <v>44.669339999999998</v>
      </c>
      <c r="BO13" s="767">
        <v>49.230539999999998</v>
      </c>
      <c r="BP13" s="767">
        <v>55.984029999999997</v>
      </c>
      <c r="BQ13" s="767">
        <v>61.893619999999999</v>
      </c>
      <c r="BR13" s="767">
        <v>60.921129999999998</v>
      </c>
      <c r="BS13" s="767">
        <v>51.651159999999997</v>
      </c>
      <c r="BT13" s="767">
        <v>49.85924</v>
      </c>
      <c r="BU13" s="767">
        <v>48.799390000000002</v>
      </c>
      <c r="BV13" s="767">
        <v>53.327030000000001</v>
      </c>
    </row>
    <row r="14" spans="1:74" ht="11.1" customHeight="1" x14ac:dyDescent="0.2">
      <c r="A14" s="565"/>
      <c r="B14" s="131" t="s">
        <v>1402</v>
      </c>
      <c r="C14" s="249"/>
      <c r="D14" s="249"/>
      <c r="E14" s="249"/>
      <c r="F14" s="249"/>
      <c r="G14" s="249"/>
      <c r="H14" s="249"/>
      <c r="I14" s="249"/>
      <c r="J14" s="249"/>
      <c r="K14" s="249"/>
      <c r="L14" s="249"/>
      <c r="M14" s="249"/>
      <c r="N14" s="249"/>
      <c r="O14" s="249"/>
      <c r="P14" s="249"/>
      <c r="Q14" s="249"/>
      <c r="R14" s="249"/>
      <c r="S14" s="249"/>
      <c r="T14" s="249"/>
      <c r="U14" s="249"/>
      <c r="V14" s="249"/>
      <c r="W14" s="249"/>
      <c r="X14" s="249"/>
      <c r="Y14" s="249"/>
      <c r="Z14" s="249"/>
      <c r="AA14" s="249"/>
      <c r="AB14" s="249"/>
      <c r="AC14" s="249"/>
      <c r="AD14" s="249"/>
      <c r="AE14" s="249"/>
      <c r="AF14" s="249"/>
      <c r="AG14" s="249"/>
      <c r="AH14" s="249"/>
      <c r="AI14" s="249"/>
      <c r="AJ14" s="249"/>
      <c r="AK14" s="249"/>
      <c r="AL14" s="249"/>
      <c r="AM14" s="249"/>
      <c r="AN14" s="249"/>
      <c r="AO14" s="249"/>
      <c r="AP14" s="249"/>
      <c r="AQ14" s="249"/>
      <c r="AR14" s="249"/>
      <c r="AS14" s="249"/>
      <c r="AT14" s="249"/>
      <c r="AU14" s="249"/>
      <c r="AV14" s="249"/>
      <c r="AW14" s="249"/>
      <c r="AX14" s="249"/>
      <c r="AY14" s="249"/>
      <c r="AZ14" s="249"/>
      <c r="BA14" s="249"/>
      <c r="BB14" s="249"/>
      <c r="BC14" s="249"/>
      <c r="BD14" s="249"/>
      <c r="BE14" s="249"/>
      <c r="BF14" s="249"/>
      <c r="BG14" s="360"/>
      <c r="BH14" s="360"/>
      <c r="BI14" s="360"/>
      <c r="BJ14" s="360"/>
      <c r="BK14" s="360"/>
      <c r="BL14" s="360"/>
      <c r="BM14" s="360"/>
      <c r="BN14" s="360"/>
      <c r="BO14" s="360"/>
      <c r="BP14" s="360"/>
      <c r="BQ14" s="360"/>
      <c r="BR14" s="360"/>
      <c r="BS14" s="360"/>
      <c r="BT14" s="360"/>
      <c r="BU14" s="360"/>
      <c r="BV14" s="360"/>
    </row>
    <row r="15" spans="1:74" ht="11.1" customHeight="1" x14ac:dyDescent="0.2">
      <c r="A15" s="545" t="s">
        <v>1307</v>
      </c>
      <c r="B15" s="546" t="s">
        <v>86</v>
      </c>
      <c r="C15" s="766">
        <v>11.854998438999999</v>
      </c>
      <c r="D15" s="766">
        <v>4.0706127790000002</v>
      </c>
      <c r="E15" s="766">
        <v>4.0435668089999997</v>
      </c>
      <c r="F15" s="766">
        <v>4.4295457210000002</v>
      </c>
      <c r="G15" s="766">
        <v>5.0669576019999996</v>
      </c>
      <c r="H15" s="766">
        <v>6.9547271899999998</v>
      </c>
      <c r="I15" s="766">
        <v>7.1604959150000003</v>
      </c>
      <c r="J15" s="766">
        <v>6.6513518950000003</v>
      </c>
      <c r="K15" s="766">
        <v>5.4629416879999999</v>
      </c>
      <c r="L15" s="766">
        <v>3.8984655940000001</v>
      </c>
      <c r="M15" s="766">
        <v>4.7758891769999998</v>
      </c>
      <c r="N15" s="766">
        <v>3.9112448529999999</v>
      </c>
      <c r="O15" s="766">
        <v>3.4642416630000001</v>
      </c>
      <c r="P15" s="766">
        <v>2.781799484</v>
      </c>
      <c r="Q15" s="766">
        <v>3.545515226</v>
      </c>
      <c r="R15" s="766">
        <v>3.8771544709999999</v>
      </c>
      <c r="S15" s="766">
        <v>4.4268766900000003</v>
      </c>
      <c r="T15" s="766">
        <v>5.1378464350000002</v>
      </c>
      <c r="U15" s="766">
        <v>6.8873949049999998</v>
      </c>
      <c r="V15" s="766">
        <v>5.375317098</v>
      </c>
      <c r="W15" s="766">
        <v>4.1292010230000002</v>
      </c>
      <c r="X15" s="766">
        <v>3.4969036529999999</v>
      </c>
      <c r="Y15" s="766">
        <v>2.9636113339999999</v>
      </c>
      <c r="Z15" s="766">
        <v>4.2786363740000004</v>
      </c>
      <c r="AA15" s="766">
        <v>4.1514628340000002</v>
      </c>
      <c r="AB15" s="766">
        <v>4.2822014450000001</v>
      </c>
      <c r="AC15" s="766">
        <v>4.0132155669999996</v>
      </c>
      <c r="AD15" s="766">
        <v>4.3955475980000003</v>
      </c>
      <c r="AE15" s="766">
        <v>6.7959650800000002</v>
      </c>
      <c r="AF15" s="766">
        <v>6.9882631330000002</v>
      </c>
      <c r="AG15" s="766">
        <v>8.3343361859999998</v>
      </c>
      <c r="AH15" s="766">
        <v>7.0700561689999999</v>
      </c>
      <c r="AI15" s="766">
        <v>5.8718693069999999</v>
      </c>
      <c r="AJ15" s="766">
        <v>4.8458548720000003</v>
      </c>
      <c r="AK15" s="766">
        <v>4.5034836010000001</v>
      </c>
      <c r="AL15" s="766">
        <v>3.8250184900000002</v>
      </c>
      <c r="AM15" s="766">
        <v>4.8773454389999999</v>
      </c>
      <c r="AN15" s="766">
        <v>4.7189343289999997</v>
      </c>
      <c r="AO15" s="766">
        <v>4.4106360220000003</v>
      </c>
      <c r="AP15" s="766">
        <v>4.2267221680000002</v>
      </c>
      <c r="AQ15" s="766">
        <v>4.9895323200000004</v>
      </c>
      <c r="AR15" s="766">
        <v>6.5531088669999997</v>
      </c>
      <c r="AS15" s="766">
        <v>8.891069517</v>
      </c>
      <c r="AT15" s="766">
        <v>9.7745037490000009</v>
      </c>
      <c r="AU15" s="766">
        <v>7.4014186630000003</v>
      </c>
      <c r="AV15" s="766">
        <v>5.5663553160000001</v>
      </c>
      <c r="AW15" s="766">
        <v>4.2516074489999998</v>
      </c>
      <c r="AX15" s="766">
        <v>5.4407457130000001</v>
      </c>
      <c r="AY15" s="766">
        <v>6.136799442</v>
      </c>
      <c r="AZ15" s="766">
        <v>5.7791404450000003</v>
      </c>
      <c r="BA15" s="766">
        <v>5.4196454909999998</v>
      </c>
      <c r="BB15" s="766">
        <v>4.4644863859999999</v>
      </c>
      <c r="BC15" s="766">
        <v>5.0029757439999996</v>
      </c>
      <c r="BD15" s="766">
        <v>6.6493818899999999</v>
      </c>
      <c r="BE15" s="766">
        <v>8.6632339999999992</v>
      </c>
      <c r="BF15" s="766">
        <v>7.9422110000000004</v>
      </c>
      <c r="BG15" s="767">
        <v>6.3571070000000001</v>
      </c>
      <c r="BH15" s="767">
        <v>4.705813</v>
      </c>
      <c r="BI15" s="767">
        <v>3.809358</v>
      </c>
      <c r="BJ15" s="767">
        <v>4.7721</v>
      </c>
      <c r="BK15" s="767">
        <v>3.3672469999999999</v>
      </c>
      <c r="BL15" s="767">
        <v>3.5507230000000001</v>
      </c>
      <c r="BM15" s="767">
        <v>4.1863770000000002</v>
      </c>
      <c r="BN15" s="767">
        <v>3.2601629999999999</v>
      </c>
      <c r="BO15" s="767">
        <v>3.9393639999999999</v>
      </c>
      <c r="BP15" s="767">
        <v>5.1770829999999997</v>
      </c>
      <c r="BQ15" s="767">
        <v>7.0885530000000001</v>
      </c>
      <c r="BR15" s="767">
        <v>7.5112009999999998</v>
      </c>
      <c r="BS15" s="767">
        <v>5.2298270000000002</v>
      </c>
      <c r="BT15" s="767">
        <v>4.3257919999999999</v>
      </c>
      <c r="BU15" s="767">
        <v>3.6023239999999999</v>
      </c>
      <c r="BV15" s="767">
        <v>4.8507369999999996</v>
      </c>
    </row>
    <row r="16" spans="1:74" ht="11.1" customHeight="1" x14ac:dyDescent="0.2">
      <c r="A16" s="545" t="s">
        <v>1308</v>
      </c>
      <c r="B16" s="546" t="s">
        <v>85</v>
      </c>
      <c r="C16" s="766">
        <v>27.883487791</v>
      </c>
      <c r="D16" s="766">
        <v>8.2739434460000005</v>
      </c>
      <c r="E16" s="766">
        <v>7.638442682</v>
      </c>
      <c r="F16" s="766">
        <v>6.654032602</v>
      </c>
      <c r="G16" s="766">
        <v>7.6784447419999999</v>
      </c>
      <c r="H16" s="766">
        <v>11.260654971999999</v>
      </c>
      <c r="I16" s="766">
        <v>13.156879756</v>
      </c>
      <c r="J16" s="766">
        <v>13.729984351000001</v>
      </c>
      <c r="K16" s="766">
        <v>11.199599387999999</v>
      </c>
      <c r="L16" s="766">
        <v>10.343265288</v>
      </c>
      <c r="M16" s="766">
        <v>8.3808849730000006</v>
      </c>
      <c r="N16" s="766">
        <v>11.575995441</v>
      </c>
      <c r="O16" s="766">
        <v>11.507872363000001</v>
      </c>
      <c r="P16" s="766">
        <v>8.6129886550000005</v>
      </c>
      <c r="Q16" s="766">
        <v>8.4159833499999994</v>
      </c>
      <c r="R16" s="766">
        <v>6.2916242220000003</v>
      </c>
      <c r="S16" s="766">
        <v>7.5730387009999998</v>
      </c>
      <c r="T16" s="766">
        <v>10.653632353000001</v>
      </c>
      <c r="U16" s="766">
        <v>13.089709005</v>
      </c>
      <c r="V16" s="766">
        <v>12.583113904999999</v>
      </c>
      <c r="W16" s="766">
        <v>10.568908331999999</v>
      </c>
      <c r="X16" s="766">
        <v>7.8388102259999997</v>
      </c>
      <c r="Y16" s="766">
        <v>8.8553502930000008</v>
      </c>
      <c r="Z16" s="766">
        <v>10.291186894000001</v>
      </c>
      <c r="AA16" s="766">
        <v>11.197939418000001</v>
      </c>
      <c r="AB16" s="766">
        <v>8.992111092</v>
      </c>
      <c r="AC16" s="766">
        <v>7.7759517530000002</v>
      </c>
      <c r="AD16" s="766">
        <v>6.8527925639999996</v>
      </c>
      <c r="AE16" s="766">
        <v>7.9820408450000002</v>
      </c>
      <c r="AF16" s="766">
        <v>9.6019945979999992</v>
      </c>
      <c r="AG16" s="766">
        <v>12.749190668000001</v>
      </c>
      <c r="AH16" s="766">
        <v>11.982065713000001</v>
      </c>
      <c r="AI16" s="766">
        <v>9.4105957670000002</v>
      </c>
      <c r="AJ16" s="766">
        <v>8.1559127230000001</v>
      </c>
      <c r="AK16" s="766">
        <v>8.6981108490000008</v>
      </c>
      <c r="AL16" s="766">
        <v>10.409163187000001</v>
      </c>
      <c r="AM16" s="766">
        <v>10.114994134</v>
      </c>
      <c r="AN16" s="766">
        <v>9.0340863200000001</v>
      </c>
      <c r="AO16" s="766">
        <v>8.1735436149999998</v>
      </c>
      <c r="AP16" s="766">
        <v>5.2223070680000001</v>
      </c>
      <c r="AQ16" s="766">
        <v>5.9939364209999999</v>
      </c>
      <c r="AR16" s="766">
        <v>7.8808760539999998</v>
      </c>
      <c r="AS16" s="766">
        <v>9.7493985100000007</v>
      </c>
      <c r="AT16" s="766">
        <v>9.4700225689999993</v>
      </c>
      <c r="AU16" s="766">
        <v>8.0722478039999999</v>
      </c>
      <c r="AV16" s="766">
        <v>5.7140428249999999</v>
      </c>
      <c r="AW16" s="766">
        <v>7.0050271339999997</v>
      </c>
      <c r="AX16" s="766">
        <v>6.8223731159999996</v>
      </c>
      <c r="AY16" s="766">
        <v>6.5116408789999998</v>
      </c>
      <c r="AZ16" s="766">
        <v>5.8113317840000001</v>
      </c>
      <c r="BA16" s="766">
        <v>4.6818743610000002</v>
      </c>
      <c r="BB16" s="766">
        <v>3.841173811</v>
      </c>
      <c r="BC16" s="766">
        <v>5.0227919700000001</v>
      </c>
      <c r="BD16" s="766">
        <v>6.8379493560000002</v>
      </c>
      <c r="BE16" s="766">
        <v>10.96217</v>
      </c>
      <c r="BF16" s="766">
        <v>10.72296</v>
      </c>
      <c r="BG16" s="767">
        <v>6.6424079999999996</v>
      </c>
      <c r="BH16" s="767">
        <v>4.2101069999999998</v>
      </c>
      <c r="BI16" s="767">
        <v>5.1343959999999997</v>
      </c>
      <c r="BJ16" s="767">
        <v>4.1571429999999996</v>
      </c>
      <c r="BK16" s="767">
        <v>5.1423329999999998</v>
      </c>
      <c r="BL16" s="767">
        <v>4.6937470000000001</v>
      </c>
      <c r="BM16" s="767">
        <v>5.3274720000000002</v>
      </c>
      <c r="BN16" s="767">
        <v>4.160069</v>
      </c>
      <c r="BO16" s="767">
        <v>4.9872100000000001</v>
      </c>
      <c r="BP16" s="767">
        <v>6.3401779999999999</v>
      </c>
      <c r="BQ16" s="767">
        <v>10.895849999999999</v>
      </c>
      <c r="BR16" s="767">
        <v>11.266679999999999</v>
      </c>
      <c r="BS16" s="767">
        <v>6.2731000000000003</v>
      </c>
      <c r="BT16" s="767">
        <v>3.8323990000000001</v>
      </c>
      <c r="BU16" s="767">
        <v>4.9297659999999999</v>
      </c>
      <c r="BV16" s="767">
        <v>4.8405769999999997</v>
      </c>
    </row>
    <row r="17" spans="1:74" ht="11.1" customHeight="1" x14ac:dyDescent="0.2">
      <c r="A17" s="545" t="s">
        <v>1309</v>
      </c>
      <c r="B17" s="548" t="s">
        <v>88</v>
      </c>
      <c r="C17" s="766">
        <v>4.2023900000000003</v>
      </c>
      <c r="D17" s="766">
        <v>1.741344</v>
      </c>
      <c r="E17" s="766">
        <v>1.8668020000000001</v>
      </c>
      <c r="F17" s="766">
        <v>1.801183</v>
      </c>
      <c r="G17" s="766">
        <v>1.8451550000000001</v>
      </c>
      <c r="H17" s="766">
        <v>1.6985189999999999</v>
      </c>
      <c r="I17" s="766">
        <v>1.8044469999999999</v>
      </c>
      <c r="J17" s="766">
        <v>1.803796</v>
      </c>
      <c r="K17" s="766">
        <v>0.76250899999999999</v>
      </c>
      <c r="L17" s="766">
        <v>0.23666899999999999</v>
      </c>
      <c r="M17" s="766">
        <v>0.64177799999999996</v>
      </c>
      <c r="N17" s="766">
        <v>1.5140279999999999</v>
      </c>
      <c r="O17" s="766">
        <v>1.5131509999999999</v>
      </c>
      <c r="P17" s="766">
        <v>1.359829</v>
      </c>
      <c r="Q17" s="766">
        <v>1.5055099999999999</v>
      </c>
      <c r="R17" s="766">
        <v>1.4472210000000001</v>
      </c>
      <c r="S17" s="766">
        <v>1.456167</v>
      </c>
      <c r="T17" s="766">
        <v>1.4352320000000001</v>
      </c>
      <c r="U17" s="766">
        <v>1.458178</v>
      </c>
      <c r="V17" s="766">
        <v>1.4747749999999999</v>
      </c>
      <c r="W17" s="766">
        <v>1.440158</v>
      </c>
      <c r="X17" s="766">
        <v>1.5050950000000001</v>
      </c>
      <c r="Y17" s="766">
        <v>1.451654</v>
      </c>
      <c r="Z17" s="766">
        <v>1.513754</v>
      </c>
      <c r="AA17" s="766">
        <v>1.513188</v>
      </c>
      <c r="AB17" s="766">
        <v>1.343213</v>
      </c>
      <c r="AC17" s="766">
        <v>1.3459890000000001</v>
      </c>
      <c r="AD17" s="766">
        <v>0.56742400000000004</v>
      </c>
      <c r="AE17" s="766">
        <v>0.89510699999999999</v>
      </c>
      <c r="AF17" s="766">
        <v>1.3240860000000001</v>
      </c>
      <c r="AG17" s="766">
        <v>1.4608840000000001</v>
      </c>
      <c r="AH17" s="766">
        <v>1.4626920000000001</v>
      </c>
      <c r="AI17" s="766">
        <v>1.3556140000000001</v>
      </c>
      <c r="AJ17" s="766">
        <v>0.90893299999999999</v>
      </c>
      <c r="AK17" s="766">
        <v>1.1152260000000001</v>
      </c>
      <c r="AL17" s="766">
        <v>1.508073</v>
      </c>
      <c r="AM17" s="766">
        <v>1.511528</v>
      </c>
      <c r="AN17" s="766">
        <v>1.3598589999999999</v>
      </c>
      <c r="AO17" s="766">
        <v>1.5056719999999999</v>
      </c>
      <c r="AP17" s="766">
        <v>1.4533860000000001</v>
      </c>
      <c r="AQ17" s="766">
        <v>1.495071</v>
      </c>
      <c r="AR17" s="766">
        <v>1.4326239999999999</v>
      </c>
      <c r="AS17" s="766">
        <v>1.467462</v>
      </c>
      <c r="AT17" s="766">
        <v>1.4716</v>
      </c>
      <c r="AU17" s="766">
        <v>1.1383030000000001</v>
      </c>
      <c r="AV17" s="766">
        <v>0.59143800000000002</v>
      </c>
      <c r="AW17" s="766">
        <v>1.26033</v>
      </c>
      <c r="AX17" s="766">
        <v>1.5120610000000001</v>
      </c>
      <c r="AY17" s="766">
        <v>1.5105420000000001</v>
      </c>
      <c r="AZ17" s="766">
        <v>1.3472139999999999</v>
      </c>
      <c r="BA17" s="766">
        <v>1.501199</v>
      </c>
      <c r="BB17" s="766">
        <v>1.4584410000000001</v>
      </c>
      <c r="BC17" s="766">
        <v>1.495144</v>
      </c>
      <c r="BD17" s="766">
        <v>1.4299109999999999</v>
      </c>
      <c r="BE17" s="766">
        <v>1.47722</v>
      </c>
      <c r="BF17" s="766">
        <v>1.4651000000000001</v>
      </c>
      <c r="BG17" s="767">
        <v>1.41157</v>
      </c>
      <c r="BH17" s="767">
        <v>0.90859000000000001</v>
      </c>
      <c r="BI17" s="767">
        <v>1.12632</v>
      </c>
      <c r="BJ17" s="767">
        <v>1.4874400000000001</v>
      </c>
      <c r="BK17" s="767">
        <v>1.4874400000000001</v>
      </c>
      <c r="BL17" s="767">
        <v>1.3434999999999999</v>
      </c>
      <c r="BM17" s="767">
        <v>1.0895999999999999</v>
      </c>
      <c r="BN17" s="767">
        <v>0.56018000000000001</v>
      </c>
      <c r="BO17" s="767">
        <v>1.29633</v>
      </c>
      <c r="BP17" s="767">
        <v>1.43946</v>
      </c>
      <c r="BQ17" s="767">
        <v>1.4874400000000001</v>
      </c>
      <c r="BR17" s="767">
        <v>1.4874400000000001</v>
      </c>
      <c r="BS17" s="767">
        <v>1.43946</v>
      </c>
      <c r="BT17" s="767">
        <v>1.4874400000000001</v>
      </c>
      <c r="BU17" s="767">
        <v>1.43946</v>
      </c>
      <c r="BV17" s="767">
        <v>1.4874400000000001</v>
      </c>
    </row>
    <row r="18" spans="1:74" ht="11.1" customHeight="1" x14ac:dyDescent="0.2">
      <c r="A18" s="545" t="s">
        <v>1310</v>
      </c>
      <c r="B18" s="548" t="s">
        <v>1259</v>
      </c>
      <c r="C18" s="766">
        <v>3.9637749279999999</v>
      </c>
      <c r="D18" s="766">
        <v>1.1803707939999999</v>
      </c>
      <c r="E18" s="766">
        <v>1.1529923769999999</v>
      </c>
      <c r="F18" s="766">
        <v>0.97806877299999995</v>
      </c>
      <c r="G18" s="766">
        <v>1.0208596059999999</v>
      </c>
      <c r="H18" s="766">
        <v>1.227922542</v>
      </c>
      <c r="I18" s="766">
        <v>1.3065138590000001</v>
      </c>
      <c r="J18" s="766">
        <v>1.189452242</v>
      </c>
      <c r="K18" s="766">
        <v>1.0735946810000001</v>
      </c>
      <c r="L18" s="766">
        <v>0.88328593700000002</v>
      </c>
      <c r="M18" s="766">
        <v>0.67917422999999999</v>
      </c>
      <c r="N18" s="766">
        <v>0.74824627200000005</v>
      </c>
      <c r="O18" s="766">
        <v>1.012226847</v>
      </c>
      <c r="P18" s="766">
        <v>0.82221510900000006</v>
      </c>
      <c r="Q18" s="766">
        <v>0.903104554</v>
      </c>
      <c r="R18" s="766">
        <v>1.3013417860000001</v>
      </c>
      <c r="S18" s="766">
        <v>1.72582912</v>
      </c>
      <c r="T18" s="766">
        <v>1.3588962360000001</v>
      </c>
      <c r="U18" s="766">
        <v>1.6344661650000001</v>
      </c>
      <c r="V18" s="766">
        <v>1.2481675860000001</v>
      </c>
      <c r="W18" s="766">
        <v>0.96353450100000004</v>
      </c>
      <c r="X18" s="766">
        <v>1.1945750040000001</v>
      </c>
      <c r="Y18" s="766">
        <v>0.99023996000000003</v>
      </c>
      <c r="Z18" s="766">
        <v>1.043240132</v>
      </c>
      <c r="AA18" s="766">
        <v>1.121909048</v>
      </c>
      <c r="AB18" s="766">
        <v>1.044664518</v>
      </c>
      <c r="AC18" s="766">
        <v>1.1448424960000001</v>
      </c>
      <c r="AD18" s="766">
        <v>1.3152457319999999</v>
      </c>
      <c r="AE18" s="766">
        <v>1.2266688530000001</v>
      </c>
      <c r="AF18" s="766">
        <v>1.2415167</v>
      </c>
      <c r="AG18" s="766">
        <v>1.7224110859999999</v>
      </c>
      <c r="AH18" s="766">
        <v>0.95005122099999995</v>
      </c>
      <c r="AI18" s="766">
        <v>1.0326987839999999</v>
      </c>
      <c r="AJ18" s="766">
        <v>1.581065443</v>
      </c>
      <c r="AK18" s="766">
        <v>1.592087356</v>
      </c>
      <c r="AL18" s="766">
        <v>1.516608763</v>
      </c>
      <c r="AM18" s="766">
        <v>1.4547333069999999</v>
      </c>
      <c r="AN18" s="766">
        <v>1.2067236189999999</v>
      </c>
      <c r="AO18" s="766">
        <v>1.282802438</v>
      </c>
      <c r="AP18" s="766">
        <v>1.237376392</v>
      </c>
      <c r="AQ18" s="766">
        <v>1.5330575989999999</v>
      </c>
      <c r="AR18" s="766">
        <v>1.285646576</v>
      </c>
      <c r="AS18" s="766">
        <v>1.14973696</v>
      </c>
      <c r="AT18" s="766">
        <v>0.90086219599999995</v>
      </c>
      <c r="AU18" s="766">
        <v>0.62336570000000002</v>
      </c>
      <c r="AV18" s="766">
        <v>0.68184402300000002</v>
      </c>
      <c r="AW18" s="766">
        <v>1.1327829899999999</v>
      </c>
      <c r="AX18" s="766">
        <v>1.231195349</v>
      </c>
      <c r="AY18" s="766">
        <v>1.413035313</v>
      </c>
      <c r="AZ18" s="766">
        <v>1.507329658</v>
      </c>
      <c r="BA18" s="766">
        <v>1.2740362030000001</v>
      </c>
      <c r="BB18" s="766">
        <v>1.105838283</v>
      </c>
      <c r="BC18" s="766">
        <v>1.6875380360000001</v>
      </c>
      <c r="BD18" s="766">
        <v>1.664749681</v>
      </c>
      <c r="BE18" s="766">
        <v>1.159753</v>
      </c>
      <c r="BF18" s="766">
        <v>0.97632339999999995</v>
      </c>
      <c r="BG18" s="767">
        <v>0.69381579999999998</v>
      </c>
      <c r="BH18" s="767">
        <v>0.70476349999999999</v>
      </c>
      <c r="BI18" s="767">
        <v>1.0847230000000001</v>
      </c>
      <c r="BJ18" s="767">
        <v>1.1455360000000001</v>
      </c>
      <c r="BK18" s="767">
        <v>1.392676</v>
      </c>
      <c r="BL18" s="767">
        <v>1.4402060000000001</v>
      </c>
      <c r="BM18" s="767">
        <v>1.379537</v>
      </c>
      <c r="BN18" s="767">
        <v>1.181405</v>
      </c>
      <c r="BO18" s="767">
        <v>1.651286</v>
      </c>
      <c r="BP18" s="767">
        <v>1.5900430000000001</v>
      </c>
      <c r="BQ18" s="767">
        <v>1.1080350000000001</v>
      </c>
      <c r="BR18" s="767">
        <v>0.90736879999999998</v>
      </c>
      <c r="BS18" s="767">
        <v>0.62590380000000001</v>
      </c>
      <c r="BT18" s="767">
        <v>0.68387169999999997</v>
      </c>
      <c r="BU18" s="767">
        <v>1.0231889999999999</v>
      </c>
      <c r="BV18" s="767">
        <v>1.1161970000000001</v>
      </c>
    </row>
    <row r="19" spans="1:74" ht="11.1" customHeight="1" x14ac:dyDescent="0.2">
      <c r="A19" s="545" t="s">
        <v>1311</v>
      </c>
      <c r="B19" s="548" t="s">
        <v>1362</v>
      </c>
      <c r="C19" s="766">
        <v>18.740182002000001</v>
      </c>
      <c r="D19" s="766">
        <v>4.1926124140000001</v>
      </c>
      <c r="E19" s="766">
        <v>4.6566830010000002</v>
      </c>
      <c r="F19" s="766">
        <v>4.2824081879999998</v>
      </c>
      <c r="G19" s="766">
        <v>3.9198648359999999</v>
      </c>
      <c r="H19" s="766">
        <v>3.3448619810000002</v>
      </c>
      <c r="I19" s="766">
        <v>3.829899766</v>
      </c>
      <c r="J19" s="766">
        <v>2.985386536</v>
      </c>
      <c r="K19" s="766">
        <v>3.7035848219999998</v>
      </c>
      <c r="L19" s="766">
        <v>4.7422971220000001</v>
      </c>
      <c r="M19" s="766">
        <v>4.1218652750000002</v>
      </c>
      <c r="N19" s="766">
        <v>4.6634789039999998</v>
      </c>
      <c r="O19" s="766">
        <v>4.626301862</v>
      </c>
      <c r="P19" s="766">
        <v>4.8809969329999996</v>
      </c>
      <c r="Q19" s="766">
        <v>5.9702599620000001</v>
      </c>
      <c r="R19" s="766">
        <v>5.8940326650000001</v>
      </c>
      <c r="S19" s="766">
        <v>5.1660230499999997</v>
      </c>
      <c r="T19" s="766">
        <v>4.8625161710000002</v>
      </c>
      <c r="U19" s="766">
        <v>3.922526001</v>
      </c>
      <c r="V19" s="766">
        <v>2.938646592</v>
      </c>
      <c r="W19" s="766">
        <v>4.9045390619999996</v>
      </c>
      <c r="X19" s="766">
        <v>6.3130097850000002</v>
      </c>
      <c r="Y19" s="766">
        <v>5.5057711610000002</v>
      </c>
      <c r="Z19" s="766">
        <v>5.9488138350000002</v>
      </c>
      <c r="AA19" s="766">
        <v>6.4474280159999999</v>
      </c>
      <c r="AB19" s="766">
        <v>5.5431707159999997</v>
      </c>
      <c r="AC19" s="766">
        <v>6.6648134719999996</v>
      </c>
      <c r="AD19" s="766">
        <v>6.6004418979999997</v>
      </c>
      <c r="AE19" s="766">
        <v>5.50554027</v>
      </c>
      <c r="AF19" s="766">
        <v>6.4461680250000004</v>
      </c>
      <c r="AG19" s="766">
        <v>3.282405019</v>
      </c>
      <c r="AH19" s="766">
        <v>4.8544887360000004</v>
      </c>
      <c r="AI19" s="766">
        <v>4.9882096029999996</v>
      </c>
      <c r="AJ19" s="766">
        <v>4.9476368900000001</v>
      </c>
      <c r="AK19" s="766">
        <v>5.3477310659999997</v>
      </c>
      <c r="AL19" s="766">
        <v>6.2703970590000004</v>
      </c>
      <c r="AM19" s="766">
        <v>6.1135785460000003</v>
      </c>
      <c r="AN19" s="766">
        <v>5.5162236360000003</v>
      </c>
      <c r="AO19" s="766">
        <v>6.4519688469999998</v>
      </c>
      <c r="AP19" s="766">
        <v>7.0004719360000003</v>
      </c>
      <c r="AQ19" s="766">
        <v>6.1865493220000003</v>
      </c>
      <c r="AR19" s="766">
        <v>5.2960203110000004</v>
      </c>
      <c r="AS19" s="766">
        <v>5.6169279019999996</v>
      </c>
      <c r="AT19" s="766">
        <v>5.0615202029999997</v>
      </c>
      <c r="AU19" s="766">
        <v>6.7917613079999999</v>
      </c>
      <c r="AV19" s="766">
        <v>7.4773373379999999</v>
      </c>
      <c r="AW19" s="766">
        <v>6.6062380169999999</v>
      </c>
      <c r="AX19" s="766">
        <v>6.8458944419999996</v>
      </c>
      <c r="AY19" s="766">
        <v>6.8382790299999998</v>
      </c>
      <c r="AZ19" s="766">
        <v>6.8352025599999999</v>
      </c>
      <c r="BA19" s="766">
        <v>6.9147791080000003</v>
      </c>
      <c r="BB19" s="766">
        <v>7.1087808250000002</v>
      </c>
      <c r="BC19" s="766">
        <v>6.501066164</v>
      </c>
      <c r="BD19" s="766">
        <v>8.0653531459999996</v>
      </c>
      <c r="BE19" s="766">
        <v>6.1708540000000003</v>
      </c>
      <c r="BF19" s="766">
        <v>6.449592</v>
      </c>
      <c r="BG19" s="767">
        <v>6.3409120000000003</v>
      </c>
      <c r="BH19" s="767">
        <v>8.4026969999999999</v>
      </c>
      <c r="BI19" s="767">
        <v>7.1633129999999996</v>
      </c>
      <c r="BJ19" s="767">
        <v>8.5074590000000008</v>
      </c>
      <c r="BK19" s="767">
        <v>9.4496369999999992</v>
      </c>
      <c r="BL19" s="767">
        <v>7.738524</v>
      </c>
      <c r="BM19" s="767">
        <v>9.0025600000000008</v>
      </c>
      <c r="BN19" s="767">
        <v>8.9184429999999999</v>
      </c>
      <c r="BO19" s="767">
        <v>8.01431</v>
      </c>
      <c r="BP19" s="767">
        <v>9.6376810000000006</v>
      </c>
      <c r="BQ19" s="767">
        <v>8.0357900000000004</v>
      </c>
      <c r="BR19" s="767">
        <v>7.6220990000000004</v>
      </c>
      <c r="BS19" s="767">
        <v>7.8434540000000004</v>
      </c>
      <c r="BT19" s="767">
        <v>9.6825969999999995</v>
      </c>
      <c r="BU19" s="767">
        <v>8.5784369999999992</v>
      </c>
      <c r="BV19" s="767">
        <v>8.9439240000000009</v>
      </c>
    </row>
    <row r="20" spans="1:74" ht="11.1" customHeight="1" x14ac:dyDescent="0.2">
      <c r="A20" s="545" t="s">
        <v>1312</v>
      </c>
      <c r="B20" s="546" t="s">
        <v>1363</v>
      </c>
      <c r="C20" s="766">
        <v>0.22214713</v>
      </c>
      <c r="D20" s="766">
        <v>0.100614777</v>
      </c>
      <c r="E20" s="766">
        <v>6.7031726999999999E-2</v>
      </c>
      <c r="F20" s="766">
        <v>5.5989919999999999E-2</v>
      </c>
      <c r="G20" s="766">
        <v>9.8621203000000005E-2</v>
      </c>
      <c r="H20" s="766">
        <v>8.9850281000000004E-2</v>
      </c>
      <c r="I20" s="766">
        <v>6.9274500000000003E-2</v>
      </c>
      <c r="J20" s="766">
        <v>5.2866894999999997E-2</v>
      </c>
      <c r="K20" s="766">
        <v>6.0314089000000001E-2</v>
      </c>
      <c r="L20" s="766">
        <v>6.5186096999999998E-2</v>
      </c>
      <c r="M20" s="766">
        <v>5.8105417999999999E-2</v>
      </c>
      <c r="N20" s="766">
        <v>7.6603736000000006E-2</v>
      </c>
      <c r="O20" s="766">
        <v>5.7195859000000002E-2</v>
      </c>
      <c r="P20" s="766">
        <v>5.2606525000000001E-2</v>
      </c>
      <c r="Q20" s="766">
        <v>5.6870606999999997E-2</v>
      </c>
      <c r="R20" s="766">
        <v>7.8516069999999993E-2</v>
      </c>
      <c r="S20" s="766">
        <v>8.2342256000000003E-2</v>
      </c>
      <c r="T20" s="766">
        <v>8.4969394000000004E-2</v>
      </c>
      <c r="U20" s="766">
        <v>6.2306597999999998E-2</v>
      </c>
      <c r="V20" s="766">
        <v>8.6534711E-2</v>
      </c>
      <c r="W20" s="766">
        <v>6.9515562000000003E-2</v>
      </c>
      <c r="X20" s="766">
        <v>5.4480020999999997E-2</v>
      </c>
      <c r="Y20" s="766">
        <v>7.2487661999999994E-2</v>
      </c>
      <c r="Z20" s="766">
        <v>6.9500824000000003E-2</v>
      </c>
      <c r="AA20" s="766">
        <v>7.2595086000000003E-2</v>
      </c>
      <c r="AB20" s="766">
        <v>6.3828764999999996E-2</v>
      </c>
      <c r="AC20" s="766">
        <v>7.7079992E-2</v>
      </c>
      <c r="AD20" s="766">
        <v>5.7678106E-2</v>
      </c>
      <c r="AE20" s="766">
        <v>6.5053810000000004E-2</v>
      </c>
      <c r="AF20" s="766">
        <v>7.3400749000000001E-2</v>
      </c>
      <c r="AG20" s="766">
        <v>4.6648469999999997E-2</v>
      </c>
      <c r="AH20" s="766">
        <v>4.6844838E-2</v>
      </c>
      <c r="AI20" s="766">
        <v>4.6621172000000002E-2</v>
      </c>
      <c r="AJ20" s="766">
        <v>7.8715516999999999E-2</v>
      </c>
      <c r="AK20" s="766">
        <v>5.6734142000000001E-2</v>
      </c>
      <c r="AL20" s="766">
        <v>6.3329144000000004E-2</v>
      </c>
      <c r="AM20" s="766">
        <v>9.9706431999999998E-2</v>
      </c>
      <c r="AN20" s="766">
        <v>7.5588191999999998E-2</v>
      </c>
      <c r="AO20" s="766">
        <v>7.3897135000000003E-2</v>
      </c>
      <c r="AP20" s="766">
        <v>0.115205747</v>
      </c>
      <c r="AQ20" s="766">
        <v>9.3458424999999998E-2</v>
      </c>
      <c r="AR20" s="766">
        <v>0.117590264</v>
      </c>
      <c r="AS20" s="766">
        <v>3.5733089000000003E-2</v>
      </c>
      <c r="AT20" s="766">
        <v>4.2447789999999999E-2</v>
      </c>
      <c r="AU20" s="766">
        <v>3.8445135999999998E-2</v>
      </c>
      <c r="AV20" s="766">
        <v>3.3315086000000001E-2</v>
      </c>
      <c r="AW20" s="766">
        <v>4.3428104000000002E-2</v>
      </c>
      <c r="AX20" s="766">
        <v>4.9218361000000002E-2</v>
      </c>
      <c r="AY20" s="766">
        <v>4.7775877000000001E-2</v>
      </c>
      <c r="AZ20" s="766">
        <v>5.2091289999999998E-2</v>
      </c>
      <c r="BA20" s="766">
        <v>3.9099243999999998E-2</v>
      </c>
      <c r="BB20" s="766">
        <v>3.3508694999999998E-2</v>
      </c>
      <c r="BC20" s="766">
        <v>2.6116190000000001E-2</v>
      </c>
      <c r="BD20" s="766">
        <v>3.1499457000000002E-2</v>
      </c>
      <c r="BE20" s="766">
        <v>3.3050799999999998E-2</v>
      </c>
      <c r="BF20" s="766">
        <v>2.9349400000000001E-2</v>
      </c>
      <c r="BG20" s="767">
        <v>2.0758800000000001E-2</v>
      </c>
      <c r="BH20" s="767">
        <v>2.3670900000000002E-2</v>
      </c>
      <c r="BI20" s="767">
        <v>4.4070699999999997E-2</v>
      </c>
      <c r="BJ20" s="767">
        <v>4.3582299999999997E-2</v>
      </c>
      <c r="BK20" s="767">
        <v>4.4015899999999997E-2</v>
      </c>
      <c r="BL20" s="767">
        <v>4.2809600000000003E-2</v>
      </c>
      <c r="BM20" s="767">
        <v>4.3985000000000003E-2</v>
      </c>
      <c r="BN20" s="767">
        <v>2.4989500000000001E-2</v>
      </c>
      <c r="BO20" s="767">
        <v>2.2231999999999998E-2</v>
      </c>
      <c r="BP20" s="767">
        <v>2.0752300000000001E-2</v>
      </c>
      <c r="BQ20" s="767">
        <v>1.22779E-2</v>
      </c>
      <c r="BR20" s="767">
        <v>3.2616699999999998E-2</v>
      </c>
      <c r="BS20" s="767">
        <v>1.6664100000000001E-2</v>
      </c>
      <c r="BT20" s="767">
        <v>2.4832099999999999E-2</v>
      </c>
      <c r="BU20" s="767">
        <v>4.9643399999999997E-2</v>
      </c>
      <c r="BV20" s="767">
        <v>4.7270199999999998E-2</v>
      </c>
    </row>
    <row r="21" spans="1:74" ht="11.1" customHeight="1" x14ac:dyDescent="0.2">
      <c r="A21" s="545" t="s">
        <v>1313</v>
      </c>
      <c r="B21" s="546" t="s">
        <v>1263</v>
      </c>
      <c r="C21" s="766">
        <v>66.866980290000001</v>
      </c>
      <c r="D21" s="766">
        <v>19.559498210000001</v>
      </c>
      <c r="E21" s="766">
        <v>19.425518596</v>
      </c>
      <c r="F21" s="766">
        <v>18.201228204</v>
      </c>
      <c r="G21" s="766">
        <v>19.629902989000001</v>
      </c>
      <c r="H21" s="766">
        <v>24.576535966000002</v>
      </c>
      <c r="I21" s="766">
        <v>27.327510795999999</v>
      </c>
      <c r="J21" s="766">
        <v>26.412837919000001</v>
      </c>
      <c r="K21" s="766">
        <v>22.262543667999999</v>
      </c>
      <c r="L21" s="766">
        <v>20.169169038</v>
      </c>
      <c r="M21" s="766">
        <v>18.657697073000001</v>
      </c>
      <c r="N21" s="766">
        <v>22.489597205999999</v>
      </c>
      <c r="O21" s="766">
        <v>22.180989594</v>
      </c>
      <c r="P21" s="766">
        <v>18.510435705999999</v>
      </c>
      <c r="Q21" s="766">
        <v>20.397243699000001</v>
      </c>
      <c r="R21" s="766">
        <v>18.889890214000001</v>
      </c>
      <c r="S21" s="766">
        <v>20.430276816999999</v>
      </c>
      <c r="T21" s="766">
        <v>23.533092588999999</v>
      </c>
      <c r="U21" s="766">
        <v>27.054580674</v>
      </c>
      <c r="V21" s="766">
        <v>23.706554892</v>
      </c>
      <c r="W21" s="766">
        <v>22.075856479999999</v>
      </c>
      <c r="X21" s="766">
        <v>20.402873689</v>
      </c>
      <c r="Y21" s="766">
        <v>19.839114410000001</v>
      </c>
      <c r="Z21" s="766">
        <v>23.145132059000002</v>
      </c>
      <c r="AA21" s="766">
        <v>24.504522401999999</v>
      </c>
      <c r="AB21" s="766">
        <v>21.269189535999999</v>
      </c>
      <c r="AC21" s="766">
        <v>21.021892279999999</v>
      </c>
      <c r="AD21" s="766">
        <v>19.789129897999999</v>
      </c>
      <c r="AE21" s="766">
        <v>22.470375858000001</v>
      </c>
      <c r="AF21" s="766">
        <v>25.675429205</v>
      </c>
      <c r="AG21" s="766">
        <v>27.595875428999999</v>
      </c>
      <c r="AH21" s="766">
        <v>26.366198677</v>
      </c>
      <c r="AI21" s="766">
        <v>22.705608633000001</v>
      </c>
      <c r="AJ21" s="766">
        <v>20.518118444999999</v>
      </c>
      <c r="AK21" s="766">
        <v>21.313373014</v>
      </c>
      <c r="AL21" s="766">
        <v>23.592589643</v>
      </c>
      <c r="AM21" s="766">
        <v>24.171885858</v>
      </c>
      <c r="AN21" s="766">
        <v>21.911415095999999</v>
      </c>
      <c r="AO21" s="766">
        <v>21.898520056999999</v>
      </c>
      <c r="AP21" s="766">
        <v>19.255469310999999</v>
      </c>
      <c r="AQ21" s="766">
        <v>20.291605087000001</v>
      </c>
      <c r="AR21" s="766">
        <v>22.565866071999999</v>
      </c>
      <c r="AS21" s="766">
        <v>26.910327978000002</v>
      </c>
      <c r="AT21" s="766">
        <v>26.720956507</v>
      </c>
      <c r="AU21" s="766">
        <v>24.065541611</v>
      </c>
      <c r="AV21" s="766">
        <v>20.064332587999999</v>
      </c>
      <c r="AW21" s="766">
        <v>20.299413693999998</v>
      </c>
      <c r="AX21" s="766">
        <v>21.901487980999999</v>
      </c>
      <c r="AY21" s="766">
        <v>22.458072541</v>
      </c>
      <c r="AZ21" s="766">
        <v>21.332309736999999</v>
      </c>
      <c r="BA21" s="766">
        <v>19.830633407000001</v>
      </c>
      <c r="BB21" s="766">
        <v>18.012229000000001</v>
      </c>
      <c r="BC21" s="766">
        <v>19.735632104</v>
      </c>
      <c r="BD21" s="766">
        <v>24.678844529999999</v>
      </c>
      <c r="BE21" s="766">
        <v>28.466290000000001</v>
      </c>
      <c r="BF21" s="766">
        <v>27.585540000000002</v>
      </c>
      <c r="BG21" s="767">
        <v>21.466570000000001</v>
      </c>
      <c r="BH21" s="767">
        <v>18.955639999999999</v>
      </c>
      <c r="BI21" s="767">
        <v>18.362179999999999</v>
      </c>
      <c r="BJ21" s="767">
        <v>20.11326</v>
      </c>
      <c r="BK21" s="767">
        <v>20.88335</v>
      </c>
      <c r="BL21" s="767">
        <v>18.80951</v>
      </c>
      <c r="BM21" s="767">
        <v>21.029530000000001</v>
      </c>
      <c r="BN21" s="767">
        <v>18.105250000000002</v>
      </c>
      <c r="BO21" s="767">
        <v>19.910730000000001</v>
      </c>
      <c r="BP21" s="767">
        <v>24.205200000000001</v>
      </c>
      <c r="BQ21" s="767">
        <v>28.627949999999998</v>
      </c>
      <c r="BR21" s="767">
        <v>28.82741</v>
      </c>
      <c r="BS21" s="767">
        <v>21.42841</v>
      </c>
      <c r="BT21" s="767">
        <v>20.036930000000002</v>
      </c>
      <c r="BU21" s="767">
        <v>19.622820000000001</v>
      </c>
      <c r="BV21" s="767">
        <v>21.286149999999999</v>
      </c>
    </row>
    <row r="22" spans="1:74" ht="11.1" customHeight="1" x14ac:dyDescent="0.2">
      <c r="A22" s="545" t="s">
        <v>1314</v>
      </c>
      <c r="B22" s="546" t="s">
        <v>1364</v>
      </c>
      <c r="C22" s="766">
        <v>60.082744071999997</v>
      </c>
      <c r="D22" s="766">
        <v>19.185384574</v>
      </c>
      <c r="E22" s="766">
        <v>18.572845633</v>
      </c>
      <c r="F22" s="766">
        <v>17.782266783000001</v>
      </c>
      <c r="G22" s="766">
        <v>19.210225701999999</v>
      </c>
      <c r="H22" s="766">
        <v>24.225868866999999</v>
      </c>
      <c r="I22" s="766">
        <v>26.980675051999999</v>
      </c>
      <c r="J22" s="766">
        <v>26.093596108</v>
      </c>
      <c r="K22" s="766">
        <v>21.494312398000002</v>
      </c>
      <c r="L22" s="766">
        <v>19.599410752000001</v>
      </c>
      <c r="M22" s="766">
        <v>18.468149707999999</v>
      </c>
      <c r="N22" s="766">
        <v>22.014225147000001</v>
      </c>
      <c r="O22" s="766">
        <v>22.442992700000001</v>
      </c>
      <c r="P22" s="766">
        <v>18.730174578</v>
      </c>
      <c r="Q22" s="766">
        <v>20.142356192000001</v>
      </c>
      <c r="R22" s="766">
        <v>18.454056488999999</v>
      </c>
      <c r="S22" s="766">
        <v>20.226458393000001</v>
      </c>
      <c r="T22" s="766">
        <v>23.396733358999999</v>
      </c>
      <c r="U22" s="766">
        <v>26.805203443</v>
      </c>
      <c r="V22" s="766">
        <v>23.682525817999998</v>
      </c>
      <c r="W22" s="766">
        <v>21.526847425</v>
      </c>
      <c r="X22" s="766">
        <v>19.331788</v>
      </c>
      <c r="Y22" s="766">
        <v>18.739426327</v>
      </c>
      <c r="Z22" s="766">
        <v>21.465488249</v>
      </c>
      <c r="AA22" s="766">
        <v>23.908134917000002</v>
      </c>
      <c r="AB22" s="766">
        <v>20.707682006999999</v>
      </c>
      <c r="AC22" s="766">
        <v>20.171271168000001</v>
      </c>
      <c r="AD22" s="766">
        <v>19.491875826000001</v>
      </c>
      <c r="AE22" s="766">
        <v>22.414790101000001</v>
      </c>
      <c r="AF22" s="766">
        <v>25.127384163999999</v>
      </c>
      <c r="AG22" s="766">
        <v>27.381334805000002</v>
      </c>
      <c r="AH22" s="766">
        <v>26.213309669000001</v>
      </c>
      <c r="AI22" s="766">
        <v>21.587743926000002</v>
      </c>
      <c r="AJ22" s="766">
        <v>19.923178801999999</v>
      </c>
      <c r="AK22" s="766">
        <v>20.818189017000002</v>
      </c>
      <c r="AL22" s="766">
        <v>23.180098224000002</v>
      </c>
      <c r="AM22" s="766">
        <v>23.835267130999998</v>
      </c>
      <c r="AN22" s="766">
        <v>21.367301869999999</v>
      </c>
      <c r="AO22" s="766">
        <v>19.373941614</v>
      </c>
      <c r="AP22" s="766">
        <v>18.503607941999999</v>
      </c>
      <c r="AQ22" s="766">
        <v>19.72523674</v>
      </c>
      <c r="AR22" s="766">
        <v>21.810991904000002</v>
      </c>
      <c r="AS22" s="766">
        <v>27.099890058</v>
      </c>
      <c r="AT22" s="766">
        <v>26.531465411999999</v>
      </c>
      <c r="AU22" s="766">
        <v>23.837944607000001</v>
      </c>
      <c r="AV22" s="766">
        <v>19.502577818999999</v>
      </c>
      <c r="AW22" s="766">
        <v>20.061509618999999</v>
      </c>
      <c r="AX22" s="766">
        <v>21.899550383000001</v>
      </c>
      <c r="AY22" s="766">
        <v>22.864566451999998</v>
      </c>
      <c r="AZ22" s="766">
        <v>20.874584994999999</v>
      </c>
      <c r="BA22" s="766">
        <v>17.804652119</v>
      </c>
      <c r="BB22" s="766">
        <v>17.640442755999999</v>
      </c>
      <c r="BC22" s="766">
        <v>18.608595439999998</v>
      </c>
      <c r="BD22" s="766">
        <v>23.503540000000001</v>
      </c>
      <c r="BE22" s="766">
        <v>26.72589</v>
      </c>
      <c r="BF22" s="766">
        <v>25.199210000000001</v>
      </c>
      <c r="BG22" s="767">
        <v>21.00235</v>
      </c>
      <c r="BH22" s="767">
        <v>18.55172</v>
      </c>
      <c r="BI22" s="767">
        <v>18.140370000000001</v>
      </c>
      <c r="BJ22" s="767">
        <v>20.094519999999999</v>
      </c>
      <c r="BK22" s="767">
        <v>20.452839999999998</v>
      </c>
      <c r="BL22" s="767">
        <v>17.89433</v>
      </c>
      <c r="BM22" s="767">
        <v>18.470890000000001</v>
      </c>
      <c r="BN22" s="767">
        <v>17.54992</v>
      </c>
      <c r="BO22" s="767">
        <v>18.756399999999999</v>
      </c>
      <c r="BP22" s="767">
        <v>23.005310000000001</v>
      </c>
      <c r="BQ22" s="767">
        <v>26.40326</v>
      </c>
      <c r="BR22" s="767">
        <v>26.58642</v>
      </c>
      <c r="BS22" s="767">
        <v>21.008199999999999</v>
      </c>
      <c r="BT22" s="767">
        <v>19.364319999999999</v>
      </c>
      <c r="BU22" s="767">
        <v>19.02214</v>
      </c>
      <c r="BV22" s="767">
        <v>21.024419999999999</v>
      </c>
    </row>
    <row r="23" spans="1:74" ht="11.1" customHeight="1" x14ac:dyDescent="0.2">
      <c r="A23" s="565"/>
      <c r="B23" s="131" t="s">
        <v>1378</v>
      </c>
      <c r="C23" s="249"/>
      <c r="D23" s="249"/>
      <c r="E23" s="249"/>
      <c r="F23" s="249"/>
      <c r="G23" s="249"/>
      <c r="H23" s="249"/>
      <c r="I23" s="249"/>
      <c r="J23" s="249"/>
      <c r="K23" s="249"/>
      <c r="L23" s="249"/>
      <c r="M23" s="249"/>
      <c r="N23" s="249"/>
      <c r="O23" s="249"/>
      <c r="P23" s="249"/>
      <c r="Q23" s="249"/>
      <c r="R23" s="249"/>
      <c r="S23" s="249"/>
      <c r="T23" s="249"/>
      <c r="U23" s="249"/>
      <c r="V23" s="249"/>
      <c r="W23" s="249"/>
      <c r="X23" s="249"/>
      <c r="Y23" s="249"/>
      <c r="Z23" s="249"/>
      <c r="AA23" s="249"/>
      <c r="AB23" s="249"/>
      <c r="AC23" s="249"/>
      <c r="AD23" s="249"/>
      <c r="AE23" s="249"/>
      <c r="AF23" s="249"/>
      <c r="AG23" s="249"/>
      <c r="AH23" s="249"/>
      <c r="AI23" s="249"/>
      <c r="AJ23" s="249"/>
      <c r="AK23" s="249"/>
      <c r="AL23" s="249"/>
      <c r="AM23" s="249"/>
      <c r="AN23" s="249"/>
      <c r="AO23" s="249"/>
      <c r="AP23" s="249"/>
      <c r="AQ23" s="249"/>
      <c r="AR23" s="249"/>
      <c r="AS23" s="249"/>
      <c r="AT23" s="249"/>
      <c r="AU23" s="249"/>
      <c r="AV23" s="249"/>
      <c r="AW23" s="249"/>
      <c r="AX23" s="249"/>
      <c r="AY23" s="249"/>
      <c r="AZ23" s="249"/>
      <c r="BA23" s="249"/>
      <c r="BB23" s="249"/>
      <c r="BC23" s="249"/>
      <c r="BD23" s="249"/>
      <c r="BE23" s="249"/>
      <c r="BF23" s="249"/>
      <c r="BG23" s="360"/>
      <c r="BH23" s="360"/>
      <c r="BI23" s="360"/>
      <c r="BJ23" s="360"/>
      <c r="BK23" s="360"/>
      <c r="BL23" s="360"/>
      <c r="BM23" s="360"/>
      <c r="BN23" s="360"/>
      <c r="BO23" s="360"/>
      <c r="BP23" s="360"/>
      <c r="BQ23" s="360"/>
      <c r="BR23" s="360"/>
      <c r="BS23" s="360"/>
      <c r="BT23" s="360"/>
      <c r="BU23" s="360"/>
      <c r="BV23" s="360"/>
    </row>
    <row r="24" spans="1:74" ht="11.1" customHeight="1" x14ac:dyDescent="0.2">
      <c r="A24" s="545" t="s">
        <v>1315</v>
      </c>
      <c r="B24" s="546" t="s">
        <v>86</v>
      </c>
      <c r="C24" s="766">
        <v>33.644820269999997</v>
      </c>
      <c r="D24" s="766">
        <v>10.478334642</v>
      </c>
      <c r="E24" s="766">
        <v>12.338387632</v>
      </c>
      <c r="F24" s="766">
        <v>12.022779912000001</v>
      </c>
      <c r="G24" s="766">
        <v>13.544425284000001</v>
      </c>
      <c r="H24" s="766">
        <v>15.485434976000001</v>
      </c>
      <c r="I24" s="766">
        <v>17.693858827</v>
      </c>
      <c r="J24" s="766">
        <v>18.154360015000002</v>
      </c>
      <c r="K24" s="766">
        <v>14.936754684</v>
      </c>
      <c r="L24" s="766">
        <v>10.718724304</v>
      </c>
      <c r="M24" s="766">
        <v>9.1203523529999995</v>
      </c>
      <c r="N24" s="766">
        <v>8.2681043110000001</v>
      </c>
      <c r="O24" s="766">
        <v>8.1007372669999995</v>
      </c>
      <c r="P24" s="766">
        <v>7.2311945809999996</v>
      </c>
      <c r="Q24" s="766">
        <v>8.9717860189999996</v>
      </c>
      <c r="R24" s="766">
        <v>8.7260016040000004</v>
      </c>
      <c r="S24" s="766">
        <v>10.53015583</v>
      </c>
      <c r="T24" s="766">
        <v>15.185772160000001</v>
      </c>
      <c r="U24" s="766">
        <v>19.377884156</v>
      </c>
      <c r="V24" s="766">
        <v>18.234258376</v>
      </c>
      <c r="W24" s="766">
        <v>13.292079806</v>
      </c>
      <c r="X24" s="766">
        <v>10.750955014000001</v>
      </c>
      <c r="Y24" s="766">
        <v>8.1137963759999998</v>
      </c>
      <c r="Z24" s="766">
        <v>11.153471573999999</v>
      </c>
      <c r="AA24" s="766">
        <v>12.129506975</v>
      </c>
      <c r="AB24" s="766">
        <v>10.827260427000001</v>
      </c>
      <c r="AC24" s="766">
        <v>10.824777181</v>
      </c>
      <c r="AD24" s="766">
        <v>10.141401366</v>
      </c>
      <c r="AE24" s="766">
        <v>14.841710473999999</v>
      </c>
      <c r="AF24" s="766">
        <v>16.525805859999998</v>
      </c>
      <c r="AG24" s="766">
        <v>21.372796564000001</v>
      </c>
      <c r="AH24" s="766">
        <v>19.728402294999999</v>
      </c>
      <c r="AI24" s="766">
        <v>15.909548552</v>
      </c>
      <c r="AJ24" s="766">
        <v>12.331142767999999</v>
      </c>
      <c r="AK24" s="766">
        <v>10.219817469000001</v>
      </c>
      <c r="AL24" s="766">
        <v>11.927381418</v>
      </c>
      <c r="AM24" s="766">
        <v>13.092162310999999</v>
      </c>
      <c r="AN24" s="766">
        <v>10.427666084</v>
      </c>
      <c r="AO24" s="766">
        <v>11.149310648</v>
      </c>
      <c r="AP24" s="766">
        <v>10.684164427000001</v>
      </c>
      <c r="AQ24" s="766">
        <v>14.946708267</v>
      </c>
      <c r="AR24" s="766">
        <v>17.454854522000002</v>
      </c>
      <c r="AS24" s="766">
        <v>20.298029778</v>
      </c>
      <c r="AT24" s="766">
        <v>22.530970442000001</v>
      </c>
      <c r="AU24" s="766">
        <v>19.502986988</v>
      </c>
      <c r="AV24" s="766">
        <v>14.432059266</v>
      </c>
      <c r="AW24" s="766">
        <v>12.237832688999999</v>
      </c>
      <c r="AX24" s="766">
        <v>13.385534315999999</v>
      </c>
      <c r="AY24" s="766">
        <v>12.398704754000001</v>
      </c>
      <c r="AZ24" s="766">
        <v>12.402058435000001</v>
      </c>
      <c r="BA24" s="766">
        <v>12.011337075</v>
      </c>
      <c r="BB24" s="766">
        <v>11.072720303000001</v>
      </c>
      <c r="BC24" s="766">
        <v>14.072486684999999</v>
      </c>
      <c r="BD24" s="766">
        <v>16.561763767999999</v>
      </c>
      <c r="BE24" s="766">
        <v>20.39179</v>
      </c>
      <c r="BF24" s="766">
        <v>19.843399999999999</v>
      </c>
      <c r="BG24" s="767">
        <v>15.218970000000001</v>
      </c>
      <c r="BH24" s="767">
        <v>10.20072</v>
      </c>
      <c r="BI24" s="767">
        <v>9.4697300000000002</v>
      </c>
      <c r="BJ24" s="767">
        <v>8.4794520000000002</v>
      </c>
      <c r="BK24" s="767">
        <v>7.3565620000000003</v>
      </c>
      <c r="BL24" s="767">
        <v>6.9485080000000004</v>
      </c>
      <c r="BM24" s="767">
        <v>6.6045639999999999</v>
      </c>
      <c r="BN24" s="767">
        <v>6.6465259999999997</v>
      </c>
      <c r="BO24" s="767">
        <v>9.0960490000000007</v>
      </c>
      <c r="BP24" s="767">
        <v>11.7242</v>
      </c>
      <c r="BQ24" s="767">
        <v>13.32546</v>
      </c>
      <c r="BR24" s="767">
        <v>14.9109</v>
      </c>
      <c r="BS24" s="767">
        <v>12.18355</v>
      </c>
      <c r="BT24" s="767">
        <v>8.1481300000000001</v>
      </c>
      <c r="BU24" s="767">
        <v>8.0819589999999994</v>
      </c>
      <c r="BV24" s="767">
        <v>7.3936159999999997</v>
      </c>
    </row>
    <row r="25" spans="1:74" ht="11.1" customHeight="1" x14ac:dyDescent="0.2">
      <c r="A25" s="545" t="s">
        <v>1316</v>
      </c>
      <c r="B25" s="546" t="s">
        <v>85</v>
      </c>
      <c r="C25" s="766">
        <v>18.647654447000001</v>
      </c>
      <c r="D25" s="766">
        <v>4.991231558</v>
      </c>
      <c r="E25" s="766">
        <v>3.0050126189999999</v>
      </c>
      <c r="F25" s="766">
        <v>4.7372875590000003</v>
      </c>
      <c r="G25" s="766">
        <v>7.154265884</v>
      </c>
      <c r="H25" s="766">
        <v>10.605255125999999</v>
      </c>
      <c r="I25" s="766">
        <v>11.378784117</v>
      </c>
      <c r="J25" s="766">
        <v>10.898240024</v>
      </c>
      <c r="K25" s="766">
        <v>10.747678877</v>
      </c>
      <c r="L25" s="766">
        <v>10.081549580000001</v>
      </c>
      <c r="M25" s="766">
        <v>7.8533174639999999</v>
      </c>
      <c r="N25" s="766">
        <v>10.306488354000001</v>
      </c>
      <c r="O25" s="766">
        <v>9.5854840649999993</v>
      </c>
      <c r="P25" s="766">
        <v>6.8699275059999998</v>
      </c>
      <c r="Q25" s="766">
        <v>7.0599018210000004</v>
      </c>
      <c r="R25" s="766">
        <v>8.7294702449999999</v>
      </c>
      <c r="S25" s="766">
        <v>9.7714721739999995</v>
      </c>
      <c r="T25" s="766">
        <v>10.588542476000001</v>
      </c>
      <c r="U25" s="766">
        <v>11.368415361</v>
      </c>
      <c r="V25" s="766">
        <v>10.931801458000001</v>
      </c>
      <c r="W25" s="766">
        <v>10.562481379999999</v>
      </c>
      <c r="X25" s="766">
        <v>9.4070835049999992</v>
      </c>
      <c r="Y25" s="766">
        <v>9.2351229519999993</v>
      </c>
      <c r="Z25" s="766">
        <v>9.2701194269999991</v>
      </c>
      <c r="AA25" s="766">
        <v>8.5557527110000002</v>
      </c>
      <c r="AB25" s="766">
        <v>5.6156506129999997</v>
      </c>
      <c r="AC25" s="766">
        <v>4.7243304750000004</v>
      </c>
      <c r="AD25" s="766">
        <v>6.0033227929999997</v>
      </c>
      <c r="AE25" s="766">
        <v>7.5272035720000003</v>
      </c>
      <c r="AF25" s="766">
        <v>8.4202133900000007</v>
      </c>
      <c r="AG25" s="766">
        <v>8.949263942</v>
      </c>
      <c r="AH25" s="766">
        <v>9.109498662</v>
      </c>
      <c r="AI25" s="766">
        <v>8.3900522550000005</v>
      </c>
      <c r="AJ25" s="766">
        <v>7.8087316009999999</v>
      </c>
      <c r="AK25" s="766">
        <v>7.56462127</v>
      </c>
      <c r="AL25" s="766">
        <v>7.1772593149999997</v>
      </c>
      <c r="AM25" s="766">
        <v>6.4166635669999996</v>
      </c>
      <c r="AN25" s="766">
        <v>5.9263171159999999</v>
      </c>
      <c r="AO25" s="766">
        <v>5.740109092</v>
      </c>
      <c r="AP25" s="766">
        <v>5.0549516590000003</v>
      </c>
      <c r="AQ25" s="766">
        <v>6.4156106089999998</v>
      </c>
      <c r="AR25" s="766">
        <v>6.8762298949999998</v>
      </c>
      <c r="AS25" s="766">
        <v>7.4443107160000004</v>
      </c>
      <c r="AT25" s="766">
        <v>7.1081788609999998</v>
      </c>
      <c r="AU25" s="766">
        <v>7.0316616200000004</v>
      </c>
      <c r="AV25" s="766">
        <v>6.1872795859999998</v>
      </c>
      <c r="AW25" s="766">
        <v>5.6759124849999996</v>
      </c>
      <c r="AX25" s="766">
        <v>5.3712709289999996</v>
      </c>
      <c r="AY25" s="766">
        <v>4.5843615570000003</v>
      </c>
      <c r="AZ25" s="766">
        <v>4.1373613909999998</v>
      </c>
      <c r="BA25" s="766">
        <v>4.3940397879999997</v>
      </c>
      <c r="BB25" s="766">
        <v>5.0658034430000001</v>
      </c>
      <c r="BC25" s="766">
        <v>5.0918510350000004</v>
      </c>
      <c r="BD25" s="766">
        <v>5.6892098799999999</v>
      </c>
      <c r="BE25" s="766">
        <v>7.3032789999999999</v>
      </c>
      <c r="BF25" s="766">
        <v>7.539949</v>
      </c>
      <c r="BG25" s="767">
        <v>5.0448459999999997</v>
      </c>
      <c r="BH25" s="767">
        <v>5.0871740000000001</v>
      </c>
      <c r="BI25" s="767">
        <v>5.0920019999999999</v>
      </c>
      <c r="BJ25" s="767">
        <v>6.0435800000000004</v>
      </c>
      <c r="BK25" s="767">
        <v>6.2282900000000003</v>
      </c>
      <c r="BL25" s="767">
        <v>4.7087469999999998</v>
      </c>
      <c r="BM25" s="767">
        <v>4.9859109999999998</v>
      </c>
      <c r="BN25" s="767">
        <v>6.2610679999999999</v>
      </c>
      <c r="BO25" s="767">
        <v>6.7438159999999998</v>
      </c>
      <c r="BP25" s="767">
        <v>7.5729350000000002</v>
      </c>
      <c r="BQ25" s="767">
        <v>9.7336729999999996</v>
      </c>
      <c r="BR25" s="767">
        <v>8.3304910000000003</v>
      </c>
      <c r="BS25" s="767">
        <v>7.6795540000000004</v>
      </c>
      <c r="BT25" s="767">
        <v>6.9252510000000003</v>
      </c>
      <c r="BU25" s="767">
        <v>5.5408419999999996</v>
      </c>
      <c r="BV25" s="767">
        <v>6.4155160000000002</v>
      </c>
    </row>
    <row r="26" spans="1:74" ht="11.1" customHeight="1" x14ac:dyDescent="0.2">
      <c r="A26" s="545" t="s">
        <v>1317</v>
      </c>
      <c r="B26" s="548" t="s">
        <v>88</v>
      </c>
      <c r="C26" s="766">
        <v>10.778558</v>
      </c>
      <c r="D26" s="766">
        <v>3.5550929999999998</v>
      </c>
      <c r="E26" s="766">
        <v>3.7724769999999999</v>
      </c>
      <c r="F26" s="766">
        <v>3.6500880000000002</v>
      </c>
      <c r="G26" s="766">
        <v>2.6971609999999999</v>
      </c>
      <c r="H26" s="766">
        <v>3.5870199999999999</v>
      </c>
      <c r="I26" s="766">
        <v>3.7104750000000002</v>
      </c>
      <c r="J26" s="766">
        <v>3.7090049999999999</v>
      </c>
      <c r="K26" s="766">
        <v>3.6038000000000001</v>
      </c>
      <c r="L26" s="766">
        <v>3.0018129999999998</v>
      </c>
      <c r="M26" s="766">
        <v>3.303572</v>
      </c>
      <c r="N26" s="766">
        <v>3.8021280000000002</v>
      </c>
      <c r="O26" s="766">
        <v>3.8144209999999998</v>
      </c>
      <c r="P26" s="766">
        <v>3.4328650000000001</v>
      </c>
      <c r="Q26" s="766">
        <v>3.2878240000000001</v>
      </c>
      <c r="R26" s="766">
        <v>1.85107</v>
      </c>
      <c r="S26" s="766">
        <v>3.5526369999999998</v>
      </c>
      <c r="T26" s="766">
        <v>2.8256199999999998</v>
      </c>
      <c r="U26" s="766">
        <v>2.8213979999999999</v>
      </c>
      <c r="V26" s="766">
        <v>3.361116</v>
      </c>
      <c r="W26" s="766">
        <v>3.5037219999999998</v>
      </c>
      <c r="X26" s="766">
        <v>3.0472939999999999</v>
      </c>
      <c r="Y26" s="766">
        <v>3.293498</v>
      </c>
      <c r="Z26" s="766">
        <v>3.789936</v>
      </c>
      <c r="AA26" s="766">
        <v>3.8085140000000002</v>
      </c>
      <c r="AB26" s="766">
        <v>3.432375</v>
      </c>
      <c r="AC26" s="766">
        <v>3.5376690000000002</v>
      </c>
      <c r="AD26" s="766">
        <v>2.7913800000000002</v>
      </c>
      <c r="AE26" s="766">
        <v>3.7569159999999999</v>
      </c>
      <c r="AF26" s="766">
        <v>3.6040100000000002</v>
      </c>
      <c r="AG26" s="766">
        <v>3.7046139999999999</v>
      </c>
      <c r="AH26" s="766">
        <v>3.6559360000000001</v>
      </c>
      <c r="AI26" s="766">
        <v>3.5876730000000001</v>
      </c>
      <c r="AJ26" s="766">
        <v>2.90266</v>
      </c>
      <c r="AK26" s="766">
        <v>3.2945500000000001</v>
      </c>
      <c r="AL26" s="766">
        <v>3.109442</v>
      </c>
      <c r="AM26" s="766">
        <v>3.2286229999999998</v>
      </c>
      <c r="AN26" s="766">
        <v>3.4301110000000001</v>
      </c>
      <c r="AO26" s="766">
        <v>3.7206229999999998</v>
      </c>
      <c r="AP26" s="766">
        <v>3.2512400000000001</v>
      </c>
      <c r="AQ26" s="766">
        <v>2.933249</v>
      </c>
      <c r="AR26" s="766">
        <v>3.600193</v>
      </c>
      <c r="AS26" s="766">
        <v>3.7037710000000001</v>
      </c>
      <c r="AT26" s="766">
        <v>3.6901869999999999</v>
      </c>
      <c r="AU26" s="766">
        <v>3.581048</v>
      </c>
      <c r="AV26" s="766">
        <v>2.8721549999999998</v>
      </c>
      <c r="AW26" s="766">
        <v>3.497306</v>
      </c>
      <c r="AX26" s="766">
        <v>3.789501</v>
      </c>
      <c r="AY26" s="766">
        <v>3.7118679999999999</v>
      </c>
      <c r="AZ26" s="766">
        <v>3.5480139999999998</v>
      </c>
      <c r="BA26" s="766">
        <v>3.1865260000000002</v>
      </c>
      <c r="BB26" s="766">
        <v>2.6729599999999998</v>
      </c>
      <c r="BC26" s="766">
        <v>3.3859940000000002</v>
      </c>
      <c r="BD26" s="766">
        <v>3.6130110000000002</v>
      </c>
      <c r="BE26" s="766">
        <v>3.6916000000000002</v>
      </c>
      <c r="BF26" s="766">
        <v>3.6837200000000001</v>
      </c>
      <c r="BG26" s="767">
        <v>3.57755</v>
      </c>
      <c r="BH26" s="767">
        <v>3.3232699999999999</v>
      </c>
      <c r="BI26" s="767">
        <v>2.9693299999999998</v>
      </c>
      <c r="BJ26" s="767">
        <v>3.6968000000000001</v>
      </c>
      <c r="BK26" s="767">
        <v>3.6968000000000001</v>
      </c>
      <c r="BL26" s="767">
        <v>3.3390399999999998</v>
      </c>
      <c r="BM26" s="767">
        <v>3.6968000000000001</v>
      </c>
      <c r="BN26" s="767">
        <v>2.7313399999999999</v>
      </c>
      <c r="BO26" s="767">
        <v>3.5421999999999998</v>
      </c>
      <c r="BP26" s="767">
        <v>3.57755</v>
      </c>
      <c r="BQ26" s="767">
        <v>3.6968000000000001</v>
      </c>
      <c r="BR26" s="767">
        <v>3.6968000000000001</v>
      </c>
      <c r="BS26" s="767">
        <v>2.9274</v>
      </c>
      <c r="BT26" s="767">
        <v>2.64541</v>
      </c>
      <c r="BU26" s="767">
        <v>3.2183000000000002</v>
      </c>
      <c r="BV26" s="767">
        <v>3.6968000000000001</v>
      </c>
    </row>
    <row r="27" spans="1:74" ht="11.1" customHeight="1" x14ac:dyDescent="0.2">
      <c r="A27" s="545" t="s">
        <v>1318</v>
      </c>
      <c r="B27" s="548" t="s">
        <v>1259</v>
      </c>
      <c r="C27" s="766">
        <v>0.225843248</v>
      </c>
      <c r="D27" s="766">
        <v>5.9638857000000003E-2</v>
      </c>
      <c r="E27" s="766">
        <v>6.9587337999999999E-2</v>
      </c>
      <c r="F27" s="766">
        <v>0.14422300399999999</v>
      </c>
      <c r="G27" s="766">
        <v>0.211198097</v>
      </c>
      <c r="H27" s="766">
        <v>0.242041167</v>
      </c>
      <c r="I27" s="766">
        <v>4.3089423000000002E-2</v>
      </c>
      <c r="J27" s="766">
        <v>6.0585564000000001E-2</v>
      </c>
      <c r="K27" s="766">
        <v>5.6199482000000002E-2</v>
      </c>
      <c r="L27" s="766">
        <v>2.2816164999999999E-2</v>
      </c>
      <c r="M27" s="766">
        <v>5.3544077000000002E-2</v>
      </c>
      <c r="N27" s="766">
        <v>2.5707807999999999E-2</v>
      </c>
      <c r="O27" s="766">
        <v>7.3927754999999998E-2</v>
      </c>
      <c r="P27" s="766">
        <v>6.9500775000000001E-2</v>
      </c>
      <c r="Q27" s="766">
        <v>6.7014406999999998E-2</v>
      </c>
      <c r="R27" s="766">
        <v>5.3897896000000001E-2</v>
      </c>
      <c r="S27" s="766">
        <v>6.2060175000000002E-2</v>
      </c>
      <c r="T27" s="766">
        <v>7.0949612999999995E-2</v>
      </c>
      <c r="U27" s="766">
        <v>8.2220473000000002E-2</v>
      </c>
      <c r="V27" s="766">
        <v>6.2182614999999997E-2</v>
      </c>
      <c r="W27" s="766">
        <v>8.8684519000000003E-2</v>
      </c>
      <c r="X27" s="766">
        <v>7.2961193999999993E-2</v>
      </c>
      <c r="Y27" s="766">
        <v>6.3604964999999999E-2</v>
      </c>
      <c r="Z27" s="766">
        <v>7.0950612999999996E-2</v>
      </c>
      <c r="AA27" s="766">
        <v>7.3217634000000004E-2</v>
      </c>
      <c r="AB27" s="766">
        <v>7.2152162000000006E-2</v>
      </c>
      <c r="AC27" s="766">
        <v>7.3193202999999998E-2</v>
      </c>
      <c r="AD27" s="766">
        <v>7.7740136000000001E-2</v>
      </c>
      <c r="AE27" s="766">
        <v>8.7064186000000002E-2</v>
      </c>
      <c r="AF27" s="766">
        <v>7.9056879999999996E-2</v>
      </c>
      <c r="AG27" s="766">
        <v>6.8212685999999995E-2</v>
      </c>
      <c r="AH27" s="766">
        <v>6.0174445E-2</v>
      </c>
      <c r="AI27" s="766">
        <v>5.1038485000000001E-2</v>
      </c>
      <c r="AJ27" s="766">
        <v>4.8326088000000003E-2</v>
      </c>
      <c r="AK27" s="766">
        <v>5.6574008000000002E-2</v>
      </c>
      <c r="AL27" s="766">
        <v>6.1211086999999997E-2</v>
      </c>
      <c r="AM27" s="766">
        <v>0.123440516</v>
      </c>
      <c r="AN27" s="766">
        <v>8.2847668999999999E-2</v>
      </c>
      <c r="AO27" s="766">
        <v>9.3683667999999998E-2</v>
      </c>
      <c r="AP27" s="766">
        <v>7.9135256000000001E-2</v>
      </c>
      <c r="AQ27" s="766">
        <v>7.0538697999999997E-2</v>
      </c>
      <c r="AR27" s="766">
        <v>5.9405561000000003E-2</v>
      </c>
      <c r="AS27" s="766">
        <v>8.1005090000000002E-2</v>
      </c>
      <c r="AT27" s="766">
        <v>6.5572649999999996E-3</v>
      </c>
      <c r="AU27" s="766">
        <v>3.664137E-3</v>
      </c>
      <c r="AV27" s="766">
        <v>3.7169920000000001E-3</v>
      </c>
      <c r="AW27" s="766">
        <v>5.2658803999999997E-2</v>
      </c>
      <c r="AX27" s="766">
        <v>7.0935318999999997E-2</v>
      </c>
      <c r="AY27" s="766">
        <v>8.1754391999999995E-2</v>
      </c>
      <c r="AZ27" s="766">
        <v>9.9645257000000001E-2</v>
      </c>
      <c r="BA27" s="766">
        <v>9.9049341999999999E-2</v>
      </c>
      <c r="BB27" s="766">
        <v>8.3469980999999999E-2</v>
      </c>
      <c r="BC27" s="766">
        <v>8.4079723999999995E-2</v>
      </c>
      <c r="BD27" s="766">
        <v>8.1203775000000006E-2</v>
      </c>
      <c r="BE27" s="766">
        <v>6.2395800000000001E-2</v>
      </c>
      <c r="BF27" s="766">
        <v>6.7956300000000004E-3</v>
      </c>
      <c r="BG27" s="767">
        <v>3.7314499999999999E-3</v>
      </c>
      <c r="BH27" s="767">
        <v>3.7363299999999999E-3</v>
      </c>
      <c r="BI27" s="767">
        <v>4.9757299999999997E-2</v>
      </c>
      <c r="BJ27" s="767">
        <v>6.3506900000000005E-2</v>
      </c>
      <c r="BK27" s="767">
        <v>7.8120700000000001E-2</v>
      </c>
      <c r="BL27" s="767">
        <v>8.5593699999999995E-2</v>
      </c>
      <c r="BM27" s="767">
        <v>9.3058100000000005E-2</v>
      </c>
      <c r="BN27" s="767">
        <v>8.3472699999999997E-2</v>
      </c>
      <c r="BO27" s="767">
        <v>8.0044699999999996E-2</v>
      </c>
      <c r="BP27" s="767">
        <v>7.3930599999999999E-2</v>
      </c>
      <c r="BQ27" s="767">
        <v>5.9133199999999997E-2</v>
      </c>
      <c r="BR27" s="767">
        <v>7.1330100000000004E-3</v>
      </c>
      <c r="BS27" s="767">
        <v>3.7541200000000001E-3</v>
      </c>
      <c r="BT27" s="767">
        <v>3.78145E-3</v>
      </c>
      <c r="BU27" s="767">
        <v>4.6692299999999999E-2</v>
      </c>
      <c r="BV27" s="767">
        <v>6.06545E-2</v>
      </c>
    </row>
    <row r="28" spans="1:74" ht="11.1" customHeight="1" x14ac:dyDescent="0.2">
      <c r="A28" s="545" t="s">
        <v>1319</v>
      </c>
      <c r="B28" s="548" t="s">
        <v>1362</v>
      </c>
      <c r="C28" s="766">
        <v>19.383681429999999</v>
      </c>
      <c r="D28" s="766">
        <v>4.7986444180000003</v>
      </c>
      <c r="E28" s="766">
        <v>5.2915526079999999</v>
      </c>
      <c r="F28" s="766">
        <v>4.4223549269999998</v>
      </c>
      <c r="G28" s="766">
        <v>4.8278196769999999</v>
      </c>
      <c r="H28" s="766">
        <v>3.5297237049999999</v>
      </c>
      <c r="I28" s="766">
        <v>5.3368281550000001</v>
      </c>
      <c r="J28" s="766">
        <v>3.5081262899999999</v>
      </c>
      <c r="K28" s="766">
        <v>3.6836799020000002</v>
      </c>
      <c r="L28" s="766">
        <v>5.0877501150000004</v>
      </c>
      <c r="M28" s="766">
        <v>4.2921261990000001</v>
      </c>
      <c r="N28" s="766">
        <v>5.0865972199999998</v>
      </c>
      <c r="O28" s="766">
        <v>5.3675252200000001</v>
      </c>
      <c r="P28" s="766">
        <v>5.2939626640000004</v>
      </c>
      <c r="Q28" s="766">
        <v>6.5535879819999998</v>
      </c>
      <c r="R28" s="766">
        <v>6.4729860009999998</v>
      </c>
      <c r="S28" s="766">
        <v>6.0344368739999998</v>
      </c>
      <c r="T28" s="766">
        <v>4.6991769269999999</v>
      </c>
      <c r="U28" s="766">
        <v>4.4174432560000003</v>
      </c>
      <c r="V28" s="766">
        <v>3.634341279</v>
      </c>
      <c r="W28" s="766">
        <v>4.6213813850000003</v>
      </c>
      <c r="X28" s="766">
        <v>5.9115046649999998</v>
      </c>
      <c r="Y28" s="766">
        <v>5.8278387040000004</v>
      </c>
      <c r="Z28" s="766">
        <v>5.3565990369999996</v>
      </c>
      <c r="AA28" s="766">
        <v>6.313338763</v>
      </c>
      <c r="AB28" s="766">
        <v>5.7757154890000004</v>
      </c>
      <c r="AC28" s="766">
        <v>6.9079813110000003</v>
      </c>
      <c r="AD28" s="766">
        <v>7.1674907250000004</v>
      </c>
      <c r="AE28" s="766">
        <v>7.4381922429999996</v>
      </c>
      <c r="AF28" s="766">
        <v>7.5112449489999999</v>
      </c>
      <c r="AG28" s="766">
        <v>4.6980812900000002</v>
      </c>
      <c r="AH28" s="766">
        <v>5.9114954649999998</v>
      </c>
      <c r="AI28" s="766">
        <v>4.0597830720000001</v>
      </c>
      <c r="AJ28" s="766">
        <v>5.3723366319999997</v>
      </c>
      <c r="AK28" s="766">
        <v>5.8057519209999997</v>
      </c>
      <c r="AL28" s="766">
        <v>6.2462613300000003</v>
      </c>
      <c r="AM28" s="766">
        <v>6.4591339080000001</v>
      </c>
      <c r="AN28" s="766">
        <v>6.2456863189999998</v>
      </c>
      <c r="AO28" s="766">
        <v>6.6000247319999996</v>
      </c>
      <c r="AP28" s="766">
        <v>7.6403137350000003</v>
      </c>
      <c r="AQ28" s="766">
        <v>7.5211871910000001</v>
      </c>
      <c r="AR28" s="766">
        <v>6.2540557510000001</v>
      </c>
      <c r="AS28" s="766">
        <v>6.6395846250000004</v>
      </c>
      <c r="AT28" s="766">
        <v>6.3844446870000002</v>
      </c>
      <c r="AU28" s="766">
        <v>6.459962247</v>
      </c>
      <c r="AV28" s="766">
        <v>7.30636536</v>
      </c>
      <c r="AW28" s="766">
        <v>6.6810770530000001</v>
      </c>
      <c r="AX28" s="766">
        <v>6.9336256289999998</v>
      </c>
      <c r="AY28" s="766">
        <v>7.712826132</v>
      </c>
      <c r="AZ28" s="766">
        <v>7.474395339</v>
      </c>
      <c r="BA28" s="766">
        <v>7.5102698889999999</v>
      </c>
      <c r="BB28" s="766">
        <v>7.7604931339999998</v>
      </c>
      <c r="BC28" s="766">
        <v>8.3665185399999995</v>
      </c>
      <c r="BD28" s="766">
        <v>8.9559887230000008</v>
      </c>
      <c r="BE28" s="766">
        <v>8.1614430000000002</v>
      </c>
      <c r="BF28" s="766">
        <v>8.456683</v>
      </c>
      <c r="BG28" s="767">
        <v>7.28071</v>
      </c>
      <c r="BH28" s="767">
        <v>9.4173559999999998</v>
      </c>
      <c r="BI28" s="767">
        <v>7.7930700000000002</v>
      </c>
      <c r="BJ28" s="767">
        <v>8.7973619999999997</v>
      </c>
      <c r="BK28" s="767">
        <v>9.3947289999999999</v>
      </c>
      <c r="BL28" s="767">
        <v>8.8547060000000002</v>
      </c>
      <c r="BM28" s="767">
        <v>9.977411</v>
      </c>
      <c r="BN28" s="767">
        <v>10.156790000000001</v>
      </c>
      <c r="BO28" s="767">
        <v>10.381769999999999</v>
      </c>
      <c r="BP28" s="767">
        <v>10.99208</v>
      </c>
      <c r="BQ28" s="767">
        <v>10.414059999999999</v>
      </c>
      <c r="BR28" s="767">
        <v>10.36618</v>
      </c>
      <c r="BS28" s="767">
        <v>8.8269939999999991</v>
      </c>
      <c r="BT28" s="767">
        <v>10.7585</v>
      </c>
      <c r="BU28" s="767">
        <v>8.9169499999999999</v>
      </c>
      <c r="BV28" s="767">
        <v>9.9326190000000008</v>
      </c>
    </row>
    <row r="29" spans="1:74" ht="11.1" customHeight="1" x14ac:dyDescent="0.2">
      <c r="A29" s="545" t="s">
        <v>1320</v>
      </c>
      <c r="B29" s="546" t="s">
        <v>1363</v>
      </c>
      <c r="C29" s="766">
        <v>0.302775607</v>
      </c>
      <c r="D29" s="766">
        <v>7.4576160000000002E-2</v>
      </c>
      <c r="E29" s="766">
        <v>0.119402013</v>
      </c>
      <c r="F29" s="766">
        <v>9.4249782000000004E-2</v>
      </c>
      <c r="G29" s="766">
        <v>8.6697815999999997E-2</v>
      </c>
      <c r="H29" s="766">
        <v>0.113313885</v>
      </c>
      <c r="I29" s="766">
        <v>0.119315536</v>
      </c>
      <c r="J29" s="766">
        <v>0.13215870699999999</v>
      </c>
      <c r="K29" s="766">
        <v>0.133020271</v>
      </c>
      <c r="L29" s="766">
        <v>8.3229356000000004E-2</v>
      </c>
      <c r="M29" s="766">
        <v>0.131234398</v>
      </c>
      <c r="N29" s="766">
        <v>0.10485525399999999</v>
      </c>
      <c r="O29" s="766">
        <v>0.10670033199999999</v>
      </c>
      <c r="P29" s="766">
        <v>0.102855082</v>
      </c>
      <c r="Q29" s="766">
        <v>0.116322963</v>
      </c>
      <c r="R29" s="766">
        <v>0.113655535</v>
      </c>
      <c r="S29" s="766">
        <v>0.11708948800000001</v>
      </c>
      <c r="T29" s="766">
        <v>0.11270287900000001</v>
      </c>
      <c r="U29" s="766">
        <v>0.12908797299999999</v>
      </c>
      <c r="V29" s="766">
        <v>0.113605047</v>
      </c>
      <c r="W29" s="766">
        <v>0.12314383700000001</v>
      </c>
      <c r="X29" s="766">
        <v>0.13414220099999999</v>
      </c>
      <c r="Y29" s="766">
        <v>0.123433785</v>
      </c>
      <c r="Z29" s="766">
        <v>0.12221726500000001</v>
      </c>
      <c r="AA29" s="766">
        <v>0.101199287</v>
      </c>
      <c r="AB29" s="766">
        <v>0.100539066</v>
      </c>
      <c r="AC29" s="766">
        <v>0.101519163</v>
      </c>
      <c r="AD29" s="766">
        <v>0.12849954</v>
      </c>
      <c r="AE29" s="766">
        <v>0.13537152</v>
      </c>
      <c r="AF29" s="766">
        <v>0.106338691</v>
      </c>
      <c r="AG29" s="766">
        <v>0.12996112400000001</v>
      </c>
      <c r="AH29" s="766">
        <v>0.114098279</v>
      </c>
      <c r="AI29" s="766">
        <v>8.2141875000000003E-2</v>
      </c>
      <c r="AJ29" s="766">
        <v>9.7016979000000003E-2</v>
      </c>
      <c r="AK29" s="766">
        <v>0.113922315</v>
      </c>
      <c r="AL29" s="766">
        <v>0.114417487</v>
      </c>
      <c r="AM29" s="766">
        <v>0.14252047800000001</v>
      </c>
      <c r="AN29" s="766">
        <v>0.13937674799999999</v>
      </c>
      <c r="AO29" s="766">
        <v>0.145916978</v>
      </c>
      <c r="AP29" s="766">
        <v>0.15501248200000001</v>
      </c>
      <c r="AQ29" s="766">
        <v>0.117840321</v>
      </c>
      <c r="AR29" s="766">
        <v>0.112130955</v>
      </c>
      <c r="AS29" s="766">
        <v>0.13687111699999999</v>
      </c>
      <c r="AT29" s="766">
        <v>0.145595325</v>
      </c>
      <c r="AU29" s="766">
        <v>0.13026870099999999</v>
      </c>
      <c r="AV29" s="766">
        <v>0.123769165</v>
      </c>
      <c r="AW29" s="766">
        <v>0.13207291800000001</v>
      </c>
      <c r="AX29" s="766">
        <v>0.14402721600000001</v>
      </c>
      <c r="AY29" s="766">
        <v>0.13669257400000001</v>
      </c>
      <c r="AZ29" s="766">
        <v>0.14158538500000001</v>
      </c>
      <c r="BA29" s="766">
        <v>0.120158161</v>
      </c>
      <c r="BB29" s="766">
        <v>0.103807661</v>
      </c>
      <c r="BC29" s="766">
        <v>0.118234824</v>
      </c>
      <c r="BD29" s="766">
        <v>0.107395057</v>
      </c>
      <c r="BE29" s="766">
        <v>0.1411829</v>
      </c>
      <c r="BF29" s="766">
        <v>0.1446693</v>
      </c>
      <c r="BG29" s="767">
        <v>0.1107398</v>
      </c>
      <c r="BH29" s="767">
        <v>0.11258020000000001</v>
      </c>
      <c r="BI29" s="767">
        <v>0.1189091</v>
      </c>
      <c r="BJ29" s="767">
        <v>0.1318319</v>
      </c>
      <c r="BK29" s="767">
        <v>0.12835450000000001</v>
      </c>
      <c r="BL29" s="767">
        <v>0.1224297</v>
      </c>
      <c r="BM29" s="767">
        <v>0.1121381</v>
      </c>
      <c r="BN29" s="767">
        <v>0.100657</v>
      </c>
      <c r="BO29" s="767">
        <v>0.113939</v>
      </c>
      <c r="BP29" s="767">
        <v>0.10479239999999999</v>
      </c>
      <c r="BQ29" s="767">
        <v>0.1329178</v>
      </c>
      <c r="BR29" s="767">
        <v>0.13573879999999999</v>
      </c>
      <c r="BS29" s="767">
        <v>0.1122054</v>
      </c>
      <c r="BT29" s="767">
        <v>0.11408980000000001</v>
      </c>
      <c r="BU29" s="767">
        <v>0.1207421</v>
      </c>
      <c r="BV29" s="767">
        <v>0.1335857</v>
      </c>
    </row>
    <row r="30" spans="1:74" ht="11.1" customHeight="1" x14ac:dyDescent="0.2">
      <c r="A30" s="545" t="s">
        <v>1321</v>
      </c>
      <c r="B30" s="546" t="s">
        <v>1263</v>
      </c>
      <c r="C30" s="766">
        <v>82.983333001999995</v>
      </c>
      <c r="D30" s="766">
        <v>23.957518635</v>
      </c>
      <c r="E30" s="766">
        <v>24.596419210000001</v>
      </c>
      <c r="F30" s="766">
        <v>25.070983183999999</v>
      </c>
      <c r="G30" s="766">
        <v>28.521567758</v>
      </c>
      <c r="H30" s="766">
        <v>33.562788859000001</v>
      </c>
      <c r="I30" s="766">
        <v>38.282351058000003</v>
      </c>
      <c r="J30" s="766">
        <v>36.462475599999998</v>
      </c>
      <c r="K30" s="766">
        <v>33.161133216000003</v>
      </c>
      <c r="L30" s="766">
        <v>28.995882519999999</v>
      </c>
      <c r="M30" s="766">
        <v>24.754146491</v>
      </c>
      <c r="N30" s="766">
        <v>27.593880946999999</v>
      </c>
      <c r="O30" s="766">
        <v>27.048795639000002</v>
      </c>
      <c r="P30" s="766">
        <v>23.000305608000001</v>
      </c>
      <c r="Q30" s="766">
        <v>26.056437192000001</v>
      </c>
      <c r="R30" s="766">
        <v>25.947081280999999</v>
      </c>
      <c r="S30" s="766">
        <v>30.067851541</v>
      </c>
      <c r="T30" s="766">
        <v>33.482764054999997</v>
      </c>
      <c r="U30" s="766">
        <v>38.196449219000002</v>
      </c>
      <c r="V30" s="766">
        <v>36.337304775</v>
      </c>
      <c r="W30" s="766">
        <v>32.191492926999999</v>
      </c>
      <c r="X30" s="766">
        <v>29.323940578999999</v>
      </c>
      <c r="Y30" s="766">
        <v>26.657294782000001</v>
      </c>
      <c r="Z30" s="766">
        <v>29.763293915999999</v>
      </c>
      <c r="AA30" s="766">
        <v>30.981529370000001</v>
      </c>
      <c r="AB30" s="766">
        <v>25.823692757</v>
      </c>
      <c r="AC30" s="766">
        <v>26.169470333</v>
      </c>
      <c r="AD30" s="766">
        <v>26.309834559999999</v>
      </c>
      <c r="AE30" s="766">
        <v>33.786457994999999</v>
      </c>
      <c r="AF30" s="766">
        <v>36.246669769999997</v>
      </c>
      <c r="AG30" s="766">
        <v>38.922929605999997</v>
      </c>
      <c r="AH30" s="766">
        <v>38.579605145999999</v>
      </c>
      <c r="AI30" s="766">
        <v>32.080237238999999</v>
      </c>
      <c r="AJ30" s="766">
        <v>28.560214068000001</v>
      </c>
      <c r="AK30" s="766">
        <v>27.055236983</v>
      </c>
      <c r="AL30" s="766">
        <v>28.635972636999998</v>
      </c>
      <c r="AM30" s="766">
        <v>29.462543780000001</v>
      </c>
      <c r="AN30" s="766">
        <v>26.252004935999999</v>
      </c>
      <c r="AO30" s="766">
        <v>27.449668118000002</v>
      </c>
      <c r="AP30" s="766">
        <v>26.864817558999999</v>
      </c>
      <c r="AQ30" s="766">
        <v>32.005134085999998</v>
      </c>
      <c r="AR30" s="766">
        <v>34.356869684000003</v>
      </c>
      <c r="AS30" s="766">
        <v>38.303572326000001</v>
      </c>
      <c r="AT30" s="766">
        <v>39.865933579999997</v>
      </c>
      <c r="AU30" s="766">
        <v>36.709591693</v>
      </c>
      <c r="AV30" s="766">
        <v>30.925345368999999</v>
      </c>
      <c r="AW30" s="766">
        <v>28.276859948999999</v>
      </c>
      <c r="AX30" s="766">
        <v>29.694894409</v>
      </c>
      <c r="AY30" s="766">
        <v>28.626207408999999</v>
      </c>
      <c r="AZ30" s="766">
        <v>27.803059807</v>
      </c>
      <c r="BA30" s="766">
        <v>27.321380255000001</v>
      </c>
      <c r="BB30" s="766">
        <v>26.759254521999999</v>
      </c>
      <c r="BC30" s="766">
        <v>31.119164808000001</v>
      </c>
      <c r="BD30" s="766">
        <v>35.008572203</v>
      </c>
      <c r="BE30" s="766">
        <v>39.751690000000004</v>
      </c>
      <c r="BF30" s="766">
        <v>39.675220000000003</v>
      </c>
      <c r="BG30" s="767">
        <v>31.236540000000002</v>
      </c>
      <c r="BH30" s="767">
        <v>28.144829999999999</v>
      </c>
      <c r="BI30" s="767">
        <v>25.492799999999999</v>
      </c>
      <c r="BJ30" s="767">
        <v>27.212530000000001</v>
      </c>
      <c r="BK30" s="767">
        <v>26.882860000000001</v>
      </c>
      <c r="BL30" s="767">
        <v>24.05902</v>
      </c>
      <c r="BM30" s="767">
        <v>25.46988</v>
      </c>
      <c r="BN30" s="767">
        <v>25.979849999999999</v>
      </c>
      <c r="BO30" s="767">
        <v>29.957820000000002</v>
      </c>
      <c r="BP30" s="767">
        <v>34.045490000000001</v>
      </c>
      <c r="BQ30" s="767">
        <v>37.36204</v>
      </c>
      <c r="BR30" s="767">
        <v>37.447249999999997</v>
      </c>
      <c r="BS30" s="767">
        <v>31.733460000000001</v>
      </c>
      <c r="BT30" s="767">
        <v>28.59516</v>
      </c>
      <c r="BU30" s="767">
        <v>25.92549</v>
      </c>
      <c r="BV30" s="767">
        <v>27.63279</v>
      </c>
    </row>
    <row r="31" spans="1:74" ht="11.1" customHeight="1" x14ac:dyDescent="0.2">
      <c r="A31" s="545" t="s">
        <v>1322</v>
      </c>
      <c r="B31" s="546" t="s">
        <v>1364</v>
      </c>
      <c r="C31" s="766">
        <v>82.983333001999995</v>
      </c>
      <c r="D31" s="766">
        <v>23.957518635</v>
      </c>
      <c r="E31" s="766">
        <v>24.596419210000001</v>
      </c>
      <c r="F31" s="766">
        <v>25.070983183999999</v>
      </c>
      <c r="G31" s="766">
        <v>28.521567758</v>
      </c>
      <c r="H31" s="766">
        <v>33.562788859000001</v>
      </c>
      <c r="I31" s="766">
        <v>38.282351058000003</v>
      </c>
      <c r="J31" s="766">
        <v>36.462475599999998</v>
      </c>
      <c r="K31" s="766">
        <v>33.161133216000003</v>
      </c>
      <c r="L31" s="766">
        <v>28.995882519999999</v>
      </c>
      <c r="M31" s="766">
        <v>24.754146491</v>
      </c>
      <c r="N31" s="766">
        <v>27.593880946999999</v>
      </c>
      <c r="O31" s="766">
        <v>27.048795639000002</v>
      </c>
      <c r="P31" s="766">
        <v>23.000305608000001</v>
      </c>
      <c r="Q31" s="766">
        <v>26.056437192000001</v>
      </c>
      <c r="R31" s="766">
        <v>25.947081280999999</v>
      </c>
      <c r="S31" s="766">
        <v>30.067851541</v>
      </c>
      <c r="T31" s="766">
        <v>33.482764054999997</v>
      </c>
      <c r="U31" s="766">
        <v>38.196449219000002</v>
      </c>
      <c r="V31" s="766">
        <v>36.337304775</v>
      </c>
      <c r="W31" s="766">
        <v>32.191492926999999</v>
      </c>
      <c r="X31" s="766">
        <v>29.323940578999999</v>
      </c>
      <c r="Y31" s="766">
        <v>26.657294782000001</v>
      </c>
      <c r="Z31" s="766">
        <v>29.763293915999999</v>
      </c>
      <c r="AA31" s="766">
        <v>30.981529370000001</v>
      </c>
      <c r="AB31" s="766">
        <v>25.823692757</v>
      </c>
      <c r="AC31" s="766">
        <v>26.169470333</v>
      </c>
      <c r="AD31" s="766">
        <v>26.309834559999999</v>
      </c>
      <c r="AE31" s="766">
        <v>33.786457994999999</v>
      </c>
      <c r="AF31" s="766">
        <v>36.246669769999997</v>
      </c>
      <c r="AG31" s="766">
        <v>38.922929605999997</v>
      </c>
      <c r="AH31" s="766">
        <v>38.579605145999999</v>
      </c>
      <c r="AI31" s="766">
        <v>32.080237238999999</v>
      </c>
      <c r="AJ31" s="766">
        <v>28.560214068000001</v>
      </c>
      <c r="AK31" s="766">
        <v>27.055236983</v>
      </c>
      <c r="AL31" s="766">
        <v>28.635972636999998</v>
      </c>
      <c r="AM31" s="766">
        <v>29.462543780000001</v>
      </c>
      <c r="AN31" s="766">
        <v>26.252004935999999</v>
      </c>
      <c r="AO31" s="766">
        <v>27.449668118000002</v>
      </c>
      <c r="AP31" s="766">
        <v>26.864817558999999</v>
      </c>
      <c r="AQ31" s="766">
        <v>32.005134085999998</v>
      </c>
      <c r="AR31" s="766">
        <v>34.356869684000003</v>
      </c>
      <c r="AS31" s="766">
        <v>38.303572326000001</v>
      </c>
      <c r="AT31" s="766">
        <v>39.865933579999997</v>
      </c>
      <c r="AU31" s="766">
        <v>36.709591693</v>
      </c>
      <c r="AV31" s="766">
        <v>30.925345368999999</v>
      </c>
      <c r="AW31" s="766">
        <v>28.276859948999999</v>
      </c>
      <c r="AX31" s="766">
        <v>29.694894409</v>
      </c>
      <c r="AY31" s="766">
        <v>28.626207408999999</v>
      </c>
      <c r="AZ31" s="766">
        <v>27.803059807</v>
      </c>
      <c r="BA31" s="766">
        <v>27.321380255000001</v>
      </c>
      <c r="BB31" s="766">
        <v>26.759254521999999</v>
      </c>
      <c r="BC31" s="766">
        <v>31.119164808000001</v>
      </c>
      <c r="BD31" s="766">
        <v>35.008572203</v>
      </c>
      <c r="BE31" s="766">
        <v>39.751690000000004</v>
      </c>
      <c r="BF31" s="766">
        <v>39.675220000000003</v>
      </c>
      <c r="BG31" s="767">
        <v>31.236540000000002</v>
      </c>
      <c r="BH31" s="767">
        <v>28.144829999999999</v>
      </c>
      <c r="BI31" s="767">
        <v>25.492799999999999</v>
      </c>
      <c r="BJ31" s="767">
        <v>27.212530000000001</v>
      </c>
      <c r="BK31" s="767">
        <v>26.882860000000001</v>
      </c>
      <c r="BL31" s="767">
        <v>24.05902</v>
      </c>
      <c r="BM31" s="767">
        <v>25.46988</v>
      </c>
      <c r="BN31" s="767">
        <v>25.979849999999999</v>
      </c>
      <c r="BO31" s="767">
        <v>29.957820000000002</v>
      </c>
      <c r="BP31" s="767">
        <v>34.045490000000001</v>
      </c>
      <c r="BQ31" s="767">
        <v>37.36204</v>
      </c>
      <c r="BR31" s="767">
        <v>37.447249999999997</v>
      </c>
      <c r="BS31" s="767">
        <v>31.733460000000001</v>
      </c>
      <c r="BT31" s="767">
        <v>28.59516</v>
      </c>
      <c r="BU31" s="767">
        <v>25.92549</v>
      </c>
      <c r="BV31" s="767">
        <v>27.63279</v>
      </c>
    </row>
    <row r="32" spans="1:74" ht="11.1" customHeight="1" x14ac:dyDescent="0.2">
      <c r="A32" s="565"/>
      <c r="B32" s="131" t="s">
        <v>1403</v>
      </c>
      <c r="C32" s="249"/>
      <c r="D32" s="249"/>
      <c r="E32" s="249"/>
      <c r="F32" s="249"/>
      <c r="G32" s="249"/>
      <c r="H32" s="249"/>
      <c r="I32" s="249"/>
      <c r="J32" s="249"/>
      <c r="K32" s="249"/>
      <c r="L32" s="249"/>
      <c r="M32" s="249"/>
      <c r="N32" s="249"/>
      <c r="O32" s="249"/>
      <c r="P32" s="249"/>
      <c r="Q32" s="249"/>
      <c r="R32" s="249"/>
      <c r="S32" s="249"/>
      <c r="T32" s="249"/>
      <c r="U32" s="249"/>
      <c r="V32" s="249"/>
      <c r="W32" s="249"/>
      <c r="X32" s="249"/>
      <c r="Y32" s="249"/>
      <c r="Z32" s="249"/>
      <c r="AA32" s="249"/>
      <c r="AB32" s="249"/>
      <c r="AC32" s="249"/>
      <c r="AD32" s="249"/>
      <c r="AE32" s="249"/>
      <c r="AF32" s="249"/>
      <c r="AG32" s="249"/>
      <c r="AH32" s="249"/>
      <c r="AI32" s="249"/>
      <c r="AJ32" s="249"/>
      <c r="AK32" s="249"/>
      <c r="AL32" s="249"/>
      <c r="AM32" s="249"/>
      <c r="AN32" s="249"/>
      <c r="AO32" s="249"/>
      <c r="AP32" s="249"/>
      <c r="AQ32" s="249"/>
      <c r="AR32" s="249"/>
      <c r="AS32" s="249"/>
      <c r="AT32" s="249"/>
      <c r="AU32" s="249"/>
      <c r="AV32" s="249"/>
      <c r="AW32" s="249"/>
      <c r="AX32" s="249"/>
      <c r="AY32" s="249"/>
      <c r="AZ32" s="249"/>
      <c r="BA32" s="249"/>
      <c r="BB32" s="249"/>
      <c r="BC32" s="249"/>
      <c r="BD32" s="249"/>
      <c r="BE32" s="249"/>
      <c r="BF32" s="249"/>
      <c r="BG32" s="360"/>
      <c r="BH32" s="360"/>
      <c r="BI32" s="360"/>
      <c r="BJ32" s="360"/>
      <c r="BK32" s="360"/>
      <c r="BL32" s="360"/>
      <c r="BM32" s="360"/>
      <c r="BN32" s="360"/>
      <c r="BO32" s="360"/>
      <c r="BP32" s="360"/>
      <c r="BQ32" s="360"/>
      <c r="BR32" s="360"/>
      <c r="BS32" s="360"/>
      <c r="BT32" s="360"/>
      <c r="BU32" s="360"/>
      <c r="BV32" s="360"/>
    </row>
    <row r="33" spans="1:74" ht="11.1" customHeight="1" x14ac:dyDescent="0.2">
      <c r="A33" s="545" t="s">
        <v>1323</v>
      </c>
      <c r="B33" s="546" t="s">
        <v>86</v>
      </c>
      <c r="C33" s="766">
        <v>17.434978961999999</v>
      </c>
      <c r="D33" s="766">
        <v>6.1000616379999997</v>
      </c>
      <c r="E33" s="766">
        <v>5.5190873009999999</v>
      </c>
      <c r="F33" s="766">
        <v>4.7692712610000001</v>
      </c>
      <c r="G33" s="766">
        <v>5.2983117389999999</v>
      </c>
      <c r="H33" s="766">
        <v>7.106352834</v>
      </c>
      <c r="I33" s="766">
        <v>8.4637909600000008</v>
      </c>
      <c r="J33" s="766">
        <v>9.1401453430000004</v>
      </c>
      <c r="K33" s="766">
        <v>7.4742597350000004</v>
      </c>
      <c r="L33" s="766">
        <v>5.3789129960000004</v>
      </c>
      <c r="M33" s="766">
        <v>5.1503603370000004</v>
      </c>
      <c r="N33" s="766">
        <v>6.7946021449999998</v>
      </c>
      <c r="O33" s="766">
        <v>7.6310404680000001</v>
      </c>
      <c r="P33" s="766">
        <v>4.6759540959999999</v>
      </c>
      <c r="Q33" s="766">
        <v>3.3910988550000001</v>
      </c>
      <c r="R33" s="766">
        <v>3.3140928870000002</v>
      </c>
      <c r="S33" s="766">
        <v>3.5775309489999998</v>
      </c>
      <c r="T33" s="766">
        <v>4.6983737769999996</v>
      </c>
      <c r="U33" s="766">
        <v>8.5647145869999992</v>
      </c>
      <c r="V33" s="766">
        <v>9.2702213130000004</v>
      </c>
      <c r="W33" s="766">
        <v>7.2028645520000003</v>
      </c>
      <c r="X33" s="766">
        <v>6.5856887110000004</v>
      </c>
      <c r="Y33" s="766">
        <v>6.0483553409999997</v>
      </c>
      <c r="Z33" s="766">
        <v>7.6331565020000003</v>
      </c>
      <c r="AA33" s="766">
        <v>6.3599656510000004</v>
      </c>
      <c r="AB33" s="766">
        <v>5.256180058</v>
      </c>
      <c r="AC33" s="766">
        <v>5.934310923</v>
      </c>
      <c r="AD33" s="766">
        <v>4.6515267769999999</v>
      </c>
      <c r="AE33" s="766">
        <v>4.4904256379999996</v>
      </c>
      <c r="AF33" s="766">
        <v>6.0950047039999999</v>
      </c>
      <c r="AG33" s="766">
        <v>10.151653446999999</v>
      </c>
      <c r="AH33" s="766">
        <v>10.011663008999999</v>
      </c>
      <c r="AI33" s="766">
        <v>8.9510823889999998</v>
      </c>
      <c r="AJ33" s="766">
        <v>6.7402670589999998</v>
      </c>
      <c r="AK33" s="766">
        <v>6.0514291179999997</v>
      </c>
      <c r="AL33" s="766">
        <v>6.9613655239999996</v>
      </c>
      <c r="AM33" s="766">
        <v>7.3312163559999997</v>
      </c>
      <c r="AN33" s="766">
        <v>6.3923208340000004</v>
      </c>
      <c r="AO33" s="766">
        <v>6.412304593</v>
      </c>
      <c r="AP33" s="766">
        <v>5.3875704019999997</v>
      </c>
      <c r="AQ33" s="766">
        <v>4.4177022360000002</v>
      </c>
      <c r="AR33" s="766">
        <v>6.8859845999999996</v>
      </c>
      <c r="AS33" s="766">
        <v>10.299640595</v>
      </c>
      <c r="AT33" s="766">
        <v>10.556975443000001</v>
      </c>
      <c r="AU33" s="766">
        <v>8.5005049709999998</v>
      </c>
      <c r="AV33" s="766">
        <v>7.0868377159999998</v>
      </c>
      <c r="AW33" s="766">
        <v>7.4760730640000004</v>
      </c>
      <c r="AX33" s="766">
        <v>8.5025713469999999</v>
      </c>
      <c r="AY33" s="766">
        <v>8.2986605430000004</v>
      </c>
      <c r="AZ33" s="766">
        <v>7.3793328110000003</v>
      </c>
      <c r="BA33" s="766">
        <v>7.8707640630000002</v>
      </c>
      <c r="BB33" s="766">
        <v>6.5518031490000004</v>
      </c>
      <c r="BC33" s="766">
        <v>4.6458934640000003</v>
      </c>
      <c r="BD33" s="766">
        <v>5.7698884189999999</v>
      </c>
      <c r="BE33" s="766">
        <v>6.7749259999999998</v>
      </c>
      <c r="BF33" s="766">
        <v>8.3392610000000005</v>
      </c>
      <c r="BG33" s="767">
        <v>6.7213750000000001</v>
      </c>
      <c r="BH33" s="767">
        <v>2.4457939999999998</v>
      </c>
      <c r="BI33" s="767">
        <v>5.5195860000000003</v>
      </c>
      <c r="BJ33" s="767">
        <v>7.3875479999999998</v>
      </c>
      <c r="BK33" s="767">
        <v>5.3313750000000004</v>
      </c>
      <c r="BL33" s="767">
        <v>3.0296910000000001</v>
      </c>
      <c r="BM33" s="767">
        <v>3.177594</v>
      </c>
      <c r="BN33" s="767">
        <v>2.6467610000000001</v>
      </c>
      <c r="BO33" s="767">
        <v>3.963587</v>
      </c>
      <c r="BP33" s="767">
        <v>3.689505</v>
      </c>
      <c r="BQ33" s="767">
        <v>4.671888</v>
      </c>
      <c r="BR33" s="767">
        <v>6.0212589999999997</v>
      </c>
      <c r="BS33" s="767">
        <v>3.9827460000000001</v>
      </c>
      <c r="BT33" s="767">
        <v>1.562629</v>
      </c>
      <c r="BU33" s="767">
        <v>5.5430159999999997</v>
      </c>
      <c r="BV33" s="767">
        <v>7.5054699999999999</v>
      </c>
    </row>
    <row r="34" spans="1:74" ht="11.1" customHeight="1" x14ac:dyDescent="0.2">
      <c r="A34" s="545" t="s">
        <v>1324</v>
      </c>
      <c r="B34" s="546" t="s">
        <v>85</v>
      </c>
      <c r="C34" s="766">
        <v>25.244782292</v>
      </c>
      <c r="D34" s="766">
        <v>8.2414656229999999</v>
      </c>
      <c r="E34" s="766">
        <v>7.0405017430000001</v>
      </c>
      <c r="F34" s="766">
        <v>6.1511605630000004</v>
      </c>
      <c r="G34" s="766">
        <v>6.1070176030000001</v>
      </c>
      <c r="H34" s="766">
        <v>8.7314747700000002</v>
      </c>
      <c r="I34" s="766">
        <v>11.552105072</v>
      </c>
      <c r="J34" s="766">
        <v>11.960372964999999</v>
      </c>
      <c r="K34" s="766">
        <v>10.245768425</v>
      </c>
      <c r="L34" s="766">
        <v>9.6186251219999992</v>
      </c>
      <c r="M34" s="766">
        <v>9.0975728539999992</v>
      </c>
      <c r="N34" s="766">
        <v>11.196733094000001</v>
      </c>
      <c r="O34" s="766">
        <v>10.938000907999999</v>
      </c>
      <c r="P34" s="766">
        <v>8.813834495</v>
      </c>
      <c r="Q34" s="766">
        <v>7.5227450090000003</v>
      </c>
      <c r="R34" s="766">
        <v>6.0032591890000004</v>
      </c>
      <c r="S34" s="766">
        <v>6.9077745510000002</v>
      </c>
      <c r="T34" s="766">
        <v>8.097990437</v>
      </c>
      <c r="U34" s="766">
        <v>11.257835291999999</v>
      </c>
      <c r="V34" s="766">
        <v>11.498287839</v>
      </c>
      <c r="W34" s="766">
        <v>10.300913332</v>
      </c>
      <c r="X34" s="766">
        <v>9.3435287900000006</v>
      </c>
      <c r="Y34" s="766">
        <v>9.52002317</v>
      </c>
      <c r="Z34" s="766">
        <v>10.269740766</v>
      </c>
      <c r="AA34" s="766">
        <v>9.7460622130000001</v>
      </c>
      <c r="AB34" s="766">
        <v>7.6615283300000003</v>
      </c>
      <c r="AC34" s="766">
        <v>7.8858825430000001</v>
      </c>
      <c r="AD34" s="766">
        <v>6.2280619679999996</v>
      </c>
      <c r="AE34" s="766">
        <v>6.1019031640000003</v>
      </c>
      <c r="AF34" s="766">
        <v>7.729727703</v>
      </c>
      <c r="AG34" s="766">
        <v>10.358774982</v>
      </c>
      <c r="AH34" s="766">
        <v>10.702930356</v>
      </c>
      <c r="AI34" s="766">
        <v>9.7781918660000002</v>
      </c>
      <c r="AJ34" s="766">
        <v>9.4853962569999997</v>
      </c>
      <c r="AK34" s="766">
        <v>9.9210106529999997</v>
      </c>
      <c r="AL34" s="766">
        <v>11.197152571</v>
      </c>
      <c r="AM34" s="766">
        <v>11.051309663</v>
      </c>
      <c r="AN34" s="766">
        <v>9.7662133919999992</v>
      </c>
      <c r="AO34" s="766">
        <v>8.9026469519999996</v>
      </c>
      <c r="AP34" s="766">
        <v>6.127510247</v>
      </c>
      <c r="AQ34" s="766">
        <v>5.25381841</v>
      </c>
      <c r="AR34" s="766">
        <v>6.6539601189999997</v>
      </c>
      <c r="AS34" s="766">
        <v>9.5506571640000004</v>
      </c>
      <c r="AT34" s="766">
        <v>10.447186514</v>
      </c>
      <c r="AU34" s="766">
        <v>9.3881842130000006</v>
      </c>
      <c r="AV34" s="766">
        <v>8.7592042630000009</v>
      </c>
      <c r="AW34" s="766">
        <v>8.9526607919999996</v>
      </c>
      <c r="AX34" s="766">
        <v>10.203072141</v>
      </c>
      <c r="AY34" s="766">
        <v>8.3312920070000001</v>
      </c>
      <c r="AZ34" s="766">
        <v>6.8174266360000004</v>
      </c>
      <c r="BA34" s="766">
        <v>6.8344891729999997</v>
      </c>
      <c r="BB34" s="766">
        <v>5.577223643</v>
      </c>
      <c r="BC34" s="766">
        <v>4.7906989290000004</v>
      </c>
      <c r="BD34" s="766">
        <v>5.5801654689999998</v>
      </c>
      <c r="BE34" s="766">
        <v>9.8800279999999994</v>
      </c>
      <c r="BF34" s="766">
        <v>12.356809999999999</v>
      </c>
      <c r="BG34" s="767">
        <v>9.9253470000000004</v>
      </c>
      <c r="BH34" s="767">
        <v>11.33475</v>
      </c>
      <c r="BI34" s="767">
        <v>9.2386540000000004</v>
      </c>
      <c r="BJ34" s="767">
        <v>8.1219000000000001</v>
      </c>
      <c r="BK34" s="767">
        <v>11.044140000000001</v>
      </c>
      <c r="BL34" s="767">
        <v>10.294919999999999</v>
      </c>
      <c r="BM34" s="767">
        <v>10.501860000000001</v>
      </c>
      <c r="BN34" s="767">
        <v>8.9630930000000006</v>
      </c>
      <c r="BO34" s="767">
        <v>5.950215</v>
      </c>
      <c r="BP34" s="767">
        <v>8.8393610000000002</v>
      </c>
      <c r="BQ34" s="767">
        <v>12.793799999999999</v>
      </c>
      <c r="BR34" s="767">
        <v>12.267160000000001</v>
      </c>
      <c r="BS34" s="767">
        <v>10.54922</v>
      </c>
      <c r="BT34" s="767">
        <v>11.23522</v>
      </c>
      <c r="BU34" s="767">
        <v>7.8596719999999998</v>
      </c>
      <c r="BV34" s="767">
        <v>8.1401219999999999</v>
      </c>
    </row>
    <row r="35" spans="1:74" ht="11.1" customHeight="1" x14ac:dyDescent="0.2">
      <c r="A35" s="545" t="s">
        <v>1325</v>
      </c>
      <c r="B35" s="548" t="s">
        <v>88</v>
      </c>
      <c r="C35" s="766">
        <v>2.5167039999999998</v>
      </c>
      <c r="D35" s="766">
        <v>0.79543299999999995</v>
      </c>
      <c r="E35" s="766">
        <v>0.74486799999999997</v>
      </c>
      <c r="F35" s="766">
        <v>0.81403599999999998</v>
      </c>
      <c r="G35" s="766">
        <v>0.82978799999999997</v>
      </c>
      <c r="H35" s="766">
        <v>0.81412499999999999</v>
      </c>
      <c r="I35" s="766">
        <v>0.83005600000000002</v>
      </c>
      <c r="J35" s="766">
        <v>0.82260800000000001</v>
      </c>
      <c r="K35" s="766">
        <v>0.80113199999999996</v>
      </c>
      <c r="L35" s="766">
        <v>0.84100200000000003</v>
      </c>
      <c r="M35" s="766">
        <v>0.81918000000000002</v>
      </c>
      <c r="N35" s="766">
        <v>0.65258099999999997</v>
      </c>
      <c r="O35" s="766">
        <v>0.84062700000000001</v>
      </c>
      <c r="P35" s="766">
        <v>0.75684300000000004</v>
      </c>
      <c r="Q35" s="766">
        <v>0.79163899999999998</v>
      </c>
      <c r="R35" s="766">
        <v>0.55125000000000002</v>
      </c>
      <c r="S35" s="766">
        <v>0.223028</v>
      </c>
      <c r="T35" s="766">
        <v>0.26971699999999998</v>
      </c>
      <c r="U35" s="766">
        <v>0.85583399999999998</v>
      </c>
      <c r="V35" s="766">
        <v>0.53701900000000002</v>
      </c>
      <c r="W35" s="766">
        <v>0.73565000000000003</v>
      </c>
      <c r="X35" s="766">
        <v>0.85805200000000004</v>
      </c>
      <c r="Y35" s="766">
        <v>0.84159700000000004</v>
      </c>
      <c r="Z35" s="766">
        <v>0.86700299999999997</v>
      </c>
      <c r="AA35" s="766">
        <v>0.86232799999999998</v>
      </c>
      <c r="AB35" s="766">
        <v>0.78793899999999994</v>
      </c>
      <c r="AC35" s="766">
        <v>0.86643700000000001</v>
      </c>
      <c r="AD35" s="766">
        <v>0.82247899999999996</v>
      </c>
      <c r="AE35" s="766">
        <v>0.60275299999999998</v>
      </c>
      <c r="AF35" s="766">
        <v>0.72396000000000005</v>
      </c>
      <c r="AG35" s="766">
        <v>0.84852099999999997</v>
      </c>
      <c r="AH35" s="766">
        <v>0.84925499999999998</v>
      </c>
      <c r="AI35" s="766">
        <v>0.82927700000000004</v>
      </c>
      <c r="AJ35" s="766">
        <v>0.86246199999999995</v>
      </c>
      <c r="AK35" s="766">
        <v>0.84036100000000002</v>
      </c>
      <c r="AL35" s="766">
        <v>0.81266899999999997</v>
      </c>
      <c r="AM35" s="766">
        <v>0.84955700000000001</v>
      </c>
      <c r="AN35" s="766">
        <v>0.77974600000000005</v>
      </c>
      <c r="AO35" s="766">
        <v>0.86134900000000003</v>
      </c>
      <c r="AP35" s="766">
        <v>0.81644000000000005</v>
      </c>
      <c r="AQ35" s="766">
        <v>0.243895</v>
      </c>
      <c r="AR35" s="766">
        <v>0.244696</v>
      </c>
      <c r="AS35" s="766">
        <v>0.83834200000000003</v>
      </c>
      <c r="AT35" s="766">
        <v>0.84835400000000005</v>
      </c>
      <c r="AU35" s="766">
        <v>0.82288499999999998</v>
      </c>
      <c r="AV35" s="766">
        <v>0.86165899999999995</v>
      </c>
      <c r="AW35" s="766">
        <v>0.83929500000000001</v>
      </c>
      <c r="AX35" s="766">
        <v>0.86028099999999996</v>
      </c>
      <c r="AY35" s="766">
        <v>0.86132399999999998</v>
      </c>
      <c r="AZ35" s="766">
        <v>0.72480299999999998</v>
      </c>
      <c r="BA35" s="766">
        <v>0.85381799999999997</v>
      </c>
      <c r="BB35" s="766">
        <v>0.83510099999999998</v>
      </c>
      <c r="BC35" s="766">
        <v>0.78814099999999998</v>
      </c>
      <c r="BD35" s="766">
        <v>0.42041600000000001</v>
      </c>
      <c r="BE35" s="766">
        <v>0.77963000000000005</v>
      </c>
      <c r="BF35" s="766">
        <v>0.86412</v>
      </c>
      <c r="BG35" s="767">
        <v>0.79376999999999998</v>
      </c>
      <c r="BH35" s="767">
        <v>0.82021999999999995</v>
      </c>
      <c r="BI35" s="767">
        <v>0.79376999999999998</v>
      </c>
      <c r="BJ35" s="767">
        <v>0.82021999999999995</v>
      </c>
      <c r="BK35" s="767">
        <v>0.82021999999999995</v>
      </c>
      <c r="BL35" s="767">
        <v>0.74085000000000001</v>
      </c>
      <c r="BM35" s="767">
        <v>0.82021999999999995</v>
      </c>
      <c r="BN35" s="767">
        <v>0.79376999999999998</v>
      </c>
      <c r="BO35" s="767">
        <v>0.17355000000000001</v>
      </c>
      <c r="BP35" s="767">
        <v>0.22591</v>
      </c>
      <c r="BQ35" s="767">
        <v>0.82021999999999995</v>
      </c>
      <c r="BR35" s="767">
        <v>0.82021999999999995</v>
      </c>
      <c r="BS35" s="767">
        <v>0.79376999999999998</v>
      </c>
      <c r="BT35" s="767">
        <v>0.82021999999999995</v>
      </c>
      <c r="BU35" s="767">
        <v>0.79376999999999998</v>
      </c>
      <c r="BV35" s="767">
        <v>0.82021999999999995</v>
      </c>
    </row>
    <row r="36" spans="1:74" ht="11.1" customHeight="1" x14ac:dyDescent="0.2">
      <c r="A36" s="545" t="s">
        <v>1326</v>
      </c>
      <c r="B36" s="548" t="s">
        <v>1259</v>
      </c>
      <c r="C36" s="766">
        <v>43.572331652999999</v>
      </c>
      <c r="D36" s="766">
        <v>11.166386891</v>
      </c>
      <c r="E36" s="766">
        <v>14.133299205</v>
      </c>
      <c r="F36" s="766">
        <v>14.542865652</v>
      </c>
      <c r="G36" s="766">
        <v>14.179711362999999</v>
      </c>
      <c r="H36" s="766">
        <v>12.247885599</v>
      </c>
      <c r="I36" s="766">
        <v>10.274421725</v>
      </c>
      <c r="J36" s="766">
        <v>8.6731379299999993</v>
      </c>
      <c r="K36" s="766">
        <v>7.4549169300000004</v>
      </c>
      <c r="L36" s="766">
        <v>8.8912947179999993</v>
      </c>
      <c r="M36" s="766">
        <v>10.868621474999999</v>
      </c>
      <c r="N36" s="766">
        <v>12.665380502</v>
      </c>
      <c r="O36" s="766">
        <v>13.618834769999999</v>
      </c>
      <c r="P36" s="766">
        <v>12.200355081</v>
      </c>
      <c r="Q36" s="766">
        <v>15.498305705</v>
      </c>
      <c r="R36" s="766">
        <v>15.049445560000001</v>
      </c>
      <c r="S36" s="766">
        <v>15.826954220999999</v>
      </c>
      <c r="T36" s="766">
        <v>15.834026234</v>
      </c>
      <c r="U36" s="766">
        <v>12.083445595000001</v>
      </c>
      <c r="V36" s="766">
        <v>9.0835369690000007</v>
      </c>
      <c r="W36" s="766">
        <v>8.7679309809999992</v>
      </c>
      <c r="X36" s="766">
        <v>7.9360543789999998</v>
      </c>
      <c r="Y36" s="766">
        <v>9.3578202229999992</v>
      </c>
      <c r="Z36" s="766">
        <v>11.803306702</v>
      </c>
      <c r="AA36" s="766">
        <v>13.876456600999999</v>
      </c>
      <c r="AB36" s="766">
        <v>13.997545691999999</v>
      </c>
      <c r="AC36" s="766">
        <v>13.614637</v>
      </c>
      <c r="AD36" s="766">
        <v>13.845393752</v>
      </c>
      <c r="AE36" s="766">
        <v>16.065674773000001</v>
      </c>
      <c r="AF36" s="766">
        <v>14.641252682999999</v>
      </c>
      <c r="AG36" s="766">
        <v>11.7605168</v>
      </c>
      <c r="AH36" s="766">
        <v>9.7738611070000001</v>
      </c>
      <c r="AI36" s="766">
        <v>7.9739313530000002</v>
      </c>
      <c r="AJ36" s="766">
        <v>8.0670172000000004</v>
      </c>
      <c r="AK36" s="766">
        <v>9.6723475949999997</v>
      </c>
      <c r="AL36" s="766">
        <v>9.6706247940000001</v>
      </c>
      <c r="AM36" s="766">
        <v>10.721716603999999</v>
      </c>
      <c r="AN36" s="766">
        <v>9.6999560329999994</v>
      </c>
      <c r="AO36" s="766">
        <v>10.101036540999999</v>
      </c>
      <c r="AP36" s="766">
        <v>10.598272153</v>
      </c>
      <c r="AQ36" s="766">
        <v>14.244567505999999</v>
      </c>
      <c r="AR36" s="766">
        <v>11.644618033</v>
      </c>
      <c r="AS36" s="766">
        <v>8.998160683</v>
      </c>
      <c r="AT36" s="766">
        <v>8.9222959809999995</v>
      </c>
      <c r="AU36" s="766">
        <v>6.6620249960000004</v>
      </c>
      <c r="AV36" s="766">
        <v>7.2398812789999996</v>
      </c>
      <c r="AW36" s="766">
        <v>9.6029095509999998</v>
      </c>
      <c r="AX36" s="766">
        <v>9.5603864210000005</v>
      </c>
      <c r="AY36" s="766">
        <v>11.487908084000001</v>
      </c>
      <c r="AZ36" s="766">
        <v>12.688026851</v>
      </c>
      <c r="BA36" s="766">
        <v>9.7629819990000009</v>
      </c>
      <c r="BB36" s="766">
        <v>8.0888273710000007</v>
      </c>
      <c r="BC36" s="766">
        <v>14.857964840999999</v>
      </c>
      <c r="BD36" s="766">
        <v>15.10792294</v>
      </c>
      <c r="BE36" s="766">
        <v>13.57498</v>
      </c>
      <c r="BF36" s="766">
        <v>9.64255</v>
      </c>
      <c r="BG36" s="767">
        <v>7.5346029999999997</v>
      </c>
      <c r="BH36" s="767">
        <v>8.1938289999999991</v>
      </c>
      <c r="BI36" s="767">
        <v>10.264010000000001</v>
      </c>
      <c r="BJ36" s="767">
        <v>11.535080000000001</v>
      </c>
      <c r="BK36" s="767">
        <v>11.666790000000001</v>
      </c>
      <c r="BL36" s="767">
        <v>10.64387</v>
      </c>
      <c r="BM36" s="767">
        <v>12.443009999999999</v>
      </c>
      <c r="BN36" s="767">
        <v>9.189095</v>
      </c>
      <c r="BO36" s="767">
        <v>12.72006</v>
      </c>
      <c r="BP36" s="767">
        <v>13.12458</v>
      </c>
      <c r="BQ36" s="767">
        <v>10.934749999999999</v>
      </c>
      <c r="BR36" s="767">
        <v>10.10885</v>
      </c>
      <c r="BS36" s="767">
        <v>8.4655310000000004</v>
      </c>
      <c r="BT36" s="767">
        <v>8.6421770000000002</v>
      </c>
      <c r="BU36" s="767">
        <v>11.207000000000001</v>
      </c>
      <c r="BV36" s="767">
        <v>12.558999999999999</v>
      </c>
    </row>
    <row r="37" spans="1:74" ht="11.1" customHeight="1" x14ac:dyDescent="0.2">
      <c r="A37" s="545" t="s">
        <v>1327</v>
      </c>
      <c r="B37" s="548" t="s">
        <v>1362</v>
      </c>
      <c r="C37" s="766">
        <v>12.461732867</v>
      </c>
      <c r="D37" s="766">
        <v>3.6883642800000001</v>
      </c>
      <c r="E37" s="766">
        <v>3.9346638089999999</v>
      </c>
      <c r="F37" s="766">
        <v>3.6449995660000001</v>
      </c>
      <c r="G37" s="766">
        <v>3.6018947539999999</v>
      </c>
      <c r="H37" s="766">
        <v>3.3118861210000001</v>
      </c>
      <c r="I37" s="766">
        <v>3.5143580569999999</v>
      </c>
      <c r="J37" s="766">
        <v>3.0126146619999998</v>
      </c>
      <c r="K37" s="766">
        <v>3.3752413699999999</v>
      </c>
      <c r="L37" s="766">
        <v>3.335982623</v>
      </c>
      <c r="M37" s="766">
        <v>3.5776603379999998</v>
      </c>
      <c r="N37" s="766">
        <v>3.9686334890000001</v>
      </c>
      <c r="O37" s="766">
        <v>2.80288658</v>
      </c>
      <c r="P37" s="766">
        <v>3.1831470359999998</v>
      </c>
      <c r="Q37" s="766">
        <v>3.9612113779999998</v>
      </c>
      <c r="R37" s="766">
        <v>4.3689187389999997</v>
      </c>
      <c r="S37" s="766">
        <v>3.648011001</v>
      </c>
      <c r="T37" s="766">
        <v>3.758458836</v>
      </c>
      <c r="U37" s="766">
        <v>3.7112454370000001</v>
      </c>
      <c r="V37" s="766">
        <v>3.2967127519999999</v>
      </c>
      <c r="W37" s="766">
        <v>3.1598894930000001</v>
      </c>
      <c r="X37" s="766">
        <v>4.2770562610000002</v>
      </c>
      <c r="Y37" s="766">
        <v>3.6817450919999999</v>
      </c>
      <c r="Z37" s="766">
        <v>3.5962724050000001</v>
      </c>
      <c r="AA37" s="766">
        <v>3.2887436229999998</v>
      </c>
      <c r="AB37" s="766">
        <v>3.9977071899999999</v>
      </c>
      <c r="AC37" s="766">
        <v>4.3389342170000003</v>
      </c>
      <c r="AD37" s="766">
        <v>4.5905493340000003</v>
      </c>
      <c r="AE37" s="766">
        <v>4.1666958039999997</v>
      </c>
      <c r="AF37" s="766">
        <v>4.5924883200000002</v>
      </c>
      <c r="AG37" s="766">
        <v>4.1447145750000001</v>
      </c>
      <c r="AH37" s="766">
        <v>4.2545393840000001</v>
      </c>
      <c r="AI37" s="766">
        <v>3.6298725859999998</v>
      </c>
      <c r="AJ37" s="766">
        <v>3.1688779949999999</v>
      </c>
      <c r="AK37" s="766">
        <v>3.4345655320000001</v>
      </c>
      <c r="AL37" s="766">
        <v>3.5525103379999998</v>
      </c>
      <c r="AM37" s="766">
        <v>3.792118275</v>
      </c>
      <c r="AN37" s="766">
        <v>3.425144188</v>
      </c>
      <c r="AO37" s="766">
        <v>4.0264361360000001</v>
      </c>
      <c r="AP37" s="766">
        <v>4.7873409349999996</v>
      </c>
      <c r="AQ37" s="766">
        <v>4.2229711060000001</v>
      </c>
      <c r="AR37" s="766">
        <v>4.4136993359999996</v>
      </c>
      <c r="AS37" s="766">
        <v>4.1302547890000003</v>
      </c>
      <c r="AT37" s="766">
        <v>3.7206250779999999</v>
      </c>
      <c r="AU37" s="766">
        <v>4.1401590429999997</v>
      </c>
      <c r="AV37" s="766">
        <v>4.3288706899999996</v>
      </c>
      <c r="AW37" s="766">
        <v>3.7401350830000002</v>
      </c>
      <c r="AX37" s="766">
        <v>3.709755726</v>
      </c>
      <c r="AY37" s="766">
        <v>4.4563330069999996</v>
      </c>
      <c r="AZ37" s="766">
        <v>4.6955561829999999</v>
      </c>
      <c r="BA37" s="766">
        <v>4.6115067569999999</v>
      </c>
      <c r="BB37" s="766">
        <v>4.7544988760000004</v>
      </c>
      <c r="BC37" s="766">
        <v>4.8398429690000002</v>
      </c>
      <c r="BD37" s="766">
        <v>4.6767276740000003</v>
      </c>
      <c r="BE37" s="766">
        <v>4.5464010000000004</v>
      </c>
      <c r="BF37" s="766">
        <v>4.0435569999999998</v>
      </c>
      <c r="BG37" s="767">
        <v>4.8243749999999999</v>
      </c>
      <c r="BH37" s="767">
        <v>5.4317070000000003</v>
      </c>
      <c r="BI37" s="767">
        <v>4.7749930000000003</v>
      </c>
      <c r="BJ37" s="767">
        <v>4.6269900000000002</v>
      </c>
      <c r="BK37" s="767">
        <v>5.4869430000000001</v>
      </c>
      <c r="BL37" s="767">
        <v>6.023066</v>
      </c>
      <c r="BM37" s="767">
        <v>5.8541460000000001</v>
      </c>
      <c r="BN37" s="767">
        <v>5.8297759999999998</v>
      </c>
      <c r="BO37" s="767">
        <v>5.9583069999999996</v>
      </c>
      <c r="BP37" s="767">
        <v>5.7258060000000004</v>
      </c>
      <c r="BQ37" s="767">
        <v>5.3415710000000001</v>
      </c>
      <c r="BR37" s="767">
        <v>4.836913</v>
      </c>
      <c r="BS37" s="767">
        <v>5.5943500000000004</v>
      </c>
      <c r="BT37" s="767">
        <v>6.2734480000000001</v>
      </c>
      <c r="BU37" s="767">
        <v>5.1758319999999998</v>
      </c>
      <c r="BV37" s="767">
        <v>4.9841449999999998</v>
      </c>
    </row>
    <row r="38" spans="1:74" ht="11.1" customHeight="1" x14ac:dyDescent="0.2">
      <c r="A38" s="545" t="s">
        <v>1328</v>
      </c>
      <c r="B38" s="546" t="s">
        <v>1363</v>
      </c>
      <c r="C38" s="766">
        <v>0.236234995</v>
      </c>
      <c r="D38" s="766">
        <v>6.1116159000000003E-2</v>
      </c>
      <c r="E38" s="766">
        <v>6.5621120000000005E-2</v>
      </c>
      <c r="F38" s="766">
        <v>5.9790286999999998E-2</v>
      </c>
      <c r="G38" s="766">
        <v>6.0143391999999997E-2</v>
      </c>
      <c r="H38" s="766">
        <v>7.9257177999999998E-2</v>
      </c>
      <c r="I38" s="766">
        <v>7.7863803999999995E-2</v>
      </c>
      <c r="J38" s="766">
        <v>6.5496523000000001E-2</v>
      </c>
      <c r="K38" s="766">
        <v>7.2389931000000005E-2</v>
      </c>
      <c r="L38" s="766">
        <v>8.5469212000000003E-2</v>
      </c>
      <c r="M38" s="766">
        <v>7.4310553000000001E-2</v>
      </c>
      <c r="N38" s="766">
        <v>7.9257969999999997E-2</v>
      </c>
      <c r="O38" s="766">
        <v>7.8400754000000003E-2</v>
      </c>
      <c r="P38" s="766">
        <v>5.8525517999999999E-2</v>
      </c>
      <c r="Q38" s="766">
        <v>6.2666385000000005E-2</v>
      </c>
      <c r="R38" s="766">
        <v>5.8468461999999999E-2</v>
      </c>
      <c r="S38" s="766">
        <v>6.1638198999999998E-2</v>
      </c>
      <c r="T38" s="766">
        <v>5.7942481999999997E-2</v>
      </c>
      <c r="U38" s="766">
        <v>7.0167095999999998E-2</v>
      </c>
      <c r="V38" s="766">
        <v>7.4483239000000007E-2</v>
      </c>
      <c r="W38" s="766">
        <v>7.6430712999999997E-2</v>
      </c>
      <c r="X38" s="766">
        <v>6.8434493999999998E-2</v>
      </c>
      <c r="Y38" s="766">
        <v>6.0154209E-2</v>
      </c>
      <c r="Z38" s="766">
        <v>7.4461068000000005E-2</v>
      </c>
      <c r="AA38" s="766">
        <v>7.5168971000000001E-2</v>
      </c>
      <c r="AB38" s="766">
        <v>7.4887975999999995E-2</v>
      </c>
      <c r="AC38" s="766">
        <v>8.5499634000000005E-2</v>
      </c>
      <c r="AD38" s="766">
        <v>7.3221853000000003E-2</v>
      </c>
      <c r="AE38" s="766">
        <v>6.4767542999999997E-2</v>
      </c>
      <c r="AF38" s="766">
        <v>4.5471734999999999E-2</v>
      </c>
      <c r="AG38" s="766">
        <v>8.7390972999999997E-2</v>
      </c>
      <c r="AH38" s="766">
        <v>9.3040158999999997E-2</v>
      </c>
      <c r="AI38" s="766">
        <v>0.10085187499999999</v>
      </c>
      <c r="AJ38" s="766">
        <v>9.2231539000000001E-2</v>
      </c>
      <c r="AK38" s="766">
        <v>8.3486272E-2</v>
      </c>
      <c r="AL38" s="766">
        <v>7.2272772999999998E-2</v>
      </c>
      <c r="AM38" s="766">
        <v>7.0880408000000006E-2</v>
      </c>
      <c r="AN38" s="766">
        <v>7.0934746000000007E-2</v>
      </c>
      <c r="AO38" s="766">
        <v>5.3449859000000002E-2</v>
      </c>
      <c r="AP38" s="766">
        <v>7.1262692000000002E-2</v>
      </c>
      <c r="AQ38" s="766">
        <v>8.6243027999999999E-2</v>
      </c>
      <c r="AR38" s="766">
        <v>7.6669017000000006E-2</v>
      </c>
      <c r="AS38" s="766">
        <v>8.6562612999999997E-2</v>
      </c>
      <c r="AT38" s="766">
        <v>9.0413389999999996E-2</v>
      </c>
      <c r="AU38" s="766">
        <v>7.9422402000000003E-2</v>
      </c>
      <c r="AV38" s="766">
        <v>5.2797102999999998E-2</v>
      </c>
      <c r="AW38" s="766">
        <v>7.9157121999999996E-2</v>
      </c>
      <c r="AX38" s="766">
        <v>0.10075574399999999</v>
      </c>
      <c r="AY38" s="766">
        <v>0.101682917</v>
      </c>
      <c r="AZ38" s="766">
        <v>8.7552402000000001E-2</v>
      </c>
      <c r="BA38" s="766">
        <v>7.7313504000000005E-2</v>
      </c>
      <c r="BB38" s="766">
        <v>4.9331738E-2</v>
      </c>
      <c r="BC38" s="766">
        <v>6.0488053999999999E-2</v>
      </c>
      <c r="BD38" s="766">
        <v>4.4804595000000003E-2</v>
      </c>
      <c r="BE38" s="766">
        <v>9.7255999999999995E-2</v>
      </c>
      <c r="BF38" s="766">
        <v>9.8633200000000004E-2</v>
      </c>
      <c r="BG38" s="767">
        <v>6.6942799999999997E-2</v>
      </c>
      <c r="BH38" s="767">
        <v>1.80927E-2</v>
      </c>
      <c r="BI38" s="767">
        <v>6.7486099999999993E-2</v>
      </c>
      <c r="BJ38" s="767">
        <v>5.7844399999999997E-2</v>
      </c>
      <c r="BK38" s="767">
        <v>6.8008399999999997E-2</v>
      </c>
      <c r="BL38" s="767">
        <v>7.9785800000000004E-2</v>
      </c>
      <c r="BM38" s="767">
        <v>8.5880700000000004E-2</v>
      </c>
      <c r="BN38" s="767">
        <v>4.9240399999999997E-2</v>
      </c>
      <c r="BO38" s="767">
        <v>5.4288200000000002E-2</v>
      </c>
      <c r="BP38" s="767">
        <v>4.4755000000000003E-2</v>
      </c>
      <c r="BQ38" s="767">
        <v>9.2818300000000006E-2</v>
      </c>
      <c r="BR38" s="767">
        <v>6.2919199999999995E-2</v>
      </c>
      <c r="BS38" s="767">
        <v>6.5452300000000005E-2</v>
      </c>
      <c r="BT38" s="767">
        <v>1.9556E-2</v>
      </c>
      <c r="BU38" s="767">
        <v>6.5122200000000005E-2</v>
      </c>
      <c r="BV38" s="767">
        <v>5.9179299999999997E-2</v>
      </c>
    </row>
    <row r="39" spans="1:74" ht="11.1" customHeight="1" x14ac:dyDescent="0.2">
      <c r="A39" s="545" t="s">
        <v>1329</v>
      </c>
      <c r="B39" s="546" t="s">
        <v>1263</v>
      </c>
      <c r="C39" s="766">
        <v>101.46676477</v>
      </c>
      <c r="D39" s="766">
        <v>30.052827591</v>
      </c>
      <c r="E39" s="766">
        <v>31.438041177999999</v>
      </c>
      <c r="F39" s="766">
        <v>29.982123329</v>
      </c>
      <c r="G39" s="766">
        <v>30.076866850999998</v>
      </c>
      <c r="H39" s="766">
        <v>32.290981502000001</v>
      </c>
      <c r="I39" s="766">
        <v>34.712595618000002</v>
      </c>
      <c r="J39" s="766">
        <v>33.674375423000001</v>
      </c>
      <c r="K39" s="766">
        <v>29.423708391000002</v>
      </c>
      <c r="L39" s="766">
        <v>28.151286671000001</v>
      </c>
      <c r="M39" s="766">
        <v>29.587705557</v>
      </c>
      <c r="N39" s="766">
        <v>35.357188200000003</v>
      </c>
      <c r="O39" s="766">
        <v>35.909790479999998</v>
      </c>
      <c r="P39" s="766">
        <v>29.688659225999999</v>
      </c>
      <c r="Q39" s="766">
        <v>31.227666331999998</v>
      </c>
      <c r="R39" s="766">
        <v>29.345434836999999</v>
      </c>
      <c r="S39" s="766">
        <v>30.244936921000001</v>
      </c>
      <c r="T39" s="766">
        <v>32.716508765999997</v>
      </c>
      <c r="U39" s="766">
        <v>36.543242007000003</v>
      </c>
      <c r="V39" s="766">
        <v>33.760261112000002</v>
      </c>
      <c r="W39" s="766">
        <v>30.243679070999999</v>
      </c>
      <c r="X39" s="766">
        <v>29.068814634999999</v>
      </c>
      <c r="Y39" s="766">
        <v>29.509695035</v>
      </c>
      <c r="Z39" s="766">
        <v>34.243940443</v>
      </c>
      <c r="AA39" s="766">
        <v>34.208725059000002</v>
      </c>
      <c r="AB39" s="766">
        <v>31.775788246000001</v>
      </c>
      <c r="AC39" s="766">
        <v>32.725701317000002</v>
      </c>
      <c r="AD39" s="766">
        <v>30.211232683999999</v>
      </c>
      <c r="AE39" s="766">
        <v>31.492219922</v>
      </c>
      <c r="AF39" s="766">
        <v>33.827905145000003</v>
      </c>
      <c r="AG39" s="766">
        <v>37.351571776999997</v>
      </c>
      <c r="AH39" s="766">
        <v>35.685289015000002</v>
      </c>
      <c r="AI39" s="766">
        <v>31.263207069</v>
      </c>
      <c r="AJ39" s="766">
        <v>28.416252050000001</v>
      </c>
      <c r="AK39" s="766">
        <v>30.00320017</v>
      </c>
      <c r="AL39" s="766">
        <v>32.266595000000002</v>
      </c>
      <c r="AM39" s="766">
        <v>33.816798306000003</v>
      </c>
      <c r="AN39" s="766">
        <v>30.134315192999999</v>
      </c>
      <c r="AO39" s="766">
        <v>30.357223081000001</v>
      </c>
      <c r="AP39" s="766">
        <v>27.788396428999999</v>
      </c>
      <c r="AQ39" s="766">
        <v>28.469197286</v>
      </c>
      <c r="AR39" s="766">
        <v>29.919627105</v>
      </c>
      <c r="AS39" s="766">
        <v>33.903617844000003</v>
      </c>
      <c r="AT39" s="766">
        <v>34.585850405999999</v>
      </c>
      <c r="AU39" s="766">
        <v>29.593180624999999</v>
      </c>
      <c r="AV39" s="766">
        <v>28.329250050999999</v>
      </c>
      <c r="AW39" s="766">
        <v>30.690230612000001</v>
      </c>
      <c r="AX39" s="766">
        <v>32.936822378999999</v>
      </c>
      <c r="AY39" s="766">
        <v>33.537200558000002</v>
      </c>
      <c r="AZ39" s="766">
        <v>32.392697882999997</v>
      </c>
      <c r="BA39" s="766">
        <v>30.010873495999999</v>
      </c>
      <c r="BB39" s="766">
        <v>25.856785776999999</v>
      </c>
      <c r="BC39" s="766">
        <v>29.983029256999998</v>
      </c>
      <c r="BD39" s="766">
        <v>31.599925097</v>
      </c>
      <c r="BE39" s="766">
        <v>35.653219999999997</v>
      </c>
      <c r="BF39" s="766">
        <v>35.344929999999998</v>
      </c>
      <c r="BG39" s="767">
        <v>29.866409999999998</v>
      </c>
      <c r="BH39" s="767">
        <v>28.244399999999999</v>
      </c>
      <c r="BI39" s="767">
        <v>30.6585</v>
      </c>
      <c r="BJ39" s="767">
        <v>32.549579999999999</v>
      </c>
      <c r="BK39" s="767">
        <v>34.417479999999998</v>
      </c>
      <c r="BL39" s="767">
        <v>30.812190000000001</v>
      </c>
      <c r="BM39" s="767">
        <v>32.882710000000003</v>
      </c>
      <c r="BN39" s="767">
        <v>27.47174</v>
      </c>
      <c r="BO39" s="767">
        <v>28.82001</v>
      </c>
      <c r="BP39" s="767">
        <v>31.649920000000002</v>
      </c>
      <c r="BQ39" s="767">
        <v>34.655050000000003</v>
      </c>
      <c r="BR39" s="767">
        <v>34.117330000000003</v>
      </c>
      <c r="BS39" s="767">
        <v>29.451070000000001</v>
      </c>
      <c r="BT39" s="767">
        <v>28.553249999999998</v>
      </c>
      <c r="BU39" s="767">
        <v>30.64442</v>
      </c>
      <c r="BV39" s="767">
        <v>34.06814</v>
      </c>
    </row>
    <row r="40" spans="1:74" ht="11.1" customHeight="1" x14ac:dyDescent="0.2">
      <c r="A40" s="545" t="s">
        <v>1330</v>
      </c>
      <c r="B40" s="546" t="s">
        <v>1364</v>
      </c>
      <c r="C40" s="766">
        <v>88.902534279999998</v>
      </c>
      <c r="D40" s="766">
        <v>26.942187019999999</v>
      </c>
      <c r="E40" s="766">
        <v>27.367456090000001</v>
      </c>
      <c r="F40" s="766">
        <v>25.176292766</v>
      </c>
      <c r="G40" s="766">
        <v>26.301331170000001</v>
      </c>
      <c r="H40" s="766">
        <v>29.777542781000001</v>
      </c>
      <c r="I40" s="766">
        <v>32.009801907000003</v>
      </c>
      <c r="J40" s="766">
        <v>31.493005445000001</v>
      </c>
      <c r="K40" s="766">
        <v>26.816639325000001</v>
      </c>
      <c r="L40" s="766">
        <v>26.406659491999999</v>
      </c>
      <c r="M40" s="766">
        <v>26.323324750000001</v>
      </c>
      <c r="N40" s="766">
        <v>33.070006360999997</v>
      </c>
      <c r="O40" s="766">
        <v>33.468597893000002</v>
      </c>
      <c r="P40" s="766">
        <v>27.104836252999998</v>
      </c>
      <c r="Q40" s="766">
        <v>26.499372268999998</v>
      </c>
      <c r="R40" s="766">
        <v>25.637260281</v>
      </c>
      <c r="S40" s="766">
        <v>26.955166091999999</v>
      </c>
      <c r="T40" s="766">
        <v>29.485019586</v>
      </c>
      <c r="U40" s="766">
        <v>33.357565082000001</v>
      </c>
      <c r="V40" s="766">
        <v>31.900463849000001</v>
      </c>
      <c r="W40" s="766">
        <v>26.984751597999999</v>
      </c>
      <c r="X40" s="766">
        <v>26.450127948999999</v>
      </c>
      <c r="Y40" s="766">
        <v>26.747978372999999</v>
      </c>
      <c r="Z40" s="766">
        <v>31.017969509</v>
      </c>
      <c r="AA40" s="766">
        <v>30.207102703</v>
      </c>
      <c r="AB40" s="766">
        <v>27.943676144000001</v>
      </c>
      <c r="AC40" s="766">
        <v>29.037631405999999</v>
      </c>
      <c r="AD40" s="766">
        <v>26.636721649999998</v>
      </c>
      <c r="AE40" s="766">
        <v>27.636104119999999</v>
      </c>
      <c r="AF40" s="766">
        <v>29.937958951999999</v>
      </c>
      <c r="AG40" s="766">
        <v>33.814194942999997</v>
      </c>
      <c r="AH40" s="766">
        <v>32.087276383999999</v>
      </c>
      <c r="AI40" s="766">
        <v>28.099952709</v>
      </c>
      <c r="AJ40" s="766">
        <v>28.430046786999998</v>
      </c>
      <c r="AK40" s="766">
        <v>29.557435031000001</v>
      </c>
      <c r="AL40" s="766">
        <v>32.172908456000002</v>
      </c>
      <c r="AM40" s="766">
        <v>32.752369999999999</v>
      </c>
      <c r="AN40" s="766">
        <v>31.186859999999999</v>
      </c>
      <c r="AO40" s="766">
        <v>30.524419999999999</v>
      </c>
      <c r="AP40" s="766">
        <v>26.909199999999998</v>
      </c>
      <c r="AQ40" s="766">
        <v>27.40194</v>
      </c>
      <c r="AR40" s="766">
        <v>28.76595</v>
      </c>
      <c r="AS40" s="766">
        <v>32.209760000000003</v>
      </c>
      <c r="AT40" s="766">
        <v>32.191249999999997</v>
      </c>
      <c r="AU40" s="766">
        <v>27.776450000000001</v>
      </c>
      <c r="AV40" s="766">
        <v>27.85445</v>
      </c>
      <c r="AW40" s="766">
        <v>28.619730000000001</v>
      </c>
      <c r="AX40" s="766">
        <v>31.22269</v>
      </c>
      <c r="AY40" s="766">
        <v>30.930620000000001</v>
      </c>
      <c r="AZ40" s="766">
        <v>28.986470000000001</v>
      </c>
      <c r="BA40" s="766">
        <v>27.89866</v>
      </c>
      <c r="BB40" s="766">
        <v>24.025960000000001</v>
      </c>
      <c r="BC40" s="766">
        <v>26.262360000000001</v>
      </c>
      <c r="BD40" s="766">
        <v>28.578060000000001</v>
      </c>
      <c r="BE40" s="766">
        <v>32.562559999999998</v>
      </c>
      <c r="BF40" s="766">
        <v>31.886469999999999</v>
      </c>
      <c r="BG40" s="767">
        <v>27.71621</v>
      </c>
      <c r="BH40" s="767">
        <v>27.2483</v>
      </c>
      <c r="BI40" s="767">
        <v>27.570489999999999</v>
      </c>
      <c r="BJ40" s="767">
        <v>31.570930000000001</v>
      </c>
      <c r="BK40" s="767">
        <v>31.06485</v>
      </c>
      <c r="BL40" s="767">
        <v>26.45307</v>
      </c>
      <c r="BM40" s="767">
        <v>27.853059999999999</v>
      </c>
      <c r="BN40" s="767">
        <v>25.206209999999999</v>
      </c>
      <c r="BO40" s="767">
        <v>26.421289999999999</v>
      </c>
      <c r="BP40" s="767">
        <v>28.912839999999999</v>
      </c>
      <c r="BQ40" s="767">
        <v>32.221730000000001</v>
      </c>
      <c r="BR40" s="767">
        <v>31.098749999999999</v>
      </c>
      <c r="BS40" s="767">
        <v>27.31908</v>
      </c>
      <c r="BT40" s="767">
        <v>27.283090000000001</v>
      </c>
      <c r="BU40" s="767">
        <v>27.634180000000001</v>
      </c>
      <c r="BV40" s="767">
        <v>31.638999999999999</v>
      </c>
    </row>
    <row r="41" spans="1:74" ht="11.1" customHeight="1" x14ac:dyDescent="0.2">
      <c r="A41" s="565"/>
      <c r="B41" s="131" t="s">
        <v>1331</v>
      </c>
      <c r="C41" s="249"/>
      <c r="D41" s="249"/>
      <c r="E41" s="249"/>
      <c r="F41" s="249"/>
      <c r="G41" s="249"/>
      <c r="H41" s="249"/>
      <c r="I41" s="249"/>
      <c r="J41" s="249"/>
      <c r="K41" s="249"/>
      <c r="L41" s="249"/>
      <c r="M41" s="249"/>
      <c r="N41" s="249"/>
      <c r="O41" s="249"/>
      <c r="P41" s="249"/>
      <c r="Q41" s="249"/>
      <c r="R41" s="249"/>
      <c r="S41" s="249"/>
      <c r="T41" s="249"/>
      <c r="U41" s="249"/>
      <c r="V41" s="249"/>
      <c r="W41" s="249"/>
      <c r="X41" s="249"/>
      <c r="Y41" s="249"/>
      <c r="Z41" s="249"/>
      <c r="AA41" s="249"/>
      <c r="AB41" s="249"/>
      <c r="AC41" s="249"/>
      <c r="AD41" s="249"/>
      <c r="AE41" s="249"/>
      <c r="AF41" s="249"/>
      <c r="AG41" s="249"/>
      <c r="AH41" s="249"/>
      <c r="AI41" s="249"/>
      <c r="AJ41" s="249"/>
      <c r="AK41" s="249"/>
      <c r="AL41" s="249"/>
      <c r="AM41" s="249"/>
      <c r="AN41" s="249"/>
      <c r="AO41" s="249"/>
      <c r="AP41" s="249"/>
      <c r="AQ41" s="249"/>
      <c r="AR41" s="249"/>
      <c r="AS41" s="249"/>
      <c r="AT41" s="249"/>
      <c r="AU41" s="249"/>
      <c r="AV41" s="249"/>
      <c r="AW41" s="249"/>
      <c r="AX41" s="249"/>
      <c r="AY41" s="249"/>
      <c r="AZ41" s="249"/>
      <c r="BA41" s="249"/>
      <c r="BB41" s="249"/>
      <c r="BC41" s="249"/>
      <c r="BD41" s="249"/>
      <c r="BE41" s="249"/>
      <c r="BF41" s="249"/>
      <c r="BG41" s="360"/>
      <c r="BH41" s="360"/>
      <c r="BI41" s="360"/>
      <c r="BJ41" s="360"/>
      <c r="BK41" s="360"/>
      <c r="BL41" s="360"/>
      <c r="BM41" s="360"/>
      <c r="BN41" s="360"/>
      <c r="BO41" s="360"/>
      <c r="BP41" s="360"/>
      <c r="BQ41" s="360"/>
      <c r="BR41" s="360"/>
      <c r="BS41" s="360"/>
      <c r="BT41" s="360"/>
      <c r="BU41" s="360"/>
      <c r="BV41" s="360"/>
    </row>
    <row r="42" spans="1:74" ht="11.1" customHeight="1" x14ac:dyDescent="0.2">
      <c r="A42" s="545" t="s">
        <v>1332</v>
      </c>
      <c r="B42" s="546" t="s">
        <v>86</v>
      </c>
      <c r="C42" s="766">
        <v>6.0888550889999999</v>
      </c>
      <c r="D42" s="766">
        <v>2.1984510390000001</v>
      </c>
      <c r="E42" s="766">
        <v>2.330171204</v>
      </c>
      <c r="F42" s="766">
        <v>2.9919007830000002</v>
      </c>
      <c r="G42" s="766">
        <v>3.3335574179999998</v>
      </c>
      <c r="H42" s="766">
        <v>4.8553533590000004</v>
      </c>
      <c r="I42" s="766">
        <v>5.6856448840000002</v>
      </c>
      <c r="J42" s="766">
        <v>5.5799522059999997</v>
      </c>
      <c r="K42" s="766">
        <v>4.5771290950000001</v>
      </c>
      <c r="L42" s="766">
        <v>3.2779659290000001</v>
      </c>
      <c r="M42" s="766">
        <v>1.9031269669999999</v>
      </c>
      <c r="N42" s="766">
        <v>1.732164998</v>
      </c>
      <c r="O42" s="766">
        <v>1.7053876059999999</v>
      </c>
      <c r="P42" s="766">
        <v>1.0642680870000001</v>
      </c>
      <c r="Q42" s="766">
        <v>1.3054246970000001</v>
      </c>
      <c r="R42" s="766">
        <v>2.2542027849999999</v>
      </c>
      <c r="S42" s="766">
        <v>3.1656024760000001</v>
      </c>
      <c r="T42" s="766">
        <v>4.3983111839999998</v>
      </c>
      <c r="U42" s="766">
        <v>5.3742274480000001</v>
      </c>
      <c r="V42" s="766">
        <v>4.9426186349999996</v>
      </c>
      <c r="W42" s="766">
        <v>4.0509174650000004</v>
      </c>
      <c r="X42" s="766">
        <v>3.431134884</v>
      </c>
      <c r="Y42" s="766">
        <v>2.0490348219999999</v>
      </c>
      <c r="Z42" s="766">
        <v>2.7663687590000001</v>
      </c>
      <c r="AA42" s="766">
        <v>2.1459450040000001</v>
      </c>
      <c r="AB42" s="766">
        <v>1.9622146439999999</v>
      </c>
      <c r="AC42" s="766">
        <v>2.0740065040000002</v>
      </c>
      <c r="AD42" s="766">
        <v>2.906821705</v>
      </c>
      <c r="AE42" s="766">
        <v>3.454841455</v>
      </c>
      <c r="AF42" s="766">
        <v>4.474138237</v>
      </c>
      <c r="AG42" s="766">
        <v>5.9291505559999997</v>
      </c>
      <c r="AH42" s="766">
        <v>6.2361152469999999</v>
      </c>
      <c r="AI42" s="766">
        <v>5.7401245879999996</v>
      </c>
      <c r="AJ42" s="766">
        <v>4.7087584869999999</v>
      </c>
      <c r="AK42" s="766">
        <v>3.562257765</v>
      </c>
      <c r="AL42" s="766">
        <v>3.8983530960000001</v>
      </c>
      <c r="AM42" s="766">
        <v>3.6987970360000002</v>
      </c>
      <c r="AN42" s="766">
        <v>3.3592198209999999</v>
      </c>
      <c r="AO42" s="766">
        <v>3.3866239839999999</v>
      </c>
      <c r="AP42" s="766">
        <v>3.7750641040000001</v>
      </c>
      <c r="AQ42" s="766">
        <v>3.8059053509999998</v>
      </c>
      <c r="AR42" s="766">
        <v>5.1582601510000003</v>
      </c>
      <c r="AS42" s="766">
        <v>6.490205628</v>
      </c>
      <c r="AT42" s="766">
        <v>6.6795380949999998</v>
      </c>
      <c r="AU42" s="766">
        <v>5.9156523160000001</v>
      </c>
      <c r="AV42" s="766">
        <v>5.2490551339999998</v>
      </c>
      <c r="AW42" s="766">
        <v>3.987041552</v>
      </c>
      <c r="AX42" s="766">
        <v>5.0192000090000004</v>
      </c>
      <c r="AY42" s="766">
        <v>4.2733802519999999</v>
      </c>
      <c r="AZ42" s="766">
        <v>4.049044533</v>
      </c>
      <c r="BA42" s="766">
        <v>3.566829743</v>
      </c>
      <c r="BB42" s="766">
        <v>4.0601125429999998</v>
      </c>
      <c r="BC42" s="766">
        <v>5.1794849300000001</v>
      </c>
      <c r="BD42" s="766">
        <v>5.5540400649999997</v>
      </c>
      <c r="BE42" s="766">
        <v>6.3178510000000001</v>
      </c>
      <c r="BF42" s="766">
        <v>7.2656799999999997</v>
      </c>
      <c r="BG42" s="767">
        <v>6.1650410000000004</v>
      </c>
      <c r="BH42" s="767">
        <v>5.6044650000000003</v>
      </c>
      <c r="BI42" s="767">
        <v>3.4253930000000001</v>
      </c>
      <c r="BJ42" s="767">
        <v>3.7801309999999999</v>
      </c>
      <c r="BK42" s="767">
        <v>4.008197</v>
      </c>
      <c r="BL42" s="767">
        <v>2.3992149999999999</v>
      </c>
      <c r="BM42" s="767">
        <v>1.769611</v>
      </c>
      <c r="BN42" s="767">
        <v>4.2356509999999998</v>
      </c>
      <c r="BO42" s="767">
        <v>3.988804</v>
      </c>
      <c r="BP42" s="767">
        <v>5.0801559999999997</v>
      </c>
      <c r="BQ42" s="767">
        <v>6.3916490000000001</v>
      </c>
      <c r="BR42" s="767">
        <v>6.7016640000000001</v>
      </c>
      <c r="BS42" s="767">
        <v>5.7916639999999999</v>
      </c>
      <c r="BT42" s="767">
        <v>5.5080289999999996</v>
      </c>
      <c r="BU42" s="767">
        <v>3.6909550000000002</v>
      </c>
      <c r="BV42" s="767">
        <v>2.9256639999999998</v>
      </c>
    </row>
    <row r="43" spans="1:74" ht="11.1" customHeight="1" x14ac:dyDescent="0.2">
      <c r="A43" s="545" t="s">
        <v>1333</v>
      </c>
      <c r="B43" s="546" t="s">
        <v>85</v>
      </c>
      <c r="C43" s="766">
        <v>9.2942695959999995</v>
      </c>
      <c r="D43" s="766">
        <v>2.9655406950000001</v>
      </c>
      <c r="E43" s="766">
        <v>2.6362860100000001</v>
      </c>
      <c r="F43" s="766">
        <v>2.282842923</v>
      </c>
      <c r="G43" s="766">
        <v>3.3501699070000002</v>
      </c>
      <c r="H43" s="766">
        <v>4.635315608</v>
      </c>
      <c r="I43" s="766">
        <v>5.0011252329999998</v>
      </c>
      <c r="J43" s="766">
        <v>4.5348555279999996</v>
      </c>
      <c r="K43" s="766">
        <v>4.1167833739999997</v>
      </c>
      <c r="L43" s="766">
        <v>4.865083201</v>
      </c>
      <c r="M43" s="766">
        <v>3.9365671519999998</v>
      </c>
      <c r="N43" s="766">
        <v>4.8770423120000004</v>
      </c>
      <c r="O43" s="766">
        <v>4.699195403</v>
      </c>
      <c r="P43" s="766">
        <v>3.7994969169999999</v>
      </c>
      <c r="Q43" s="766">
        <v>3.8964121989999998</v>
      </c>
      <c r="R43" s="766">
        <v>3.2280968699999999</v>
      </c>
      <c r="S43" s="766">
        <v>3.3199084349999999</v>
      </c>
      <c r="T43" s="766">
        <v>4.0055087489999996</v>
      </c>
      <c r="U43" s="766">
        <v>4.8856146889999996</v>
      </c>
      <c r="V43" s="766">
        <v>5.1417944520000001</v>
      </c>
      <c r="W43" s="766">
        <v>4.0800545399999999</v>
      </c>
      <c r="X43" s="766">
        <v>3.9716142830000001</v>
      </c>
      <c r="Y43" s="766">
        <v>4.131829808</v>
      </c>
      <c r="Z43" s="766">
        <v>3.5524894109999998</v>
      </c>
      <c r="AA43" s="766">
        <v>3.4424519060000001</v>
      </c>
      <c r="AB43" s="766">
        <v>2.7884049559999999</v>
      </c>
      <c r="AC43" s="766">
        <v>3.0634127339999999</v>
      </c>
      <c r="AD43" s="766">
        <v>2.6033767000000001</v>
      </c>
      <c r="AE43" s="766">
        <v>2.9007739770000001</v>
      </c>
      <c r="AF43" s="766">
        <v>3.4305423020000001</v>
      </c>
      <c r="AG43" s="766">
        <v>4.6330677979999999</v>
      </c>
      <c r="AH43" s="766">
        <v>4.4154459340000001</v>
      </c>
      <c r="AI43" s="766">
        <v>3.8782082939999998</v>
      </c>
      <c r="AJ43" s="766">
        <v>3.5763001339999998</v>
      </c>
      <c r="AK43" s="766">
        <v>3.9328648130000001</v>
      </c>
      <c r="AL43" s="766">
        <v>4.2012941289999999</v>
      </c>
      <c r="AM43" s="766">
        <v>3.6009591809999999</v>
      </c>
      <c r="AN43" s="766">
        <v>3.717157592</v>
      </c>
      <c r="AO43" s="766">
        <v>2.3894224510000002</v>
      </c>
      <c r="AP43" s="766">
        <v>2.1952918389999998</v>
      </c>
      <c r="AQ43" s="766">
        <v>2.4753295629999998</v>
      </c>
      <c r="AR43" s="766">
        <v>3.1904432420000002</v>
      </c>
      <c r="AS43" s="766">
        <v>4.0670083730000002</v>
      </c>
      <c r="AT43" s="766">
        <v>4.2599531449999999</v>
      </c>
      <c r="AU43" s="766">
        <v>3.4348972849999999</v>
      </c>
      <c r="AV43" s="766">
        <v>2.8226999699999999</v>
      </c>
      <c r="AW43" s="766">
        <v>2.459288468</v>
      </c>
      <c r="AX43" s="766">
        <v>2.0910676530000001</v>
      </c>
      <c r="AY43" s="766">
        <v>2.3491298349999998</v>
      </c>
      <c r="AZ43" s="766">
        <v>1.6028247950000001</v>
      </c>
      <c r="BA43" s="766">
        <v>1.315729615</v>
      </c>
      <c r="BB43" s="766">
        <v>1.2550656630000001</v>
      </c>
      <c r="BC43" s="766">
        <v>1.7362489729999999</v>
      </c>
      <c r="BD43" s="766">
        <v>2.3418889360000001</v>
      </c>
      <c r="BE43" s="766">
        <v>3.27651</v>
      </c>
      <c r="BF43" s="766">
        <v>2.9184359999999998</v>
      </c>
      <c r="BG43" s="767">
        <v>2.0905990000000001</v>
      </c>
      <c r="BH43" s="767">
        <v>2.015949</v>
      </c>
      <c r="BI43" s="767">
        <v>1.4324619999999999</v>
      </c>
      <c r="BJ43" s="767">
        <v>2.0334349999999999</v>
      </c>
      <c r="BK43" s="767">
        <v>2.33297</v>
      </c>
      <c r="BL43" s="767">
        <v>1.4128780000000001</v>
      </c>
      <c r="BM43" s="767">
        <v>1.714737</v>
      </c>
      <c r="BN43" s="767">
        <v>0.81988179999999999</v>
      </c>
      <c r="BO43" s="767">
        <v>1.9381520000000001</v>
      </c>
      <c r="BP43" s="767">
        <v>2.6715840000000002</v>
      </c>
      <c r="BQ43" s="767">
        <v>3.2487210000000002</v>
      </c>
      <c r="BR43" s="767">
        <v>2.4164089999999998</v>
      </c>
      <c r="BS43" s="767">
        <v>2.3663810000000001</v>
      </c>
      <c r="BT43" s="767">
        <v>1.7722119999999999</v>
      </c>
      <c r="BU43" s="767">
        <v>0.95536520000000003</v>
      </c>
      <c r="BV43" s="767">
        <v>1.7966279999999999</v>
      </c>
    </row>
    <row r="44" spans="1:74" ht="11.1" customHeight="1" x14ac:dyDescent="0.2">
      <c r="A44" s="545" t="s">
        <v>1334</v>
      </c>
      <c r="B44" s="548" t="s">
        <v>88</v>
      </c>
      <c r="C44" s="766">
        <v>8.5175079999999994</v>
      </c>
      <c r="D44" s="766">
        <v>2.7934230000000002</v>
      </c>
      <c r="E44" s="766">
        <v>3.0077289999999999</v>
      </c>
      <c r="F44" s="766">
        <v>2.1593399999999998</v>
      </c>
      <c r="G44" s="766">
        <v>2.3935070000000001</v>
      </c>
      <c r="H44" s="766">
        <v>2.8393980000000001</v>
      </c>
      <c r="I44" s="766">
        <v>2.896109</v>
      </c>
      <c r="J44" s="766">
        <v>2.9386739999999998</v>
      </c>
      <c r="K44" s="766">
        <v>2.5073289999999999</v>
      </c>
      <c r="L44" s="766">
        <v>2.196021</v>
      </c>
      <c r="M44" s="766">
        <v>2.6605780000000001</v>
      </c>
      <c r="N44" s="766">
        <v>2.983044</v>
      </c>
      <c r="O44" s="766">
        <v>2.9800170000000001</v>
      </c>
      <c r="P44" s="766">
        <v>2.6837430000000002</v>
      </c>
      <c r="Q44" s="766">
        <v>2.9690409999999998</v>
      </c>
      <c r="R44" s="766">
        <v>2.1221329999999998</v>
      </c>
      <c r="S44" s="766">
        <v>2.3508260000000001</v>
      </c>
      <c r="T44" s="766">
        <v>2.8133330000000001</v>
      </c>
      <c r="U44" s="766">
        <v>2.8534419999999998</v>
      </c>
      <c r="V44" s="766">
        <v>2.9345370000000002</v>
      </c>
      <c r="W44" s="766">
        <v>2.852833</v>
      </c>
      <c r="X44" s="766">
        <v>2.1625420000000002</v>
      </c>
      <c r="Y44" s="766">
        <v>2.633429</v>
      </c>
      <c r="Z44" s="766">
        <v>2.9842620000000002</v>
      </c>
      <c r="AA44" s="766">
        <v>2.9840309999999999</v>
      </c>
      <c r="AB44" s="766">
        <v>2.5560510000000001</v>
      </c>
      <c r="AC44" s="766">
        <v>2.9774259999999999</v>
      </c>
      <c r="AD44" s="766">
        <v>1.9626060000000001</v>
      </c>
      <c r="AE44" s="766">
        <v>2.6302530000000002</v>
      </c>
      <c r="AF44" s="766">
        <v>2.750299</v>
      </c>
      <c r="AG44" s="766">
        <v>2.7303090000000001</v>
      </c>
      <c r="AH44" s="766">
        <v>2.923384</v>
      </c>
      <c r="AI44" s="766">
        <v>2.8075549999999998</v>
      </c>
      <c r="AJ44" s="766">
        <v>2.1016370000000002</v>
      </c>
      <c r="AK44" s="766">
        <v>1.9041889999999999</v>
      </c>
      <c r="AL44" s="766">
        <v>2.7695189999999998</v>
      </c>
      <c r="AM44" s="766">
        <v>2.9782630000000001</v>
      </c>
      <c r="AN44" s="766">
        <v>2.6863440000000001</v>
      </c>
      <c r="AO44" s="766">
        <v>2.9667379999999999</v>
      </c>
      <c r="AP44" s="766">
        <v>2.0633629999999998</v>
      </c>
      <c r="AQ44" s="766">
        <v>2.6435789999999999</v>
      </c>
      <c r="AR44" s="766">
        <v>2.8539889999999999</v>
      </c>
      <c r="AS44" s="766">
        <v>2.9360569999999999</v>
      </c>
      <c r="AT44" s="766">
        <v>2.7815319999999999</v>
      </c>
      <c r="AU44" s="766">
        <v>2.8387959999999999</v>
      </c>
      <c r="AV44" s="766">
        <v>2.027695</v>
      </c>
      <c r="AW44" s="766">
        <v>2.1737320000000002</v>
      </c>
      <c r="AX44" s="766">
        <v>2.9702799999999998</v>
      </c>
      <c r="AY44" s="766">
        <v>2.975994</v>
      </c>
      <c r="AZ44" s="766">
        <v>2.4916130000000001</v>
      </c>
      <c r="BA44" s="766">
        <v>2.7961839999999998</v>
      </c>
      <c r="BB44" s="766">
        <v>1.999298</v>
      </c>
      <c r="BC44" s="766">
        <v>2.7692589999999999</v>
      </c>
      <c r="BD44" s="766">
        <v>2.851559</v>
      </c>
      <c r="BE44" s="766">
        <v>2.9302000000000001</v>
      </c>
      <c r="BF44" s="766">
        <v>2.92293</v>
      </c>
      <c r="BG44" s="767">
        <v>2.8121999999999998</v>
      </c>
      <c r="BH44" s="767">
        <v>2.07924</v>
      </c>
      <c r="BI44" s="767">
        <v>2.6433200000000001</v>
      </c>
      <c r="BJ44" s="767">
        <v>2.9059400000000002</v>
      </c>
      <c r="BK44" s="767">
        <v>2.9059400000000002</v>
      </c>
      <c r="BL44" s="767">
        <v>2.6247199999999999</v>
      </c>
      <c r="BM44" s="767">
        <v>2.9059400000000002</v>
      </c>
      <c r="BN44" s="767">
        <v>1.99438</v>
      </c>
      <c r="BO44" s="767">
        <v>2.7700300000000002</v>
      </c>
      <c r="BP44" s="767">
        <v>2.8121999999999998</v>
      </c>
      <c r="BQ44" s="767">
        <v>2.9059400000000002</v>
      </c>
      <c r="BR44" s="767">
        <v>2.9059400000000002</v>
      </c>
      <c r="BS44" s="767">
        <v>2.8121999999999998</v>
      </c>
      <c r="BT44" s="767">
        <v>2.0149300000000001</v>
      </c>
      <c r="BU44" s="767">
        <v>2.7418800000000001</v>
      </c>
      <c r="BV44" s="767">
        <v>2.9059400000000002</v>
      </c>
    </row>
    <row r="45" spans="1:74" ht="11.1" customHeight="1" x14ac:dyDescent="0.2">
      <c r="A45" s="545" t="s">
        <v>1335</v>
      </c>
      <c r="B45" s="548" t="s">
        <v>1259</v>
      </c>
      <c r="C45" s="766">
        <v>2.918429653</v>
      </c>
      <c r="D45" s="766">
        <v>0.85061554800000005</v>
      </c>
      <c r="E45" s="766">
        <v>1.1874049470000001</v>
      </c>
      <c r="F45" s="766">
        <v>1.155912866</v>
      </c>
      <c r="G45" s="766">
        <v>1.21371395</v>
      </c>
      <c r="H45" s="766">
        <v>1.3086763619999999</v>
      </c>
      <c r="I45" s="766">
        <v>1.4290164540000001</v>
      </c>
      <c r="J45" s="766">
        <v>1.270883558</v>
      </c>
      <c r="K45" s="766">
        <v>1.0551283709999999</v>
      </c>
      <c r="L45" s="766">
        <v>0.81500236400000003</v>
      </c>
      <c r="M45" s="766">
        <v>0.83440010899999995</v>
      </c>
      <c r="N45" s="766">
        <v>0.97532177499999995</v>
      </c>
      <c r="O45" s="766">
        <v>1.2417831239999999</v>
      </c>
      <c r="P45" s="766">
        <v>1.269145119</v>
      </c>
      <c r="Q45" s="766">
        <v>1.3888320869999999</v>
      </c>
      <c r="R45" s="766">
        <v>1.3969148339999999</v>
      </c>
      <c r="S45" s="766">
        <v>1.565012683</v>
      </c>
      <c r="T45" s="766">
        <v>1.5219336489999999</v>
      </c>
      <c r="U45" s="766">
        <v>1.520668385</v>
      </c>
      <c r="V45" s="766">
        <v>1.398767957</v>
      </c>
      <c r="W45" s="766">
        <v>1.1031900619999999</v>
      </c>
      <c r="X45" s="766">
        <v>0.96455202200000001</v>
      </c>
      <c r="Y45" s="766">
        <v>0.91126113099999995</v>
      </c>
      <c r="Z45" s="766">
        <v>0.92538494699999996</v>
      </c>
      <c r="AA45" s="766">
        <v>0.88370093999999999</v>
      </c>
      <c r="AB45" s="766">
        <v>0.936545446</v>
      </c>
      <c r="AC45" s="766">
        <v>1.050144382</v>
      </c>
      <c r="AD45" s="766">
        <v>1.2151348120000001</v>
      </c>
      <c r="AE45" s="766">
        <v>1.394880516</v>
      </c>
      <c r="AF45" s="766">
        <v>1.424383164</v>
      </c>
      <c r="AG45" s="766">
        <v>1.4364541390000001</v>
      </c>
      <c r="AH45" s="766">
        <v>1.280923668</v>
      </c>
      <c r="AI45" s="766">
        <v>1.0172657919999999</v>
      </c>
      <c r="AJ45" s="766">
        <v>0.88556844899999998</v>
      </c>
      <c r="AK45" s="766">
        <v>0.78557617800000001</v>
      </c>
      <c r="AL45" s="766">
        <v>0.73683251400000005</v>
      </c>
      <c r="AM45" s="766">
        <v>0.75401026699999996</v>
      </c>
      <c r="AN45" s="766">
        <v>0.83719259000000001</v>
      </c>
      <c r="AO45" s="766">
        <v>1.418001013</v>
      </c>
      <c r="AP45" s="766">
        <v>1.4847154970000001</v>
      </c>
      <c r="AQ45" s="766">
        <v>1.3601179400000001</v>
      </c>
      <c r="AR45" s="766">
        <v>1.497964646</v>
      </c>
      <c r="AS45" s="766">
        <v>1.4958999799999999</v>
      </c>
      <c r="AT45" s="766">
        <v>1.404530864</v>
      </c>
      <c r="AU45" s="766">
        <v>1.0501681309999999</v>
      </c>
      <c r="AV45" s="766">
        <v>0.97845740199999998</v>
      </c>
      <c r="AW45" s="766">
        <v>0.83811502299999996</v>
      </c>
      <c r="AX45" s="766">
        <v>0.76867564399999999</v>
      </c>
      <c r="AY45" s="766">
        <v>0.83150766799999998</v>
      </c>
      <c r="AZ45" s="766">
        <v>0.84321074200000001</v>
      </c>
      <c r="BA45" s="766">
        <v>0.94837756299999998</v>
      </c>
      <c r="BB45" s="766">
        <v>1.134351208</v>
      </c>
      <c r="BC45" s="766">
        <v>1.378486976</v>
      </c>
      <c r="BD45" s="766">
        <v>1.419206736</v>
      </c>
      <c r="BE45" s="766">
        <v>1.5459849999999999</v>
      </c>
      <c r="BF45" s="766">
        <v>1.4505410000000001</v>
      </c>
      <c r="BG45" s="767">
        <v>1.1674549999999999</v>
      </c>
      <c r="BH45" s="767">
        <v>1.0492239999999999</v>
      </c>
      <c r="BI45" s="767">
        <v>0.82286890000000001</v>
      </c>
      <c r="BJ45" s="767">
        <v>0.76228850000000004</v>
      </c>
      <c r="BK45" s="767">
        <v>0.83283070000000003</v>
      </c>
      <c r="BL45" s="767">
        <v>0.81170330000000002</v>
      </c>
      <c r="BM45" s="767">
        <v>1.025925</v>
      </c>
      <c r="BN45" s="767">
        <v>1.230253</v>
      </c>
      <c r="BO45" s="767">
        <v>1.3760079999999999</v>
      </c>
      <c r="BP45" s="767">
        <v>1.3439030000000001</v>
      </c>
      <c r="BQ45" s="767">
        <v>1.4304429999999999</v>
      </c>
      <c r="BR45" s="767">
        <v>1.355996</v>
      </c>
      <c r="BS45" s="767">
        <v>1.070459</v>
      </c>
      <c r="BT45" s="767">
        <v>1.0218689999999999</v>
      </c>
      <c r="BU45" s="767">
        <v>0.74996490000000005</v>
      </c>
      <c r="BV45" s="767">
        <v>0.75035909999999995</v>
      </c>
    </row>
    <row r="46" spans="1:74" ht="11.1" customHeight="1" x14ac:dyDescent="0.2">
      <c r="A46" s="545" t="s">
        <v>1336</v>
      </c>
      <c r="B46" s="548" t="s">
        <v>1362</v>
      </c>
      <c r="C46" s="766">
        <v>2.080060333</v>
      </c>
      <c r="D46" s="766">
        <v>0.43625697699999999</v>
      </c>
      <c r="E46" s="766">
        <v>0.52598362300000001</v>
      </c>
      <c r="F46" s="766">
        <v>0.51342924099999998</v>
      </c>
      <c r="G46" s="766">
        <v>0.60063650199999996</v>
      </c>
      <c r="H46" s="766">
        <v>0.49100806600000002</v>
      </c>
      <c r="I46" s="766">
        <v>0.562469055</v>
      </c>
      <c r="J46" s="766">
        <v>0.423529392</v>
      </c>
      <c r="K46" s="766">
        <v>0.46242581999999999</v>
      </c>
      <c r="L46" s="766">
        <v>0.50840240599999997</v>
      </c>
      <c r="M46" s="766">
        <v>0.45096388700000001</v>
      </c>
      <c r="N46" s="766">
        <v>0.44699460499999999</v>
      </c>
      <c r="O46" s="766">
        <v>0.356819357</v>
      </c>
      <c r="P46" s="766">
        <v>0.40896232599999999</v>
      </c>
      <c r="Q46" s="766">
        <v>0.59085163699999999</v>
      </c>
      <c r="R46" s="766">
        <v>0.66879270400000002</v>
      </c>
      <c r="S46" s="766">
        <v>0.73187223599999995</v>
      </c>
      <c r="T46" s="766">
        <v>0.79442235900000002</v>
      </c>
      <c r="U46" s="766">
        <v>0.548796536</v>
      </c>
      <c r="V46" s="766">
        <v>0.595880831</v>
      </c>
      <c r="W46" s="766">
        <v>0.67411379699999996</v>
      </c>
      <c r="X46" s="766">
        <v>0.73961724299999998</v>
      </c>
      <c r="Y46" s="766">
        <v>0.59565473599999996</v>
      </c>
      <c r="Z46" s="766">
        <v>0.540712101</v>
      </c>
      <c r="AA46" s="766">
        <v>0.59768081299999998</v>
      </c>
      <c r="AB46" s="766">
        <v>0.64581951299999996</v>
      </c>
      <c r="AC46" s="766">
        <v>0.78138629599999998</v>
      </c>
      <c r="AD46" s="766">
        <v>0.90556434200000002</v>
      </c>
      <c r="AE46" s="766">
        <v>0.89868231799999998</v>
      </c>
      <c r="AF46" s="766">
        <v>0.90830883900000003</v>
      </c>
      <c r="AG46" s="766">
        <v>0.72295762200000002</v>
      </c>
      <c r="AH46" s="766">
        <v>0.768377545</v>
      </c>
      <c r="AI46" s="766">
        <v>0.76799748300000004</v>
      </c>
      <c r="AJ46" s="766">
        <v>0.69484177599999997</v>
      </c>
      <c r="AK46" s="766">
        <v>0.71432477999999999</v>
      </c>
      <c r="AL46" s="766">
        <v>0.609878484</v>
      </c>
      <c r="AM46" s="766">
        <v>0.61327547400000004</v>
      </c>
      <c r="AN46" s="766">
        <v>0.66331517299999998</v>
      </c>
      <c r="AO46" s="766">
        <v>0.805518344</v>
      </c>
      <c r="AP46" s="766">
        <v>0.90477234100000004</v>
      </c>
      <c r="AQ46" s="766">
        <v>0.93121790199999999</v>
      </c>
      <c r="AR46" s="766">
        <v>0.92863767500000005</v>
      </c>
      <c r="AS46" s="766">
        <v>0.90819515799999995</v>
      </c>
      <c r="AT46" s="766">
        <v>0.89643309199999999</v>
      </c>
      <c r="AU46" s="766">
        <v>0.85869997099999995</v>
      </c>
      <c r="AV46" s="766">
        <v>0.90869767300000004</v>
      </c>
      <c r="AW46" s="766">
        <v>0.75132355399999995</v>
      </c>
      <c r="AX46" s="766">
        <v>0.71029139399999996</v>
      </c>
      <c r="AY46" s="766">
        <v>0.79597452999999996</v>
      </c>
      <c r="AZ46" s="766">
        <v>0.816076107</v>
      </c>
      <c r="BA46" s="766">
        <v>0.92826191599999996</v>
      </c>
      <c r="BB46" s="766">
        <v>1.0040554699999999</v>
      </c>
      <c r="BC46" s="766">
        <v>1.079377984</v>
      </c>
      <c r="BD46" s="766">
        <v>1.1127985949999999</v>
      </c>
      <c r="BE46" s="766">
        <v>0.99573929999999999</v>
      </c>
      <c r="BF46" s="766">
        <v>0.88775029999999999</v>
      </c>
      <c r="BG46" s="767">
        <v>0.91317630000000005</v>
      </c>
      <c r="BH46" s="767">
        <v>1.0034350000000001</v>
      </c>
      <c r="BI46" s="767">
        <v>0.84111619999999998</v>
      </c>
      <c r="BJ46" s="767">
        <v>0.92966519999999997</v>
      </c>
      <c r="BK46" s="767">
        <v>1.0972249999999999</v>
      </c>
      <c r="BL46" s="767">
        <v>1.3524069999999999</v>
      </c>
      <c r="BM46" s="767">
        <v>1.506405</v>
      </c>
      <c r="BN46" s="767">
        <v>1.4416040000000001</v>
      </c>
      <c r="BO46" s="767">
        <v>1.482664</v>
      </c>
      <c r="BP46" s="767">
        <v>1.520626</v>
      </c>
      <c r="BQ46" s="767">
        <v>1.3781060000000001</v>
      </c>
      <c r="BR46" s="767">
        <v>1.224019</v>
      </c>
      <c r="BS46" s="767">
        <v>1.2465569999999999</v>
      </c>
      <c r="BT46" s="767">
        <v>1.3906350000000001</v>
      </c>
      <c r="BU46" s="767">
        <v>1.2447900000000001</v>
      </c>
      <c r="BV46" s="767">
        <v>1.0958239999999999</v>
      </c>
    </row>
    <row r="47" spans="1:74" ht="11.1" customHeight="1" x14ac:dyDescent="0.2">
      <c r="A47" s="545" t="s">
        <v>1337</v>
      </c>
      <c r="B47" s="546" t="s">
        <v>1363</v>
      </c>
      <c r="C47" s="766">
        <v>-4.4880322E-2</v>
      </c>
      <c r="D47" s="766">
        <v>-2.2103069999999999E-3</v>
      </c>
      <c r="E47" s="766">
        <v>2.439077E-3</v>
      </c>
      <c r="F47" s="766">
        <v>1.8236447999999999E-2</v>
      </c>
      <c r="G47" s="766">
        <v>1.7088503000000001E-2</v>
      </c>
      <c r="H47" s="766">
        <v>3.5499833000000001E-2</v>
      </c>
      <c r="I47" s="766">
        <v>3.4739752999999998E-2</v>
      </c>
      <c r="J47" s="766">
        <v>1.8630739E-2</v>
      </c>
      <c r="K47" s="766">
        <v>8.7688430000000001E-3</v>
      </c>
      <c r="L47" s="766">
        <v>-1.580237E-3</v>
      </c>
      <c r="M47" s="766">
        <v>-7.0555399999999999E-3</v>
      </c>
      <c r="N47" s="766">
        <v>-1.2829448E-2</v>
      </c>
      <c r="O47" s="766">
        <v>-1.9561562000000001E-2</v>
      </c>
      <c r="P47" s="766">
        <v>-8.7187440000000005E-3</v>
      </c>
      <c r="Q47" s="766">
        <v>-1.3750887E-2</v>
      </c>
      <c r="R47" s="766">
        <v>-1.2735888000000001E-2</v>
      </c>
      <c r="S47" s="766">
        <v>-3.7559899999999998E-3</v>
      </c>
      <c r="T47" s="766">
        <v>8.85204E-4</v>
      </c>
      <c r="U47" s="766">
        <v>1.9025144000000001E-2</v>
      </c>
      <c r="V47" s="766">
        <v>1.740566E-2</v>
      </c>
      <c r="W47" s="766">
        <v>6.1514209999999998E-3</v>
      </c>
      <c r="X47" s="766">
        <v>-8.059854E-3</v>
      </c>
      <c r="Y47" s="766">
        <v>-1.4216571000000001E-2</v>
      </c>
      <c r="Z47" s="766">
        <v>-1.8655728999999999E-2</v>
      </c>
      <c r="AA47" s="766">
        <v>-2.103588E-2</v>
      </c>
      <c r="AB47" s="766">
        <v>-8.5587969999999999E-3</v>
      </c>
      <c r="AC47" s="766">
        <v>-1.5425744E-2</v>
      </c>
      <c r="AD47" s="766">
        <v>3.1951530000000001E-3</v>
      </c>
      <c r="AE47" s="766">
        <v>1.4615390000000001E-2</v>
      </c>
      <c r="AF47" s="766">
        <v>2.9652300999999999E-2</v>
      </c>
      <c r="AG47" s="766">
        <v>2.8464146999999999E-2</v>
      </c>
      <c r="AH47" s="766">
        <v>1.8255877E-2</v>
      </c>
      <c r="AI47" s="766">
        <v>1.865298E-3</v>
      </c>
      <c r="AJ47" s="766">
        <v>-1.1164762999999999E-2</v>
      </c>
      <c r="AK47" s="766">
        <v>-1.3567304000000001E-2</v>
      </c>
      <c r="AL47" s="766">
        <v>-2.5084507999999998E-2</v>
      </c>
      <c r="AM47" s="766">
        <v>-1.8982012999999999E-2</v>
      </c>
      <c r="AN47" s="766">
        <v>-2.9931171999999999E-2</v>
      </c>
      <c r="AO47" s="766">
        <v>-3.7006499999999999E-4</v>
      </c>
      <c r="AP47" s="766">
        <v>5.390008E-3</v>
      </c>
      <c r="AQ47" s="766">
        <v>1.3810925999999999E-2</v>
      </c>
      <c r="AR47" s="766">
        <v>7.7317260000000004E-3</v>
      </c>
      <c r="AS47" s="766">
        <v>3.0744964E-2</v>
      </c>
      <c r="AT47" s="766">
        <v>3.3968971000000001E-2</v>
      </c>
      <c r="AU47" s="766">
        <v>8.5545199999999995E-3</v>
      </c>
      <c r="AV47" s="766">
        <v>-1.1693820000000001E-3</v>
      </c>
      <c r="AW47" s="766">
        <v>-1.6066342000000001E-2</v>
      </c>
      <c r="AX47" s="766">
        <v>-2.7349449999999999E-3</v>
      </c>
      <c r="AY47" s="766">
        <v>-1.1871586E-2</v>
      </c>
      <c r="AZ47" s="766">
        <v>3.2551419999999999E-3</v>
      </c>
      <c r="BA47" s="766">
        <v>-3.7143660000000002E-3</v>
      </c>
      <c r="BB47" s="766">
        <v>1.0317595000000001E-2</v>
      </c>
      <c r="BC47" s="766">
        <v>1.7653424000000001E-2</v>
      </c>
      <c r="BD47" s="766">
        <v>2.6337658999999999E-2</v>
      </c>
      <c r="BE47" s="766">
        <v>2.6723E-2</v>
      </c>
      <c r="BF47" s="766">
        <v>2.8357500000000001E-2</v>
      </c>
      <c r="BG47" s="767">
        <v>2.70441E-3</v>
      </c>
      <c r="BH47" s="767">
        <v>-1.9495700000000001E-3</v>
      </c>
      <c r="BI47" s="767">
        <v>-1.7016E-2</v>
      </c>
      <c r="BJ47" s="767">
        <v>-7.4220900000000001E-3</v>
      </c>
      <c r="BK47" s="767">
        <v>-1.35572E-2</v>
      </c>
      <c r="BL47" s="767">
        <v>-1.76038E-3</v>
      </c>
      <c r="BM47" s="767">
        <v>-9.3280800000000007E-3</v>
      </c>
      <c r="BN47" s="767">
        <v>1.0178400000000001E-2</v>
      </c>
      <c r="BO47" s="767">
        <v>1.5037E-2</v>
      </c>
      <c r="BP47" s="767">
        <v>2.6844199999999999E-2</v>
      </c>
      <c r="BQ47" s="767">
        <v>2.60348E-2</v>
      </c>
      <c r="BR47" s="767">
        <v>2.4121900000000002E-2</v>
      </c>
      <c r="BS47" s="767">
        <v>5.3231399999999996E-3</v>
      </c>
      <c r="BT47" s="767">
        <v>-2.3061700000000002E-3</v>
      </c>
      <c r="BU47" s="767">
        <v>-1.8922600000000001E-2</v>
      </c>
      <c r="BV47" s="767">
        <v>-9.2042800000000004E-3</v>
      </c>
    </row>
    <row r="48" spans="1:74" ht="11.1" customHeight="1" x14ac:dyDescent="0.2">
      <c r="A48" s="545" t="s">
        <v>1338</v>
      </c>
      <c r="B48" s="546" t="s">
        <v>1263</v>
      </c>
      <c r="C48" s="766">
        <v>28.854242349</v>
      </c>
      <c r="D48" s="766">
        <v>9.2420769519999997</v>
      </c>
      <c r="E48" s="766">
        <v>9.6900138610000006</v>
      </c>
      <c r="F48" s="766">
        <v>9.1216622610000009</v>
      </c>
      <c r="G48" s="766">
        <v>10.90867328</v>
      </c>
      <c r="H48" s="766">
        <v>14.165251228000001</v>
      </c>
      <c r="I48" s="766">
        <v>15.609104379</v>
      </c>
      <c r="J48" s="766">
        <v>14.766525422999999</v>
      </c>
      <c r="K48" s="766">
        <v>12.727564503</v>
      </c>
      <c r="L48" s="766">
        <v>11.660894663000001</v>
      </c>
      <c r="M48" s="766">
        <v>9.7785805749999994</v>
      </c>
      <c r="N48" s="766">
        <v>11.001738242</v>
      </c>
      <c r="O48" s="766">
        <v>10.963640928</v>
      </c>
      <c r="P48" s="766">
        <v>9.2168967049999999</v>
      </c>
      <c r="Q48" s="766">
        <v>10.136810733000001</v>
      </c>
      <c r="R48" s="766">
        <v>9.657404305</v>
      </c>
      <c r="S48" s="766">
        <v>11.12946584</v>
      </c>
      <c r="T48" s="766">
        <v>13.534394145</v>
      </c>
      <c r="U48" s="766">
        <v>15.201774201999999</v>
      </c>
      <c r="V48" s="766">
        <v>15.031004534999999</v>
      </c>
      <c r="W48" s="766">
        <v>12.767260285000001</v>
      </c>
      <c r="X48" s="766">
        <v>11.261400578</v>
      </c>
      <c r="Y48" s="766">
        <v>10.306992925999999</v>
      </c>
      <c r="Z48" s="766">
        <v>10.750561489000001</v>
      </c>
      <c r="AA48" s="766">
        <v>10.032773783</v>
      </c>
      <c r="AB48" s="766">
        <v>8.8804767620000007</v>
      </c>
      <c r="AC48" s="766">
        <v>9.9309501719999993</v>
      </c>
      <c r="AD48" s="766">
        <v>9.5966987120000002</v>
      </c>
      <c r="AE48" s="766">
        <v>11.294046656000001</v>
      </c>
      <c r="AF48" s="766">
        <v>13.017323843</v>
      </c>
      <c r="AG48" s="766">
        <v>15.480403261999999</v>
      </c>
      <c r="AH48" s="766">
        <v>15.642502271</v>
      </c>
      <c r="AI48" s="766">
        <v>14.213016455</v>
      </c>
      <c r="AJ48" s="766">
        <v>11.955941083000001</v>
      </c>
      <c r="AK48" s="766">
        <v>10.885645232</v>
      </c>
      <c r="AL48" s="766">
        <v>12.190792715000001</v>
      </c>
      <c r="AM48" s="766">
        <v>11.626322945</v>
      </c>
      <c r="AN48" s="766">
        <v>11.233298004</v>
      </c>
      <c r="AO48" s="766">
        <v>10.965933726999999</v>
      </c>
      <c r="AP48" s="766">
        <v>10.428596789</v>
      </c>
      <c r="AQ48" s="766">
        <v>11.229960682</v>
      </c>
      <c r="AR48" s="766">
        <v>13.63702644</v>
      </c>
      <c r="AS48" s="766">
        <v>15.928111103000001</v>
      </c>
      <c r="AT48" s="766">
        <v>16.055956167000001</v>
      </c>
      <c r="AU48" s="766">
        <v>14.106768223</v>
      </c>
      <c r="AV48" s="766">
        <v>11.985435796999999</v>
      </c>
      <c r="AW48" s="766">
        <v>10.193434255</v>
      </c>
      <c r="AX48" s="766">
        <v>11.556779755000001</v>
      </c>
      <c r="AY48" s="766">
        <v>11.214114699</v>
      </c>
      <c r="AZ48" s="766">
        <v>9.8060243190000005</v>
      </c>
      <c r="BA48" s="766">
        <v>9.5516684709999993</v>
      </c>
      <c r="BB48" s="766">
        <v>9.4632004789999993</v>
      </c>
      <c r="BC48" s="766">
        <v>12.160511287</v>
      </c>
      <c r="BD48" s="766">
        <v>13.305830991000001</v>
      </c>
      <c r="BE48" s="766">
        <v>15.09301</v>
      </c>
      <c r="BF48" s="766">
        <v>15.473699999999999</v>
      </c>
      <c r="BG48" s="767">
        <v>13.15118</v>
      </c>
      <c r="BH48" s="767">
        <v>11.750360000000001</v>
      </c>
      <c r="BI48" s="767">
        <v>9.1481440000000003</v>
      </c>
      <c r="BJ48" s="767">
        <v>10.40404</v>
      </c>
      <c r="BK48" s="767">
        <v>11.16361</v>
      </c>
      <c r="BL48" s="767">
        <v>8.599164</v>
      </c>
      <c r="BM48" s="767">
        <v>8.9132899999999999</v>
      </c>
      <c r="BN48" s="767">
        <v>9.7319479999999992</v>
      </c>
      <c r="BO48" s="767">
        <v>11.570690000000001</v>
      </c>
      <c r="BP48" s="767">
        <v>13.455310000000001</v>
      </c>
      <c r="BQ48" s="767">
        <v>15.3809</v>
      </c>
      <c r="BR48" s="767">
        <v>14.62815</v>
      </c>
      <c r="BS48" s="767">
        <v>13.292579999999999</v>
      </c>
      <c r="BT48" s="767">
        <v>11.70537</v>
      </c>
      <c r="BU48" s="767">
        <v>9.3640329999999992</v>
      </c>
      <c r="BV48" s="767">
        <v>9.465211</v>
      </c>
    </row>
    <row r="49" spans="1:74" ht="11.1" customHeight="1" x14ac:dyDescent="0.2">
      <c r="A49" s="545" t="s">
        <v>1339</v>
      </c>
      <c r="B49" s="546" t="s">
        <v>1364</v>
      </c>
      <c r="C49" s="766">
        <v>22.464904211</v>
      </c>
      <c r="D49" s="766">
        <v>7.0247298707999999</v>
      </c>
      <c r="E49" s="766">
        <v>7.2535273697999996</v>
      </c>
      <c r="F49" s="766">
        <v>7.3928318634999997</v>
      </c>
      <c r="G49" s="766">
        <v>8.4264914551000007</v>
      </c>
      <c r="H49" s="766">
        <v>10.914756705</v>
      </c>
      <c r="I49" s="766">
        <v>12.131757136999999</v>
      </c>
      <c r="J49" s="766">
        <v>11.135966675000001</v>
      </c>
      <c r="K49" s="766">
        <v>9.4563532427000005</v>
      </c>
      <c r="L49" s="766">
        <v>8.4869614291000008</v>
      </c>
      <c r="M49" s="766">
        <v>7.1338602323</v>
      </c>
      <c r="N49" s="766">
        <v>7.7688422306999998</v>
      </c>
      <c r="O49" s="766">
        <v>8.0454647432000002</v>
      </c>
      <c r="P49" s="766">
        <v>6.5567621251999997</v>
      </c>
      <c r="Q49" s="766">
        <v>7.9909904524000002</v>
      </c>
      <c r="R49" s="766">
        <v>7.6148539796000003</v>
      </c>
      <c r="S49" s="766">
        <v>8.8570147742999996</v>
      </c>
      <c r="T49" s="766">
        <v>10.974443623000001</v>
      </c>
      <c r="U49" s="766">
        <v>11.967736385</v>
      </c>
      <c r="V49" s="766">
        <v>11.575379508999999</v>
      </c>
      <c r="W49" s="766">
        <v>9.9432870962000006</v>
      </c>
      <c r="X49" s="766">
        <v>8.3307482047000008</v>
      </c>
      <c r="Y49" s="766">
        <v>7.0995786444000002</v>
      </c>
      <c r="Z49" s="766">
        <v>7.6614532189000002</v>
      </c>
      <c r="AA49" s="766">
        <v>7.1803194230000003</v>
      </c>
      <c r="AB49" s="766">
        <v>6.6148854408000002</v>
      </c>
      <c r="AC49" s="766">
        <v>7.0869775651999998</v>
      </c>
      <c r="AD49" s="766">
        <v>7.5622917839000001</v>
      </c>
      <c r="AE49" s="766">
        <v>8.8803047225</v>
      </c>
      <c r="AF49" s="766">
        <v>10.321336294</v>
      </c>
      <c r="AG49" s="766">
        <v>11.714991917000001</v>
      </c>
      <c r="AH49" s="766">
        <v>11.458312488000001</v>
      </c>
      <c r="AI49" s="766">
        <v>10.318230029</v>
      </c>
      <c r="AJ49" s="766">
        <v>5.7685990878000002</v>
      </c>
      <c r="AK49" s="766">
        <v>5.3734853166000001</v>
      </c>
      <c r="AL49" s="766">
        <v>5.8007928067999996</v>
      </c>
      <c r="AM49" s="766">
        <v>6.1998430000000004</v>
      </c>
      <c r="AN49" s="766">
        <v>5.7526520000000003</v>
      </c>
      <c r="AO49" s="766">
        <v>6.280062</v>
      </c>
      <c r="AP49" s="766">
        <v>6.5794980000000001</v>
      </c>
      <c r="AQ49" s="766">
        <v>7.2179140000000004</v>
      </c>
      <c r="AR49" s="766">
        <v>9.3291930000000001</v>
      </c>
      <c r="AS49" s="766">
        <v>11.791270000000001</v>
      </c>
      <c r="AT49" s="766">
        <v>12.307270000000001</v>
      </c>
      <c r="AU49" s="766">
        <v>9.9130289999999999</v>
      </c>
      <c r="AV49" s="766">
        <v>7.5973319999999998</v>
      </c>
      <c r="AW49" s="766">
        <v>7.0164309999999999</v>
      </c>
      <c r="AX49" s="766">
        <v>7.7030050000000001</v>
      </c>
      <c r="AY49" s="766">
        <v>7.6365239999999996</v>
      </c>
      <c r="AZ49" s="766">
        <v>7.1592390000000004</v>
      </c>
      <c r="BA49" s="766">
        <v>6.9888370000000002</v>
      </c>
      <c r="BB49" s="766">
        <v>6.8058759999999996</v>
      </c>
      <c r="BC49" s="766">
        <v>9.4484010000000005</v>
      </c>
      <c r="BD49" s="766">
        <v>10.329470000000001</v>
      </c>
      <c r="BE49" s="766">
        <v>12.91352</v>
      </c>
      <c r="BF49" s="766">
        <v>12.364319999999999</v>
      </c>
      <c r="BG49" s="767">
        <v>10.35816</v>
      </c>
      <c r="BH49" s="767">
        <v>8.2396089999999997</v>
      </c>
      <c r="BI49" s="767">
        <v>7.1080839999999998</v>
      </c>
      <c r="BJ49" s="767">
        <v>7.9884449999999996</v>
      </c>
      <c r="BK49" s="767">
        <v>7.8911239999999996</v>
      </c>
      <c r="BL49" s="767">
        <v>6.7335370000000001</v>
      </c>
      <c r="BM49" s="767">
        <v>7.3840539999999999</v>
      </c>
      <c r="BN49" s="767">
        <v>7.320824</v>
      </c>
      <c r="BO49" s="767">
        <v>8.9508349999999997</v>
      </c>
      <c r="BP49" s="767">
        <v>10.58634</v>
      </c>
      <c r="BQ49" s="767">
        <v>12.15114</v>
      </c>
      <c r="BR49" s="767">
        <v>12.002280000000001</v>
      </c>
      <c r="BS49" s="767">
        <v>10.30913</v>
      </c>
      <c r="BT49" s="767">
        <v>8.3324540000000002</v>
      </c>
      <c r="BU49" s="767">
        <v>7.1702149999999998</v>
      </c>
      <c r="BV49" s="767">
        <v>8.0448199999999996</v>
      </c>
    </row>
    <row r="50" spans="1:74" ht="11.1" customHeight="1" x14ac:dyDescent="0.2">
      <c r="A50" s="565"/>
      <c r="B50" s="131" t="s">
        <v>1340</v>
      </c>
      <c r="C50" s="249"/>
      <c r="D50" s="249"/>
      <c r="E50" s="249"/>
      <c r="F50" s="249"/>
      <c r="G50" s="249"/>
      <c r="H50" s="249"/>
      <c r="I50" s="249"/>
      <c r="J50" s="249"/>
      <c r="K50" s="249"/>
      <c r="L50" s="249"/>
      <c r="M50" s="249"/>
      <c r="N50" s="249"/>
      <c r="O50" s="249"/>
      <c r="P50" s="249"/>
      <c r="Q50" s="249"/>
      <c r="R50" s="249"/>
      <c r="S50" s="249"/>
      <c r="T50" s="249"/>
      <c r="U50" s="249"/>
      <c r="V50" s="249"/>
      <c r="W50" s="249"/>
      <c r="X50" s="249"/>
      <c r="Y50" s="249"/>
      <c r="Z50" s="249"/>
      <c r="AA50" s="249"/>
      <c r="AB50" s="249"/>
      <c r="AC50" s="249"/>
      <c r="AD50" s="249"/>
      <c r="AE50" s="249"/>
      <c r="AF50" s="249"/>
      <c r="AG50" s="249"/>
      <c r="AH50" s="249"/>
      <c r="AI50" s="249"/>
      <c r="AJ50" s="249"/>
      <c r="AK50" s="249"/>
      <c r="AL50" s="249"/>
      <c r="AM50" s="249"/>
      <c r="AN50" s="249"/>
      <c r="AO50" s="249"/>
      <c r="AP50" s="249"/>
      <c r="AQ50" s="249"/>
      <c r="AR50" s="249"/>
      <c r="AS50" s="249"/>
      <c r="AT50" s="249"/>
      <c r="AU50" s="249"/>
      <c r="AV50" s="249"/>
      <c r="AW50" s="249"/>
      <c r="AX50" s="249"/>
      <c r="AY50" s="249"/>
      <c r="AZ50" s="249"/>
      <c r="BA50" s="249"/>
      <c r="BB50" s="249"/>
      <c r="BC50" s="249"/>
      <c r="BD50" s="249"/>
      <c r="BE50" s="249"/>
      <c r="BF50" s="249"/>
      <c r="BG50" s="360"/>
      <c r="BH50" s="360"/>
      <c r="BI50" s="360"/>
      <c r="BJ50" s="360"/>
      <c r="BK50" s="360"/>
      <c r="BL50" s="360"/>
      <c r="BM50" s="360"/>
      <c r="BN50" s="360"/>
      <c r="BO50" s="360"/>
      <c r="BP50" s="360"/>
      <c r="BQ50" s="360"/>
      <c r="BR50" s="360"/>
      <c r="BS50" s="360"/>
      <c r="BT50" s="360"/>
      <c r="BU50" s="360"/>
      <c r="BV50" s="360"/>
    </row>
    <row r="51" spans="1:74" ht="11.1" customHeight="1" x14ac:dyDescent="0.2">
      <c r="A51" s="545" t="s">
        <v>1341</v>
      </c>
      <c r="B51" s="546" t="s">
        <v>86</v>
      </c>
      <c r="C51" s="766">
        <v>17.07276761</v>
      </c>
      <c r="D51" s="766">
        <v>6.2871869460000003</v>
      </c>
      <c r="E51" s="766">
        <v>4.7201862349999999</v>
      </c>
      <c r="F51" s="766">
        <v>4.4277834260000004</v>
      </c>
      <c r="G51" s="766">
        <v>4.9528804810000002</v>
      </c>
      <c r="H51" s="766">
        <v>7.7685690679999997</v>
      </c>
      <c r="I51" s="766">
        <v>9.2086342380000001</v>
      </c>
      <c r="J51" s="766">
        <v>10.274658090999999</v>
      </c>
      <c r="K51" s="766">
        <v>8.4271294759999993</v>
      </c>
      <c r="L51" s="766">
        <v>8.2103906329999994</v>
      </c>
      <c r="M51" s="766">
        <v>6.2630076670000001</v>
      </c>
      <c r="N51" s="766">
        <v>7.0499888019999997</v>
      </c>
      <c r="O51" s="766">
        <v>6.8968970110000001</v>
      </c>
      <c r="P51" s="766">
        <v>4.8507354300000003</v>
      </c>
      <c r="Q51" s="766">
        <v>3.8341736380000002</v>
      </c>
      <c r="R51" s="766">
        <v>3.377811796</v>
      </c>
      <c r="S51" s="766">
        <v>4.242918607</v>
      </c>
      <c r="T51" s="766">
        <v>6.1789663859999999</v>
      </c>
      <c r="U51" s="766">
        <v>8.6959030909999999</v>
      </c>
      <c r="V51" s="766">
        <v>10.112250144000001</v>
      </c>
      <c r="W51" s="766">
        <v>8.1418972099999998</v>
      </c>
      <c r="X51" s="766">
        <v>7.575569389</v>
      </c>
      <c r="Y51" s="766">
        <v>6.2952036060000003</v>
      </c>
      <c r="Z51" s="766">
        <v>6.756300081</v>
      </c>
      <c r="AA51" s="766">
        <v>6.0654701529999997</v>
      </c>
      <c r="AB51" s="766">
        <v>5.3794186110000002</v>
      </c>
      <c r="AC51" s="766">
        <v>5.6054020209999997</v>
      </c>
      <c r="AD51" s="766">
        <v>3.9500248249999999</v>
      </c>
      <c r="AE51" s="766">
        <v>3.4173430370000002</v>
      </c>
      <c r="AF51" s="766">
        <v>5.1714331050000002</v>
      </c>
      <c r="AG51" s="766">
        <v>10.165314586999999</v>
      </c>
      <c r="AH51" s="766">
        <v>9.2663859110000004</v>
      </c>
      <c r="AI51" s="766">
        <v>7.0808016599999997</v>
      </c>
      <c r="AJ51" s="766">
        <v>7.8496764539999999</v>
      </c>
      <c r="AK51" s="766">
        <v>7.3318671909999997</v>
      </c>
      <c r="AL51" s="766">
        <v>7.1058595249999996</v>
      </c>
      <c r="AM51" s="766">
        <v>6.4526182570000001</v>
      </c>
      <c r="AN51" s="766">
        <v>6.041506987</v>
      </c>
      <c r="AO51" s="766">
        <v>5.2114087019999999</v>
      </c>
      <c r="AP51" s="766">
        <v>3.3105570090000001</v>
      </c>
      <c r="AQ51" s="766">
        <v>2.7951399029999999</v>
      </c>
      <c r="AR51" s="766">
        <v>4.0670301970000002</v>
      </c>
      <c r="AS51" s="766">
        <v>7.219250948</v>
      </c>
      <c r="AT51" s="766">
        <v>8.7414245780000002</v>
      </c>
      <c r="AU51" s="766">
        <v>7.4682585440000002</v>
      </c>
      <c r="AV51" s="766">
        <v>7.6759651780000002</v>
      </c>
      <c r="AW51" s="766">
        <v>7.5444646610000001</v>
      </c>
      <c r="AX51" s="766">
        <v>7.6494366070000002</v>
      </c>
      <c r="AY51" s="766">
        <v>5.7368240190000002</v>
      </c>
      <c r="AZ51" s="766">
        <v>5.07938767</v>
      </c>
      <c r="BA51" s="766">
        <v>6.0066547159999999</v>
      </c>
      <c r="BB51" s="766">
        <v>3.9421659459999998</v>
      </c>
      <c r="BC51" s="766">
        <v>3.5715642820000002</v>
      </c>
      <c r="BD51" s="766">
        <v>5.3526756070000001</v>
      </c>
      <c r="BE51" s="766">
        <v>8.4495059999999995</v>
      </c>
      <c r="BF51" s="766">
        <v>8.5359800000000003</v>
      </c>
      <c r="BG51" s="767">
        <v>8.8044899999999995</v>
      </c>
      <c r="BH51" s="767">
        <v>7.53634</v>
      </c>
      <c r="BI51" s="767">
        <v>6.2618239999999998</v>
      </c>
      <c r="BJ51" s="767">
        <v>8.3188759999999995</v>
      </c>
      <c r="BK51" s="767">
        <v>5.2507890000000002</v>
      </c>
      <c r="BL51" s="767">
        <v>3.5392410000000001</v>
      </c>
      <c r="BM51" s="767">
        <v>4.5169600000000001</v>
      </c>
      <c r="BN51" s="767">
        <v>4.3771409999999999</v>
      </c>
      <c r="BO51" s="767">
        <v>3.2088410000000001</v>
      </c>
      <c r="BP51" s="767">
        <v>5.0325230000000003</v>
      </c>
      <c r="BQ51" s="767">
        <v>7.231833</v>
      </c>
      <c r="BR51" s="767">
        <v>8.0899110000000007</v>
      </c>
      <c r="BS51" s="767">
        <v>7.3883219999999996</v>
      </c>
      <c r="BT51" s="767">
        <v>7.0454179999999997</v>
      </c>
      <c r="BU51" s="767">
        <v>6.0657100000000002</v>
      </c>
      <c r="BV51" s="767">
        <v>7.9277290000000002</v>
      </c>
    </row>
    <row r="52" spans="1:74" ht="11.1" customHeight="1" x14ac:dyDescent="0.2">
      <c r="A52" s="545" t="s">
        <v>1342</v>
      </c>
      <c r="B52" s="546" t="s">
        <v>85</v>
      </c>
      <c r="C52" s="766">
        <v>1.8858422610000001</v>
      </c>
      <c r="D52" s="766">
        <v>0.71217981200000002</v>
      </c>
      <c r="E52" s="766">
        <v>0.50332336700000002</v>
      </c>
      <c r="F52" s="766">
        <v>0.268010996</v>
      </c>
      <c r="G52" s="766">
        <v>0.63606374700000001</v>
      </c>
      <c r="H52" s="766">
        <v>0.72815920899999997</v>
      </c>
      <c r="I52" s="766">
        <v>0.76735909499999999</v>
      </c>
      <c r="J52" s="766">
        <v>0.784040603</v>
      </c>
      <c r="K52" s="766">
        <v>0.71951988200000006</v>
      </c>
      <c r="L52" s="766">
        <v>0.78550371100000005</v>
      </c>
      <c r="M52" s="766">
        <v>0.70864717099999996</v>
      </c>
      <c r="N52" s="766">
        <v>0.88926964399999997</v>
      </c>
      <c r="O52" s="766">
        <v>0.88766510300000001</v>
      </c>
      <c r="P52" s="766">
        <v>0.59924559600000005</v>
      </c>
      <c r="Q52" s="766">
        <v>0.37899685700000002</v>
      </c>
      <c r="R52" s="766">
        <v>0.24665794499999999</v>
      </c>
      <c r="S52" s="766">
        <v>0.66632957800000003</v>
      </c>
      <c r="T52" s="766">
        <v>0.69120857199999997</v>
      </c>
      <c r="U52" s="766">
        <v>0.84763554500000005</v>
      </c>
      <c r="V52" s="766">
        <v>0.83916681699999995</v>
      </c>
      <c r="W52" s="766">
        <v>0.740778041</v>
      </c>
      <c r="X52" s="766">
        <v>0.86234926300000003</v>
      </c>
      <c r="Y52" s="766">
        <v>0.80992788299999996</v>
      </c>
      <c r="Z52" s="766">
        <v>0.82377995400000004</v>
      </c>
      <c r="AA52" s="766">
        <v>0.725889173</v>
      </c>
      <c r="AB52" s="766">
        <v>0.62641758299999994</v>
      </c>
      <c r="AC52" s="766">
        <v>0.53353550500000002</v>
      </c>
      <c r="AD52" s="766">
        <v>0.221804639</v>
      </c>
      <c r="AE52" s="766">
        <v>0.55738786399999996</v>
      </c>
      <c r="AF52" s="766">
        <v>0.51905949500000004</v>
      </c>
      <c r="AG52" s="766">
        <v>0.92765032000000003</v>
      </c>
      <c r="AH52" s="766">
        <v>1.013139148</v>
      </c>
      <c r="AI52" s="766">
        <v>0.59701249300000003</v>
      </c>
      <c r="AJ52" s="766">
        <v>0.70167818800000004</v>
      </c>
      <c r="AK52" s="766">
        <v>0.96322143800000004</v>
      </c>
      <c r="AL52" s="766">
        <v>1.0951550839999999</v>
      </c>
      <c r="AM52" s="766">
        <v>0.77109697499999996</v>
      </c>
      <c r="AN52" s="766">
        <v>0.81095215200000004</v>
      </c>
      <c r="AO52" s="766">
        <v>0.57208892499999997</v>
      </c>
      <c r="AP52" s="766">
        <v>0.19561948500000001</v>
      </c>
      <c r="AQ52" s="766">
        <v>0.52635936000000005</v>
      </c>
      <c r="AR52" s="766">
        <v>0.51135507800000002</v>
      </c>
      <c r="AS52" s="766">
        <v>0.61886307699999998</v>
      </c>
      <c r="AT52" s="766">
        <v>0.66163189600000005</v>
      </c>
      <c r="AU52" s="766">
        <v>0.623199595</v>
      </c>
      <c r="AV52" s="766">
        <v>0.60573158100000002</v>
      </c>
      <c r="AW52" s="766">
        <v>0.80218220200000001</v>
      </c>
      <c r="AX52" s="766">
        <v>0.84053186499999999</v>
      </c>
      <c r="AY52" s="766">
        <v>0.54027245999999995</v>
      </c>
      <c r="AZ52" s="766">
        <v>0.46254534000000003</v>
      </c>
      <c r="BA52" s="766">
        <v>0.40926842099999999</v>
      </c>
      <c r="BB52" s="766">
        <v>0.289279652</v>
      </c>
      <c r="BC52" s="766">
        <v>0.45602637899999998</v>
      </c>
      <c r="BD52" s="766">
        <v>0.47580077399999998</v>
      </c>
      <c r="BE52" s="766">
        <v>0.46718609999999999</v>
      </c>
      <c r="BF52" s="766">
        <v>0.67622780000000005</v>
      </c>
      <c r="BG52" s="767">
        <v>0.60834460000000001</v>
      </c>
      <c r="BH52" s="767">
        <v>0.59484630000000005</v>
      </c>
      <c r="BI52" s="767">
        <v>0.80323299999999997</v>
      </c>
      <c r="BJ52" s="767">
        <v>0.94995879999999999</v>
      </c>
      <c r="BK52" s="767">
        <v>0.54748949999999996</v>
      </c>
      <c r="BL52" s="767">
        <v>0.56940539999999995</v>
      </c>
      <c r="BM52" s="767">
        <v>0.81839669999999998</v>
      </c>
      <c r="BN52" s="767">
        <v>0.77793389999999996</v>
      </c>
      <c r="BO52" s="767">
        <v>1.0328550000000001</v>
      </c>
      <c r="BP52" s="767">
        <v>0.97758540000000005</v>
      </c>
      <c r="BQ52" s="767">
        <v>0.63347489999999995</v>
      </c>
      <c r="BR52" s="767">
        <v>0.67902169999999995</v>
      </c>
      <c r="BS52" s="767">
        <v>0.60639489999999996</v>
      </c>
      <c r="BT52" s="767">
        <v>0.59313979999999999</v>
      </c>
      <c r="BU52" s="767">
        <v>0.77861999999999998</v>
      </c>
      <c r="BV52" s="767">
        <v>0.94671099999999997</v>
      </c>
    </row>
    <row r="53" spans="1:74" ht="11.1" customHeight="1" x14ac:dyDescent="0.2">
      <c r="A53" s="545" t="s">
        <v>1343</v>
      </c>
      <c r="B53" s="548" t="s">
        <v>88</v>
      </c>
      <c r="C53" s="766">
        <v>3.6957469999999999</v>
      </c>
      <c r="D53" s="766">
        <v>1.5825100000000001</v>
      </c>
      <c r="E53" s="766">
        <v>1.694947</v>
      </c>
      <c r="F53" s="766">
        <v>1.635303</v>
      </c>
      <c r="G53" s="766">
        <v>0.84652400000000005</v>
      </c>
      <c r="H53" s="766">
        <v>1.526133</v>
      </c>
      <c r="I53" s="766">
        <v>1.695468</v>
      </c>
      <c r="J53" s="766">
        <v>1.6858629999999999</v>
      </c>
      <c r="K53" s="766">
        <v>1.630606</v>
      </c>
      <c r="L53" s="766">
        <v>1.6046309999999999</v>
      </c>
      <c r="M53" s="766">
        <v>1.6220460000000001</v>
      </c>
      <c r="N53" s="766">
        <v>1.693349</v>
      </c>
      <c r="O53" s="766">
        <v>1.645132</v>
      </c>
      <c r="P53" s="766">
        <v>1.526365</v>
      </c>
      <c r="Q53" s="766">
        <v>1.5691409999999999</v>
      </c>
      <c r="R53" s="766">
        <v>1.412868</v>
      </c>
      <c r="S53" s="766">
        <v>0.84013499999999997</v>
      </c>
      <c r="T53" s="766">
        <v>0.95983099999999999</v>
      </c>
      <c r="U53" s="766">
        <v>1.648012</v>
      </c>
      <c r="V53" s="766">
        <v>1.6828810000000001</v>
      </c>
      <c r="W53" s="766">
        <v>1.6230610000000001</v>
      </c>
      <c r="X53" s="766">
        <v>1.683557</v>
      </c>
      <c r="Y53" s="766">
        <v>1.6289389999999999</v>
      </c>
      <c r="Z53" s="766">
        <v>1.681157</v>
      </c>
      <c r="AA53" s="766">
        <v>1.6661619999999999</v>
      </c>
      <c r="AB53" s="766">
        <v>0.98265800000000003</v>
      </c>
      <c r="AC53" s="766">
        <v>1.0469269999999999</v>
      </c>
      <c r="AD53" s="766">
        <v>1.5464370000000001</v>
      </c>
      <c r="AE53" s="766">
        <v>1.682785</v>
      </c>
      <c r="AF53" s="766">
        <v>1.6373070000000001</v>
      </c>
      <c r="AG53" s="766">
        <v>1.6864300000000001</v>
      </c>
      <c r="AH53" s="766">
        <v>1.6208689999999999</v>
      </c>
      <c r="AI53" s="766">
        <v>1.6145339999999999</v>
      </c>
      <c r="AJ53" s="766">
        <v>1.6678329999999999</v>
      </c>
      <c r="AK53" s="766">
        <v>1.5739099999999999</v>
      </c>
      <c r="AL53" s="766">
        <v>1.4876670000000001</v>
      </c>
      <c r="AM53" s="766">
        <v>1.681619</v>
      </c>
      <c r="AN53" s="766">
        <v>0.98700200000000005</v>
      </c>
      <c r="AO53" s="766">
        <v>1.1328050000000001</v>
      </c>
      <c r="AP53" s="766">
        <v>1.5518430000000001</v>
      </c>
      <c r="AQ53" s="766">
        <v>1.692739</v>
      </c>
      <c r="AR53" s="766">
        <v>1.6328549999999999</v>
      </c>
      <c r="AS53" s="766">
        <v>1.6871499999999999</v>
      </c>
      <c r="AT53" s="766">
        <v>1.6779310000000001</v>
      </c>
      <c r="AU53" s="766">
        <v>1.3697699999999999</v>
      </c>
      <c r="AV53" s="766">
        <v>0.83989499999999995</v>
      </c>
      <c r="AW53" s="766">
        <v>0.80096400000000001</v>
      </c>
      <c r="AX53" s="766">
        <v>1.110811</v>
      </c>
      <c r="AY53" s="766">
        <v>1.6895450000000001</v>
      </c>
      <c r="AZ53" s="766">
        <v>1.486059</v>
      </c>
      <c r="BA53" s="766">
        <v>1.6710259999999999</v>
      </c>
      <c r="BB53" s="766">
        <v>1.6306449999999999</v>
      </c>
      <c r="BC53" s="766">
        <v>1.5976520000000001</v>
      </c>
      <c r="BD53" s="766">
        <v>1.6280680000000001</v>
      </c>
      <c r="BE53" s="766">
        <v>1.29138</v>
      </c>
      <c r="BF53" s="766">
        <v>1.5989100000000001</v>
      </c>
      <c r="BG53" s="767">
        <v>0.78174999999999994</v>
      </c>
      <c r="BH53" s="767">
        <v>1.47709</v>
      </c>
      <c r="BI53" s="767">
        <v>1.58979</v>
      </c>
      <c r="BJ53" s="767">
        <v>1.64279</v>
      </c>
      <c r="BK53" s="767">
        <v>1.64279</v>
      </c>
      <c r="BL53" s="767">
        <v>1.4838100000000001</v>
      </c>
      <c r="BM53" s="767">
        <v>1.30741</v>
      </c>
      <c r="BN53" s="767">
        <v>0.85736999999999997</v>
      </c>
      <c r="BO53" s="767">
        <v>1.64279</v>
      </c>
      <c r="BP53" s="767">
        <v>1.58979</v>
      </c>
      <c r="BQ53" s="767">
        <v>1.64279</v>
      </c>
      <c r="BR53" s="767">
        <v>1.64279</v>
      </c>
      <c r="BS53" s="767">
        <v>1.58979</v>
      </c>
      <c r="BT53" s="767">
        <v>1.64279</v>
      </c>
      <c r="BU53" s="767">
        <v>1.58979</v>
      </c>
      <c r="BV53" s="767">
        <v>1.64279</v>
      </c>
    </row>
    <row r="54" spans="1:74" ht="11.1" customHeight="1" x14ac:dyDescent="0.2">
      <c r="A54" s="545" t="s">
        <v>1344</v>
      </c>
      <c r="B54" s="548" t="s">
        <v>1259</v>
      </c>
      <c r="C54" s="766">
        <v>3.8011588980000002</v>
      </c>
      <c r="D54" s="766">
        <v>1.3403658220000001</v>
      </c>
      <c r="E54" s="766">
        <v>2.3825259719999998</v>
      </c>
      <c r="F54" s="766">
        <v>2.4210807609999998</v>
      </c>
      <c r="G54" s="766">
        <v>2.7320436610000001</v>
      </c>
      <c r="H54" s="766">
        <v>2.8038384619999999</v>
      </c>
      <c r="I54" s="766">
        <v>2.8481153290000001</v>
      </c>
      <c r="J54" s="766">
        <v>2.3444382969999999</v>
      </c>
      <c r="K54" s="766">
        <v>1.9023265060000001</v>
      </c>
      <c r="L54" s="766">
        <v>1.4386716470000001</v>
      </c>
      <c r="M54" s="766">
        <v>1.4557602110000001</v>
      </c>
      <c r="N54" s="766">
        <v>1.971518326</v>
      </c>
      <c r="O54" s="766">
        <v>3.1939892909999998</v>
      </c>
      <c r="P54" s="766">
        <v>2.8409019770000001</v>
      </c>
      <c r="Q54" s="766">
        <v>3.8231755019999998</v>
      </c>
      <c r="R54" s="766">
        <v>3.691322193</v>
      </c>
      <c r="S54" s="766">
        <v>4.1031082100000003</v>
      </c>
      <c r="T54" s="766">
        <v>3.7187555479999999</v>
      </c>
      <c r="U54" s="766">
        <v>3.6658622959999998</v>
      </c>
      <c r="V54" s="766">
        <v>3.2600365469999999</v>
      </c>
      <c r="W54" s="766">
        <v>2.3445401760000002</v>
      </c>
      <c r="X54" s="766">
        <v>1.6448481909999999</v>
      </c>
      <c r="Y54" s="766">
        <v>1.488871133</v>
      </c>
      <c r="Z54" s="766">
        <v>1.535162116</v>
      </c>
      <c r="AA54" s="766">
        <v>1.368861061</v>
      </c>
      <c r="AB54" s="766">
        <v>0.95886019199999994</v>
      </c>
      <c r="AC54" s="766">
        <v>1.5972266340000001</v>
      </c>
      <c r="AD54" s="766">
        <v>2.8239816200000001</v>
      </c>
      <c r="AE54" s="766">
        <v>2.543584659</v>
      </c>
      <c r="AF54" s="766">
        <v>2.2860595099999999</v>
      </c>
      <c r="AG54" s="766">
        <v>2.5329342929999998</v>
      </c>
      <c r="AH54" s="766">
        <v>2.334219756</v>
      </c>
      <c r="AI54" s="766">
        <v>1.923206398</v>
      </c>
      <c r="AJ54" s="766">
        <v>1.1783723209999999</v>
      </c>
      <c r="AK54" s="766">
        <v>0.98239168600000004</v>
      </c>
      <c r="AL54" s="766">
        <v>1.268796</v>
      </c>
      <c r="AM54" s="766">
        <v>1.3740179379999999</v>
      </c>
      <c r="AN54" s="766">
        <v>2.0466517319999999</v>
      </c>
      <c r="AO54" s="766">
        <v>3.708419734</v>
      </c>
      <c r="AP54" s="766">
        <v>4.0353878510000003</v>
      </c>
      <c r="AQ54" s="766">
        <v>4.2539672150000003</v>
      </c>
      <c r="AR54" s="766">
        <v>4.1023647499999996</v>
      </c>
      <c r="AS54" s="766">
        <v>3.7747968969999999</v>
      </c>
      <c r="AT54" s="766">
        <v>3.3215542669999998</v>
      </c>
      <c r="AU54" s="766">
        <v>2.4754578880000002</v>
      </c>
      <c r="AV54" s="766">
        <v>1.808196621</v>
      </c>
      <c r="AW54" s="766">
        <v>1.409795353</v>
      </c>
      <c r="AX54" s="766">
        <v>1.728407402</v>
      </c>
      <c r="AY54" s="766">
        <v>1.386428778</v>
      </c>
      <c r="AZ54" s="766">
        <v>0.92896261700000005</v>
      </c>
      <c r="BA54" s="766">
        <v>0.89937841900000004</v>
      </c>
      <c r="BB54" s="766">
        <v>1.530327381</v>
      </c>
      <c r="BC54" s="766">
        <v>2.2049196910000002</v>
      </c>
      <c r="BD54" s="766">
        <v>1.943265185</v>
      </c>
      <c r="BE54" s="766">
        <v>3.8635410000000001</v>
      </c>
      <c r="BF54" s="766">
        <v>3.4268800000000001</v>
      </c>
      <c r="BG54" s="767">
        <v>2.7257220000000002</v>
      </c>
      <c r="BH54" s="767">
        <v>1.8848290000000001</v>
      </c>
      <c r="BI54" s="767">
        <v>1.3553649999999999</v>
      </c>
      <c r="BJ54" s="767">
        <v>1.9218040000000001</v>
      </c>
      <c r="BK54" s="767">
        <v>1.36113</v>
      </c>
      <c r="BL54" s="767">
        <v>0.81857769999999996</v>
      </c>
      <c r="BM54" s="767">
        <v>0.89344650000000003</v>
      </c>
      <c r="BN54" s="767">
        <v>1.6724540000000001</v>
      </c>
      <c r="BO54" s="767">
        <v>2.2796949999999998</v>
      </c>
      <c r="BP54" s="767">
        <v>1.9221360000000001</v>
      </c>
      <c r="BQ54" s="767">
        <v>3.6718649999999999</v>
      </c>
      <c r="BR54" s="767">
        <v>3.2810999999999999</v>
      </c>
      <c r="BS54" s="767">
        <v>2.5734620000000001</v>
      </c>
      <c r="BT54" s="767">
        <v>1.882625</v>
      </c>
      <c r="BU54" s="767">
        <v>1.3136680000000001</v>
      </c>
      <c r="BV54" s="767">
        <v>1.8526320000000001</v>
      </c>
    </row>
    <row r="55" spans="1:74" ht="11.1" customHeight="1" x14ac:dyDescent="0.2">
      <c r="A55" s="545" t="s">
        <v>1345</v>
      </c>
      <c r="B55" s="548" t="s">
        <v>1362</v>
      </c>
      <c r="C55" s="766">
        <v>13.78068435</v>
      </c>
      <c r="D55" s="766">
        <v>3.2148282949999998</v>
      </c>
      <c r="E55" s="766">
        <v>4.2274706520000001</v>
      </c>
      <c r="F55" s="766">
        <v>4.3926875509999999</v>
      </c>
      <c r="G55" s="766">
        <v>5.2359141300000003</v>
      </c>
      <c r="H55" s="766">
        <v>5.2318456199999996</v>
      </c>
      <c r="I55" s="766">
        <v>5.6691310860000002</v>
      </c>
      <c r="J55" s="766">
        <v>5.4093055019999996</v>
      </c>
      <c r="K55" s="766">
        <v>4.6451180489999997</v>
      </c>
      <c r="L55" s="766">
        <v>4.2756148119999997</v>
      </c>
      <c r="M55" s="766">
        <v>3.5460035529999998</v>
      </c>
      <c r="N55" s="766">
        <v>3.537362264</v>
      </c>
      <c r="O55" s="766">
        <v>3.4097514919999998</v>
      </c>
      <c r="P55" s="766">
        <v>3.3168353069999998</v>
      </c>
      <c r="Q55" s="766">
        <v>4.716735141</v>
      </c>
      <c r="R55" s="766">
        <v>5.0357833349999996</v>
      </c>
      <c r="S55" s="766">
        <v>6.09458067</v>
      </c>
      <c r="T55" s="766">
        <v>6.3372506020000001</v>
      </c>
      <c r="U55" s="766">
        <v>5.8973113680000004</v>
      </c>
      <c r="V55" s="766">
        <v>5.9367873649999998</v>
      </c>
      <c r="W55" s="766">
        <v>5.2665219130000001</v>
      </c>
      <c r="X55" s="766">
        <v>4.6244658640000003</v>
      </c>
      <c r="Y55" s="766">
        <v>3.4962701759999999</v>
      </c>
      <c r="Z55" s="766">
        <v>3.480268106</v>
      </c>
      <c r="AA55" s="766">
        <v>3.3117124929999999</v>
      </c>
      <c r="AB55" s="766">
        <v>4.2220832279999998</v>
      </c>
      <c r="AC55" s="766">
        <v>4.7928971760000003</v>
      </c>
      <c r="AD55" s="766">
        <v>5.32942961</v>
      </c>
      <c r="AE55" s="766">
        <v>6.7430442460000002</v>
      </c>
      <c r="AF55" s="766">
        <v>6.8603952389999998</v>
      </c>
      <c r="AG55" s="766">
        <v>6.2005232660000003</v>
      </c>
      <c r="AH55" s="766">
        <v>6.3202380610000004</v>
      </c>
      <c r="AI55" s="766">
        <v>5.7237376250000001</v>
      </c>
      <c r="AJ55" s="766">
        <v>4.8102522409999997</v>
      </c>
      <c r="AK55" s="766">
        <v>3.7982039360000002</v>
      </c>
      <c r="AL55" s="766">
        <v>3.4873288200000001</v>
      </c>
      <c r="AM55" s="766">
        <v>4.0903903880000003</v>
      </c>
      <c r="AN55" s="766">
        <v>4.3509070200000002</v>
      </c>
      <c r="AO55" s="766">
        <v>5.3577180029999996</v>
      </c>
      <c r="AP55" s="766">
        <v>5.8046486020000003</v>
      </c>
      <c r="AQ55" s="766">
        <v>6.1890603210000004</v>
      </c>
      <c r="AR55" s="766">
        <v>6.312894558</v>
      </c>
      <c r="AS55" s="766">
        <v>6.485183803</v>
      </c>
      <c r="AT55" s="766">
        <v>6.3174651629999996</v>
      </c>
      <c r="AU55" s="766">
        <v>5.6709376300000001</v>
      </c>
      <c r="AV55" s="766">
        <v>5.2926061740000003</v>
      </c>
      <c r="AW55" s="766">
        <v>4.0625317169999997</v>
      </c>
      <c r="AX55" s="766">
        <v>3.737481523</v>
      </c>
      <c r="AY55" s="766">
        <v>4.425093135</v>
      </c>
      <c r="AZ55" s="766">
        <v>4.7770486999999999</v>
      </c>
      <c r="BA55" s="766">
        <v>5.2597054549999998</v>
      </c>
      <c r="BB55" s="766">
        <v>5.8321823820000001</v>
      </c>
      <c r="BC55" s="766">
        <v>6.7463367620000003</v>
      </c>
      <c r="BD55" s="766">
        <v>6.7545890750000002</v>
      </c>
      <c r="BE55" s="766">
        <v>6.8526170000000004</v>
      </c>
      <c r="BF55" s="766">
        <v>6.5089790000000001</v>
      </c>
      <c r="BG55" s="767">
        <v>6.0013420000000002</v>
      </c>
      <c r="BH55" s="767">
        <v>5.5007270000000004</v>
      </c>
      <c r="BI55" s="767">
        <v>4.2260239999999998</v>
      </c>
      <c r="BJ55" s="767">
        <v>4.5316229999999997</v>
      </c>
      <c r="BK55" s="767">
        <v>4.6431950000000004</v>
      </c>
      <c r="BL55" s="767">
        <v>4.6684359999999998</v>
      </c>
      <c r="BM55" s="767">
        <v>5.4481099999999998</v>
      </c>
      <c r="BN55" s="767">
        <v>6.2616529999999999</v>
      </c>
      <c r="BO55" s="767">
        <v>7.4344659999999996</v>
      </c>
      <c r="BP55" s="767">
        <v>7.2363850000000003</v>
      </c>
      <c r="BQ55" s="767">
        <v>7.1597489999999997</v>
      </c>
      <c r="BR55" s="767">
        <v>6.8880290000000004</v>
      </c>
      <c r="BS55" s="767">
        <v>6.39689</v>
      </c>
      <c r="BT55" s="767">
        <v>5.8137350000000003</v>
      </c>
      <c r="BU55" s="767">
        <v>4.4732419999999999</v>
      </c>
      <c r="BV55" s="767">
        <v>4.581734</v>
      </c>
    </row>
    <row r="56" spans="1:74" ht="11.1" customHeight="1" x14ac:dyDescent="0.2">
      <c r="A56" s="545" t="s">
        <v>1346</v>
      </c>
      <c r="B56" s="546" t="s">
        <v>1363</v>
      </c>
      <c r="C56" s="766">
        <v>-4.3679052000000003E-2</v>
      </c>
      <c r="D56" s="766">
        <v>-6.8508104E-2</v>
      </c>
      <c r="E56" s="766">
        <v>-3.0989142000000001E-2</v>
      </c>
      <c r="F56" s="766">
        <v>-6.4083499999999997E-4</v>
      </c>
      <c r="G56" s="766">
        <v>0.133833798</v>
      </c>
      <c r="H56" s="766">
        <v>0.17694558799999999</v>
      </c>
      <c r="I56" s="766">
        <v>6.2935332999999996E-2</v>
      </c>
      <c r="J56" s="766">
        <v>-3.0850979000000001E-2</v>
      </c>
      <c r="K56" s="766">
        <v>3.5084024999999998E-2</v>
      </c>
      <c r="L56" s="766">
        <v>3.7429652000000001E-2</v>
      </c>
      <c r="M56" s="766">
        <v>-9.2078749000000001E-2</v>
      </c>
      <c r="N56" s="766">
        <v>-0.125691101</v>
      </c>
      <c r="O56" s="766">
        <v>0.22419362300000001</v>
      </c>
      <c r="P56" s="766">
        <v>-5.3587228000000001E-2</v>
      </c>
      <c r="Q56" s="766">
        <v>-1.6483300999999999E-2</v>
      </c>
      <c r="R56" s="766">
        <v>2.5288580000000001E-2</v>
      </c>
      <c r="S56" s="766">
        <v>9.6584212000000003E-2</v>
      </c>
      <c r="T56" s="766">
        <v>7.3875047999999999E-2</v>
      </c>
      <c r="U56" s="766">
        <v>0.10931587600000001</v>
      </c>
      <c r="V56" s="766">
        <v>0.133626088</v>
      </c>
      <c r="W56" s="766">
        <v>6.0955910000000002E-2</v>
      </c>
      <c r="X56" s="766">
        <v>0.11430909</v>
      </c>
      <c r="Y56" s="766">
        <v>2.3510855000000001E-2</v>
      </c>
      <c r="Z56" s="766">
        <v>-2.0455872999999999E-2</v>
      </c>
      <c r="AA56" s="766">
        <v>-2.2035538E-2</v>
      </c>
      <c r="AB56" s="766">
        <v>7.2483505000000004E-2</v>
      </c>
      <c r="AC56" s="766">
        <v>-9.8904097999999996E-2</v>
      </c>
      <c r="AD56" s="766">
        <v>-2.0505504000000001E-2</v>
      </c>
      <c r="AE56" s="766">
        <v>3.4192164999999997E-2</v>
      </c>
      <c r="AF56" s="766">
        <v>0.12929428400000001</v>
      </c>
      <c r="AG56" s="766">
        <v>0.105792806</v>
      </c>
      <c r="AH56" s="766">
        <v>-7.8722519999999997E-3</v>
      </c>
      <c r="AI56" s="766">
        <v>2.5164167000000001E-2</v>
      </c>
      <c r="AJ56" s="766">
        <v>-1.5424190000000001E-2</v>
      </c>
      <c r="AK56" s="766">
        <v>3.4315536000000001E-2</v>
      </c>
      <c r="AL56" s="766">
        <v>-0.124204888</v>
      </c>
      <c r="AM56" s="766">
        <v>-7.3689602000000007E-2</v>
      </c>
      <c r="AN56" s="766">
        <v>-6.2724577000000004E-2</v>
      </c>
      <c r="AO56" s="766">
        <v>-3.1204949999999999E-2</v>
      </c>
      <c r="AP56" s="766">
        <v>0.11233223000000001</v>
      </c>
      <c r="AQ56" s="766">
        <v>2.7032069999999998E-2</v>
      </c>
      <c r="AR56" s="766">
        <v>7.0962447999999997E-2</v>
      </c>
      <c r="AS56" s="766">
        <v>6.2206057000000002E-2</v>
      </c>
      <c r="AT56" s="766">
        <v>0.11890758999999999</v>
      </c>
      <c r="AU56" s="766">
        <v>2.22715E-2</v>
      </c>
      <c r="AV56" s="766">
        <v>0.10309861200000001</v>
      </c>
      <c r="AW56" s="766">
        <v>-2.4103537000000001E-2</v>
      </c>
      <c r="AX56" s="766">
        <v>-7.6502916000000004E-2</v>
      </c>
      <c r="AY56" s="766">
        <v>-2.9283002999999998E-2</v>
      </c>
      <c r="AZ56" s="766">
        <v>2.3359017999999999E-2</v>
      </c>
      <c r="BA56" s="766">
        <v>-2.7914861999999999E-2</v>
      </c>
      <c r="BB56" s="766">
        <v>-2.2747357999999999E-2</v>
      </c>
      <c r="BC56" s="766">
        <v>1.2904224000000001E-2</v>
      </c>
      <c r="BD56" s="766">
        <v>6.3428847999999996E-2</v>
      </c>
      <c r="BE56" s="766">
        <v>7.2591299999999997E-2</v>
      </c>
      <c r="BF56" s="766">
        <v>0.1174692</v>
      </c>
      <c r="BG56" s="767">
        <v>3.3381300000000003E-2</v>
      </c>
      <c r="BH56" s="767">
        <v>0.1122932</v>
      </c>
      <c r="BI56" s="767">
        <v>-2.5901299999999999E-2</v>
      </c>
      <c r="BJ56" s="767">
        <v>-7.5148599999999996E-2</v>
      </c>
      <c r="BK56" s="767">
        <v>-5.3693999999999999E-2</v>
      </c>
      <c r="BL56" s="767">
        <v>-5.3239899999999998E-3</v>
      </c>
      <c r="BM56" s="767">
        <v>-3.5346000000000002E-2</v>
      </c>
      <c r="BN56" s="767">
        <v>-2.05849E-2</v>
      </c>
      <c r="BO56" s="767">
        <v>1.6623599999999999E-2</v>
      </c>
      <c r="BP56" s="767">
        <v>6.9755399999999995E-2</v>
      </c>
      <c r="BQ56" s="767">
        <v>6.6862599999999994E-2</v>
      </c>
      <c r="BR56" s="767">
        <v>0.11475920000000001</v>
      </c>
      <c r="BS56" s="767">
        <v>3.1703700000000001E-2</v>
      </c>
      <c r="BT56" s="767">
        <v>0.1164152</v>
      </c>
      <c r="BU56" s="767">
        <v>-2.1199900000000001E-2</v>
      </c>
      <c r="BV56" s="767">
        <v>-6.1340499999999999E-2</v>
      </c>
    </row>
    <row r="57" spans="1:74" ht="11.1" customHeight="1" x14ac:dyDescent="0.2">
      <c r="A57" s="545" t="s">
        <v>1347</v>
      </c>
      <c r="B57" s="546" t="s">
        <v>1263</v>
      </c>
      <c r="C57" s="766">
        <v>40.192521067000001</v>
      </c>
      <c r="D57" s="766">
        <v>13.068562771</v>
      </c>
      <c r="E57" s="766">
        <v>13.497464084000001</v>
      </c>
      <c r="F57" s="766">
        <v>13.144224898999999</v>
      </c>
      <c r="G57" s="766">
        <v>14.537259817000001</v>
      </c>
      <c r="H57" s="766">
        <v>18.235490946999999</v>
      </c>
      <c r="I57" s="766">
        <v>20.251643081000001</v>
      </c>
      <c r="J57" s="766">
        <v>20.467454514</v>
      </c>
      <c r="K57" s="766">
        <v>17.359783938</v>
      </c>
      <c r="L57" s="766">
        <v>16.352241455000001</v>
      </c>
      <c r="M57" s="766">
        <v>13.503385852999999</v>
      </c>
      <c r="N57" s="766">
        <v>15.015796934999999</v>
      </c>
      <c r="O57" s="766">
        <v>16.257628520000001</v>
      </c>
      <c r="P57" s="766">
        <v>13.080496082</v>
      </c>
      <c r="Q57" s="766">
        <v>14.305738837</v>
      </c>
      <c r="R57" s="766">
        <v>13.789731849000001</v>
      </c>
      <c r="S57" s="766">
        <v>16.043656277</v>
      </c>
      <c r="T57" s="766">
        <v>17.959887156000001</v>
      </c>
      <c r="U57" s="766">
        <v>20.864040176</v>
      </c>
      <c r="V57" s="766">
        <v>21.964747961</v>
      </c>
      <c r="W57" s="766">
        <v>18.17775425</v>
      </c>
      <c r="X57" s="766">
        <v>16.505098796999999</v>
      </c>
      <c r="Y57" s="766">
        <v>13.742722653</v>
      </c>
      <c r="Z57" s="766">
        <v>14.256211384</v>
      </c>
      <c r="AA57" s="766">
        <v>13.116059342</v>
      </c>
      <c r="AB57" s="766">
        <v>12.241921119000001</v>
      </c>
      <c r="AC57" s="766">
        <v>13.477084238</v>
      </c>
      <c r="AD57" s="766">
        <v>13.85117219</v>
      </c>
      <c r="AE57" s="766">
        <v>14.978336970999999</v>
      </c>
      <c r="AF57" s="766">
        <v>16.603548632999999</v>
      </c>
      <c r="AG57" s="766">
        <v>21.618645271999998</v>
      </c>
      <c r="AH57" s="766">
        <v>20.546979623999999</v>
      </c>
      <c r="AI57" s="766">
        <v>16.964456342999998</v>
      </c>
      <c r="AJ57" s="766">
        <v>16.192388013999999</v>
      </c>
      <c r="AK57" s="766">
        <v>14.683909786999999</v>
      </c>
      <c r="AL57" s="766">
        <v>14.320601541</v>
      </c>
      <c r="AM57" s="766">
        <v>14.296052956</v>
      </c>
      <c r="AN57" s="766">
        <v>14.174295314</v>
      </c>
      <c r="AO57" s="766">
        <v>15.951235413999999</v>
      </c>
      <c r="AP57" s="766">
        <v>15.010388176999999</v>
      </c>
      <c r="AQ57" s="766">
        <v>15.484297869000001</v>
      </c>
      <c r="AR57" s="766">
        <v>16.697462031000001</v>
      </c>
      <c r="AS57" s="766">
        <v>19.847450781999999</v>
      </c>
      <c r="AT57" s="766">
        <v>20.838914494000001</v>
      </c>
      <c r="AU57" s="766">
        <v>17.629895157</v>
      </c>
      <c r="AV57" s="766">
        <v>16.325493166000001</v>
      </c>
      <c r="AW57" s="766">
        <v>14.595834396000001</v>
      </c>
      <c r="AX57" s="766">
        <v>14.990165481</v>
      </c>
      <c r="AY57" s="766">
        <v>13.748880389</v>
      </c>
      <c r="AZ57" s="766">
        <v>12.757362345000001</v>
      </c>
      <c r="BA57" s="766">
        <v>14.218118149</v>
      </c>
      <c r="BB57" s="766">
        <v>13.201853003</v>
      </c>
      <c r="BC57" s="766">
        <v>14.589403338</v>
      </c>
      <c r="BD57" s="766">
        <v>16.217827489000001</v>
      </c>
      <c r="BE57" s="766">
        <v>20.99682</v>
      </c>
      <c r="BF57" s="766">
        <v>20.864450000000001</v>
      </c>
      <c r="BG57" s="767">
        <v>18.955030000000001</v>
      </c>
      <c r="BH57" s="767">
        <v>17.10613</v>
      </c>
      <c r="BI57" s="767">
        <v>14.21034</v>
      </c>
      <c r="BJ57" s="767">
        <v>17.289899999999999</v>
      </c>
      <c r="BK57" s="767">
        <v>13.3917</v>
      </c>
      <c r="BL57" s="767">
        <v>11.074149999999999</v>
      </c>
      <c r="BM57" s="767">
        <v>12.948980000000001</v>
      </c>
      <c r="BN57" s="767">
        <v>13.92597</v>
      </c>
      <c r="BO57" s="767">
        <v>15.615270000000001</v>
      </c>
      <c r="BP57" s="767">
        <v>16.82817</v>
      </c>
      <c r="BQ57" s="767">
        <v>20.406569999999999</v>
      </c>
      <c r="BR57" s="767">
        <v>20.695609999999999</v>
      </c>
      <c r="BS57" s="767">
        <v>18.586559999999999</v>
      </c>
      <c r="BT57" s="767">
        <v>17.09412</v>
      </c>
      <c r="BU57" s="767">
        <v>14.19983</v>
      </c>
      <c r="BV57" s="767">
        <v>16.890260000000001</v>
      </c>
    </row>
    <row r="58" spans="1:74" ht="11.1" customHeight="1" x14ac:dyDescent="0.2">
      <c r="A58" s="566" t="s">
        <v>1348</v>
      </c>
      <c r="B58" s="568" t="s">
        <v>1364</v>
      </c>
      <c r="C58" s="569">
        <v>59.146089693999997</v>
      </c>
      <c r="D58" s="569">
        <v>18.396550423000001</v>
      </c>
      <c r="E58" s="569">
        <v>20.004535662999999</v>
      </c>
      <c r="F58" s="569">
        <v>19.678885860000001</v>
      </c>
      <c r="G58" s="569">
        <v>20.794977323000001</v>
      </c>
      <c r="H58" s="569">
        <v>23.999424190999999</v>
      </c>
      <c r="I58" s="569">
        <v>26.431784035</v>
      </c>
      <c r="J58" s="569">
        <v>26.279383241000001</v>
      </c>
      <c r="K58" s="569">
        <v>23.238064263999998</v>
      </c>
      <c r="L58" s="569">
        <v>21.270801868</v>
      </c>
      <c r="M58" s="569">
        <v>19.412487001999999</v>
      </c>
      <c r="N58" s="569">
        <v>20.535874786000001</v>
      </c>
      <c r="O58" s="569">
        <v>21.616997292000001</v>
      </c>
      <c r="P58" s="569">
        <v>18.324453635000001</v>
      </c>
      <c r="Q58" s="569">
        <v>21.179853179999999</v>
      </c>
      <c r="R58" s="569">
        <v>19.540456729999999</v>
      </c>
      <c r="S58" s="569">
        <v>21.605878171000001</v>
      </c>
      <c r="T58" s="569">
        <v>23.751326856999999</v>
      </c>
      <c r="U58" s="569">
        <v>27.283754919</v>
      </c>
      <c r="V58" s="569">
        <v>27.280170249000001</v>
      </c>
      <c r="W58" s="569">
        <v>24.260654912</v>
      </c>
      <c r="X58" s="569">
        <v>22.054437856</v>
      </c>
      <c r="Y58" s="569">
        <v>19.711853596000001</v>
      </c>
      <c r="Z58" s="569">
        <v>20.571290588</v>
      </c>
      <c r="AA58" s="569">
        <v>19.970136058000001</v>
      </c>
      <c r="AB58" s="569">
        <v>18.339624542999999</v>
      </c>
      <c r="AC58" s="569">
        <v>20.009126756000001</v>
      </c>
      <c r="AD58" s="569">
        <v>19.460090151999999</v>
      </c>
      <c r="AE58" s="569">
        <v>21.248194706</v>
      </c>
      <c r="AF58" s="569">
        <v>23.189482375000001</v>
      </c>
      <c r="AG58" s="569">
        <v>28.921433450999999</v>
      </c>
      <c r="AH58" s="569">
        <v>28.329182036999999</v>
      </c>
      <c r="AI58" s="569">
        <v>24.022497128000001</v>
      </c>
      <c r="AJ58" s="569">
        <v>22.365935273000002</v>
      </c>
      <c r="AK58" s="569">
        <v>20.641834842000002</v>
      </c>
      <c r="AL58" s="569">
        <v>20.804287992999999</v>
      </c>
      <c r="AM58" s="569">
        <v>20.786960000000001</v>
      </c>
      <c r="AN58" s="569">
        <v>18.60239</v>
      </c>
      <c r="AO58" s="569">
        <v>20.469909999999999</v>
      </c>
      <c r="AP58" s="569">
        <v>19.738679999999999</v>
      </c>
      <c r="AQ58" s="569">
        <v>20.563600000000001</v>
      </c>
      <c r="AR58" s="569">
        <v>22.15898</v>
      </c>
      <c r="AS58" s="569">
        <v>25.678149999999999</v>
      </c>
      <c r="AT58" s="569">
        <v>26.982199999999999</v>
      </c>
      <c r="AU58" s="569">
        <v>23.640370000000001</v>
      </c>
      <c r="AV58" s="569">
        <v>21.188400000000001</v>
      </c>
      <c r="AW58" s="569">
        <v>19.843340000000001</v>
      </c>
      <c r="AX58" s="569">
        <v>20.558070000000001</v>
      </c>
      <c r="AY58" s="569">
        <v>19.933050000000001</v>
      </c>
      <c r="AZ58" s="569">
        <v>18.810379999999999</v>
      </c>
      <c r="BA58" s="569">
        <v>18.893170000000001</v>
      </c>
      <c r="BB58" s="569">
        <v>17.690000000000001</v>
      </c>
      <c r="BC58" s="569">
        <v>21.022179999999999</v>
      </c>
      <c r="BD58" s="569">
        <v>22.216049999999999</v>
      </c>
      <c r="BE58" s="569">
        <v>26.26698</v>
      </c>
      <c r="BF58" s="569">
        <v>27.432279999999999</v>
      </c>
      <c r="BG58" s="570">
        <v>23.898250000000001</v>
      </c>
      <c r="BH58" s="570">
        <v>21.612970000000001</v>
      </c>
      <c r="BI58" s="570">
        <v>19.3384</v>
      </c>
      <c r="BJ58" s="570">
        <v>20.684139999999999</v>
      </c>
      <c r="BK58" s="570">
        <v>20.01681</v>
      </c>
      <c r="BL58" s="570">
        <v>17.29889</v>
      </c>
      <c r="BM58" s="570">
        <v>19.507850000000001</v>
      </c>
      <c r="BN58" s="570">
        <v>18.602620000000002</v>
      </c>
      <c r="BO58" s="570">
        <v>20.633839999999999</v>
      </c>
      <c r="BP58" s="570">
        <v>22.43422</v>
      </c>
      <c r="BQ58" s="570">
        <v>26.069649999999999</v>
      </c>
      <c r="BR58" s="570">
        <v>26.340060000000001</v>
      </c>
      <c r="BS58" s="570">
        <v>23.702000000000002</v>
      </c>
      <c r="BT58" s="570">
        <v>21.737189999999998</v>
      </c>
      <c r="BU58" s="570">
        <v>19.403890000000001</v>
      </c>
      <c r="BV58" s="570">
        <v>20.73978</v>
      </c>
    </row>
    <row r="59" spans="1:74" ht="10.5" customHeight="1" x14ac:dyDescent="0.25">
      <c r="A59" s="565"/>
      <c r="B59" s="862" t="s">
        <v>1367</v>
      </c>
      <c r="C59" s="863"/>
      <c r="D59" s="863"/>
      <c r="E59" s="863"/>
      <c r="F59" s="863"/>
      <c r="G59" s="863"/>
      <c r="H59" s="863"/>
      <c r="I59" s="863"/>
      <c r="J59" s="863"/>
      <c r="K59" s="863"/>
      <c r="L59" s="863"/>
      <c r="M59" s="863"/>
      <c r="N59" s="863"/>
      <c r="O59" s="863"/>
      <c r="P59" s="863"/>
      <c r="Q59" s="863"/>
      <c r="R59" s="571"/>
      <c r="S59" s="571"/>
      <c r="T59" s="571"/>
      <c r="U59" s="571"/>
      <c r="V59" s="571"/>
      <c r="W59" s="571"/>
      <c r="X59" s="571"/>
      <c r="Y59" s="571"/>
      <c r="Z59" s="571"/>
      <c r="AA59" s="571"/>
      <c r="AB59" s="571"/>
      <c r="AC59" s="571"/>
      <c r="AD59" s="571"/>
      <c r="AE59" s="571"/>
      <c r="AF59" s="571"/>
      <c r="AG59" s="571"/>
      <c r="AH59" s="571"/>
      <c r="AI59" s="571"/>
      <c r="AJ59" s="571"/>
      <c r="AK59" s="571"/>
      <c r="AL59" s="571"/>
      <c r="AM59" s="571"/>
      <c r="AN59" s="571"/>
      <c r="AO59" s="571"/>
      <c r="AP59" s="571"/>
      <c r="AQ59" s="571"/>
      <c r="AR59" s="571"/>
      <c r="AS59" s="571"/>
      <c r="AT59" s="571"/>
      <c r="AU59" s="571"/>
      <c r="AV59" s="571"/>
      <c r="AW59" s="571"/>
      <c r="AX59" s="571"/>
      <c r="AY59" s="571"/>
      <c r="AZ59" s="571"/>
      <c r="BA59" s="571"/>
      <c r="BB59" s="571"/>
      <c r="BC59" s="571"/>
      <c r="BD59" s="571"/>
      <c r="BE59" s="685"/>
      <c r="BF59" s="685"/>
      <c r="BG59" s="571"/>
      <c r="BH59" s="571"/>
      <c r="BI59" s="571"/>
      <c r="BJ59" s="571"/>
      <c r="BK59" s="571"/>
      <c r="BL59" s="571"/>
      <c r="BM59" s="571"/>
      <c r="BN59" s="571"/>
      <c r="BO59" s="571"/>
      <c r="BP59" s="571"/>
      <c r="BQ59" s="571"/>
      <c r="BR59" s="571"/>
      <c r="BS59" s="571"/>
      <c r="BT59" s="571"/>
      <c r="BU59" s="571"/>
      <c r="BV59" s="571"/>
    </row>
    <row r="60" spans="1:74" ht="10.5" customHeight="1" x14ac:dyDescent="0.25">
      <c r="A60" s="565"/>
      <c r="B60" s="864" t="s">
        <v>1368</v>
      </c>
      <c r="C60" s="863"/>
      <c r="D60" s="863"/>
      <c r="E60" s="863"/>
      <c r="F60" s="863"/>
      <c r="G60" s="863"/>
      <c r="H60" s="863"/>
      <c r="I60" s="863"/>
      <c r="J60" s="863"/>
      <c r="K60" s="863"/>
      <c r="L60" s="863"/>
      <c r="M60" s="863"/>
      <c r="N60" s="863"/>
      <c r="O60" s="863"/>
      <c r="P60" s="863"/>
      <c r="Q60" s="863"/>
      <c r="R60" s="556"/>
      <c r="S60" s="556"/>
      <c r="T60" s="556"/>
      <c r="U60" s="556"/>
      <c r="V60" s="556"/>
      <c r="W60" s="556"/>
      <c r="X60" s="556"/>
      <c r="Y60" s="556"/>
      <c r="Z60" s="556"/>
      <c r="AA60" s="556"/>
      <c r="AB60" s="556"/>
      <c r="AC60" s="556"/>
      <c r="AD60" s="556"/>
      <c r="AE60" s="556"/>
      <c r="AF60" s="556"/>
      <c r="AG60" s="556"/>
      <c r="AH60" s="556"/>
      <c r="AI60" s="556"/>
      <c r="AJ60" s="556"/>
      <c r="AK60" s="556"/>
      <c r="AL60" s="556"/>
      <c r="AM60" s="556"/>
      <c r="AN60" s="556"/>
      <c r="AO60" s="556"/>
      <c r="AP60" s="556"/>
      <c r="AQ60" s="556"/>
      <c r="AR60" s="556"/>
      <c r="AS60" s="556"/>
      <c r="AT60" s="556"/>
      <c r="AU60" s="556"/>
      <c r="AV60" s="556"/>
      <c r="AW60" s="556"/>
      <c r="AX60" s="556"/>
      <c r="AY60" s="556"/>
      <c r="AZ60" s="556"/>
      <c r="BA60" s="556"/>
      <c r="BB60" s="556"/>
      <c r="BC60" s="556"/>
      <c r="BD60" s="678"/>
      <c r="BE60" s="678"/>
      <c r="BF60" s="678"/>
      <c r="BG60" s="556"/>
      <c r="BH60" s="556"/>
      <c r="BI60" s="556"/>
      <c r="BJ60" s="556"/>
      <c r="BK60" s="556"/>
      <c r="BL60" s="556"/>
      <c r="BM60" s="556"/>
      <c r="BN60" s="556"/>
      <c r="BO60" s="556"/>
      <c r="BP60" s="556"/>
      <c r="BQ60" s="556"/>
      <c r="BR60" s="556"/>
      <c r="BS60" s="556"/>
      <c r="BT60" s="556"/>
      <c r="BU60" s="556"/>
      <c r="BV60" s="556"/>
    </row>
    <row r="61" spans="1:74" ht="10.5" customHeight="1" x14ac:dyDescent="0.25">
      <c r="A61" s="572"/>
      <c r="B61" s="859" t="s">
        <v>1369</v>
      </c>
      <c r="C61" s="860"/>
      <c r="D61" s="860"/>
      <c r="E61" s="860"/>
      <c r="F61" s="860"/>
      <c r="G61" s="860"/>
      <c r="H61" s="860"/>
      <c r="I61" s="860"/>
      <c r="J61" s="860"/>
      <c r="K61" s="860"/>
      <c r="L61" s="860"/>
      <c r="M61" s="860"/>
      <c r="N61" s="860"/>
      <c r="O61" s="860"/>
      <c r="P61" s="860"/>
      <c r="Q61" s="860"/>
      <c r="R61" s="556"/>
      <c r="S61" s="556"/>
      <c r="T61" s="556"/>
      <c r="U61" s="556"/>
      <c r="V61" s="556"/>
      <c r="W61" s="556"/>
      <c r="X61" s="556"/>
      <c r="Y61" s="556"/>
      <c r="Z61" s="556"/>
      <c r="AA61" s="556"/>
      <c r="AB61" s="556"/>
      <c r="AC61" s="556"/>
      <c r="AD61" s="556"/>
      <c r="AE61" s="556"/>
      <c r="AF61" s="556"/>
      <c r="AG61" s="556"/>
      <c r="AH61" s="556"/>
      <c r="AI61" s="556"/>
      <c r="AJ61" s="556"/>
      <c r="AK61" s="556"/>
      <c r="AL61" s="556"/>
      <c r="AM61" s="556"/>
      <c r="AN61" s="556"/>
      <c r="AO61" s="556"/>
      <c r="AP61" s="556"/>
      <c r="AQ61" s="556"/>
      <c r="AR61" s="556"/>
      <c r="AS61" s="556"/>
      <c r="AT61" s="556"/>
      <c r="AU61" s="556"/>
      <c r="AV61" s="556"/>
      <c r="AW61" s="556"/>
      <c r="AX61" s="556"/>
      <c r="AY61" s="556"/>
      <c r="AZ61" s="556"/>
      <c r="BA61" s="556"/>
      <c r="BB61" s="556"/>
      <c r="BC61" s="556"/>
      <c r="BD61" s="678"/>
      <c r="BE61" s="678"/>
      <c r="BF61" s="678"/>
      <c r="BG61" s="556"/>
      <c r="BH61" s="556"/>
      <c r="BI61" s="556"/>
      <c r="BJ61" s="556"/>
      <c r="BK61" s="556"/>
      <c r="BL61" s="556"/>
      <c r="BM61" s="556"/>
      <c r="BN61" s="556"/>
      <c r="BO61" s="556"/>
      <c r="BP61" s="556"/>
      <c r="BQ61" s="556"/>
      <c r="BR61" s="556"/>
      <c r="BS61" s="556"/>
      <c r="BT61" s="556"/>
      <c r="BU61" s="556"/>
      <c r="BV61" s="556"/>
    </row>
    <row r="62" spans="1:74" ht="10.5" customHeight="1" x14ac:dyDescent="0.25">
      <c r="A62" s="572"/>
      <c r="B62" s="859" t="s">
        <v>1370</v>
      </c>
      <c r="C62" s="860"/>
      <c r="D62" s="860"/>
      <c r="E62" s="860"/>
      <c r="F62" s="860"/>
      <c r="G62" s="860"/>
      <c r="H62" s="860"/>
      <c r="I62" s="860"/>
      <c r="J62" s="860"/>
      <c r="K62" s="860"/>
      <c r="L62" s="860"/>
      <c r="M62" s="860"/>
      <c r="N62" s="860"/>
      <c r="O62" s="860"/>
      <c r="P62" s="860"/>
      <c r="Q62" s="860"/>
      <c r="R62" s="556"/>
      <c r="S62" s="556"/>
      <c r="T62" s="556"/>
      <c r="U62" s="556"/>
      <c r="V62" s="556"/>
      <c r="W62" s="556"/>
      <c r="X62" s="556"/>
      <c r="Y62" s="556"/>
      <c r="Z62" s="556"/>
      <c r="AA62" s="556"/>
      <c r="AB62" s="556"/>
      <c r="AC62" s="556"/>
      <c r="AD62" s="556"/>
      <c r="AE62" s="556"/>
      <c r="AF62" s="556"/>
      <c r="AG62" s="556"/>
      <c r="AH62" s="556"/>
      <c r="AI62" s="556"/>
      <c r="AJ62" s="556"/>
      <c r="AK62" s="556"/>
      <c r="AL62" s="556"/>
      <c r="AM62" s="556"/>
      <c r="AN62" s="556"/>
      <c r="AO62" s="556"/>
      <c r="AP62" s="556"/>
      <c r="AQ62" s="556"/>
      <c r="AR62" s="556"/>
      <c r="AS62" s="556"/>
      <c r="AT62" s="556"/>
      <c r="AU62" s="556"/>
      <c r="AV62" s="556"/>
      <c r="AW62" s="556"/>
      <c r="AX62" s="556"/>
      <c r="AY62" s="556"/>
      <c r="AZ62" s="556"/>
      <c r="BA62" s="556"/>
      <c r="BB62" s="556"/>
      <c r="BC62" s="556"/>
      <c r="BD62" s="678"/>
      <c r="BE62" s="678"/>
      <c r="BF62" s="678"/>
      <c r="BG62" s="556"/>
      <c r="BH62" s="556"/>
      <c r="BI62" s="556"/>
      <c r="BJ62" s="556"/>
      <c r="BK62" s="556"/>
      <c r="BL62" s="556"/>
      <c r="BM62" s="556"/>
      <c r="BN62" s="556"/>
      <c r="BO62" s="556"/>
      <c r="BP62" s="556"/>
      <c r="BQ62" s="556"/>
      <c r="BR62" s="556"/>
      <c r="BS62" s="556"/>
      <c r="BT62" s="556"/>
      <c r="BU62" s="556"/>
      <c r="BV62" s="556"/>
    </row>
    <row r="63" spans="1:74" ht="10.5" customHeight="1" x14ac:dyDescent="0.25">
      <c r="A63" s="572"/>
      <c r="B63" s="859" t="s">
        <v>1371</v>
      </c>
      <c r="C63" s="860"/>
      <c r="D63" s="860"/>
      <c r="E63" s="860"/>
      <c r="F63" s="860"/>
      <c r="G63" s="860"/>
      <c r="H63" s="860"/>
      <c r="I63" s="860"/>
      <c r="J63" s="860"/>
      <c r="K63" s="860"/>
      <c r="L63" s="860"/>
      <c r="M63" s="860"/>
      <c r="N63" s="860"/>
      <c r="O63" s="860"/>
      <c r="P63" s="860"/>
      <c r="Q63" s="860"/>
      <c r="R63" s="556"/>
      <c r="S63" s="556"/>
      <c r="T63" s="556"/>
      <c r="U63" s="556"/>
      <c r="V63" s="556"/>
      <c r="W63" s="556"/>
      <c r="X63" s="556"/>
      <c r="Y63" s="556"/>
      <c r="Z63" s="556"/>
      <c r="AA63" s="556"/>
      <c r="AB63" s="556"/>
      <c r="AC63" s="556"/>
      <c r="AD63" s="556"/>
      <c r="AE63" s="556"/>
      <c r="AF63" s="556"/>
      <c r="AG63" s="556"/>
      <c r="AH63" s="556"/>
      <c r="AI63" s="556"/>
      <c r="AJ63" s="556"/>
      <c r="AK63" s="556"/>
      <c r="AL63" s="556"/>
      <c r="AM63" s="556"/>
      <c r="AN63" s="556"/>
      <c r="AO63" s="556"/>
      <c r="AP63" s="556"/>
      <c r="AQ63" s="556"/>
      <c r="AR63" s="556"/>
      <c r="AS63" s="556"/>
      <c r="AT63" s="556"/>
      <c r="AU63" s="556"/>
      <c r="AV63" s="556"/>
      <c r="AW63" s="556"/>
      <c r="AX63" s="556"/>
      <c r="AY63" s="556"/>
      <c r="AZ63" s="556"/>
      <c r="BA63" s="556"/>
      <c r="BB63" s="556"/>
      <c r="BC63" s="556"/>
      <c r="BD63" s="678"/>
      <c r="BE63" s="678"/>
      <c r="BF63" s="678"/>
      <c r="BG63" s="556"/>
      <c r="BH63" s="556"/>
      <c r="BI63" s="556"/>
      <c r="BJ63" s="556"/>
      <c r="BK63" s="556"/>
      <c r="BL63" s="556"/>
      <c r="BM63" s="556"/>
      <c r="BN63" s="556"/>
      <c r="BO63" s="556"/>
      <c r="BP63" s="556"/>
      <c r="BQ63" s="556"/>
      <c r="BR63" s="556"/>
      <c r="BS63" s="556"/>
      <c r="BT63" s="556"/>
      <c r="BU63" s="556"/>
      <c r="BV63" s="556"/>
    </row>
    <row r="64" spans="1:74" ht="10.5" customHeight="1" x14ac:dyDescent="0.25">
      <c r="A64" s="572"/>
      <c r="B64" s="859" t="s">
        <v>1372</v>
      </c>
      <c r="C64" s="860"/>
      <c r="D64" s="860"/>
      <c r="E64" s="860"/>
      <c r="F64" s="860"/>
      <c r="G64" s="860"/>
      <c r="H64" s="860"/>
      <c r="I64" s="860"/>
      <c r="J64" s="860"/>
      <c r="K64" s="860"/>
      <c r="L64" s="860"/>
      <c r="M64" s="860"/>
      <c r="N64" s="860"/>
      <c r="O64" s="860"/>
      <c r="P64" s="860"/>
      <c r="Q64" s="860"/>
      <c r="R64" s="556"/>
      <c r="S64" s="556"/>
      <c r="T64" s="556"/>
      <c r="U64" s="556"/>
      <c r="V64" s="556"/>
      <c r="W64" s="556"/>
      <c r="X64" s="556"/>
      <c r="Y64" s="556"/>
      <c r="Z64" s="556"/>
      <c r="AA64" s="556"/>
      <c r="AB64" s="556"/>
      <c r="AC64" s="556"/>
      <c r="AD64" s="556"/>
      <c r="AE64" s="556"/>
      <c r="AF64" s="556"/>
      <c r="AG64" s="556"/>
      <c r="AH64" s="556"/>
      <c r="AI64" s="556"/>
      <c r="AJ64" s="556"/>
      <c r="AK64" s="556"/>
      <c r="AL64" s="556"/>
      <c r="AM64" s="556"/>
      <c r="AN64" s="556"/>
      <c r="AO64" s="556"/>
      <c r="AP64" s="556"/>
      <c r="AQ64" s="556"/>
      <c r="AR64" s="556"/>
      <c r="AS64" s="556"/>
      <c r="AT64" s="556"/>
      <c r="AU64" s="556"/>
      <c r="AV64" s="556"/>
      <c r="AW64" s="556"/>
      <c r="AX64" s="556"/>
      <c r="AY64" s="556"/>
      <c r="AZ64" s="556"/>
      <c r="BA64" s="556"/>
      <c r="BB64" s="556"/>
      <c r="BC64" s="556"/>
      <c r="BD64" s="678"/>
      <c r="BE64" s="678"/>
      <c r="BF64" s="678"/>
      <c r="BG64" s="556"/>
      <c r="BH64" s="556"/>
      <c r="BI64" s="556"/>
      <c r="BJ64" s="556"/>
      <c r="BK64" s="556"/>
      <c r="BL64" s="556"/>
      <c r="BM64" s="556"/>
      <c r="BN64" s="556"/>
      <c r="BO64" s="556"/>
      <c r="BP64" s="556"/>
      <c r="BQ64" s="556"/>
      <c r="BR64" s="556"/>
      <c r="BS64" s="556"/>
      <c r="BT64" s="556"/>
      <c r="BU64" s="556"/>
      <c r="BV64" s="556"/>
    </row>
    <row r="65" spans="1:74" ht="10.5" customHeight="1" x14ac:dyDescent="0.25">
      <c r="A65" s="572"/>
      <c r="B65" s="859" t="s">
        <v>1373</v>
      </c>
      <c r="C65" s="860"/>
      <c r="D65" s="860"/>
      <c r="E65" s="860"/>
      <c r="F65" s="860"/>
      <c r="G65" s="860"/>
      <c r="H65" s="860"/>
      <c r="I65" s="860"/>
      <c r="J65" s="860"/>
      <c r="K65" s="860"/>
      <c r="L65" s="860"/>
      <c r="M65" s="860"/>
      <c r="N65" s="860"/>
      <c r="O65" s="860"/>
      <c r="P65" s="860"/>
      <c r="Q65" s="860"/>
      <c r="R65" s="556"/>
      <c r="S65" s="556"/>
      <c r="T65" s="556"/>
      <c r="U65" s="556"/>
      <c r="V65" s="556"/>
      <c r="W65" s="556"/>
      <c r="X65" s="556"/>
      <c r="Y65" s="556"/>
      <c r="Z65" s="556"/>
      <c r="AA65" s="556"/>
      <c r="AB65" s="556"/>
      <c r="AC65" s="556"/>
      <c r="AD65" s="556"/>
      <c r="AE65" s="556"/>
      <c r="AF65" s="556"/>
      <c r="AG65" s="556"/>
      <c r="AH65" s="556"/>
      <c r="AI65" s="556"/>
      <c r="AJ65" s="556"/>
      <c r="AK65" s="556"/>
      <c r="AL65" s="556"/>
      <c r="AM65" s="556"/>
      <c r="AN65" s="556"/>
      <c r="AO65" s="556"/>
      <c r="AP65" s="556"/>
      <c r="AQ65" s="556"/>
      <c r="AR65" s="556"/>
      <c r="AS65" s="556"/>
      <c r="AT65" s="556"/>
      <c r="AU65" s="556"/>
      <c r="AV65" s="556"/>
      <c r="AW65" s="556"/>
      <c r="AX65" s="556"/>
      <c r="AY65" s="556"/>
      <c r="AZ65" s="556"/>
      <c r="BA65" s="556"/>
      <c r="BB65" s="556"/>
      <c r="BC65" s="556"/>
      <c r="BD65" s="678"/>
      <c r="BE65" s="678"/>
      <c r="BF65" s="678"/>
      <c r="BG65" s="556"/>
      <c r="BH65" s="556"/>
      <c r="BI65" s="556"/>
      <c r="BJ65" s="556"/>
      <c r="BK65" s="556"/>
      <c r="BL65" s="556"/>
      <c r="BM65" s="556"/>
      <c r="BN65" s="556"/>
      <c r="BO65" s="556"/>
      <c r="BP65" s="556"/>
      <c r="BQ65" s="556"/>
      <c r="BR65" s="556"/>
      <c r="BS65" s="556"/>
      <c r="BT65" s="556"/>
      <c r="BU65" s="556"/>
      <c r="BV65" s="556"/>
    </row>
    <row r="66" spans="1:74" ht="10.5" customHeight="1" x14ac:dyDescent="0.25">
      <c r="A66" s="572"/>
      <c r="B66" s="552" t="s">
        <v>1374</v>
      </c>
      <c r="C66" s="553"/>
      <c r="D66" s="553"/>
      <c r="E66" s="553"/>
      <c r="F66" s="553"/>
      <c r="G66" s="553"/>
      <c r="H66" s="553"/>
      <c r="I66" s="553"/>
      <c r="J66" s="553"/>
      <c r="K66" s="553"/>
      <c r="L66" s="553"/>
      <c r="M66" s="553"/>
      <c r="N66" s="553"/>
      <c r="O66" s="553"/>
      <c r="P66" s="553"/>
      <c r="Q66" s="553"/>
    </row>
    <row r="67" spans="1:74" ht="10.5" customHeight="1" x14ac:dyDescent="0.2">
      <c r="A67" s="572"/>
      <c r="B67" s="794" t="s">
        <v>1375</v>
      </c>
      <c r="C67" s="795"/>
      <c r="D67" s="795"/>
      <c r="E67" s="795"/>
      <c r="F67" s="795"/>
      <c r="G67" s="795"/>
      <c r="H67" s="795"/>
      <c r="I67" s="795"/>
      <c r="J67" s="795"/>
      <c r="K67" s="795"/>
      <c r="L67" s="795"/>
      <c r="M67" s="795"/>
      <c r="N67" s="795"/>
      <c r="O67" s="795"/>
      <c r="P67" s="795"/>
      <c r="Q67" s="791"/>
    </row>
    <row r="68" spans="1:74" ht="10.5" customHeight="1" x14ac:dyDescent="0.2">
      <c r="A68" s="572"/>
      <c r="B68" s="811" t="s">
        <v>949</v>
      </c>
      <c r="C68" s="791"/>
      <c r="D68" s="791"/>
      <c r="E68" s="791"/>
      <c r="F68" s="791"/>
      <c r="G68" s="791"/>
      <c r="H68" s="791"/>
      <c r="I68" s="791"/>
      <c r="J68" s="791"/>
      <c r="K68" s="791"/>
      <c r="L68" s="791"/>
      <c r="M68" s="791"/>
      <c r="N68" s="791"/>
      <c r="O68" s="791"/>
      <c r="P68" s="791"/>
      <c r="Q68" s="791"/>
    </row>
  </sheetData>
  <mergeCells count="16">
    <mergeCell ref="B67:Q67"/>
    <mergeCell ref="B68:Q68"/>
    <mergeCell ref="B65:Q65"/>
    <mergeCell ref="BK3:BV3"/>
    <mergeCell ref="A1:A2"/>
    <mergeCell ref="C3:N3"/>
    <mergeCell ref="O3:Z3"/>
    <mergeCell ref="AA3:AL3"/>
    <mergeCell ref="AM3:AX3"/>
    <mergeCell ref="AY3:BJ3"/>
    <mergeCell ref="B59:Q59"/>
    <mergeCell ref="B60:Q60"/>
    <mergeCell ref="B61:Q61"/>
    <mergeCell ref="B62:Q62"/>
    <mergeCell ref="B63:Q63"/>
    <mergeCell ref="B64:Q64"/>
  </mergeCells>
  <phoneticPr fontId="0" type="noConversion"/>
  <hyperlinks>
    <hyperlink ref="A1:A2" location="Contents!A1" display="Table of Contents"/>
  </hyperlinks>
  <pageMargins left="0.25" right="0.25" top="0.25" bottom="0.25" header="0.5" footer="0.5"/>
  <pageSetup scale="78"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BV57"/>
  <sheetViews>
    <sheetView showGridLines="0" workbookViewId="0">
      <pane xSplit="2" ySplit="4" topLeftCell="AQ5" activePane="bottomRight" state="frozen"/>
      <selection activeCell="BF63" sqref="BF63"/>
      <selection pane="topRight" activeCell="BF63" sqref="BF63"/>
      <selection pane="bottomLeft" activeCell="BF63" sqref="BF63"/>
      <selection pane="bottomRight" activeCell="B1" sqref="B1"/>
    </sheetView>
  </sheetViews>
  <sheetFormatPr defaultColWidth="11" defaultRowHeight="10.199999999999999" x14ac:dyDescent="0.2"/>
  <cols>
    <col min="1" max="1" width="12.44140625" style="575" customWidth="1"/>
    <col min="2" max="2" width="28.77734375" style="575" customWidth="1"/>
    <col min="3" max="55" width="6.5546875" style="575" customWidth="1"/>
    <col min="56" max="58" width="6.5546875" style="169" customWidth="1"/>
    <col min="59" max="74" width="6.5546875" style="575" customWidth="1"/>
    <col min="75" max="16384" width="11" style="575"/>
  </cols>
  <sheetData>
    <row r="1" spans="1:74" ht="12.75" customHeight="1" x14ac:dyDescent="0.25">
      <c r="A1" s="797" t="s">
        <v>809</v>
      </c>
      <c r="B1" s="573" t="s">
        <v>372</v>
      </c>
      <c r="C1" s="574"/>
      <c r="D1" s="574"/>
      <c r="E1" s="574"/>
      <c r="F1" s="574"/>
      <c r="G1" s="574"/>
      <c r="H1" s="574"/>
      <c r="I1" s="574"/>
      <c r="J1" s="574"/>
      <c r="K1" s="574"/>
      <c r="L1" s="574"/>
      <c r="M1" s="574"/>
      <c r="N1" s="574"/>
      <c r="O1" s="574"/>
      <c r="P1" s="574"/>
      <c r="Q1" s="574"/>
      <c r="R1" s="574"/>
      <c r="S1" s="574"/>
      <c r="T1" s="574"/>
      <c r="U1" s="574"/>
      <c r="V1" s="574"/>
      <c r="W1" s="574"/>
      <c r="X1" s="574"/>
      <c r="Y1" s="574"/>
      <c r="Z1" s="574"/>
      <c r="AA1" s="574"/>
      <c r="AB1" s="574"/>
      <c r="AC1" s="574"/>
      <c r="AD1" s="574"/>
      <c r="AE1" s="574"/>
      <c r="AF1" s="574"/>
      <c r="AG1" s="574"/>
      <c r="AH1" s="574"/>
      <c r="AI1" s="574"/>
      <c r="AJ1" s="574"/>
      <c r="AK1" s="574"/>
      <c r="AL1" s="574"/>
      <c r="AM1" s="574"/>
      <c r="AN1" s="574"/>
      <c r="AO1" s="574"/>
      <c r="AP1" s="574"/>
      <c r="AQ1" s="574"/>
      <c r="AR1" s="574"/>
      <c r="AS1" s="574"/>
      <c r="AT1" s="574"/>
      <c r="AU1" s="574"/>
      <c r="AV1" s="574"/>
      <c r="AW1" s="574"/>
      <c r="AX1" s="574"/>
      <c r="AY1" s="574"/>
      <c r="AZ1" s="574"/>
      <c r="BA1" s="574"/>
      <c r="BB1" s="574"/>
      <c r="BC1" s="574"/>
      <c r="BD1" s="686"/>
      <c r="BE1" s="686"/>
      <c r="BF1" s="686"/>
      <c r="BG1" s="574"/>
      <c r="BH1" s="574"/>
      <c r="BI1" s="574"/>
      <c r="BJ1" s="574"/>
      <c r="BK1" s="574"/>
      <c r="BL1" s="574"/>
      <c r="BM1" s="574"/>
      <c r="BN1" s="574"/>
      <c r="BO1" s="574"/>
      <c r="BP1" s="574"/>
      <c r="BQ1" s="574"/>
      <c r="BR1" s="574"/>
      <c r="BS1" s="574"/>
      <c r="BT1" s="574"/>
      <c r="BU1" s="574"/>
      <c r="BV1" s="574"/>
    </row>
    <row r="2" spans="1:74" ht="12.75" customHeight="1" x14ac:dyDescent="0.25">
      <c r="A2" s="798"/>
      <c r="B2" s="532" t="str">
        <f>"U.S. Energy Information Administration  |  Short-Term Energy Outlook  - "&amp;Dates!D1</f>
        <v>U.S. Energy Information Administration  |  Short-Term Energy Outlook  - September 2020</v>
      </c>
      <c r="C2" s="538"/>
      <c r="D2" s="538"/>
      <c r="E2" s="538"/>
      <c r="F2" s="538"/>
      <c r="G2" s="538"/>
      <c r="H2" s="538"/>
      <c r="I2" s="538"/>
      <c r="J2" s="538"/>
      <c r="K2" s="538"/>
      <c r="L2" s="538"/>
      <c r="M2" s="538"/>
      <c r="N2" s="538"/>
      <c r="O2" s="538"/>
      <c r="P2" s="538"/>
      <c r="Q2" s="538"/>
      <c r="R2" s="538"/>
      <c r="S2" s="538"/>
      <c r="T2" s="538"/>
      <c r="U2" s="538"/>
      <c r="V2" s="538"/>
      <c r="W2" s="538"/>
      <c r="X2" s="538"/>
      <c r="Y2" s="538"/>
      <c r="Z2" s="538"/>
      <c r="AA2" s="538"/>
      <c r="AB2" s="538"/>
      <c r="AC2" s="538"/>
      <c r="AD2" s="538"/>
      <c r="AE2" s="538"/>
      <c r="AF2" s="538"/>
      <c r="AG2" s="538"/>
      <c r="AH2" s="538"/>
      <c r="AI2" s="538"/>
      <c r="AJ2" s="538"/>
      <c r="AK2" s="538"/>
      <c r="AL2" s="538"/>
      <c r="AM2" s="538"/>
      <c r="AN2" s="538"/>
      <c r="AO2" s="538"/>
      <c r="AP2" s="538"/>
      <c r="AQ2" s="538"/>
      <c r="AR2" s="538"/>
      <c r="AS2" s="538"/>
      <c r="AT2" s="538"/>
      <c r="AU2" s="538"/>
      <c r="AV2" s="538"/>
      <c r="AW2" s="538"/>
      <c r="AX2" s="538"/>
      <c r="AY2" s="538"/>
      <c r="AZ2" s="538"/>
      <c r="BA2" s="538"/>
      <c r="BB2" s="538"/>
      <c r="BC2" s="538"/>
      <c r="BD2" s="675"/>
      <c r="BE2" s="675"/>
      <c r="BF2" s="675"/>
      <c r="BG2" s="538"/>
      <c r="BH2" s="538"/>
      <c r="BI2" s="538"/>
      <c r="BJ2" s="538"/>
      <c r="BK2" s="538"/>
      <c r="BL2" s="538"/>
      <c r="BM2" s="538"/>
      <c r="BN2" s="538"/>
      <c r="BO2" s="538"/>
      <c r="BP2" s="538"/>
      <c r="BQ2" s="538"/>
      <c r="BR2" s="538"/>
      <c r="BS2" s="538"/>
      <c r="BT2" s="538"/>
      <c r="BU2" s="538"/>
      <c r="BV2" s="538"/>
    </row>
    <row r="3" spans="1:74" ht="12.75" customHeight="1" x14ac:dyDescent="0.2">
      <c r="A3" s="576"/>
      <c r="B3" s="577"/>
      <c r="C3" s="806">
        <f>Dates!D3</f>
        <v>2016</v>
      </c>
      <c r="D3" s="807"/>
      <c r="E3" s="807"/>
      <c r="F3" s="807"/>
      <c r="G3" s="807"/>
      <c r="H3" s="807"/>
      <c r="I3" s="807"/>
      <c r="J3" s="807"/>
      <c r="K3" s="807"/>
      <c r="L3" s="807"/>
      <c r="M3" s="807"/>
      <c r="N3" s="858"/>
      <c r="O3" s="806">
        <f>C3+1</f>
        <v>2017</v>
      </c>
      <c r="P3" s="807"/>
      <c r="Q3" s="807"/>
      <c r="R3" s="807"/>
      <c r="S3" s="807"/>
      <c r="T3" s="807"/>
      <c r="U3" s="807"/>
      <c r="V3" s="807"/>
      <c r="W3" s="807"/>
      <c r="X3" s="807"/>
      <c r="Y3" s="807"/>
      <c r="Z3" s="858"/>
      <c r="AA3" s="806">
        <f>O3+1</f>
        <v>2018</v>
      </c>
      <c r="AB3" s="807"/>
      <c r="AC3" s="807"/>
      <c r="AD3" s="807"/>
      <c r="AE3" s="807"/>
      <c r="AF3" s="807"/>
      <c r="AG3" s="807"/>
      <c r="AH3" s="807"/>
      <c r="AI3" s="807"/>
      <c r="AJ3" s="807"/>
      <c r="AK3" s="807"/>
      <c r="AL3" s="858"/>
      <c r="AM3" s="806">
        <f>AA3+1</f>
        <v>2019</v>
      </c>
      <c r="AN3" s="807"/>
      <c r="AO3" s="807"/>
      <c r="AP3" s="807"/>
      <c r="AQ3" s="807"/>
      <c r="AR3" s="807"/>
      <c r="AS3" s="807"/>
      <c r="AT3" s="807"/>
      <c r="AU3" s="807"/>
      <c r="AV3" s="807"/>
      <c r="AW3" s="807"/>
      <c r="AX3" s="858"/>
      <c r="AY3" s="806">
        <f>AM3+1</f>
        <v>2020</v>
      </c>
      <c r="AZ3" s="807"/>
      <c r="BA3" s="807"/>
      <c r="BB3" s="807"/>
      <c r="BC3" s="807"/>
      <c r="BD3" s="807"/>
      <c r="BE3" s="807"/>
      <c r="BF3" s="807"/>
      <c r="BG3" s="807"/>
      <c r="BH3" s="807"/>
      <c r="BI3" s="807"/>
      <c r="BJ3" s="858"/>
      <c r="BK3" s="806">
        <f>AY3+1</f>
        <v>2021</v>
      </c>
      <c r="BL3" s="807"/>
      <c r="BM3" s="807"/>
      <c r="BN3" s="807"/>
      <c r="BO3" s="807"/>
      <c r="BP3" s="807"/>
      <c r="BQ3" s="807"/>
      <c r="BR3" s="807"/>
      <c r="BS3" s="807"/>
      <c r="BT3" s="807"/>
      <c r="BU3" s="807"/>
      <c r="BV3" s="858"/>
    </row>
    <row r="4" spans="1:74" s="169" customFormat="1" ht="12.75" customHeight="1" x14ac:dyDescent="0.2">
      <c r="A4" s="132"/>
      <c r="B4" s="578"/>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2" customHeight="1" x14ac:dyDescent="0.2">
      <c r="A5" s="579"/>
      <c r="B5" s="170" t="s">
        <v>361</v>
      </c>
      <c r="C5" s="531"/>
      <c r="D5" s="531"/>
      <c r="E5" s="531"/>
      <c r="F5" s="531"/>
      <c r="G5" s="531"/>
      <c r="H5" s="531"/>
      <c r="I5" s="531"/>
      <c r="J5" s="531"/>
      <c r="K5" s="531"/>
      <c r="L5" s="531"/>
      <c r="M5" s="531"/>
      <c r="N5" s="531"/>
      <c r="O5" s="531"/>
      <c r="P5" s="531"/>
      <c r="Q5" s="531"/>
      <c r="R5" s="531"/>
      <c r="S5" s="531"/>
      <c r="T5" s="531"/>
      <c r="U5" s="531"/>
      <c r="V5" s="531"/>
      <c r="W5" s="531"/>
      <c r="X5" s="531"/>
      <c r="Y5" s="531"/>
      <c r="Z5" s="531"/>
      <c r="AA5" s="531"/>
      <c r="AB5" s="531"/>
      <c r="AC5" s="531"/>
      <c r="AD5" s="531"/>
      <c r="AE5" s="531"/>
      <c r="AF5" s="531"/>
      <c r="AG5" s="531"/>
      <c r="AH5" s="531"/>
      <c r="AI5" s="531"/>
      <c r="AJ5" s="531"/>
      <c r="AK5" s="531"/>
      <c r="AL5" s="531"/>
      <c r="AM5" s="531"/>
      <c r="AN5" s="531"/>
      <c r="AO5" s="531"/>
      <c r="AP5" s="531"/>
      <c r="AQ5" s="531"/>
      <c r="AR5" s="531"/>
      <c r="AS5" s="531"/>
      <c r="AT5" s="531"/>
      <c r="AU5" s="531"/>
      <c r="AV5" s="531"/>
      <c r="AW5" s="531"/>
      <c r="AX5" s="531"/>
      <c r="AY5" s="531"/>
      <c r="AZ5" s="531"/>
      <c r="BA5" s="531"/>
      <c r="BB5" s="531"/>
      <c r="BC5" s="531"/>
      <c r="BD5" s="531"/>
      <c r="BE5" s="531"/>
      <c r="BF5" s="531"/>
      <c r="BG5" s="531"/>
      <c r="BH5" s="531"/>
      <c r="BI5" s="531"/>
      <c r="BJ5" s="531"/>
      <c r="BK5" s="531"/>
      <c r="BL5" s="531"/>
      <c r="BM5" s="531"/>
      <c r="BN5" s="531"/>
      <c r="BO5" s="531"/>
      <c r="BP5" s="531"/>
      <c r="BQ5" s="531"/>
      <c r="BR5" s="531"/>
      <c r="BS5" s="531"/>
      <c r="BT5" s="531"/>
      <c r="BU5" s="531"/>
      <c r="BV5" s="531"/>
    </row>
    <row r="6" spans="1:74" ht="12" customHeight="1" x14ac:dyDescent="0.2">
      <c r="A6" s="579" t="s">
        <v>67</v>
      </c>
      <c r="B6" s="581" t="s">
        <v>469</v>
      </c>
      <c r="C6" s="270">
        <v>1.229703E-2</v>
      </c>
      <c r="D6" s="270">
        <v>1.147887E-2</v>
      </c>
      <c r="E6" s="270">
        <v>1.21415E-2</v>
      </c>
      <c r="F6" s="270">
        <v>1.116115E-2</v>
      </c>
      <c r="G6" s="270">
        <v>1.2387820000000001E-2</v>
      </c>
      <c r="H6" s="270">
        <v>1.155282E-2</v>
      </c>
      <c r="I6" s="270">
        <v>1.2105090000000001E-2</v>
      </c>
      <c r="J6" s="270">
        <v>1.222554E-2</v>
      </c>
      <c r="K6" s="270">
        <v>1.2247829999999999E-2</v>
      </c>
      <c r="L6" s="270">
        <v>1.2492410000000001E-2</v>
      </c>
      <c r="M6" s="270">
        <v>1.259102E-2</v>
      </c>
      <c r="N6" s="270">
        <v>1.3422190000000001E-2</v>
      </c>
      <c r="O6" s="270">
        <v>1.2962339999999999E-2</v>
      </c>
      <c r="P6" s="270">
        <v>1.1413680000000001E-2</v>
      </c>
      <c r="Q6" s="270">
        <v>1.2780089999999999E-2</v>
      </c>
      <c r="R6" s="270">
        <v>1.235662E-2</v>
      </c>
      <c r="S6" s="270">
        <v>1.199398E-2</v>
      </c>
      <c r="T6" s="270">
        <v>1.182715E-2</v>
      </c>
      <c r="U6" s="270">
        <v>1.264668E-2</v>
      </c>
      <c r="V6" s="270">
        <v>1.2557240000000001E-2</v>
      </c>
      <c r="W6" s="270">
        <v>1.2267109999999999E-2</v>
      </c>
      <c r="X6" s="270">
        <v>1.118569E-2</v>
      </c>
      <c r="Y6" s="270">
        <v>1.2020019999999999E-2</v>
      </c>
      <c r="Z6" s="270">
        <v>1.2722280000000001E-2</v>
      </c>
      <c r="AA6" s="270">
        <v>1.221121E-2</v>
      </c>
      <c r="AB6" s="270">
        <v>1.15993E-2</v>
      </c>
      <c r="AC6" s="270">
        <v>1.244288E-2</v>
      </c>
      <c r="AD6" s="270">
        <v>1.081494E-2</v>
      </c>
      <c r="AE6" s="270">
        <v>1.2587340000000001E-2</v>
      </c>
      <c r="AF6" s="270">
        <v>1.1833659999999999E-2</v>
      </c>
      <c r="AG6" s="270">
        <v>1.24689E-2</v>
      </c>
      <c r="AH6" s="270">
        <v>1.2445629999999999E-2</v>
      </c>
      <c r="AI6" s="270">
        <v>1.2089219999999999E-2</v>
      </c>
      <c r="AJ6" s="270">
        <v>1.159017E-2</v>
      </c>
      <c r="AK6" s="270">
        <v>1.211597E-2</v>
      </c>
      <c r="AL6" s="270">
        <v>1.286063E-2</v>
      </c>
      <c r="AM6" s="270">
        <v>1.2578239999999999E-2</v>
      </c>
      <c r="AN6" s="270">
        <v>1.1555559999999999E-2</v>
      </c>
      <c r="AO6" s="270">
        <v>1.269994E-2</v>
      </c>
      <c r="AP6" s="270">
        <v>1.1051729999999999E-2</v>
      </c>
      <c r="AQ6" s="270">
        <v>1.194253E-2</v>
      </c>
      <c r="AR6" s="270">
        <v>1.211226E-2</v>
      </c>
      <c r="AS6" s="270">
        <v>1.256676E-2</v>
      </c>
      <c r="AT6" s="270">
        <v>1.2571239999999999E-2</v>
      </c>
      <c r="AU6" s="270">
        <v>1.2354220000000001E-2</v>
      </c>
      <c r="AV6" s="270">
        <v>1.129527E-2</v>
      </c>
      <c r="AW6" s="270">
        <v>9.7517200000000002E-3</v>
      </c>
      <c r="AX6" s="270">
        <v>1.1476699999999999E-2</v>
      </c>
      <c r="AY6" s="270">
        <v>1.109944E-2</v>
      </c>
      <c r="AZ6" s="270">
        <v>1.014257E-2</v>
      </c>
      <c r="BA6" s="270">
        <v>1.3165949999999999E-2</v>
      </c>
      <c r="BB6" s="270">
        <v>1.197938E-2</v>
      </c>
      <c r="BC6" s="270">
        <v>1.2581007E-2</v>
      </c>
      <c r="BD6" s="270">
        <v>1.1913195999999999E-2</v>
      </c>
      <c r="BE6" s="270">
        <v>1.27791E-2</v>
      </c>
      <c r="BF6" s="270">
        <v>1.2803E-2</v>
      </c>
      <c r="BG6" s="356">
        <v>1.2584400000000001E-2</v>
      </c>
      <c r="BH6" s="356">
        <v>1.15297E-2</v>
      </c>
      <c r="BI6" s="356">
        <v>1.0042300000000001E-2</v>
      </c>
      <c r="BJ6" s="356">
        <v>1.2657699999999999E-2</v>
      </c>
      <c r="BK6" s="356">
        <v>1.09134E-2</v>
      </c>
      <c r="BL6" s="356">
        <v>9.4645500000000004E-3</v>
      </c>
      <c r="BM6" s="356">
        <v>1.2182699999999999E-2</v>
      </c>
      <c r="BN6" s="356">
        <v>1.19571E-2</v>
      </c>
      <c r="BO6" s="356">
        <v>1.3390900000000001E-2</v>
      </c>
      <c r="BP6" s="356">
        <v>1.21125E-2</v>
      </c>
      <c r="BQ6" s="356">
        <v>1.2836999999999999E-2</v>
      </c>
      <c r="BR6" s="356">
        <v>1.2901899999999999E-2</v>
      </c>
      <c r="BS6" s="356">
        <v>1.2727199999999999E-2</v>
      </c>
      <c r="BT6" s="356">
        <v>1.1525199999999999E-2</v>
      </c>
      <c r="BU6" s="356">
        <v>9.9884199999999996E-3</v>
      </c>
      <c r="BV6" s="356">
        <v>1.24511E-2</v>
      </c>
    </row>
    <row r="7" spans="1:74" ht="12" customHeight="1" x14ac:dyDescent="0.2">
      <c r="A7" s="580" t="s">
        <v>765</v>
      </c>
      <c r="B7" s="581" t="s">
        <v>52</v>
      </c>
      <c r="C7" s="270">
        <v>0.23508257099999999</v>
      </c>
      <c r="D7" s="270">
        <v>0.221621809</v>
      </c>
      <c r="E7" s="270">
        <v>0.25134715000000002</v>
      </c>
      <c r="F7" s="270">
        <v>0.23758448200000001</v>
      </c>
      <c r="G7" s="270">
        <v>0.23408115199999999</v>
      </c>
      <c r="H7" s="270">
        <v>0.21349449400000001</v>
      </c>
      <c r="I7" s="270">
        <v>0.19698010599999999</v>
      </c>
      <c r="J7" s="270">
        <v>0.179636349</v>
      </c>
      <c r="K7" s="270">
        <v>0.15028696599999999</v>
      </c>
      <c r="L7" s="270">
        <v>0.15906146600000001</v>
      </c>
      <c r="M7" s="270">
        <v>0.172836771</v>
      </c>
      <c r="N7" s="270">
        <v>0.206707593</v>
      </c>
      <c r="O7" s="270">
        <v>0.24395202199999999</v>
      </c>
      <c r="P7" s="270">
        <v>0.21877485999999999</v>
      </c>
      <c r="Q7" s="270">
        <v>0.27141817699999998</v>
      </c>
      <c r="R7" s="270">
        <v>0.26933893800000003</v>
      </c>
      <c r="S7" s="270">
        <v>0.29869918499999998</v>
      </c>
      <c r="T7" s="270">
        <v>0.28027908299999998</v>
      </c>
      <c r="U7" s="270">
        <v>0.243777827</v>
      </c>
      <c r="V7" s="270">
        <v>0.20198242699999999</v>
      </c>
      <c r="W7" s="270">
        <v>0.17562528399999999</v>
      </c>
      <c r="X7" s="270">
        <v>0.16220811299999999</v>
      </c>
      <c r="Y7" s="270">
        <v>0.182029472</v>
      </c>
      <c r="Z7" s="270">
        <v>0.203938227</v>
      </c>
      <c r="AA7" s="270">
        <v>0.22725423</v>
      </c>
      <c r="AB7" s="270">
        <v>0.22572193800000001</v>
      </c>
      <c r="AC7" s="270">
        <v>0.234447557</v>
      </c>
      <c r="AD7" s="270">
        <v>0.254820771</v>
      </c>
      <c r="AE7" s="270">
        <v>0.27602051900000002</v>
      </c>
      <c r="AF7" s="270">
        <v>0.25037990599999999</v>
      </c>
      <c r="AG7" s="270">
        <v>0.22762663699999999</v>
      </c>
      <c r="AH7" s="270">
        <v>0.19945310399999999</v>
      </c>
      <c r="AI7" s="270">
        <v>0.173519747</v>
      </c>
      <c r="AJ7" s="270">
        <v>0.176858127</v>
      </c>
      <c r="AK7" s="270">
        <v>0.19829213500000001</v>
      </c>
      <c r="AL7" s="270">
        <v>0.20621366899999999</v>
      </c>
      <c r="AM7" s="270">
        <v>0.21929842499999999</v>
      </c>
      <c r="AN7" s="270">
        <v>0.19776018200000001</v>
      </c>
      <c r="AO7" s="270">
        <v>0.23146876499999999</v>
      </c>
      <c r="AP7" s="270">
        <v>0.23096230600000001</v>
      </c>
      <c r="AQ7" s="270">
        <v>0.27251309899999998</v>
      </c>
      <c r="AR7" s="270">
        <v>0.239900272</v>
      </c>
      <c r="AS7" s="270">
        <v>0.215029521</v>
      </c>
      <c r="AT7" s="270">
        <v>0.190616125</v>
      </c>
      <c r="AU7" s="270">
        <v>0.14776661699999999</v>
      </c>
      <c r="AV7" s="270">
        <v>0.14745552100000001</v>
      </c>
      <c r="AW7" s="270">
        <v>0.18585154200000001</v>
      </c>
      <c r="AX7" s="270">
        <v>0.20109502900000001</v>
      </c>
      <c r="AY7" s="270">
        <v>0.220019878</v>
      </c>
      <c r="AZ7" s="270">
        <v>0.22723533200000001</v>
      </c>
      <c r="BA7" s="270">
        <v>0.201642664</v>
      </c>
      <c r="BB7" s="270">
        <v>0.18800392299999999</v>
      </c>
      <c r="BC7" s="270">
        <v>0.26711078700000002</v>
      </c>
      <c r="BD7" s="270">
        <v>0.2594899</v>
      </c>
      <c r="BE7" s="270">
        <v>0.2446885</v>
      </c>
      <c r="BF7" s="270">
        <v>0.19958290000000001</v>
      </c>
      <c r="BG7" s="356">
        <v>0.1634594</v>
      </c>
      <c r="BH7" s="356">
        <v>0.15741540000000001</v>
      </c>
      <c r="BI7" s="356">
        <v>0.18829389999999999</v>
      </c>
      <c r="BJ7" s="356">
        <v>0.21562339999999999</v>
      </c>
      <c r="BK7" s="356">
        <v>0.22527220000000001</v>
      </c>
      <c r="BL7" s="356">
        <v>0.2071614</v>
      </c>
      <c r="BM7" s="356">
        <v>0.2335798</v>
      </c>
      <c r="BN7" s="356">
        <v>0.20551510000000001</v>
      </c>
      <c r="BO7" s="356">
        <v>0.24728169999999999</v>
      </c>
      <c r="BP7" s="356">
        <v>0.24135119999999999</v>
      </c>
      <c r="BQ7" s="356">
        <v>0.21835180000000001</v>
      </c>
      <c r="BR7" s="356">
        <v>0.196606</v>
      </c>
      <c r="BS7" s="356">
        <v>0.16298660000000001</v>
      </c>
      <c r="BT7" s="356">
        <v>0.15917339999999999</v>
      </c>
      <c r="BU7" s="356">
        <v>0.18932940000000001</v>
      </c>
      <c r="BV7" s="356">
        <v>0.22115889999999999</v>
      </c>
    </row>
    <row r="8" spans="1:74" ht="12" customHeight="1" x14ac:dyDescent="0.2">
      <c r="A8" s="579" t="s">
        <v>766</v>
      </c>
      <c r="B8" s="581" t="s">
        <v>1065</v>
      </c>
      <c r="C8" s="270">
        <v>1.3461934784E-2</v>
      </c>
      <c r="D8" s="270">
        <v>2.0315438918000001E-2</v>
      </c>
      <c r="E8" s="270">
        <v>2.3733363374000001E-2</v>
      </c>
      <c r="F8" s="270">
        <v>2.6136849803E-2</v>
      </c>
      <c r="G8" s="270">
        <v>3.1158023255E-2</v>
      </c>
      <c r="H8" s="270">
        <v>3.1552448093999999E-2</v>
      </c>
      <c r="I8" s="270">
        <v>3.5879957150000003E-2</v>
      </c>
      <c r="J8" s="270">
        <v>3.6082395920000003E-2</v>
      </c>
      <c r="K8" s="270">
        <v>3.3089142650999999E-2</v>
      </c>
      <c r="L8" s="270">
        <v>2.9049441592E-2</v>
      </c>
      <c r="M8" s="270">
        <v>2.5197876745999999E-2</v>
      </c>
      <c r="N8" s="270">
        <v>2.2054942881999998E-2</v>
      </c>
      <c r="O8" s="270">
        <v>2.1174293970000001E-2</v>
      </c>
      <c r="P8" s="270">
        <v>2.5031704416999999E-2</v>
      </c>
      <c r="Q8" s="270">
        <v>4.1130894416999998E-2</v>
      </c>
      <c r="R8" s="270">
        <v>4.4714346007999999E-2</v>
      </c>
      <c r="S8" s="270">
        <v>5.2746120238000002E-2</v>
      </c>
      <c r="T8" s="270">
        <v>5.5758582786000002E-2</v>
      </c>
      <c r="U8" s="270">
        <v>5.0756232173000002E-2</v>
      </c>
      <c r="V8" s="270">
        <v>4.8927266546999998E-2</v>
      </c>
      <c r="W8" s="270">
        <v>4.6125634254E-2</v>
      </c>
      <c r="X8" s="270">
        <v>4.2435252743000001E-2</v>
      </c>
      <c r="Y8" s="270">
        <v>2.9243235276E-2</v>
      </c>
      <c r="Z8" s="270">
        <v>2.7698411836000001E-2</v>
      </c>
      <c r="AA8" s="270">
        <v>2.9932510081000001E-2</v>
      </c>
      <c r="AB8" s="270">
        <v>3.5166110675000001E-2</v>
      </c>
      <c r="AC8" s="270">
        <v>4.5602970588000002E-2</v>
      </c>
      <c r="AD8" s="270">
        <v>5.4645841680000001E-2</v>
      </c>
      <c r="AE8" s="270">
        <v>6.1795435145000001E-2</v>
      </c>
      <c r="AF8" s="270">
        <v>6.6891506535000006E-2</v>
      </c>
      <c r="AG8" s="270">
        <v>6.0917655851000001E-2</v>
      </c>
      <c r="AH8" s="270">
        <v>6.0391850524999999E-2</v>
      </c>
      <c r="AI8" s="270">
        <v>5.3812855723E-2</v>
      </c>
      <c r="AJ8" s="270">
        <v>4.4848734568000002E-2</v>
      </c>
      <c r="AK8" s="270">
        <v>3.3784974315999999E-2</v>
      </c>
      <c r="AL8" s="270">
        <v>2.8063289729000001E-2</v>
      </c>
      <c r="AM8" s="270">
        <v>3.2946295510000001E-2</v>
      </c>
      <c r="AN8" s="270">
        <v>3.4513983069999997E-2</v>
      </c>
      <c r="AO8" s="270">
        <v>5.3277596194E-2</v>
      </c>
      <c r="AP8" s="270">
        <v>6.1642868820000002E-2</v>
      </c>
      <c r="AQ8" s="270">
        <v>6.4845398868000004E-2</v>
      </c>
      <c r="AR8" s="270">
        <v>7.2197917597999997E-2</v>
      </c>
      <c r="AS8" s="270">
        <v>7.3645313086999994E-2</v>
      </c>
      <c r="AT8" s="270">
        <v>7.1119558994000007E-2</v>
      </c>
      <c r="AU8" s="270">
        <v>6.0888396668999999E-2</v>
      </c>
      <c r="AV8" s="270">
        <v>5.5322585653000002E-2</v>
      </c>
      <c r="AW8" s="270">
        <v>3.9462364275000002E-2</v>
      </c>
      <c r="AX8" s="270">
        <v>3.1504307260000003E-2</v>
      </c>
      <c r="AY8" s="270">
        <v>4.1114954510000003E-2</v>
      </c>
      <c r="AZ8" s="270">
        <v>5.1033638040000003E-2</v>
      </c>
      <c r="BA8" s="270">
        <v>5.6976801553E-2</v>
      </c>
      <c r="BB8" s="270">
        <v>7.2268031326000001E-2</v>
      </c>
      <c r="BC8" s="270">
        <v>8.7905383779999999E-2</v>
      </c>
      <c r="BD8" s="270">
        <v>8.5462553016000004E-2</v>
      </c>
      <c r="BE8" s="270">
        <v>9.2794100000000004E-2</v>
      </c>
      <c r="BF8" s="270">
        <v>8.9447100000000002E-2</v>
      </c>
      <c r="BG8" s="356">
        <v>7.9352900000000004E-2</v>
      </c>
      <c r="BH8" s="356">
        <v>7.0144600000000001E-2</v>
      </c>
      <c r="BI8" s="356">
        <v>5.11444E-2</v>
      </c>
      <c r="BJ8" s="356">
        <v>4.6138999999999999E-2</v>
      </c>
      <c r="BK8" s="356">
        <v>5.5168700000000001E-2</v>
      </c>
      <c r="BL8" s="356">
        <v>6.4826400000000006E-2</v>
      </c>
      <c r="BM8" s="356">
        <v>7.6749300000000006E-2</v>
      </c>
      <c r="BN8" s="356">
        <v>9.5993200000000001E-2</v>
      </c>
      <c r="BO8" s="356">
        <v>0.11578620000000001</v>
      </c>
      <c r="BP8" s="356">
        <v>0.11261889999999999</v>
      </c>
      <c r="BQ8" s="356">
        <v>0.1185282</v>
      </c>
      <c r="BR8" s="356">
        <v>0.11558880000000001</v>
      </c>
      <c r="BS8" s="356">
        <v>0.1016299</v>
      </c>
      <c r="BT8" s="356">
        <v>9.0321600000000002E-2</v>
      </c>
      <c r="BU8" s="356">
        <v>6.6986299999999999E-2</v>
      </c>
      <c r="BV8" s="356">
        <v>5.6923000000000001E-2</v>
      </c>
    </row>
    <row r="9" spans="1:74" ht="12" customHeight="1" x14ac:dyDescent="0.2">
      <c r="A9" s="545" t="s">
        <v>628</v>
      </c>
      <c r="B9" s="581" t="s">
        <v>841</v>
      </c>
      <c r="C9" s="270">
        <v>2.318396E-2</v>
      </c>
      <c r="D9" s="270">
        <v>2.233653E-2</v>
      </c>
      <c r="E9" s="270">
        <v>2.3599370000000001E-2</v>
      </c>
      <c r="F9" s="270">
        <v>2.3822690000000001E-2</v>
      </c>
      <c r="G9" s="270">
        <v>2.391604E-2</v>
      </c>
      <c r="H9" s="270">
        <v>2.3134499999999999E-2</v>
      </c>
      <c r="I9" s="270">
        <v>2.353417E-2</v>
      </c>
      <c r="J9" s="270">
        <v>2.4062360000000001E-2</v>
      </c>
      <c r="K9" s="270">
        <v>2.234367E-2</v>
      </c>
      <c r="L9" s="270">
        <v>2.1747160000000001E-2</v>
      </c>
      <c r="M9" s="270">
        <v>2.407716E-2</v>
      </c>
      <c r="N9" s="270">
        <v>2.4904679999999998E-2</v>
      </c>
      <c r="O9" s="270">
        <v>2.493828E-2</v>
      </c>
      <c r="P9" s="270">
        <v>2.210763E-2</v>
      </c>
      <c r="Q9" s="270">
        <v>2.430556E-2</v>
      </c>
      <c r="R9" s="270">
        <v>2.2249459999999999E-2</v>
      </c>
      <c r="S9" s="270">
        <v>2.3570839999999999E-2</v>
      </c>
      <c r="T9" s="270">
        <v>2.3651539999999999E-2</v>
      </c>
      <c r="U9" s="270">
        <v>2.3763860000000001E-2</v>
      </c>
      <c r="V9" s="270">
        <v>2.3683200000000001E-2</v>
      </c>
      <c r="W9" s="270">
        <v>2.1938269999999999E-2</v>
      </c>
      <c r="X9" s="270">
        <v>2.250315E-2</v>
      </c>
      <c r="Y9" s="270">
        <v>2.3190019999999999E-2</v>
      </c>
      <c r="Z9" s="270">
        <v>2.4315460000000001E-2</v>
      </c>
      <c r="AA9" s="270">
        <v>2.436323E-2</v>
      </c>
      <c r="AB9" s="270">
        <v>2.2924239999999999E-2</v>
      </c>
      <c r="AC9" s="270">
        <v>2.4334049999999999E-2</v>
      </c>
      <c r="AD9" s="270">
        <v>2.263248E-2</v>
      </c>
      <c r="AE9" s="270">
        <v>2.2935009999999999E-2</v>
      </c>
      <c r="AF9" s="270">
        <v>2.2879690000000001E-2</v>
      </c>
      <c r="AG9" s="270">
        <v>2.2759830000000002E-2</v>
      </c>
      <c r="AH9" s="270">
        <v>2.293796E-2</v>
      </c>
      <c r="AI9" s="270">
        <v>2.05165E-2</v>
      </c>
      <c r="AJ9" s="270">
        <v>2.2578890000000001E-2</v>
      </c>
      <c r="AK9" s="270">
        <v>2.275802E-2</v>
      </c>
      <c r="AL9" s="270">
        <v>2.3401410000000001E-2</v>
      </c>
      <c r="AM9" s="270">
        <v>2.0198580000000001E-2</v>
      </c>
      <c r="AN9" s="270">
        <v>1.833129E-2</v>
      </c>
      <c r="AO9" s="270">
        <v>2.053661E-2</v>
      </c>
      <c r="AP9" s="270">
        <v>1.9096510000000001E-2</v>
      </c>
      <c r="AQ9" s="270">
        <v>1.9657640000000001E-2</v>
      </c>
      <c r="AR9" s="270">
        <v>1.9462449999999999E-2</v>
      </c>
      <c r="AS9" s="270">
        <v>2.0062670000000001E-2</v>
      </c>
      <c r="AT9" s="270">
        <v>2.020688E-2</v>
      </c>
      <c r="AU9" s="270">
        <v>1.8695690000000001E-2</v>
      </c>
      <c r="AV9" s="270">
        <v>1.984667E-2</v>
      </c>
      <c r="AW9" s="270">
        <v>1.971386E-2</v>
      </c>
      <c r="AX9" s="270">
        <v>2.049923E-2</v>
      </c>
      <c r="AY9" s="270">
        <v>2.055649E-2</v>
      </c>
      <c r="AZ9" s="270">
        <v>1.9006929999999998E-2</v>
      </c>
      <c r="BA9" s="270">
        <v>2.0632009999999999E-2</v>
      </c>
      <c r="BB9" s="270">
        <v>1.8876460000000001E-2</v>
      </c>
      <c r="BC9" s="270">
        <v>1.9029003999999999E-2</v>
      </c>
      <c r="BD9" s="270">
        <v>1.7717175000000002E-2</v>
      </c>
      <c r="BE9" s="270">
        <v>2.0386700000000001E-2</v>
      </c>
      <c r="BF9" s="270">
        <v>2.0319E-2</v>
      </c>
      <c r="BG9" s="356">
        <v>1.9181299999999998E-2</v>
      </c>
      <c r="BH9" s="356">
        <v>1.9749300000000001E-2</v>
      </c>
      <c r="BI9" s="356">
        <v>1.8770700000000001E-2</v>
      </c>
      <c r="BJ9" s="356">
        <v>2.0870199999999998E-2</v>
      </c>
      <c r="BK9" s="356">
        <v>2.2090499999999999E-2</v>
      </c>
      <c r="BL9" s="356">
        <v>1.8588500000000001E-2</v>
      </c>
      <c r="BM9" s="356">
        <v>2.13695E-2</v>
      </c>
      <c r="BN9" s="356">
        <v>2.06509E-2</v>
      </c>
      <c r="BO9" s="356">
        <v>2.0962999999999999E-2</v>
      </c>
      <c r="BP9" s="356">
        <v>1.8707399999999999E-2</v>
      </c>
      <c r="BQ9" s="356">
        <v>2.0827600000000002E-2</v>
      </c>
      <c r="BR9" s="356">
        <v>2.0150100000000001E-2</v>
      </c>
      <c r="BS9" s="356">
        <v>1.90128E-2</v>
      </c>
      <c r="BT9" s="356">
        <v>2.0372700000000001E-2</v>
      </c>
      <c r="BU9" s="356">
        <v>1.8946000000000001E-2</v>
      </c>
      <c r="BV9" s="356">
        <v>2.1581099999999999E-2</v>
      </c>
    </row>
    <row r="10" spans="1:74" ht="12" customHeight="1" x14ac:dyDescent="0.2">
      <c r="A10" s="545" t="s">
        <v>627</v>
      </c>
      <c r="B10" s="581" t="s">
        <v>1066</v>
      </c>
      <c r="C10" s="270">
        <v>2.068967E-2</v>
      </c>
      <c r="D10" s="270">
        <v>2.0494680000000001E-2</v>
      </c>
      <c r="E10" s="270">
        <v>1.947024E-2</v>
      </c>
      <c r="F10" s="270">
        <v>1.523507E-2</v>
      </c>
      <c r="G10" s="270">
        <v>1.5720600000000001E-2</v>
      </c>
      <c r="H10" s="270">
        <v>1.8136090000000001E-2</v>
      </c>
      <c r="I10" s="270">
        <v>2.0066489999999999E-2</v>
      </c>
      <c r="J10" s="270">
        <v>2.139634E-2</v>
      </c>
      <c r="K10" s="270">
        <v>1.9064850000000001E-2</v>
      </c>
      <c r="L10" s="270">
        <v>1.5671319999999999E-2</v>
      </c>
      <c r="M10" s="270">
        <v>1.7836709999999999E-2</v>
      </c>
      <c r="N10" s="270">
        <v>2.062485E-2</v>
      </c>
      <c r="O10" s="270">
        <v>2.0437799999999999E-2</v>
      </c>
      <c r="P10" s="270">
        <v>1.8488870000000001E-2</v>
      </c>
      <c r="Q10" s="270">
        <v>2.09388E-2</v>
      </c>
      <c r="R10" s="270">
        <v>1.679245E-2</v>
      </c>
      <c r="S10" s="270">
        <v>1.6757609999999999E-2</v>
      </c>
      <c r="T10" s="270">
        <v>1.8422379999999999E-2</v>
      </c>
      <c r="U10" s="270">
        <v>2.009244E-2</v>
      </c>
      <c r="V10" s="270">
        <v>2.105168E-2</v>
      </c>
      <c r="W10" s="270">
        <v>1.8055109999999999E-2</v>
      </c>
      <c r="X10" s="270">
        <v>1.8039070000000001E-2</v>
      </c>
      <c r="Y10" s="270">
        <v>1.9035659999999999E-2</v>
      </c>
      <c r="Z10" s="270">
        <v>2.12123E-2</v>
      </c>
      <c r="AA10" s="270">
        <v>2.146238E-2</v>
      </c>
      <c r="AB10" s="270">
        <v>1.8849479999999998E-2</v>
      </c>
      <c r="AC10" s="270">
        <v>1.9658479999999999E-2</v>
      </c>
      <c r="AD10" s="270">
        <v>1.596581E-2</v>
      </c>
      <c r="AE10" s="270">
        <v>1.7230889999999999E-2</v>
      </c>
      <c r="AF10" s="270">
        <v>1.8979849999999999E-2</v>
      </c>
      <c r="AG10" s="270">
        <v>2.0821039999999999E-2</v>
      </c>
      <c r="AH10" s="270">
        <v>1.983451E-2</v>
      </c>
      <c r="AI10" s="270">
        <v>1.6949189999999999E-2</v>
      </c>
      <c r="AJ10" s="270">
        <v>1.6629459999999999E-2</v>
      </c>
      <c r="AK10" s="270">
        <v>1.7001039999999999E-2</v>
      </c>
      <c r="AL10" s="270">
        <v>1.7681209999999999E-2</v>
      </c>
      <c r="AM10" s="270">
        <v>1.994727E-2</v>
      </c>
      <c r="AN10" s="270">
        <v>1.6599969999999999E-2</v>
      </c>
      <c r="AO10" s="270">
        <v>1.667832E-2</v>
      </c>
      <c r="AP10" s="270">
        <v>1.5678259999999999E-2</v>
      </c>
      <c r="AQ10" s="270">
        <v>1.8961329999999998E-2</v>
      </c>
      <c r="AR10" s="270">
        <v>1.7357460000000002E-2</v>
      </c>
      <c r="AS10" s="270">
        <v>1.894736E-2</v>
      </c>
      <c r="AT10" s="270">
        <v>2.1181390000000001E-2</v>
      </c>
      <c r="AU10" s="270">
        <v>1.8224130000000002E-2</v>
      </c>
      <c r="AV10" s="270">
        <v>1.5146440000000001E-2</v>
      </c>
      <c r="AW10" s="270">
        <v>1.465315E-2</v>
      </c>
      <c r="AX10" s="270">
        <v>1.8011530000000001E-2</v>
      </c>
      <c r="AY10" s="270">
        <v>1.6970079999999998E-2</v>
      </c>
      <c r="AZ10" s="270">
        <v>1.679694E-2</v>
      </c>
      <c r="BA10" s="270">
        <v>1.5907709999999999E-2</v>
      </c>
      <c r="BB10" s="270">
        <v>1.366943E-2</v>
      </c>
      <c r="BC10" s="270">
        <v>1.5813072000000001E-2</v>
      </c>
      <c r="BD10" s="270">
        <v>1.5079407E-2</v>
      </c>
      <c r="BE10" s="270">
        <v>1.64102E-2</v>
      </c>
      <c r="BF10" s="270">
        <v>2.1038899999999999E-2</v>
      </c>
      <c r="BG10" s="356">
        <v>1.69681E-2</v>
      </c>
      <c r="BH10" s="356">
        <v>1.50168E-2</v>
      </c>
      <c r="BI10" s="356">
        <v>1.4892300000000001E-2</v>
      </c>
      <c r="BJ10" s="356">
        <v>2.29853E-2</v>
      </c>
      <c r="BK10" s="356">
        <v>2.22562E-2</v>
      </c>
      <c r="BL10" s="356">
        <v>2.3012500000000002E-2</v>
      </c>
      <c r="BM10" s="356">
        <v>1.7599699999999999E-2</v>
      </c>
      <c r="BN10" s="356">
        <v>1.46418E-2</v>
      </c>
      <c r="BO10" s="356">
        <v>1.8053E-2</v>
      </c>
      <c r="BP10" s="356">
        <v>1.7300800000000002E-2</v>
      </c>
      <c r="BQ10" s="356">
        <v>1.9393199999999999E-2</v>
      </c>
      <c r="BR10" s="356">
        <v>2.14909E-2</v>
      </c>
      <c r="BS10" s="356">
        <v>1.9138800000000001E-2</v>
      </c>
      <c r="BT10" s="356">
        <v>1.69815E-2</v>
      </c>
      <c r="BU10" s="356">
        <v>1.5968699999999999E-2</v>
      </c>
      <c r="BV10" s="356">
        <v>2.6205300000000001E-2</v>
      </c>
    </row>
    <row r="11" spans="1:74" ht="12" customHeight="1" x14ac:dyDescent="0.2">
      <c r="A11" s="579" t="s">
        <v>102</v>
      </c>
      <c r="B11" s="581" t="s">
        <v>470</v>
      </c>
      <c r="C11" s="270">
        <v>0.17030163332000001</v>
      </c>
      <c r="D11" s="270">
        <v>0.18573338899</v>
      </c>
      <c r="E11" s="270">
        <v>0.20236352217</v>
      </c>
      <c r="F11" s="270">
        <v>0.19184983360999999</v>
      </c>
      <c r="G11" s="270">
        <v>0.17385692727999999</v>
      </c>
      <c r="H11" s="270">
        <v>0.15038772320999999</v>
      </c>
      <c r="I11" s="270">
        <v>0.16253037604000001</v>
      </c>
      <c r="J11" s="270">
        <v>0.12535975307</v>
      </c>
      <c r="K11" s="270">
        <v>0.15131875582000001</v>
      </c>
      <c r="L11" s="270">
        <v>0.18757523056</v>
      </c>
      <c r="M11" s="270">
        <v>0.1789883571</v>
      </c>
      <c r="N11" s="270">
        <v>0.21346248437000001</v>
      </c>
      <c r="O11" s="270">
        <v>0.1914463743</v>
      </c>
      <c r="P11" s="270">
        <v>0.20334923634999999</v>
      </c>
      <c r="Q11" s="270">
        <v>0.23682316685999999</v>
      </c>
      <c r="R11" s="270">
        <v>0.23359440976000001</v>
      </c>
      <c r="S11" s="270">
        <v>0.21233092631</v>
      </c>
      <c r="T11" s="270">
        <v>0.18540642711999999</v>
      </c>
      <c r="U11" s="270">
        <v>0.14840164875</v>
      </c>
      <c r="V11" s="270">
        <v>0.12777797336999999</v>
      </c>
      <c r="W11" s="270">
        <v>0.16487719613999999</v>
      </c>
      <c r="X11" s="270">
        <v>0.22429652132</v>
      </c>
      <c r="Y11" s="270">
        <v>0.20814320989999999</v>
      </c>
      <c r="Z11" s="270">
        <v>0.20433688262999999</v>
      </c>
      <c r="AA11" s="270">
        <v>0.23278976269000001</v>
      </c>
      <c r="AB11" s="270">
        <v>0.21089434288</v>
      </c>
      <c r="AC11" s="270">
        <v>0.24066441146000001</v>
      </c>
      <c r="AD11" s="270">
        <v>0.24040196132</v>
      </c>
      <c r="AE11" s="270">
        <v>0.21787306294</v>
      </c>
      <c r="AF11" s="270">
        <v>0.22471188727999999</v>
      </c>
      <c r="AG11" s="270">
        <v>0.14959366940999999</v>
      </c>
      <c r="AH11" s="270">
        <v>0.18053417722000001</v>
      </c>
      <c r="AI11" s="270">
        <v>0.16844034386000001</v>
      </c>
      <c r="AJ11" s="270">
        <v>0.19272835997000001</v>
      </c>
      <c r="AK11" s="270">
        <v>0.20020624089</v>
      </c>
      <c r="AL11" s="270">
        <v>0.22105885938</v>
      </c>
      <c r="AM11" s="270">
        <v>0.22847849363</v>
      </c>
      <c r="AN11" s="270">
        <v>0.20917997811</v>
      </c>
      <c r="AO11" s="270">
        <v>0.23752179245999999</v>
      </c>
      <c r="AP11" s="270">
        <v>0.27021315242999999</v>
      </c>
      <c r="AQ11" s="270">
        <v>0.23623020533</v>
      </c>
      <c r="AR11" s="270">
        <v>0.20870325727</v>
      </c>
      <c r="AS11" s="270">
        <v>0.20032304337000001</v>
      </c>
      <c r="AT11" s="270">
        <v>0.18072906530999999</v>
      </c>
      <c r="AU11" s="270">
        <v>0.22181141051</v>
      </c>
      <c r="AV11" s="270">
        <v>0.25592078500999998</v>
      </c>
      <c r="AW11" s="270">
        <v>0.23287973178999999</v>
      </c>
      <c r="AX11" s="270">
        <v>0.24724811543</v>
      </c>
      <c r="AY11" s="270">
        <v>0.25835216931999999</v>
      </c>
      <c r="AZ11" s="270">
        <v>0.26590993673000002</v>
      </c>
      <c r="BA11" s="270">
        <v>0.26816827084</v>
      </c>
      <c r="BB11" s="270">
        <v>0.26862401464000002</v>
      </c>
      <c r="BC11" s="270">
        <v>0.25632563715000001</v>
      </c>
      <c r="BD11" s="270">
        <v>0.27375590370000003</v>
      </c>
      <c r="BE11" s="270">
        <v>0.22268160000000001</v>
      </c>
      <c r="BF11" s="270">
        <v>0.2205049</v>
      </c>
      <c r="BG11" s="356">
        <v>0.22853490000000001</v>
      </c>
      <c r="BH11" s="356">
        <v>0.30398950000000002</v>
      </c>
      <c r="BI11" s="356">
        <v>0.26300200000000001</v>
      </c>
      <c r="BJ11" s="356">
        <v>0.3154592</v>
      </c>
      <c r="BK11" s="356">
        <v>0.3243663</v>
      </c>
      <c r="BL11" s="356">
        <v>0.31107849999999998</v>
      </c>
      <c r="BM11" s="356">
        <v>0.3317755</v>
      </c>
      <c r="BN11" s="356">
        <v>0.3264551</v>
      </c>
      <c r="BO11" s="356">
        <v>0.30119950000000001</v>
      </c>
      <c r="BP11" s="356">
        <v>0.31981229999999999</v>
      </c>
      <c r="BQ11" s="356">
        <v>0.26863120000000001</v>
      </c>
      <c r="BR11" s="356">
        <v>0.25482280000000002</v>
      </c>
      <c r="BS11" s="356">
        <v>0.26710089999999997</v>
      </c>
      <c r="BT11" s="356">
        <v>0.34031450000000002</v>
      </c>
      <c r="BU11" s="356">
        <v>0.2953443</v>
      </c>
      <c r="BV11" s="356">
        <v>0.33504909999999999</v>
      </c>
    </row>
    <row r="12" spans="1:74" ht="12" customHeight="1" x14ac:dyDescent="0.2">
      <c r="A12" s="580" t="s">
        <v>228</v>
      </c>
      <c r="B12" s="581" t="s">
        <v>362</v>
      </c>
      <c r="C12" s="270">
        <v>0.4750167991</v>
      </c>
      <c r="D12" s="270">
        <v>0.48198071691</v>
      </c>
      <c r="E12" s="270">
        <v>0.53265514555000004</v>
      </c>
      <c r="F12" s="270">
        <v>0.50579007541999998</v>
      </c>
      <c r="G12" s="270">
        <v>0.49112056253000003</v>
      </c>
      <c r="H12" s="270">
        <v>0.4482580753</v>
      </c>
      <c r="I12" s="270">
        <v>0.45109618919</v>
      </c>
      <c r="J12" s="270">
        <v>0.39876273799</v>
      </c>
      <c r="K12" s="270">
        <v>0.38835121446999998</v>
      </c>
      <c r="L12" s="270">
        <v>0.42559702816</v>
      </c>
      <c r="M12" s="270">
        <v>0.43152789484999998</v>
      </c>
      <c r="N12" s="270">
        <v>0.50117674026000003</v>
      </c>
      <c r="O12" s="270">
        <v>0.51491111027000003</v>
      </c>
      <c r="P12" s="270">
        <v>0.49916598077000002</v>
      </c>
      <c r="Q12" s="270">
        <v>0.60739668828000004</v>
      </c>
      <c r="R12" s="270">
        <v>0.59904622376000005</v>
      </c>
      <c r="S12" s="270">
        <v>0.61609866155000004</v>
      </c>
      <c r="T12" s="270">
        <v>0.57534516290000004</v>
      </c>
      <c r="U12" s="270">
        <v>0.49943868792000001</v>
      </c>
      <c r="V12" s="270">
        <v>0.43597978692</v>
      </c>
      <c r="W12" s="270">
        <v>0.43888860438999999</v>
      </c>
      <c r="X12" s="270">
        <v>0.48066779706000001</v>
      </c>
      <c r="Y12" s="270">
        <v>0.47366161717999999</v>
      </c>
      <c r="Z12" s="270">
        <v>0.49422356147000002</v>
      </c>
      <c r="AA12" s="270">
        <v>0.54801332278000003</v>
      </c>
      <c r="AB12" s="270">
        <v>0.52515541156000001</v>
      </c>
      <c r="AC12" s="270">
        <v>0.57715034903999995</v>
      </c>
      <c r="AD12" s="270">
        <v>0.59928180399999997</v>
      </c>
      <c r="AE12" s="270">
        <v>0.60844225708999999</v>
      </c>
      <c r="AF12" s="270">
        <v>0.59567649982000004</v>
      </c>
      <c r="AG12" s="270">
        <v>0.49418773226000001</v>
      </c>
      <c r="AH12" s="270">
        <v>0.49559723173999998</v>
      </c>
      <c r="AI12" s="270">
        <v>0.44532785659000002</v>
      </c>
      <c r="AJ12" s="270">
        <v>0.46523374154000002</v>
      </c>
      <c r="AK12" s="270">
        <v>0.48415838021000002</v>
      </c>
      <c r="AL12" s="270">
        <v>0.50927906811000001</v>
      </c>
      <c r="AM12" s="270">
        <v>0.53344730413999997</v>
      </c>
      <c r="AN12" s="270">
        <v>0.48794096318000002</v>
      </c>
      <c r="AO12" s="270">
        <v>0.57218302365999996</v>
      </c>
      <c r="AP12" s="270">
        <v>0.60864482725000002</v>
      </c>
      <c r="AQ12" s="270">
        <v>0.62415020320000003</v>
      </c>
      <c r="AR12" s="270">
        <v>0.56973361687000001</v>
      </c>
      <c r="AS12" s="270">
        <v>0.54057466746000005</v>
      </c>
      <c r="AT12" s="270">
        <v>0.4964242593</v>
      </c>
      <c r="AU12" s="270">
        <v>0.47974046417999999</v>
      </c>
      <c r="AV12" s="270">
        <v>0.50498727166000001</v>
      </c>
      <c r="AW12" s="270">
        <v>0.50231236807000001</v>
      </c>
      <c r="AX12" s="270">
        <v>0.52983491168999997</v>
      </c>
      <c r="AY12" s="270">
        <v>0.56811301182999996</v>
      </c>
      <c r="AZ12" s="270">
        <v>0.59012534676999995</v>
      </c>
      <c r="BA12" s="270">
        <v>0.57649340640000002</v>
      </c>
      <c r="BB12" s="270">
        <v>0.57342123895999997</v>
      </c>
      <c r="BC12" s="270">
        <v>0.65876489093000001</v>
      </c>
      <c r="BD12" s="270">
        <v>0.66341813472</v>
      </c>
      <c r="BE12" s="270">
        <v>0.60974019999999995</v>
      </c>
      <c r="BF12" s="270">
        <v>0.56369579999999997</v>
      </c>
      <c r="BG12" s="356">
        <v>0.52008109999999996</v>
      </c>
      <c r="BH12" s="356">
        <v>0.57784519999999995</v>
      </c>
      <c r="BI12" s="356">
        <v>0.54614569999999996</v>
      </c>
      <c r="BJ12" s="356">
        <v>0.63373489999999999</v>
      </c>
      <c r="BK12" s="356">
        <v>0.66006719999999997</v>
      </c>
      <c r="BL12" s="356">
        <v>0.63413189999999997</v>
      </c>
      <c r="BM12" s="356">
        <v>0.69325650000000005</v>
      </c>
      <c r="BN12" s="356">
        <v>0.67521319999999996</v>
      </c>
      <c r="BO12" s="356">
        <v>0.71667429999999999</v>
      </c>
      <c r="BP12" s="356">
        <v>0.72190299999999996</v>
      </c>
      <c r="BQ12" s="356">
        <v>0.65856890000000001</v>
      </c>
      <c r="BR12" s="356">
        <v>0.62156049999999996</v>
      </c>
      <c r="BS12" s="356">
        <v>0.58259629999999996</v>
      </c>
      <c r="BT12" s="356">
        <v>0.63868879999999995</v>
      </c>
      <c r="BU12" s="356">
        <v>0.59656330000000002</v>
      </c>
      <c r="BV12" s="356">
        <v>0.67336850000000004</v>
      </c>
    </row>
    <row r="13" spans="1:74" ht="12" customHeight="1" x14ac:dyDescent="0.2">
      <c r="A13" s="580"/>
      <c r="B13" s="170" t="s">
        <v>363</v>
      </c>
      <c r="C13" s="236"/>
      <c r="D13" s="236"/>
      <c r="E13" s="236"/>
      <c r="F13" s="236"/>
      <c r="G13" s="236"/>
      <c r="H13" s="236"/>
      <c r="I13" s="236"/>
      <c r="J13" s="236"/>
      <c r="K13" s="236"/>
      <c r="L13" s="236"/>
      <c r="M13" s="236"/>
      <c r="N13" s="236"/>
      <c r="O13" s="236"/>
      <c r="P13" s="236"/>
      <c r="Q13" s="236"/>
      <c r="R13" s="236"/>
      <c r="S13" s="236"/>
      <c r="T13" s="236"/>
      <c r="U13" s="236"/>
      <c r="V13" s="236"/>
      <c r="W13" s="236"/>
      <c r="X13" s="236"/>
      <c r="Y13" s="236"/>
      <c r="Z13" s="236"/>
      <c r="AA13" s="236"/>
      <c r="AB13" s="236"/>
      <c r="AC13" s="236"/>
      <c r="AD13" s="236"/>
      <c r="AE13" s="236"/>
      <c r="AF13" s="236"/>
      <c r="AG13" s="236"/>
      <c r="AH13" s="236"/>
      <c r="AI13" s="236"/>
      <c r="AJ13" s="236"/>
      <c r="AK13" s="236"/>
      <c r="AL13" s="236"/>
      <c r="AM13" s="236"/>
      <c r="AN13" s="236"/>
      <c r="AO13" s="236"/>
      <c r="AP13" s="236"/>
      <c r="AQ13" s="236"/>
      <c r="AR13" s="236"/>
      <c r="AS13" s="236"/>
      <c r="AT13" s="236"/>
      <c r="AU13" s="236"/>
      <c r="AV13" s="236"/>
      <c r="AW13" s="236"/>
      <c r="AX13" s="236"/>
      <c r="AY13" s="236"/>
      <c r="AZ13" s="236"/>
      <c r="BA13" s="236"/>
      <c r="BB13" s="236"/>
      <c r="BC13" s="236"/>
      <c r="BD13" s="236"/>
      <c r="BE13" s="236"/>
      <c r="BF13" s="236"/>
      <c r="BG13" s="357"/>
      <c r="BH13" s="357"/>
      <c r="BI13" s="357"/>
      <c r="BJ13" s="357"/>
      <c r="BK13" s="357"/>
      <c r="BL13" s="357"/>
      <c r="BM13" s="357"/>
      <c r="BN13" s="357"/>
      <c r="BO13" s="357"/>
      <c r="BP13" s="357"/>
      <c r="BQ13" s="357"/>
      <c r="BR13" s="357"/>
      <c r="BS13" s="357"/>
      <c r="BT13" s="357"/>
      <c r="BU13" s="357"/>
      <c r="BV13" s="357"/>
    </row>
    <row r="14" spans="1:74" ht="12" customHeight="1" x14ac:dyDescent="0.2">
      <c r="A14" s="580" t="s">
        <v>1005</v>
      </c>
      <c r="B14" s="581" t="s">
        <v>1067</v>
      </c>
      <c r="C14" s="270">
        <v>6.6298613000000006E-2</v>
      </c>
      <c r="D14" s="270">
        <v>6.2729654999999995E-2</v>
      </c>
      <c r="E14" s="270">
        <v>6.7480604999999999E-2</v>
      </c>
      <c r="F14" s="270">
        <v>6.1485958E-2</v>
      </c>
      <c r="G14" s="270">
        <v>6.6186623E-2</v>
      </c>
      <c r="H14" s="270">
        <v>6.6442403999999997E-2</v>
      </c>
      <c r="I14" s="270">
        <v>6.8718651000000006E-2</v>
      </c>
      <c r="J14" s="270">
        <v>6.9593574000000005E-2</v>
      </c>
      <c r="K14" s="270">
        <v>6.5618134999999994E-2</v>
      </c>
      <c r="L14" s="270">
        <v>6.7715739999999996E-2</v>
      </c>
      <c r="M14" s="270">
        <v>6.7057971999999993E-2</v>
      </c>
      <c r="N14" s="270">
        <v>7.1329435999999996E-2</v>
      </c>
      <c r="O14" s="270">
        <v>7.1065680000000006E-2</v>
      </c>
      <c r="P14" s="270">
        <v>6.3326939999999998E-2</v>
      </c>
      <c r="Q14" s="270">
        <v>7.0015173E-2</v>
      </c>
      <c r="R14" s="270">
        <v>6.4113870000000003E-2</v>
      </c>
      <c r="S14" s="270">
        <v>6.8976934000000004E-2</v>
      </c>
      <c r="T14" s="270">
        <v>6.6678670999999995E-2</v>
      </c>
      <c r="U14" s="270">
        <v>6.7955128000000004E-2</v>
      </c>
      <c r="V14" s="270">
        <v>7.0744000000000001E-2</v>
      </c>
      <c r="W14" s="270">
        <v>6.6504052999999994E-2</v>
      </c>
      <c r="X14" s="270">
        <v>6.9820594999999999E-2</v>
      </c>
      <c r="Y14" s="270">
        <v>7.0769894999999999E-2</v>
      </c>
      <c r="Z14" s="270">
        <v>7.1461034000000007E-2</v>
      </c>
      <c r="AA14" s="270">
        <v>7.0007658E-2</v>
      </c>
      <c r="AB14" s="270">
        <v>6.3832082999999998E-2</v>
      </c>
      <c r="AC14" s="270">
        <v>6.9683676E-2</v>
      </c>
      <c r="AD14" s="270">
        <v>6.5998955999999998E-2</v>
      </c>
      <c r="AE14" s="270">
        <v>6.9678822000000001E-2</v>
      </c>
      <c r="AF14" s="270">
        <v>6.8717285000000003E-2</v>
      </c>
      <c r="AG14" s="270">
        <v>7.1907395999999998E-2</v>
      </c>
      <c r="AH14" s="270">
        <v>7.2646837000000006E-2</v>
      </c>
      <c r="AI14" s="270">
        <v>6.5996147000000005E-2</v>
      </c>
      <c r="AJ14" s="270">
        <v>6.9733007999999999E-2</v>
      </c>
      <c r="AK14" s="270">
        <v>6.7866770000000007E-2</v>
      </c>
      <c r="AL14" s="270">
        <v>6.8225988000000001E-2</v>
      </c>
      <c r="AM14" s="270">
        <v>6.7172813999999997E-2</v>
      </c>
      <c r="AN14" s="270">
        <v>6.0735915000000001E-2</v>
      </c>
      <c r="AO14" s="270">
        <v>6.5740724E-2</v>
      </c>
      <c r="AP14" s="270">
        <v>6.5971867000000003E-2</v>
      </c>
      <c r="AQ14" s="270">
        <v>6.9171618000000004E-2</v>
      </c>
      <c r="AR14" s="270">
        <v>6.7894854000000004E-2</v>
      </c>
      <c r="AS14" s="270">
        <v>6.9301951000000001E-2</v>
      </c>
      <c r="AT14" s="270">
        <v>6.7958917999999993E-2</v>
      </c>
      <c r="AU14" s="270">
        <v>6.222341E-2</v>
      </c>
      <c r="AV14" s="270">
        <v>6.5846002000000001E-2</v>
      </c>
      <c r="AW14" s="270">
        <v>6.6645917999999998E-2</v>
      </c>
      <c r="AX14" s="270">
        <v>7.0743513999999993E-2</v>
      </c>
      <c r="AY14" s="270">
        <v>7.0264506000000004E-2</v>
      </c>
      <c r="AZ14" s="270">
        <v>6.4358105999999998E-2</v>
      </c>
      <c r="BA14" s="270">
        <v>6.2027231000000002E-2</v>
      </c>
      <c r="BB14" s="270">
        <v>3.5765727999999997E-2</v>
      </c>
      <c r="BC14" s="270">
        <v>4.4488028999999998E-2</v>
      </c>
      <c r="BD14" s="270">
        <v>5.4987099999999997E-2</v>
      </c>
      <c r="BE14" s="270">
        <v>6.1183599999999998E-2</v>
      </c>
      <c r="BF14" s="270">
        <v>6.0731500000000001E-2</v>
      </c>
      <c r="BG14" s="356">
        <v>5.9542100000000001E-2</v>
      </c>
      <c r="BH14" s="356">
        <v>6.00119E-2</v>
      </c>
      <c r="BI14" s="356">
        <v>6.0618499999999999E-2</v>
      </c>
      <c r="BJ14" s="356">
        <v>6.4200499999999994E-2</v>
      </c>
      <c r="BK14" s="356">
        <v>6.4876299999999998E-2</v>
      </c>
      <c r="BL14" s="356">
        <v>5.9734700000000002E-2</v>
      </c>
      <c r="BM14" s="356">
        <v>6.5242099999999997E-2</v>
      </c>
      <c r="BN14" s="356">
        <v>6.2156599999999999E-2</v>
      </c>
      <c r="BO14" s="356">
        <v>6.6066299999999994E-2</v>
      </c>
      <c r="BP14" s="356">
        <v>6.4583500000000002E-2</v>
      </c>
      <c r="BQ14" s="356">
        <v>6.6298399999999993E-2</v>
      </c>
      <c r="BR14" s="356">
        <v>6.7325800000000005E-2</v>
      </c>
      <c r="BS14" s="356">
        <v>6.2341199999999999E-2</v>
      </c>
      <c r="BT14" s="356">
        <v>6.5692E-2</v>
      </c>
      <c r="BU14" s="356">
        <v>6.5889400000000001E-2</v>
      </c>
      <c r="BV14" s="356">
        <v>6.6403199999999996E-2</v>
      </c>
    </row>
    <row r="15" spans="1:74" ht="12" customHeight="1" x14ac:dyDescent="0.2">
      <c r="A15" s="580" t="s">
        <v>625</v>
      </c>
      <c r="B15" s="581" t="s">
        <v>469</v>
      </c>
      <c r="C15" s="270">
        <v>3.5573799999999997E-4</v>
      </c>
      <c r="D15" s="270">
        <v>3.3278700000000002E-4</v>
      </c>
      <c r="E15" s="270">
        <v>3.5573799999999997E-4</v>
      </c>
      <c r="F15" s="270">
        <v>3.4426200000000002E-4</v>
      </c>
      <c r="G15" s="270">
        <v>3.5573799999999997E-4</v>
      </c>
      <c r="H15" s="270">
        <v>3.4426200000000002E-4</v>
      </c>
      <c r="I15" s="270">
        <v>3.5573799999999997E-4</v>
      </c>
      <c r="J15" s="270">
        <v>3.5573799999999997E-4</v>
      </c>
      <c r="K15" s="270">
        <v>3.4426200000000002E-4</v>
      </c>
      <c r="L15" s="270">
        <v>3.5573799999999997E-4</v>
      </c>
      <c r="M15" s="270">
        <v>3.4426200000000002E-4</v>
      </c>
      <c r="N15" s="270">
        <v>3.5573799999999997E-4</v>
      </c>
      <c r="O15" s="270">
        <v>3.5671200000000002E-4</v>
      </c>
      <c r="P15" s="270">
        <v>3.2219200000000001E-4</v>
      </c>
      <c r="Q15" s="270">
        <v>3.5671200000000002E-4</v>
      </c>
      <c r="R15" s="270">
        <v>3.4520500000000001E-4</v>
      </c>
      <c r="S15" s="270">
        <v>3.5671200000000002E-4</v>
      </c>
      <c r="T15" s="270">
        <v>3.4520500000000001E-4</v>
      </c>
      <c r="U15" s="270">
        <v>3.5671200000000002E-4</v>
      </c>
      <c r="V15" s="270">
        <v>3.5671200000000002E-4</v>
      </c>
      <c r="W15" s="270">
        <v>3.4520500000000001E-4</v>
      </c>
      <c r="X15" s="270">
        <v>3.5671200000000002E-4</v>
      </c>
      <c r="Y15" s="270">
        <v>3.4520500000000001E-4</v>
      </c>
      <c r="Z15" s="270">
        <v>3.5671200000000002E-4</v>
      </c>
      <c r="AA15" s="270">
        <v>3.5671200000000002E-4</v>
      </c>
      <c r="AB15" s="270">
        <v>3.2219200000000001E-4</v>
      </c>
      <c r="AC15" s="270">
        <v>3.5671200000000002E-4</v>
      </c>
      <c r="AD15" s="270">
        <v>3.4520500000000001E-4</v>
      </c>
      <c r="AE15" s="270">
        <v>3.5671200000000002E-4</v>
      </c>
      <c r="AF15" s="270">
        <v>3.4520500000000001E-4</v>
      </c>
      <c r="AG15" s="270">
        <v>3.5671200000000002E-4</v>
      </c>
      <c r="AH15" s="270">
        <v>3.5671200000000002E-4</v>
      </c>
      <c r="AI15" s="270">
        <v>3.4520500000000001E-4</v>
      </c>
      <c r="AJ15" s="270">
        <v>3.5671200000000002E-4</v>
      </c>
      <c r="AK15" s="270">
        <v>3.4520500000000001E-4</v>
      </c>
      <c r="AL15" s="270">
        <v>3.5671200000000002E-4</v>
      </c>
      <c r="AM15" s="270">
        <v>3.5671200000000002E-4</v>
      </c>
      <c r="AN15" s="270">
        <v>3.2219200000000001E-4</v>
      </c>
      <c r="AO15" s="270">
        <v>3.5671200000000002E-4</v>
      </c>
      <c r="AP15" s="270">
        <v>3.4520500000000001E-4</v>
      </c>
      <c r="AQ15" s="270">
        <v>3.5671200000000002E-4</v>
      </c>
      <c r="AR15" s="270">
        <v>3.4520500000000001E-4</v>
      </c>
      <c r="AS15" s="270">
        <v>3.5671200000000002E-4</v>
      </c>
      <c r="AT15" s="270">
        <v>3.5671200000000002E-4</v>
      </c>
      <c r="AU15" s="270">
        <v>3.4520500000000001E-4</v>
      </c>
      <c r="AV15" s="270">
        <v>3.5671200000000002E-4</v>
      </c>
      <c r="AW15" s="270">
        <v>3.4520500000000001E-4</v>
      </c>
      <c r="AX15" s="270">
        <v>3.5671200000000002E-4</v>
      </c>
      <c r="AY15" s="270">
        <v>3.5573799999999997E-4</v>
      </c>
      <c r="AZ15" s="270">
        <v>3.3278700000000002E-4</v>
      </c>
      <c r="BA15" s="270">
        <v>3.5573799999999997E-4</v>
      </c>
      <c r="BB15" s="270">
        <v>3.4426200000000002E-4</v>
      </c>
      <c r="BC15" s="270">
        <v>3.5573799999999997E-4</v>
      </c>
      <c r="BD15" s="270">
        <v>3.51047E-4</v>
      </c>
      <c r="BE15" s="270">
        <v>3.5053200000000002E-4</v>
      </c>
      <c r="BF15" s="270">
        <v>3.4997099999999997E-4</v>
      </c>
      <c r="BG15" s="356">
        <v>3.5040400000000001E-4</v>
      </c>
      <c r="BH15" s="356">
        <v>3.4982999999999998E-4</v>
      </c>
      <c r="BI15" s="356">
        <v>3.5025099999999999E-4</v>
      </c>
      <c r="BJ15" s="356">
        <v>3.49663E-4</v>
      </c>
      <c r="BK15" s="356">
        <v>3.4911099999999999E-4</v>
      </c>
      <c r="BL15" s="356">
        <v>3.5059499999999999E-4</v>
      </c>
      <c r="BM15" s="356">
        <v>3.5012800000000001E-4</v>
      </c>
      <c r="BN15" s="356">
        <v>3.50661E-4</v>
      </c>
      <c r="BO15" s="356">
        <v>3.5019899999999999E-4</v>
      </c>
      <c r="BP15" s="356">
        <v>3.5012200000000002E-4</v>
      </c>
      <c r="BQ15" s="356">
        <v>3.5008499999999998E-4</v>
      </c>
      <c r="BR15" s="356">
        <v>3.5009599999999999E-4</v>
      </c>
      <c r="BS15" s="356">
        <v>3.5006700000000002E-4</v>
      </c>
      <c r="BT15" s="356">
        <v>3.5008899999999999E-4</v>
      </c>
      <c r="BU15" s="356">
        <v>3.5007400000000002E-4</v>
      </c>
      <c r="BV15" s="356">
        <v>3.5011200000000003E-4</v>
      </c>
    </row>
    <row r="16" spans="1:74" ht="12" customHeight="1" x14ac:dyDescent="0.2">
      <c r="A16" s="580" t="s">
        <v>626</v>
      </c>
      <c r="B16" s="581" t="s">
        <v>52</v>
      </c>
      <c r="C16" s="270">
        <v>1.19633E-3</v>
      </c>
      <c r="D16" s="270">
        <v>1.065472E-3</v>
      </c>
      <c r="E16" s="270">
        <v>1.3120950000000001E-3</v>
      </c>
      <c r="F16" s="270">
        <v>1.186124E-3</v>
      </c>
      <c r="G16" s="270">
        <v>1.1028730000000001E-3</v>
      </c>
      <c r="H16" s="270">
        <v>9.1069100000000004E-4</v>
      </c>
      <c r="I16" s="270">
        <v>9.5740699999999996E-4</v>
      </c>
      <c r="J16" s="270">
        <v>8.5254700000000005E-4</v>
      </c>
      <c r="K16" s="270">
        <v>6.02558E-4</v>
      </c>
      <c r="L16" s="270">
        <v>8.1314799999999997E-4</v>
      </c>
      <c r="M16" s="270">
        <v>6.4054499999999996E-4</v>
      </c>
      <c r="N16" s="270">
        <v>1.077485E-3</v>
      </c>
      <c r="O16" s="270">
        <v>1.1737609999999999E-3</v>
      </c>
      <c r="P16" s="270">
        <v>1.0655770000000001E-3</v>
      </c>
      <c r="Q16" s="270">
        <v>1.1852220000000001E-3</v>
      </c>
      <c r="R16" s="270">
        <v>1.3766200000000001E-3</v>
      </c>
      <c r="S16" s="270">
        <v>1.4600170000000001E-3</v>
      </c>
      <c r="T16" s="270">
        <v>1.187925E-3</v>
      </c>
      <c r="U16" s="270">
        <v>1.0770459999999999E-3</v>
      </c>
      <c r="V16" s="270">
        <v>8.5371600000000002E-4</v>
      </c>
      <c r="W16" s="270">
        <v>6.7993800000000005E-4</v>
      </c>
      <c r="X16" s="270">
        <v>7.2656499999999998E-4</v>
      </c>
      <c r="Y16" s="270">
        <v>1.068931E-3</v>
      </c>
      <c r="Z16" s="270">
        <v>8.8053999999999997E-4</v>
      </c>
      <c r="AA16" s="270">
        <v>7.57374E-4</v>
      </c>
      <c r="AB16" s="270">
        <v>8.1329000000000004E-4</v>
      </c>
      <c r="AC16" s="270">
        <v>7.9245800000000001E-4</v>
      </c>
      <c r="AD16" s="270">
        <v>9.2554099999999999E-4</v>
      </c>
      <c r="AE16" s="270">
        <v>9.2219299999999997E-4</v>
      </c>
      <c r="AF16" s="270">
        <v>6.7516099999999997E-4</v>
      </c>
      <c r="AG16" s="270">
        <v>7.0638299999999999E-4</v>
      </c>
      <c r="AH16" s="270">
        <v>8.3010899999999999E-4</v>
      </c>
      <c r="AI16" s="270">
        <v>8.2216400000000001E-4</v>
      </c>
      <c r="AJ16" s="270">
        <v>9.7953499999999991E-4</v>
      </c>
      <c r="AK16" s="270">
        <v>1.056193E-3</v>
      </c>
      <c r="AL16" s="270">
        <v>1.180328E-3</v>
      </c>
      <c r="AM16" s="270">
        <v>9.3044899999999997E-4</v>
      </c>
      <c r="AN16" s="270">
        <v>7.8902099999999999E-4</v>
      </c>
      <c r="AO16" s="270">
        <v>9.2106899999999995E-4</v>
      </c>
      <c r="AP16" s="270">
        <v>8.5140400000000005E-4</v>
      </c>
      <c r="AQ16" s="270">
        <v>9.2865700000000005E-4</v>
      </c>
      <c r="AR16" s="270">
        <v>8.84288E-4</v>
      </c>
      <c r="AS16" s="270">
        <v>8.5180900000000003E-4</v>
      </c>
      <c r="AT16" s="270">
        <v>7.9188299999999995E-4</v>
      </c>
      <c r="AU16" s="270">
        <v>7.3451199999999999E-4</v>
      </c>
      <c r="AV16" s="270">
        <v>7.5749300000000003E-4</v>
      </c>
      <c r="AW16" s="270">
        <v>8.2729099999999996E-4</v>
      </c>
      <c r="AX16" s="270">
        <v>9.2562299999999998E-4</v>
      </c>
      <c r="AY16" s="270">
        <v>9.1248100000000003E-4</v>
      </c>
      <c r="AZ16" s="270">
        <v>8.8557999999999996E-4</v>
      </c>
      <c r="BA16" s="270">
        <v>9.4753600000000002E-4</v>
      </c>
      <c r="BB16" s="270">
        <v>9.5003600000000002E-4</v>
      </c>
      <c r="BC16" s="270">
        <v>9.3170600000000003E-4</v>
      </c>
      <c r="BD16" s="270">
        <v>8.48495E-4</v>
      </c>
      <c r="BE16" s="270">
        <v>8.5110199999999996E-4</v>
      </c>
      <c r="BF16" s="270">
        <v>7.91225E-4</v>
      </c>
      <c r="BG16" s="356">
        <v>7.3390200000000004E-4</v>
      </c>
      <c r="BH16" s="356">
        <v>7.56864E-4</v>
      </c>
      <c r="BI16" s="356">
        <v>8.2660399999999999E-4</v>
      </c>
      <c r="BJ16" s="356">
        <v>9.2485400000000002E-4</v>
      </c>
      <c r="BK16" s="356">
        <v>9.1172300000000003E-4</v>
      </c>
      <c r="BL16" s="356">
        <v>8.5433299999999998E-4</v>
      </c>
      <c r="BM16" s="356">
        <v>9.4674899999999998E-4</v>
      </c>
      <c r="BN16" s="356">
        <v>9.4924699999999996E-4</v>
      </c>
      <c r="BO16" s="356">
        <v>9.3093199999999998E-4</v>
      </c>
      <c r="BP16" s="356">
        <v>8.4853700000000001E-4</v>
      </c>
      <c r="BQ16" s="356">
        <v>8.5110100000000005E-4</v>
      </c>
      <c r="BR16" s="356">
        <v>7.9122600000000002E-4</v>
      </c>
      <c r="BS16" s="356">
        <v>7.3390200000000004E-4</v>
      </c>
      <c r="BT16" s="356">
        <v>7.56864E-4</v>
      </c>
      <c r="BU16" s="356">
        <v>8.2660399999999999E-4</v>
      </c>
      <c r="BV16" s="356">
        <v>9.2485400000000002E-4</v>
      </c>
    </row>
    <row r="17" spans="1:74" ht="12" customHeight="1" x14ac:dyDescent="0.2">
      <c r="A17" s="580" t="s">
        <v>1062</v>
      </c>
      <c r="B17" s="581" t="s">
        <v>1061</v>
      </c>
      <c r="C17" s="270">
        <v>1.0580486113E-3</v>
      </c>
      <c r="D17" s="270">
        <v>1.1668583572999999E-3</v>
      </c>
      <c r="E17" s="270">
        <v>1.5994220094E-3</v>
      </c>
      <c r="F17" s="270">
        <v>1.7416510323E-3</v>
      </c>
      <c r="G17" s="270">
        <v>1.9229607266999999E-3</v>
      </c>
      <c r="H17" s="270">
        <v>1.9291049735999999E-3</v>
      </c>
      <c r="I17" s="270">
        <v>2.0000563001999999E-3</v>
      </c>
      <c r="J17" s="270">
        <v>1.9585793614E-3</v>
      </c>
      <c r="K17" s="270">
        <v>1.7752236896E-3</v>
      </c>
      <c r="L17" s="270">
        <v>1.6294305422999999E-3</v>
      </c>
      <c r="M17" s="270">
        <v>1.2968472807E-3</v>
      </c>
      <c r="N17" s="270">
        <v>1.1905280882E-3</v>
      </c>
      <c r="O17" s="270">
        <v>1.1440975091E-3</v>
      </c>
      <c r="P17" s="270">
        <v>1.2774119223999999E-3</v>
      </c>
      <c r="Q17" s="270">
        <v>1.8402224379E-3</v>
      </c>
      <c r="R17" s="270">
        <v>1.9990748541999998E-3</v>
      </c>
      <c r="S17" s="270">
        <v>2.2340165069E-3</v>
      </c>
      <c r="T17" s="270">
        <v>2.2651181761E-3</v>
      </c>
      <c r="U17" s="270">
        <v>2.3681924923000001E-3</v>
      </c>
      <c r="V17" s="270">
        <v>2.3104681275000001E-3</v>
      </c>
      <c r="W17" s="270">
        <v>2.0911685273000001E-3</v>
      </c>
      <c r="X17" s="270">
        <v>1.8826682767E-3</v>
      </c>
      <c r="Y17" s="270">
        <v>1.4581562508000001E-3</v>
      </c>
      <c r="Z17" s="270">
        <v>1.2972208857999999E-3</v>
      </c>
      <c r="AA17" s="270">
        <v>1.3551973144E-3</v>
      </c>
      <c r="AB17" s="270">
        <v>1.4369252789E-3</v>
      </c>
      <c r="AC17" s="270">
        <v>2.0474767177999999E-3</v>
      </c>
      <c r="AD17" s="270">
        <v>2.2310728707000001E-3</v>
      </c>
      <c r="AE17" s="270">
        <v>2.4710395167E-3</v>
      </c>
      <c r="AF17" s="270">
        <v>2.4870666626000001E-3</v>
      </c>
      <c r="AG17" s="270">
        <v>2.5656001335999999E-3</v>
      </c>
      <c r="AH17" s="270">
        <v>2.4879054322999999E-3</v>
      </c>
      <c r="AI17" s="270">
        <v>2.2476545958999999E-3</v>
      </c>
      <c r="AJ17" s="270">
        <v>2.0385671064000002E-3</v>
      </c>
      <c r="AK17" s="270">
        <v>1.6083880301999999E-3</v>
      </c>
      <c r="AL17" s="270">
        <v>1.4522843187000001E-3</v>
      </c>
      <c r="AM17" s="270">
        <v>1.5640537624999999E-3</v>
      </c>
      <c r="AN17" s="270">
        <v>1.6541991032999999E-3</v>
      </c>
      <c r="AO17" s="270">
        <v>2.3726533989E-3</v>
      </c>
      <c r="AP17" s="270">
        <v>2.5941462264000002E-3</v>
      </c>
      <c r="AQ17" s="270">
        <v>2.8805852235999998E-3</v>
      </c>
      <c r="AR17" s="270">
        <v>2.9059422123999998E-3</v>
      </c>
      <c r="AS17" s="270">
        <v>3.0055469278999999E-3</v>
      </c>
      <c r="AT17" s="270">
        <v>2.9072502659999999E-3</v>
      </c>
      <c r="AU17" s="270">
        <v>2.6269522809999999E-3</v>
      </c>
      <c r="AV17" s="270">
        <v>2.3799092322999999E-3</v>
      </c>
      <c r="AW17" s="270">
        <v>1.8507402247E-3</v>
      </c>
      <c r="AX17" s="270">
        <v>1.6690805472E-3</v>
      </c>
      <c r="AY17" s="270">
        <v>1.7861691942999999E-3</v>
      </c>
      <c r="AZ17" s="270">
        <v>1.9837473613E-3</v>
      </c>
      <c r="BA17" s="270">
        <v>2.7276340177999998E-3</v>
      </c>
      <c r="BB17" s="270">
        <v>2.9487343263000002E-3</v>
      </c>
      <c r="BC17" s="270">
        <v>3.2864354075000002E-3</v>
      </c>
      <c r="BD17" s="270">
        <v>3.3304187980000002E-3</v>
      </c>
      <c r="BE17" s="270">
        <v>3.4201000000000001E-3</v>
      </c>
      <c r="BF17" s="270">
        <v>3.3169699999999998E-3</v>
      </c>
      <c r="BG17" s="356">
        <v>3.0013700000000002E-3</v>
      </c>
      <c r="BH17" s="356">
        <v>2.7445500000000001E-3</v>
      </c>
      <c r="BI17" s="356">
        <v>2.1670999999999999E-3</v>
      </c>
      <c r="BJ17" s="356">
        <v>1.9597E-3</v>
      </c>
      <c r="BK17" s="356">
        <v>2.0653799999999999E-3</v>
      </c>
      <c r="BL17" s="356">
        <v>2.2008800000000001E-3</v>
      </c>
      <c r="BM17" s="356">
        <v>3.0797899999999998E-3</v>
      </c>
      <c r="BN17" s="356">
        <v>3.3302100000000001E-3</v>
      </c>
      <c r="BO17" s="356">
        <v>3.66863E-3</v>
      </c>
      <c r="BP17" s="356">
        <v>3.6788400000000001E-3</v>
      </c>
      <c r="BQ17" s="356">
        <v>3.8013500000000002E-3</v>
      </c>
      <c r="BR17" s="356">
        <v>3.6941399999999998E-3</v>
      </c>
      <c r="BS17" s="356">
        <v>3.3483300000000001E-3</v>
      </c>
      <c r="BT17" s="356">
        <v>3.06398E-3</v>
      </c>
      <c r="BU17" s="356">
        <v>2.41917E-3</v>
      </c>
      <c r="BV17" s="356">
        <v>2.1872599999999999E-3</v>
      </c>
    </row>
    <row r="18" spans="1:74" ht="12" customHeight="1" x14ac:dyDescent="0.2">
      <c r="A18" s="580" t="s">
        <v>22</v>
      </c>
      <c r="B18" s="581" t="s">
        <v>841</v>
      </c>
      <c r="C18" s="270">
        <v>1.4999556000000001E-2</v>
      </c>
      <c r="D18" s="270">
        <v>1.4516444999999999E-2</v>
      </c>
      <c r="E18" s="270">
        <v>1.5839426E-2</v>
      </c>
      <c r="F18" s="270">
        <v>1.4924649999999999E-2</v>
      </c>
      <c r="G18" s="270">
        <v>1.4973256000000001E-2</v>
      </c>
      <c r="H18" s="270">
        <v>1.2940200000000001E-2</v>
      </c>
      <c r="I18" s="270">
        <v>1.3701415999999999E-2</v>
      </c>
      <c r="J18" s="270">
        <v>1.3726656E-2</v>
      </c>
      <c r="K18" s="270">
        <v>1.300373E-2</v>
      </c>
      <c r="L18" s="270">
        <v>1.5062526E-2</v>
      </c>
      <c r="M18" s="270">
        <v>1.516904E-2</v>
      </c>
      <c r="N18" s="270">
        <v>1.5568406E-2</v>
      </c>
      <c r="O18" s="270">
        <v>1.5196486E-2</v>
      </c>
      <c r="P18" s="270">
        <v>1.3684913999999999E-2</v>
      </c>
      <c r="Q18" s="270">
        <v>1.5065556000000001E-2</v>
      </c>
      <c r="R18" s="270">
        <v>1.4390969E-2</v>
      </c>
      <c r="S18" s="270">
        <v>1.3748306E-2</v>
      </c>
      <c r="T18" s="270">
        <v>1.2437439E-2</v>
      </c>
      <c r="U18" s="270">
        <v>1.3167946E-2</v>
      </c>
      <c r="V18" s="270">
        <v>1.3335206E-2</v>
      </c>
      <c r="W18" s="270">
        <v>1.2607899000000001E-2</v>
      </c>
      <c r="X18" s="270">
        <v>1.4254736E-2</v>
      </c>
      <c r="Y18" s="270">
        <v>1.4579429E-2</v>
      </c>
      <c r="Z18" s="270">
        <v>1.5067316000000001E-2</v>
      </c>
      <c r="AA18" s="270">
        <v>1.4977336000000001E-2</v>
      </c>
      <c r="AB18" s="270">
        <v>1.3523524E-2</v>
      </c>
      <c r="AC18" s="270">
        <v>1.4919276E-2</v>
      </c>
      <c r="AD18" s="270">
        <v>1.4130258999999999E-2</v>
      </c>
      <c r="AE18" s="270">
        <v>1.3776906E-2</v>
      </c>
      <c r="AF18" s="270">
        <v>1.2192289E-2</v>
      </c>
      <c r="AG18" s="270">
        <v>1.2767066000000001E-2</v>
      </c>
      <c r="AH18" s="270">
        <v>1.2900636E-2</v>
      </c>
      <c r="AI18" s="270">
        <v>1.2403058999999999E-2</v>
      </c>
      <c r="AJ18" s="270">
        <v>1.4498676E-2</v>
      </c>
      <c r="AK18" s="270">
        <v>1.4304829E-2</v>
      </c>
      <c r="AL18" s="270">
        <v>1.5008316000000001E-2</v>
      </c>
      <c r="AM18" s="270">
        <v>1.4592216E-2</v>
      </c>
      <c r="AN18" s="270">
        <v>1.3418014000000001E-2</v>
      </c>
      <c r="AO18" s="270">
        <v>1.4321166E-2</v>
      </c>
      <c r="AP18" s="270">
        <v>1.2971849000000001E-2</v>
      </c>
      <c r="AQ18" s="270">
        <v>1.2729875999999999E-2</v>
      </c>
      <c r="AR18" s="270">
        <v>1.2790968999999999E-2</v>
      </c>
      <c r="AS18" s="270">
        <v>1.2456785999999999E-2</v>
      </c>
      <c r="AT18" s="270">
        <v>1.2621996E-2</v>
      </c>
      <c r="AU18" s="270">
        <v>1.1920659E-2</v>
      </c>
      <c r="AV18" s="270">
        <v>1.4099296000000001E-2</v>
      </c>
      <c r="AW18" s="270">
        <v>1.3972079E-2</v>
      </c>
      <c r="AX18" s="270">
        <v>1.4541256000000001E-2</v>
      </c>
      <c r="AY18" s="270">
        <v>1.4802635999999999E-2</v>
      </c>
      <c r="AZ18" s="270">
        <v>1.3730615E-2</v>
      </c>
      <c r="BA18" s="270">
        <v>1.4242806E-2</v>
      </c>
      <c r="BB18" s="270">
        <v>1.3822070000000001E-2</v>
      </c>
      <c r="BC18" s="270">
        <v>1.4071446E-2</v>
      </c>
      <c r="BD18" s="270">
        <v>1.20616E-2</v>
      </c>
      <c r="BE18" s="270">
        <v>1.3281599999999999E-2</v>
      </c>
      <c r="BF18" s="270">
        <v>1.35478E-2</v>
      </c>
      <c r="BG18" s="356">
        <v>1.2786E-2</v>
      </c>
      <c r="BH18" s="356">
        <v>1.41549E-2</v>
      </c>
      <c r="BI18" s="356">
        <v>1.38163E-2</v>
      </c>
      <c r="BJ18" s="356">
        <v>1.44055E-2</v>
      </c>
      <c r="BK18" s="356">
        <v>1.4410600000000001E-2</v>
      </c>
      <c r="BL18" s="356">
        <v>1.3219399999999999E-2</v>
      </c>
      <c r="BM18" s="356">
        <v>1.40316E-2</v>
      </c>
      <c r="BN18" s="356">
        <v>1.3617199999999999E-2</v>
      </c>
      <c r="BO18" s="356">
        <v>1.3835099999999999E-2</v>
      </c>
      <c r="BP18" s="356">
        <v>1.2821600000000001E-2</v>
      </c>
      <c r="BQ18" s="356">
        <v>1.3407000000000001E-2</v>
      </c>
      <c r="BR18" s="356">
        <v>1.3627E-2</v>
      </c>
      <c r="BS18" s="356">
        <v>1.2797299999999999E-2</v>
      </c>
      <c r="BT18" s="356">
        <v>1.4094300000000001E-2</v>
      </c>
      <c r="BU18" s="356">
        <v>1.37456E-2</v>
      </c>
      <c r="BV18" s="356">
        <v>1.43378E-2</v>
      </c>
    </row>
    <row r="19" spans="1:74" ht="12" customHeight="1" x14ac:dyDescent="0.2">
      <c r="A19" s="545" t="s">
        <v>54</v>
      </c>
      <c r="B19" s="581" t="s">
        <v>1066</v>
      </c>
      <c r="C19" s="270">
        <v>0.12675117599999999</v>
      </c>
      <c r="D19" s="270">
        <v>0.11851002300000001</v>
      </c>
      <c r="E19" s="270">
        <v>0.121447376</v>
      </c>
      <c r="F19" s="270">
        <v>0.115260059</v>
      </c>
      <c r="G19" s="270">
        <v>0.120853956</v>
      </c>
      <c r="H19" s="270">
        <v>0.121132669</v>
      </c>
      <c r="I19" s="270">
        <v>0.124084676</v>
      </c>
      <c r="J19" s="270">
        <v>0.124402316</v>
      </c>
      <c r="K19" s="270">
        <v>0.116908159</v>
      </c>
      <c r="L19" s="270">
        <v>0.11952067600000001</v>
      </c>
      <c r="M19" s="270">
        <v>0.121972399</v>
      </c>
      <c r="N19" s="270">
        <v>0.142932266</v>
      </c>
      <c r="O19" s="270">
        <v>0.12309469300000001</v>
      </c>
      <c r="P19" s="270">
        <v>0.11214916900000001</v>
      </c>
      <c r="Q19" s="270">
        <v>0.121768213</v>
      </c>
      <c r="R19" s="270">
        <v>0.115380392</v>
      </c>
      <c r="S19" s="270">
        <v>0.118025173</v>
      </c>
      <c r="T19" s="270">
        <v>0.12082454199999999</v>
      </c>
      <c r="U19" s="270">
        <v>0.124617773</v>
      </c>
      <c r="V19" s="270">
        <v>0.125508963</v>
      </c>
      <c r="W19" s="270">
        <v>0.11456079199999999</v>
      </c>
      <c r="X19" s="270">
        <v>0.119457493</v>
      </c>
      <c r="Y19" s="270">
        <v>0.120522982</v>
      </c>
      <c r="Z19" s="270">
        <v>0.12641403300000001</v>
      </c>
      <c r="AA19" s="270">
        <v>0.124042123</v>
      </c>
      <c r="AB19" s="270">
        <v>0.111187829</v>
      </c>
      <c r="AC19" s="270">
        <v>0.121947023</v>
      </c>
      <c r="AD19" s="270">
        <v>0.115191132</v>
      </c>
      <c r="AE19" s="270">
        <v>0.120855643</v>
      </c>
      <c r="AF19" s="270">
        <v>0.118000462</v>
      </c>
      <c r="AG19" s="270">
        <v>0.12417450300000001</v>
      </c>
      <c r="AH19" s="270">
        <v>0.123442703</v>
      </c>
      <c r="AI19" s="270">
        <v>0.11530705199999999</v>
      </c>
      <c r="AJ19" s="270">
        <v>0.118962293</v>
      </c>
      <c r="AK19" s="270">
        <v>0.11823397200000001</v>
      </c>
      <c r="AL19" s="270">
        <v>0.126685403</v>
      </c>
      <c r="AM19" s="270">
        <v>0.13090402300000001</v>
      </c>
      <c r="AN19" s="270">
        <v>0.118617609</v>
      </c>
      <c r="AO19" s="270">
        <v>0.123669743</v>
      </c>
      <c r="AP19" s="270">
        <v>0.12059827200000001</v>
      </c>
      <c r="AQ19" s="270">
        <v>0.122444653</v>
      </c>
      <c r="AR19" s="270">
        <v>0.119992142</v>
      </c>
      <c r="AS19" s="270">
        <v>0.123941653</v>
      </c>
      <c r="AT19" s="270">
        <v>0.12705567300000001</v>
      </c>
      <c r="AU19" s="270">
        <v>0.117898132</v>
      </c>
      <c r="AV19" s="270">
        <v>0.120016363</v>
      </c>
      <c r="AW19" s="270">
        <v>0.121726582</v>
      </c>
      <c r="AX19" s="270">
        <v>0.12581624299999999</v>
      </c>
      <c r="AY19" s="270">
        <v>0.11891795600000001</v>
      </c>
      <c r="AZ19" s="270">
        <v>0.11020775300000001</v>
      </c>
      <c r="BA19" s="270">
        <v>0.11401048599999999</v>
      </c>
      <c r="BB19" s="270">
        <v>0.11245345900000001</v>
      </c>
      <c r="BC19" s="270">
        <v>0.117580936</v>
      </c>
      <c r="BD19" s="270">
        <v>0.1069008</v>
      </c>
      <c r="BE19" s="270">
        <v>0.11449380000000001</v>
      </c>
      <c r="BF19" s="270">
        <v>0.1148025</v>
      </c>
      <c r="BG19" s="356">
        <v>0.1117373</v>
      </c>
      <c r="BH19" s="356">
        <v>0.11670609999999999</v>
      </c>
      <c r="BI19" s="356">
        <v>0.1139212</v>
      </c>
      <c r="BJ19" s="356">
        <v>0.11948599999999999</v>
      </c>
      <c r="BK19" s="356">
        <v>0.11935759999999999</v>
      </c>
      <c r="BL19" s="356">
        <v>0.1081462</v>
      </c>
      <c r="BM19" s="356">
        <v>0.1141518</v>
      </c>
      <c r="BN19" s="356">
        <v>0.1120719</v>
      </c>
      <c r="BO19" s="356">
        <v>0.1139535</v>
      </c>
      <c r="BP19" s="356">
        <v>0.11326650000000001</v>
      </c>
      <c r="BQ19" s="356">
        <v>0.1197163</v>
      </c>
      <c r="BR19" s="356">
        <v>0.11841749999999999</v>
      </c>
      <c r="BS19" s="356">
        <v>0.1143573</v>
      </c>
      <c r="BT19" s="356">
        <v>0.1188408</v>
      </c>
      <c r="BU19" s="356">
        <v>0.1158011</v>
      </c>
      <c r="BV19" s="356">
        <v>0.1212466</v>
      </c>
    </row>
    <row r="20" spans="1:74" ht="12" customHeight="1" x14ac:dyDescent="0.2">
      <c r="A20" s="580" t="s">
        <v>21</v>
      </c>
      <c r="B20" s="581" t="s">
        <v>362</v>
      </c>
      <c r="C20" s="270">
        <v>0.21099900563999999</v>
      </c>
      <c r="D20" s="270">
        <v>0.19858971092</v>
      </c>
      <c r="E20" s="270">
        <v>0.20796832053</v>
      </c>
      <c r="F20" s="270">
        <v>0.19462570392</v>
      </c>
      <c r="G20" s="270">
        <v>0.20502514492000001</v>
      </c>
      <c r="H20" s="270">
        <v>0.20332478419</v>
      </c>
      <c r="I20" s="270">
        <v>0.20940894090000001</v>
      </c>
      <c r="J20" s="270">
        <v>0.21054143892999999</v>
      </c>
      <c r="K20" s="270">
        <v>0.19798194736999999</v>
      </c>
      <c r="L20" s="270">
        <v>0.2049937318</v>
      </c>
      <c r="M20" s="270">
        <v>0.20668818218000001</v>
      </c>
      <c r="N20" s="270">
        <v>0.23284231341</v>
      </c>
      <c r="O20" s="270">
        <v>0.21233824471000001</v>
      </c>
      <c r="P20" s="270">
        <v>0.19190339880999999</v>
      </c>
      <c r="Q20" s="270">
        <v>0.20993594540999999</v>
      </c>
      <c r="R20" s="270">
        <v>0.19713120859</v>
      </c>
      <c r="S20" s="270">
        <v>0.20419040462999999</v>
      </c>
      <c r="T20" s="270">
        <v>0.20310814152000001</v>
      </c>
      <c r="U20" s="270">
        <v>0.20878399466</v>
      </c>
      <c r="V20" s="270">
        <v>0.21247061990999999</v>
      </c>
      <c r="W20" s="270">
        <v>0.19625833924</v>
      </c>
      <c r="X20" s="270">
        <v>0.20622420148000001</v>
      </c>
      <c r="Y20" s="270">
        <v>0.20885291617999999</v>
      </c>
      <c r="Z20" s="270">
        <v>0.21574056550000001</v>
      </c>
      <c r="AA20" s="270">
        <v>0.2117209364</v>
      </c>
      <c r="AB20" s="270">
        <v>0.19102729241999999</v>
      </c>
      <c r="AC20" s="270">
        <v>0.20927931592999999</v>
      </c>
      <c r="AD20" s="270">
        <v>0.19807651832000001</v>
      </c>
      <c r="AE20" s="270">
        <v>0.20730533579999999</v>
      </c>
      <c r="AF20" s="270">
        <v>0.20155497719000001</v>
      </c>
      <c r="AG20" s="270">
        <v>0.21159390938</v>
      </c>
      <c r="AH20" s="270">
        <v>0.21191230226999999</v>
      </c>
      <c r="AI20" s="270">
        <v>0.19636306865</v>
      </c>
      <c r="AJ20" s="270">
        <v>0.20616374000000001</v>
      </c>
      <c r="AK20" s="270">
        <v>0.20337087717999999</v>
      </c>
      <c r="AL20" s="270">
        <v>0.21305243194000001</v>
      </c>
      <c r="AM20" s="270">
        <v>0.21543494512</v>
      </c>
      <c r="AN20" s="270">
        <v>0.19537784590999999</v>
      </c>
      <c r="AO20" s="270">
        <v>0.20660458740000001</v>
      </c>
      <c r="AP20" s="270">
        <v>0.20231537156000001</v>
      </c>
      <c r="AQ20" s="270">
        <v>0.20736304749000001</v>
      </c>
      <c r="AR20" s="270">
        <v>0.20360358814000001</v>
      </c>
      <c r="AS20" s="270">
        <v>0.20861643963000001</v>
      </c>
      <c r="AT20" s="270">
        <v>0.21047131261999999</v>
      </c>
      <c r="AU20" s="270">
        <v>0.19469075979</v>
      </c>
      <c r="AV20" s="270">
        <v>0.20277381744</v>
      </c>
      <c r="AW20" s="270">
        <v>0.20516037294</v>
      </c>
      <c r="AX20" s="270">
        <v>0.21400936989</v>
      </c>
      <c r="AY20" s="270">
        <v>0.20682271244</v>
      </c>
      <c r="AZ20" s="270">
        <v>0.19095143605000001</v>
      </c>
      <c r="BA20" s="270">
        <v>0.19290833399999999</v>
      </c>
      <c r="BB20" s="270">
        <v>0.16427041382999999</v>
      </c>
      <c r="BC20" s="270">
        <v>0.17880351099</v>
      </c>
      <c r="BD20" s="270">
        <v>0.17658740000000001</v>
      </c>
      <c r="BE20" s="270">
        <v>0.19161629999999999</v>
      </c>
      <c r="BF20" s="270">
        <v>0.1916554</v>
      </c>
      <c r="BG20" s="356">
        <v>0.18659429999999999</v>
      </c>
      <c r="BH20" s="356">
        <v>0.19345200000000001</v>
      </c>
      <c r="BI20" s="356">
        <v>0.19098560000000001</v>
      </c>
      <c r="BJ20" s="356">
        <v>0.20086109999999999</v>
      </c>
      <c r="BK20" s="356">
        <v>0.20135929999999999</v>
      </c>
      <c r="BL20" s="356">
        <v>0.18365989999999999</v>
      </c>
      <c r="BM20" s="356">
        <v>0.1962294</v>
      </c>
      <c r="BN20" s="356">
        <v>0.19061690000000001</v>
      </c>
      <c r="BO20" s="356">
        <v>0.1967131</v>
      </c>
      <c r="BP20" s="356">
        <v>0.19341469999999999</v>
      </c>
      <c r="BQ20" s="356">
        <v>0.20220650000000001</v>
      </c>
      <c r="BR20" s="356">
        <v>0.20213590000000001</v>
      </c>
      <c r="BS20" s="356">
        <v>0.19204489999999999</v>
      </c>
      <c r="BT20" s="356">
        <v>0.20130400000000001</v>
      </c>
      <c r="BU20" s="356">
        <v>0.19812460000000001</v>
      </c>
      <c r="BV20" s="356">
        <v>0.2047745</v>
      </c>
    </row>
    <row r="21" spans="1:74" ht="12" customHeight="1" x14ac:dyDescent="0.2">
      <c r="A21" s="580"/>
      <c r="B21" s="170" t="s">
        <v>364</v>
      </c>
      <c r="C21" s="236"/>
      <c r="D21" s="236"/>
      <c r="E21" s="236"/>
      <c r="F21" s="236"/>
      <c r="G21" s="236"/>
      <c r="H21" s="236"/>
      <c r="I21" s="236"/>
      <c r="J21" s="236"/>
      <c r="K21" s="236"/>
      <c r="L21" s="236"/>
      <c r="M21" s="236"/>
      <c r="N21" s="236"/>
      <c r="O21" s="236"/>
      <c r="P21" s="236"/>
      <c r="Q21" s="236"/>
      <c r="R21" s="236"/>
      <c r="S21" s="236"/>
      <c r="T21" s="236"/>
      <c r="U21" s="236"/>
      <c r="V21" s="236"/>
      <c r="W21" s="236"/>
      <c r="X21" s="236"/>
      <c r="Y21" s="236"/>
      <c r="Z21" s="236"/>
      <c r="AA21" s="236"/>
      <c r="AB21" s="236"/>
      <c r="AC21" s="236"/>
      <c r="AD21" s="236"/>
      <c r="AE21" s="236"/>
      <c r="AF21" s="236"/>
      <c r="AG21" s="236"/>
      <c r="AH21" s="236"/>
      <c r="AI21" s="236"/>
      <c r="AJ21" s="236"/>
      <c r="AK21" s="236"/>
      <c r="AL21" s="236"/>
      <c r="AM21" s="236"/>
      <c r="AN21" s="236"/>
      <c r="AO21" s="236"/>
      <c r="AP21" s="236"/>
      <c r="AQ21" s="236"/>
      <c r="AR21" s="236"/>
      <c r="AS21" s="236"/>
      <c r="AT21" s="236"/>
      <c r="AU21" s="236"/>
      <c r="AV21" s="236"/>
      <c r="AW21" s="236"/>
      <c r="AX21" s="236"/>
      <c r="AY21" s="236"/>
      <c r="AZ21" s="236"/>
      <c r="BA21" s="236"/>
      <c r="BB21" s="236"/>
      <c r="BC21" s="236"/>
      <c r="BD21" s="236"/>
      <c r="BE21" s="236"/>
      <c r="BF21" s="236"/>
      <c r="BG21" s="357"/>
      <c r="BH21" s="357"/>
      <c r="BI21" s="357"/>
      <c r="BJ21" s="357"/>
      <c r="BK21" s="357"/>
      <c r="BL21" s="357"/>
      <c r="BM21" s="357"/>
      <c r="BN21" s="357"/>
      <c r="BO21" s="357"/>
      <c r="BP21" s="357"/>
      <c r="BQ21" s="357"/>
      <c r="BR21" s="357"/>
      <c r="BS21" s="357"/>
      <c r="BT21" s="357"/>
      <c r="BU21" s="357"/>
      <c r="BV21" s="357"/>
    </row>
    <row r="22" spans="1:74" ht="12" customHeight="1" x14ac:dyDescent="0.2">
      <c r="A22" s="580" t="s">
        <v>66</v>
      </c>
      <c r="B22" s="581" t="s">
        <v>469</v>
      </c>
      <c r="C22" s="270">
        <v>1.6685789999999999E-3</v>
      </c>
      <c r="D22" s="270">
        <v>1.560929E-3</v>
      </c>
      <c r="E22" s="270">
        <v>1.6685789999999999E-3</v>
      </c>
      <c r="F22" s="270">
        <v>1.6147539999999999E-3</v>
      </c>
      <c r="G22" s="270">
        <v>1.6685789999999999E-3</v>
      </c>
      <c r="H22" s="270">
        <v>1.6147539999999999E-3</v>
      </c>
      <c r="I22" s="270">
        <v>1.6685789999999999E-3</v>
      </c>
      <c r="J22" s="270">
        <v>1.6685789999999999E-3</v>
      </c>
      <c r="K22" s="270">
        <v>1.6147539999999999E-3</v>
      </c>
      <c r="L22" s="270">
        <v>1.6685789999999999E-3</v>
      </c>
      <c r="M22" s="270">
        <v>1.6147539999999999E-3</v>
      </c>
      <c r="N22" s="270">
        <v>1.6685789999999999E-3</v>
      </c>
      <c r="O22" s="270">
        <v>1.6731509999999999E-3</v>
      </c>
      <c r="P22" s="270">
        <v>1.5112330000000001E-3</v>
      </c>
      <c r="Q22" s="270">
        <v>1.6731509999999999E-3</v>
      </c>
      <c r="R22" s="270">
        <v>1.619178E-3</v>
      </c>
      <c r="S22" s="270">
        <v>1.6731509999999999E-3</v>
      </c>
      <c r="T22" s="270">
        <v>1.619178E-3</v>
      </c>
      <c r="U22" s="270">
        <v>1.6731509999999999E-3</v>
      </c>
      <c r="V22" s="270">
        <v>1.6731509999999999E-3</v>
      </c>
      <c r="W22" s="270">
        <v>1.619178E-3</v>
      </c>
      <c r="X22" s="270">
        <v>1.6731509999999999E-3</v>
      </c>
      <c r="Y22" s="270">
        <v>1.619178E-3</v>
      </c>
      <c r="Z22" s="270">
        <v>1.6731509999999999E-3</v>
      </c>
      <c r="AA22" s="270">
        <v>1.6731509999999999E-3</v>
      </c>
      <c r="AB22" s="270">
        <v>1.5112330000000001E-3</v>
      </c>
      <c r="AC22" s="270">
        <v>1.6731509999999999E-3</v>
      </c>
      <c r="AD22" s="270">
        <v>1.619178E-3</v>
      </c>
      <c r="AE22" s="270">
        <v>1.6731509999999999E-3</v>
      </c>
      <c r="AF22" s="270">
        <v>1.619178E-3</v>
      </c>
      <c r="AG22" s="270">
        <v>1.6731509999999999E-3</v>
      </c>
      <c r="AH22" s="270">
        <v>1.6731509999999999E-3</v>
      </c>
      <c r="AI22" s="270">
        <v>1.619178E-3</v>
      </c>
      <c r="AJ22" s="270">
        <v>1.6731509999999999E-3</v>
      </c>
      <c r="AK22" s="270">
        <v>1.619178E-3</v>
      </c>
      <c r="AL22" s="270">
        <v>1.9776070000000001E-3</v>
      </c>
      <c r="AM22" s="270">
        <v>2.0559469999999998E-3</v>
      </c>
      <c r="AN22" s="270">
        <v>1.881247E-3</v>
      </c>
      <c r="AO22" s="270">
        <v>2.0752019999999999E-3</v>
      </c>
      <c r="AP22" s="270">
        <v>1.8645580000000001E-3</v>
      </c>
      <c r="AQ22" s="270">
        <v>2.0135489999999999E-3</v>
      </c>
      <c r="AR22" s="270">
        <v>1.928122E-3</v>
      </c>
      <c r="AS22" s="270">
        <v>1.9771609999999998E-3</v>
      </c>
      <c r="AT22" s="270">
        <v>1.953008E-3</v>
      </c>
      <c r="AU22" s="270">
        <v>1.8879190000000001E-3</v>
      </c>
      <c r="AV22" s="270">
        <v>2.0206320000000001E-3</v>
      </c>
      <c r="AW22" s="270">
        <v>2.0028929999999999E-3</v>
      </c>
      <c r="AX22" s="270">
        <v>2.0614819999999999E-3</v>
      </c>
      <c r="AY22" s="270">
        <v>1.6685789999999999E-3</v>
      </c>
      <c r="AZ22" s="270">
        <v>1.560929E-3</v>
      </c>
      <c r="BA22" s="270">
        <v>1.6685789999999999E-3</v>
      </c>
      <c r="BB22" s="270">
        <v>1.6147539999999999E-3</v>
      </c>
      <c r="BC22" s="270">
        <v>1.6685789999999999E-3</v>
      </c>
      <c r="BD22" s="270">
        <v>1.8258599999999999E-3</v>
      </c>
      <c r="BE22" s="270">
        <v>1.81211E-3</v>
      </c>
      <c r="BF22" s="270">
        <v>1.7993E-3</v>
      </c>
      <c r="BG22" s="356">
        <v>1.7912500000000001E-3</v>
      </c>
      <c r="BH22" s="356">
        <v>1.7703899999999999E-3</v>
      </c>
      <c r="BI22" s="356">
        <v>1.7492600000000001E-3</v>
      </c>
      <c r="BJ22" s="356">
        <v>1.72087E-3</v>
      </c>
      <c r="BK22" s="356">
        <v>1.72562E-3</v>
      </c>
      <c r="BL22" s="356">
        <v>1.7405999999999999E-3</v>
      </c>
      <c r="BM22" s="356">
        <v>1.7471400000000001E-3</v>
      </c>
      <c r="BN22" s="356">
        <v>1.7591799999999999E-3</v>
      </c>
      <c r="BO22" s="356">
        <v>1.76742E-3</v>
      </c>
      <c r="BP22" s="356">
        <v>1.7621E-3</v>
      </c>
      <c r="BQ22" s="356">
        <v>1.75756E-3</v>
      </c>
      <c r="BR22" s="356">
        <v>1.75376E-3</v>
      </c>
      <c r="BS22" s="356">
        <v>1.7503499999999999E-3</v>
      </c>
      <c r="BT22" s="356">
        <v>1.7485300000000001E-3</v>
      </c>
      <c r="BU22" s="356">
        <v>1.74847E-3</v>
      </c>
      <c r="BV22" s="356">
        <v>1.7509800000000001E-3</v>
      </c>
    </row>
    <row r="23" spans="1:74" ht="12" customHeight="1" x14ac:dyDescent="0.2">
      <c r="A23" s="580" t="s">
        <v>1064</v>
      </c>
      <c r="B23" s="581" t="s">
        <v>1063</v>
      </c>
      <c r="C23" s="270">
        <v>3.4407132790999998E-3</v>
      </c>
      <c r="D23" s="270">
        <v>4.0376595136000001E-3</v>
      </c>
      <c r="E23" s="270">
        <v>5.2070133820000001E-3</v>
      </c>
      <c r="F23" s="270">
        <v>5.6488428324999998E-3</v>
      </c>
      <c r="G23" s="270">
        <v>6.1231264188000003E-3</v>
      </c>
      <c r="H23" s="270">
        <v>6.2370362631999996E-3</v>
      </c>
      <c r="I23" s="270">
        <v>6.4212921657999999E-3</v>
      </c>
      <c r="J23" s="270">
        <v>6.2542581345000001E-3</v>
      </c>
      <c r="K23" s="270">
        <v>5.5840968778000004E-3</v>
      </c>
      <c r="L23" s="270">
        <v>4.9465654603000004E-3</v>
      </c>
      <c r="M23" s="270">
        <v>3.9549118974E-3</v>
      </c>
      <c r="N23" s="270">
        <v>3.8794065822000002E-3</v>
      </c>
      <c r="O23" s="270">
        <v>4.0953055473000001E-3</v>
      </c>
      <c r="P23" s="270">
        <v>4.5155157287E-3</v>
      </c>
      <c r="Q23" s="270">
        <v>6.2248111641000003E-3</v>
      </c>
      <c r="R23" s="270">
        <v>6.8936729464999999E-3</v>
      </c>
      <c r="S23" s="270">
        <v>7.6063104180999997E-3</v>
      </c>
      <c r="T23" s="270">
        <v>7.6958399199000002E-3</v>
      </c>
      <c r="U23" s="270">
        <v>7.9478402528000008E-3</v>
      </c>
      <c r="V23" s="270">
        <v>7.746249264E-3</v>
      </c>
      <c r="W23" s="270">
        <v>6.9828412433999999E-3</v>
      </c>
      <c r="X23" s="270">
        <v>6.1970832678999999E-3</v>
      </c>
      <c r="Y23" s="270">
        <v>4.9179446357999999E-3</v>
      </c>
      <c r="Z23" s="270">
        <v>4.7769583456000004E-3</v>
      </c>
      <c r="AA23" s="270">
        <v>5.2900142669000004E-3</v>
      </c>
      <c r="AB23" s="270">
        <v>5.7866800371999998E-3</v>
      </c>
      <c r="AC23" s="270">
        <v>7.8554391304000003E-3</v>
      </c>
      <c r="AD23" s="270">
        <v>8.7109590165999999E-3</v>
      </c>
      <c r="AE23" s="270">
        <v>9.5445595390000002E-3</v>
      </c>
      <c r="AF23" s="270">
        <v>9.6966113150000009E-3</v>
      </c>
      <c r="AG23" s="270">
        <v>9.9642264721999992E-3</v>
      </c>
      <c r="AH23" s="270">
        <v>9.5508648510000006E-3</v>
      </c>
      <c r="AI23" s="270">
        <v>8.5424656441999997E-3</v>
      </c>
      <c r="AJ23" s="270">
        <v>7.5182491568000004E-3</v>
      </c>
      <c r="AK23" s="270">
        <v>5.9393611090999996E-3</v>
      </c>
      <c r="AL23" s="270">
        <v>5.5860523214999996E-3</v>
      </c>
      <c r="AM23" s="270">
        <v>6.0508166287999996E-3</v>
      </c>
      <c r="AN23" s="270">
        <v>6.4773750988999998E-3</v>
      </c>
      <c r="AO23" s="270">
        <v>9.0091356644999999E-3</v>
      </c>
      <c r="AP23" s="270">
        <v>1.0003034293E-2</v>
      </c>
      <c r="AQ23" s="270">
        <v>1.0761636756E-2</v>
      </c>
      <c r="AR23" s="270">
        <v>1.089127361E-2</v>
      </c>
      <c r="AS23" s="270">
        <v>1.1416790055999999E-2</v>
      </c>
      <c r="AT23" s="270">
        <v>1.0885600306E-2</v>
      </c>
      <c r="AU23" s="270">
        <v>9.6742618144000005E-3</v>
      </c>
      <c r="AV23" s="270">
        <v>8.5332553275999992E-3</v>
      </c>
      <c r="AW23" s="270">
        <v>6.5979582161999999E-3</v>
      </c>
      <c r="AX23" s="270">
        <v>6.2631253500999998E-3</v>
      </c>
      <c r="AY23" s="270">
        <v>6.9791969105000001E-3</v>
      </c>
      <c r="AZ23" s="270">
        <v>7.9310198283000007E-3</v>
      </c>
      <c r="BA23" s="270">
        <v>1.0299696136E-2</v>
      </c>
      <c r="BB23" s="270">
        <v>1.1430720478000001E-2</v>
      </c>
      <c r="BC23" s="270">
        <v>1.2540506317000001E-2</v>
      </c>
      <c r="BD23" s="270">
        <v>1.2565489405E-2</v>
      </c>
      <c r="BE23" s="270">
        <v>1.2777200000000001E-2</v>
      </c>
      <c r="BF23" s="270">
        <v>1.2199399999999999E-2</v>
      </c>
      <c r="BG23" s="356">
        <v>1.09123E-2</v>
      </c>
      <c r="BH23" s="356">
        <v>9.6711599999999998E-3</v>
      </c>
      <c r="BI23" s="356">
        <v>7.6846400000000004E-3</v>
      </c>
      <c r="BJ23" s="356">
        <v>7.2942299999999996E-3</v>
      </c>
      <c r="BK23" s="356">
        <v>7.8115499999999996E-3</v>
      </c>
      <c r="BL23" s="356">
        <v>8.6157100000000004E-3</v>
      </c>
      <c r="BM23" s="356">
        <v>1.15239E-2</v>
      </c>
      <c r="BN23" s="356">
        <v>1.26499E-2</v>
      </c>
      <c r="BO23" s="356">
        <v>1.38072E-2</v>
      </c>
      <c r="BP23" s="356">
        <v>1.38841E-2</v>
      </c>
      <c r="BQ23" s="356">
        <v>1.43985E-2</v>
      </c>
      <c r="BR23" s="356">
        <v>1.38529E-2</v>
      </c>
      <c r="BS23" s="356">
        <v>1.24767E-2</v>
      </c>
      <c r="BT23" s="356">
        <v>1.1113899999999999E-2</v>
      </c>
      <c r="BU23" s="356">
        <v>8.8659199999999994E-3</v>
      </c>
      <c r="BV23" s="356">
        <v>8.4475100000000001E-3</v>
      </c>
    </row>
    <row r="24" spans="1:74" ht="12" customHeight="1" x14ac:dyDescent="0.2">
      <c r="A24" s="545" t="s">
        <v>862</v>
      </c>
      <c r="B24" s="581" t="s">
        <v>841</v>
      </c>
      <c r="C24" s="270">
        <v>3.9803499999999997E-3</v>
      </c>
      <c r="D24" s="270">
        <v>3.61445E-3</v>
      </c>
      <c r="E24" s="270">
        <v>4.1044499999999999E-3</v>
      </c>
      <c r="F24" s="270">
        <v>3.9306699999999998E-3</v>
      </c>
      <c r="G24" s="270">
        <v>4.0506500000000003E-3</v>
      </c>
      <c r="H24" s="270">
        <v>3.9919600000000001E-3</v>
      </c>
      <c r="I24" s="270">
        <v>4.2129000000000003E-3</v>
      </c>
      <c r="J24" s="270">
        <v>4.1688999999999997E-3</v>
      </c>
      <c r="K24" s="270">
        <v>3.9595200000000002E-3</v>
      </c>
      <c r="L24" s="270">
        <v>3.9046300000000001E-3</v>
      </c>
      <c r="M24" s="270">
        <v>4.0761E-3</v>
      </c>
      <c r="N24" s="270">
        <v>4.1364699999999997E-3</v>
      </c>
      <c r="O24" s="270">
        <v>4.28686E-3</v>
      </c>
      <c r="P24" s="270">
        <v>3.79196E-3</v>
      </c>
      <c r="Q24" s="270">
        <v>4.0063E-3</v>
      </c>
      <c r="R24" s="270">
        <v>3.8939600000000001E-3</v>
      </c>
      <c r="S24" s="270">
        <v>4.0485900000000003E-3</v>
      </c>
      <c r="T24" s="270">
        <v>3.9549399999999997E-3</v>
      </c>
      <c r="U24" s="270">
        <v>4.0954399999999997E-3</v>
      </c>
      <c r="V24" s="270">
        <v>4.1099700000000001E-3</v>
      </c>
      <c r="W24" s="270">
        <v>3.6791599999999999E-3</v>
      </c>
      <c r="X24" s="270">
        <v>3.6778599999999998E-3</v>
      </c>
      <c r="Y24" s="270">
        <v>3.9069700000000001E-3</v>
      </c>
      <c r="Z24" s="270">
        <v>4.0543200000000001E-3</v>
      </c>
      <c r="AA24" s="270">
        <v>3.9872400000000004E-3</v>
      </c>
      <c r="AB24" s="270">
        <v>3.7086100000000002E-3</v>
      </c>
      <c r="AC24" s="270">
        <v>3.98657E-3</v>
      </c>
      <c r="AD24" s="270">
        <v>3.89851E-3</v>
      </c>
      <c r="AE24" s="270">
        <v>4.0406299999999999E-3</v>
      </c>
      <c r="AF24" s="270">
        <v>3.9206400000000004E-3</v>
      </c>
      <c r="AG24" s="270">
        <v>3.9728799999999998E-3</v>
      </c>
      <c r="AH24" s="270">
        <v>4.0492100000000001E-3</v>
      </c>
      <c r="AI24" s="270">
        <v>3.6016199999999998E-3</v>
      </c>
      <c r="AJ24" s="270">
        <v>3.8679299999999999E-3</v>
      </c>
      <c r="AK24" s="270">
        <v>3.87645E-3</v>
      </c>
      <c r="AL24" s="270">
        <v>4.0135199999999996E-3</v>
      </c>
      <c r="AM24" s="270">
        <v>3.5744000000000001E-3</v>
      </c>
      <c r="AN24" s="270">
        <v>3.1224600000000001E-3</v>
      </c>
      <c r="AO24" s="270">
        <v>3.34147E-3</v>
      </c>
      <c r="AP24" s="270">
        <v>2.84096E-3</v>
      </c>
      <c r="AQ24" s="270">
        <v>2.61678E-3</v>
      </c>
      <c r="AR24" s="270">
        <v>2.9300300000000001E-3</v>
      </c>
      <c r="AS24" s="270">
        <v>2.8972500000000001E-3</v>
      </c>
      <c r="AT24" s="270">
        <v>3.0175800000000002E-3</v>
      </c>
      <c r="AU24" s="270">
        <v>2.9080600000000001E-3</v>
      </c>
      <c r="AV24" s="270">
        <v>3.0166799999999999E-3</v>
      </c>
      <c r="AW24" s="270">
        <v>3.0014199999999999E-3</v>
      </c>
      <c r="AX24" s="270">
        <v>3.1215100000000001E-3</v>
      </c>
      <c r="AY24" s="270">
        <v>3.1528699999999999E-3</v>
      </c>
      <c r="AZ24" s="270">
        <v>2.9258800000000001E-3</v>
      </c>
      <c r="BA24" s="270">
        <v>3.1859000000000002E-3</v>
      </c>
      <c r="BB24" s="270">
        <v>2.6247100000000002E-3</v>
      </c>
      <c r="BC24" s="270">
        <v>2.70973E-3</v>
      </c>
      <c r="BD24" s="270">
        <v>2.7901800000000002E-3</v>
      </c>
      <c r="BE24" s="270">
        <v>2.9433699999999998E-3</v>
      </c>
      <c r="BF24" s="270">
        <v>3.0204199999999998E-3</v>
      </c>
      <c r="BG24" s="356">
        <v>2.90472E-3</v>
      </c>
      <c r="BH24" s="356">
        <v>2.9750000000000002E-3</v>
      </c>
      <c r="BI24" s="356">
        <v>2.8969099999999999E-3</v>
      </c>
      <c r="BJ24" s="356">
        <v>3.0460000000000001E-3</v>
      </c>
      <c r="BK24" s="356">
        <v>3.0216700000000002E-3</v>
      </c>
      <c r="BL24" s="356">
        <v>2.7442399999999998E-3</v>
      </c>
      <c r="BM24" s="356">
        <v>3.0872999999999999E-3</v>
      </c>
      <c r="BN24" s="356">
        <v>2.82146E-3</v>
      </c>
      <c r="BO24" s="356">
        <v>2.8606E-3</v>
      </c>
      <c r="BP24" s="356">
        <v>2.7861800000000001E-3</v>
      </c>
      <c r="BQ24" s="356">
        <v>2.9312499999999998E-3</v>
      </c>
      <c r="BR24" s="356">
        <v>3.0030299999999998E-3</v>
      </c>
      <c r="BS24" s="356">
        <v>2.8863399999999998E-3</v>
      </c>
      <c r="BT24" s="356">
        <v>2.9549099999999998E-3</v>
      </c>
      <c r="BU24" s="356">
        <v>2.8790899999999999E-3</v>
      </c>
      <c r="BV24" s="356">
        <v>3.0346800000000001E-3</v>
      </c>
    </row>
    <row r="25" spans="1:74" ht="12" customHeight="1" x14ac:dyDescent="0.2">
      <c r="A25" s="545" t="s">
        <v>23</v>
      </c>
      <c r="B25" s="581" t="s">
        <v>1066</v>
      </c>
      <c r="C25" s="270">
        <v>7.1695170000000003E-3</v>
      </c>
      <c r="D25" s="270">
        <v>6.6952540000000003E-3</v>
      </c>
      <c r="E25" s="270">
        <v>6.9805570000000001E-3</v>
      </c>
      <c r="F25" s="270">
        <v>6.8385410000000001E-3</v>
      </c>
      <c r="G25" s="270">
        <v>6.9636569999999998E-3</v>
      </c>
      <c r="H25" s="270">
        <v>6.9288910000000004E-3</v>
      </c>
      <c r="I25" s="270">
        <v>7.1049770000000002E-3</v>
      </c>
      <c r="J25" s="270">
        <v>7.1841769999999999E-3</v>
      </c>
      <c r="K25" s="270">
        <v>6.900771E-3</v>
      </c>
      <c r="L25" s="270">
        <v>7.0460569999999997E-3</v>
      </c>
      <c r="M25" s="270">
        <v>6.8149509999999996E-3</v>
      </c>
      <c r="N25" s="270">
        <v>7.1127969999999997E-3</v>
      </c>
      <c r="O25" s="270">
        <v>7.2692310000000001E-3</v>
      </c>
      <c r="P25" s="270">
        <v>6.5207219999999996E-3</v>
      </c>
      <c r="Q25" s="270">
        <v>7.0128710000000004E-3</v>
      </c>
      <c r="R25" s="270">
        <v>6.8007650000000003E-3</v>
      </c>
      <c r="S25" s="270">
        <v>7.0318510000000004E-3</v>
      </c>
      <c r="T25" s="270">
        <v>6.8322649999999997E-3</v>
      </c>
      <c r="U25" s="270">
        <v>7.0834909999999999E-3</v>
      </c>
      <c r="V25" s="270">
        <v>7.0936710000000002E-3</v>
      </c>
      <c r="W25" s="270">
        <v>6.7210949999999998E-3</v>
      </c>
      <c r="X25" s="270">
        <v>7.1227210000000003E-3</v>
      </c>
      <c r="Y25" s="270">
        <v>6.9863750000000004E-3</v>
      </c>
      <c r="Z25" s="270">
        <v>7.2544510000000003E-3</v>
      </c>
      <c r="AA25" s="270">
        <v>7.204691E-3</v>
      </c>
      <c r="AB25" s="270">
        <v>6.5567719999999998E-3</v>
      </c>
      <c r="AC25" s="270">
        <v>7.2165709999999997E-3</v>
      </c>
      <c r="AD25" s="270">
        <v>6.8282450000000001E-3</v>
      </c>
      <c r="AE25" s="270">
        <v>7.0389909999999997E-3</v>
      </c>
      <c r="AF25" s="270">
        <v>6.9274749999999998E-3</v>
      </c>
      <c r="AG25" s="270">
        <v>7.1290609999999999E-3</v>
      </c>
      <c r="AH25" s="270">
        <v>7.1742309999999997E-3</v>
      </c>
      <c r="AI25" s="270">
        <v>6.8606650000000002E-3</v>
      </c>
      <c r="AJ25" s="270">
        <v>7.0437310000000001E-3</v>
      </c>
      <c r="AK25" s="270">
        <v>6.8354649999999998E-3</v>
      </c>
      <c r="AL25" s="270">
        <v>7.2573710000000003E-3</v>
      </c>
      <c r="AM25" s="270">
        <v>7.2840309999999998E-3</v>
      </c>
      <c r="AN25" s="270">
        <v>6.5759920000000001E-3</v>
      </c>
      <c r="AO25" s="270">
        <v>7.1960909999999999E-3</v>
      </c>
      <c r="AP25" s="270">
        <v>6.8399749999999999E-3</v>
      </c>
      <c r="AQ25" s="270">
        <v>7.0620309999999999E-3</v>
      </c>
      <c r="AR25" s="270">
        <v>6.8451049999999998E-3</v>
      </c>
      <c r="AS25" s="270">
        <v>7.1928110000000003E-3</v>
      </c>
      <c r="AT25" s="270">
        <v>7.1488810000000002E-3</v>
      </c>
      <c r="AU25" s="270">
        <v>6.9180550000000002E-3</v>
      </c>
      <c r="AV25" s="270">
        <v>7.1521709999999997E-3</v>
      </c>
      <c r="AW25" s="270">
        <v>6.9489349999999998E-3</v>
      </c>
      <c r="AX25" s="270">
        <v>7.1349409999999997E-3</v>
      </c>
      <c r="AY25" s="270">
        <v>7.2019670000000001E-3</v>
      </c>
      <c r="AZ25" s="270">
        <v>6.7340439999999998E-3</v>
      </c>
      <c r="BA25" s="270">
        <v>7.0548670000000003E-3</v>
      </c>
      <c r="BB25" s="270">
        <v>6.7002809999999998E-3</v>
      </c>
      <c r="BC25" s="270">
        <v>7.0208570000000001E-3</v>
      </c>
      <c r="BD25" s="270">
        <v>6.9206099999999998E-3</v>
      </c>
      <c r="BE25" s="270">
        <v>7.7285499999999998E-3</v>
      </c>
      <c r="BF25" s="270">
        <v>7.3602900000000002E-3</v>
      </c>
      <c r="BG25" s="356">
        <v>7.0693199999999996E-3</v>
      </c>
      <c r="BH25" s="356">
        <v>7.1804900000000003E-3</v>
      </c>
      <c r="BI25" s="356">
        <v>6.8943600000000004E-3</v>
      </c>
      <c r="BJ25" s="356">
        <v>7.09583E-3</v>
      </c>
      <c r="BK25" s="356">
        <v>7.2276700000000003E-3</v>
      </c>
      <c r="BL25" s="356">
        <v>6.6761299999999997E-3</v>
      </c>
      <c r="BM25" s="356">
        <v>7.0024099999999997E-3</v>
      </c>
      <c r="BN25" s="356">
        <v>6.5019700000000001E-3</v>
      </c>
      <c r="BO25" s="356">
        <v>6.9485900000000001E-3</v>
      </c>
      <c r="BP25" s="356">
        <v>7.0215599999999996E-3</v>
      </c>
      <c r="BQ25" s="356">
        <v>7.84609E-3</v>
      </c>
      <c r="BR25" s="356">
        <v>7.3806999999999996E-3</v>
      </c>
      <c r="BS25" s="356">
        <v>7.0678099999999999E-3</v>
      </c>
      <c r="BT25" s="356">
        <v>7.1670500000000003E-3</v>
      </c>
      <c r="BU25" s="356">
        <v>6.8800399999999996E-3</v>
      </c>
      <c r="BV25" s="356">
        <v>7.0845500000000002E-3</v>
      </c>
    </row>
    <row r="26" spans="1:74" ht="12" customHeight="1" x14ac:dyDescent="0.2">
      <c r="A26" s="580" t="s">
        <v>229</v>
      </c>
      <c r="B26" s="581" t="s">
        <v>362</v>
      </c>
      <c r="C26" s="270">
        <v>1.8434772559000001E-2</v>
      </c>
      <c r="D26" s="270">
        <v>1.8099358127999999E-2</v>
      </c>
      <c r="E26" s="270">
        <v>2.0329166826999999E-2</v>
      </c>
      <c r="F26" s="270">
        <v>2.0174097100999999E-2</v>
      </c>
      <c r="G26" s="270">
        <v>2.1100040986000001E-2</v>
      </c>
      <c r="H26" s="270">
        <v>2.1076453251999999E-2</v>
      </c>
      <c r="I26" s="270">
        <v>2.1782655019000001E-2</v>
      </c>
      <c r="J26" s="270">
        <v>2.1718896476000001E-2</v>
      </c>
      <c r="K26" s="270">
        <v>2.0397526544999999E-2</v>
      </c>
      <c r="L26" s="270">
        <v>1.9917716113999999E-2</v>
      </c>
      <c r="M26" s="270">
        <v>1.8747313626E-2</v>
      </c>
      <c r="N26" s="270">
        <v>1.9228471540999999E-2</v>
      </c>
      <c r="O26" s="270">
        <v>1.9484330715000001E-2</v>
      </c>
      <c r="P26" s="270">
        <v>1.8346705227E-2</v>
      </c>
      <c r="Q26" s="270">
        <v>2.1212199268000002E-2</v>
      </c>
      <c r="R26" s="270">
        <v>2.1476538864999999E-2</v>
      </c>
      <c r="S26" s="270">
        <v>2.2777358022E-2</v>
      </c>
      <c r="T26" s="270">
        <v>2.2492162890999999E-2</v>
      </c>
      <c r="U26" s="270">
        <v>2.3131218273E-2</v>
      </c>
      <c r="V26" s="270">
        <v>2.3007101859000002E-2</v>
      </c>
      <c r="W26" s="270">
        <v>2.1219037183E-2</v>
      </c>
      <c r="X26" s="270">
        <v>2.0940256833E-2</v>
      </c>
      <c r="Y26" s="270">
        <v>1.9668393007999999E-2</v>
      </c>
      <c r="Z26" s="270">
        <v>2.0008735234999998E-2</v>
      </c>
      <c r="AA26" s="270">
        <v>2.0445255145000001E-2</v>
      </c>
      <c r="AB26" s="270">
        <v>1.9538603493E-2</v>
      </c>
      <c r="AC26" s="270">
        <v>2.3028829143000001E-2</v>
      </c>
      <c r="AD26" s="270">
        <v>2.3238345543E-2</v>
      </c>
      <c r="AE26" s="270">
        <v>2.4794487887000002E-2</v>
      </c>
      <c r="AF26" s="270">
        <v>2.4503300919E-2</v>
      </c>
      <c r="AG26" s="270">
        <v>2.5137919814000001E-2</v>
      </c>
      <c r="AH26" s="270">
        <v>2.4900238368E-2</v>
      </c>
      <c r="AI26" s="270">
        <v>2.273646847E-2</v>
      </c>
      <c r="AJ26" s="270">
        <v>2.2405776204E-2</v>
      </c>
      <c r="AK26" s="270">
        <v>2.0508493844000001E-2</v>
      </c>
      <c r="AL26" s="270">
        <v>2.1126282430000001E-2</v>
      </c>
      <c r="AM26" s="270">
        <v>2.1104890402E-2</v>
      </c>
      <c r="AN26" s="270">
        <v>2.0198686055000001E-2</v>
      </c>
      <c r="AO26" s="270">
        <v>2.3894694115E-2</v>
      </c>
      <c r="AP26" s="270">
        <v>2.3790166617000001E-2</v>
      </c>
      <c r="AQ26" s="270">
        <v>2.4943292464E-2</v>
      </c>
      <c r="AR26" s="270">
        <v>2.4981554271999998E-2</v>
      </c>
      <c r="AS26" s="270">
        <v>2.5843728767000002E-2</v>
      </c>
      <c r="AT26" s="270">
        <v>2.5346085389E-2</v>
      </c>
      <c r="AU26" s="270">
        <v>2.3541452514999998E-2</v>
      </c>
      <c r="AV26" s="270">
        <v>2.3055299293999999E-2</v>
      </c>
      <c r="AW26" s="270">
        <v>2.0859505146000001E-2</v>
      </c>
      <c r="AX26" s="270">
        <v>2.0885254443999999E-2</v>
      </c>
      <c r="AY26" s="270">
        <v>2.1252637852999998E-2</v>
      </c>
      <c r="AZ26" s="270">
        <v>2.1219959481999999E-2</v>
      </c>
      <c r="BA26" s="270">
        <v>2.4078455993E-2</v>
      </c>
      <c r="BB26" s="270">
        <v>2.3687738863000001E-2</v>
      </c>
      <c r="BC26" s="270">
        <v>2.5896508015999999E-2</v>
      </c>
      <c r="BD26" s="270">
        <v>2.6286299999999999E-2</v>
      </c>
      <c r="BE26" s="270">
        <v>2.7395900000000001E-2</v>
      </c>
      <c r="BF26" s="270">
        <v>2.6479300000000001E-2</v>
      </c>
      <c r="BG26" s="356">
        <v>2.4752900000000001E-2</v>
      </c>
      <c r="BH26" s="356">
        <v>2.37068E-2</v>
      </c>
      <c r="BI26" s="356">
        <v>2.1336600000000001E-2</v>
      </c>
      <c r="BJ26" s="356">
        <v>2.1333399999999999E-2</v>
      </c>
      <c r="BK26" s="356">
        <v>2.19349E-2</v>
      </c>
      <c r="BL26" s="356">
        <v>2.1792499999999999E-2</v>
      </c>
      <c r="BM26" s="356">
        <v>2.55604E-2</v>
      </c>
      <c r="BN26" s="356">
        <v>2.5878999999999999E-2</v>
      </c>
      <c r="BO26" s="356">
        <v>2.7759499999999999E-2</v>
      </c>
      <c r="BP26" s="356">
        <v>2.7782600000000001E-2</v>
      </c>
      <c r="BQ26" s="356">
        <v>2.92421E-2</v>
      </c>
      <c r="BR26" s="356">
        <v>2.8351500000000002E-2</v>
      </c>
      <c r="BS26" s="356">
        <v>2.6284499999999999E-2</v>
      </c>
      <c r="BT26" s="356">
        <v>2.5226999999999999E-2</v>
      </c>
      <c r="BU26" s="356">
        <v>2.25653E-2</v>
      </c>
      <c r="BV26" s="356">
        <v>2.2517599999999999E-2</v>
      </c>
    </row>
    <row r="27" spans="1:74" ht="12" customHeight="1" x14ac:dyDescent="0.2">
      <c r="A27" s="580"/>
      <c r="B27" s="170" t="s">
        <v>365</v>
      </c>
      <c r="C27" s="236"/>
      <c r="D27" s="236"/>
      <c r="E27" s="236"/>
      <c r="F27" s="236"/>
      <c r="G27" s="236"/>
      <c r="H27" s="236"/>
      <c r="I27" s="236"/>
      <c r="J27" s="236"/>
      <c r="K27" s="236"/>
      <c r="L27" s="236"/>
      <c r="M27" s="236"/>
      <c r="N27" s="236"/>
      <c r="O27" s="236"/>
      <c r="P27" s="236"/>
      <c r="Q27" s="236"/>
      <c r="R27" s="236"/>
      <c r="S27" s="236"/>
      <c r="T27" s="236"/>
      <c r="U27" s="236"/>
      <c r="V27" s="236"/>
      <c r="W27" s="236"/>
      <c r="X27" s="236"/>
      <c r="Y27" s="236"/>
      <c r="Z27" s="236"/>
      <c r="AA27" s="236"/>
      <c r="AB27" s="236"/>
      <c r="AC27" s="236"/>
      <c r="AD27" s="236"/>
      <c r="AE27" s="236"/>
      <c r="AF27" s="236"/>
      <c r="AG27" s="236"/>
      <c r="AH27" s="236"/>
      <c r="AI27" s="236"/>
      <c r="AJ27" s="236"/>
      <c r="AK27" s="236"/>
      <c r="AL27" s="236"/>
      <c r="AM27" s="236"/>
      <c r="AN27" s="236"/>
      <c r="AO27" s="236"/>
      <c r="AP27" s="236"/>
      <c r="AQ27" s="236"/>
      <c r="AR27" s="236"/>
      <c r="AS27" s="236"/>
      <c r="AT27" s="236"/>
      <c r="AU27" s="236"/>
      <c r="AV27" s="236"/>
      <c r="AW27" s="236"/>
      <c r="AX27" s="236"/>
      <c r="AY27" s="236"/>
      <c r="AZ27" s="236"/>
      <c r="BA27" s="236"/>
      <c r="BB27" s="236"/>
      <c r="BC27" s="236"/>
      <c r="BD27" s="236"/>
      <c r="BE27" s="236"/>
      <c r="BF27" s="236"/>
      <c r="BG27" s="357"/>
      <c r="BH27" s="357"/>
      <c r="BI27" s="357"/>
      <c r="BJ27" s="357"/>
      <c r="BK27" s="357"/>
      <c r="BL27" s="357"/>
      <c r="BM27" s="357"/>
      <c r="BN27" s="357"/>
      <c r="BO27" s="357"/>
      <c r="BP27" s="357"/>
      <c r="BQ27" s="357"/>
      <c r="BR27" s="357"/>
      <c r="BS27" s="357"/>
      <c r="BT27" s="357"/>
      <c r="BU27" s="357"/>
      <c r="BV27" s="357"/>
    </row>
    <row r="28" spans="1:74" ht="12" customHeight="1" x14ac:dyDescent="0.2">
      <c r="A28" s="580" t="s">
        <v>624</v>
      </c>
      <c r="B28" s="581" t="s">
        <v>469</v>
      </c>
      <c r="C28" s="270">
        <v>3.3540979999999998E-3</v>
      </c>
      <c r="D28" s="270">
        <v>3.1377050000000002E-3</v>
      </c>
      <c r="E28" s="270">
        <v>3.3540979999999998E-3</v>
      </c>
      <c r="F28" s="270">
        <v>3.2459020000000002E-3</v>
      </c>
      <c r="G28" s="270">
        <v>3.3540979999999998E-3</v>
      </c>
      <c r="H28" s="270">
        <v>3.2459020000000002E-3</v>
      </c>
      <c r="I28" s="270">
        <v>3.3540979999999998E-3</v>
      </c>
      <c r="J28" s="270">
        <v>3.3540979999999998E-3</v>
      </c>
      <c r="K28" s="270">
        <v>3.2459020000000002E-3</v>
      </c>
      <c r="L28" s="270">
        <v>3.3540979999999998E-3</v>
      </c>
      <c r="M28" s="270">
        <v>3.2459020000000002E-3</v>
      </c>
      <c r="N28" s="270">
        <v>3.3540979999999998E-3</v>
      </c>
      <c r="O28" s="270">
        <v>3.3632879999999999E-3</v>
      </c>
      <c r="P28" s="270">
        <v>3.0378079999999999E-3</v>
      </c>
      <c r="Q28" s="270">
        <v>3.3632879999999999E-3</v>
      </c>
      <c r="R28" s="270">
        <v>3.254795E-3</v>
      </c>
      <c r="S28" s="270">
        <v>3.3632879999999999E-3</v>
      </c>
      <c r="T28" s="270">
        <v>3.254795E-3</v>
      </c>
      <c r="U28" s="270">
        <v>3.3632879999999999E-3</v>
      </c>
      <c r="V28" s="270">
        <v>3.3632879999999999E-3</v>
      </c>
      <c r="W28" s="270">
        <v>3.254795E-3</v>
      </c>
      <c r="X28" s="270">
        <v>3.3632879999999999E-3</v>
      </c>
      <c r="Y28" s="270">
        <v>3.254795E-3</v>
      </c>
      <c r="Z28" s="270">
        <v>3.3632879999999999E-3</v>
      </c>
      <c r="AA28" s="270">
        <v>3.3632879999999999E-3</v>
      </c>
      <c r="AB28" s="270">
        <v>3.0378079999999999E-3</v>
      </c>
      <c r="AC28" s="270">
        <v>3.3632879999999999E-3</v>
      </c>
      <c r="AD28" s="270">
        <v>3.254795E-3</v>
      </c>
      <c r="AE28" s="270">
        <v>3.3632879999999999E-3</v>
      </c>
      <c r="AF28" s="270">
        <v>3.254795E-3</v>
      </c>
      <c r="AG28" s="270">
        <v>3.3632879999999999E-3</v>
      </c>
      <c r="AH28" s="270">
        <v>3.3632879999999999E-3</v>
      </c>
      <c r="AI28" s="270">
        <v>3.254795E-3</v>
      </c>
      <c r="AJ28" s="270">
        <v>3.3632879999999999E-3</v>
      </c>
      <c r="AK28" s="270">
        <v>3.254795E-3</v>
      </c>
      <c r="AL28" s="270">
        <v>3.3632879999999999E-3</v>
      </c>
      <c r="AM28" s="270">
        <v>3.3632879999999999E-3</v>
      </c>
      <c r="AN28" s="270">
        <v>3.0378079999999999E-3</v>
      </c>
      <c r="AO28" s="270">
        <v>3.3632879999999999E-3</v>
      </c>
      <c r="AP28" s="270">
        <v>3.254795E-3</v>
      </c>
      <c r="AQ28" s="270">
        <v>3.3632879999999999E-3</v>
      </c>
      <c r="AR28" s="270">
        <v>3.254795E-3</v>
      </c>
      <c r="AS28" s="270">
        <v>3.3632879999999999E-3</v>
      </c>
      <c r="AT28" s="270">
        <v>3.3632879999999999E-3</v>
      </c>
      <c r="AU28" s="270">
        <v>3.254795E-3</v>
      </c>
      <c r="AV28" s="270">
        <v>3.3632879999999999E-3</v>
      </c>
      <c r="AW28" s="270">
        <v>3.254795E-3</v>
      </c>
      <c r="AX28" s="270">
        <v>3.3632879999999999E-3</v>
      </c>
      <c r="AY28" s="270">
        <v>3.3540979999999998E-3</v>
      </c>
      <c r="AZ28" s="270">
        <v>3.1377050000000002E-3</v>
      </c>
      <c r="BA28" s="270">
        <v>3.3540979999999998E-3</v>
      </c>
      <c r="BB28" s="270">
        <v>3.2459020000000002E-3</v>
      </c>
      <c r="BC28" s="270">
        <v>3.3540979999999998E-3</v>
      </c>
      <c r="BD28" s="270">
        <v>3.2548E-3</v>
      </c>
      <c r="BE28" s="270">
        <v>3.3632900000000001E-3</v>
      </c>
      <c r="BF28" s="270">
        <v>3.3632900000000001E-3</v>
      </c>
      <c r="BG28" s="356">
        <v>3.2548E-3</v>
      </c>
      <c r="BH28" s="356">
        <v>3.3632900000000001E-3</v>
      </c>
      <c r="BI28" s="356">
        <v>3.2548E-3</v>
      </c>
      <c r="BJ28" s="356">
        <v>3.3632900000000001E-3</v>
      </c>
      <c r="BK28" s="356">
        <v>3.3541000000000001E-3</v>
      </c>
      <c r="BL28" s="356">
        <v>3.1377100000000002E-3</v>
      </c>
      <c r="BM28" s="356">
        <v>3.3541000000000001E-3</v>
      </c>
      <c r="BN28" s="356">
        <v>3.2458999999999999E-3</v>
      </c>
      <c r="BO28" s="356">
        <v>3.3541000000000001E-3</v>
      </c>
      <c r="BP28" s="356">
        <v>3.2548E-3</v>
      </c>
      <c r="BQ28" s="356">
        <v>3.3632900000000001E-3</v>
      </c>
      <c r="BR28" s="356">
        <v>3.3632900000000001E-3</v>
      </c>
      <c r="BS28" s="356">
        <v>3.2548E-3</v>
      </c>
      <c r="BT28" s="356">
        <v>3.3632900000000001E-3</v>
      </c>
      <c r="BU28" s="356">
        <v>3.2548E-3</v>
      </c>
      <c r="BV28" s="356">
        <v>3.3632900000000001E-3</v>
      </c>
    </row>
    <row r="29" spans="1:74" ht="12" customHeight="1" x14ac:dyDescent="0.2">
      <c r="A29" s="580" t="s">
        <v>24</v>
      </c>
      <c r="B29" s="581" t="s">
        <v>1068</v>
      </c>
      <c r="C29" s="270">
        <v>8.1242640000000008E-3</v>
      </c>
      <c r="D29" s="270">
        <v>9.6249930000000001E-3</v>
      </c>
      <c r="E29" s="270">
        <v>1.2880219E-2</v>
      </c>
      <c r="F29" s="270">
        <v>1.4558356999999999E-2</v>
      </c>
      <c r="G29" s="270">
        <v>1.6140445E-2</v>
      </c>
      <c r="H29" s="270">
        <v>1.6687823000000001E-2</v>
      </c>
      <c r="I29" s="270">
        <v>1.7371671000000002E-2</v>
      </c>
      <c r="J29" s="270">
        <v>1.686255E-2</v>
      </c>
      <c r="K29" s="270">
        <v>1.5020567E-2</v>
      </c>
      <c r="L29" s="270">
        <v>1.3431568E-2</v>
      </c>
      <c r="M29" s="270">
        <v>1.0964966E-2</v>
      </c>
      <c r="N29" s="270">
        <v>9.9849169999999994E-3</v>
      </c>
      <c r="O29" s="270">
        <v>9.8586990000000003E-3</v>
      </c>
      <c r="P29" s="270">
        <v>1.1030987000000001E-2</v>
      </c>
      <c r="Q29" s="270">
        <v>1.5919237999999999E-2</v>
      </c>
      <c r="R29" s="270">
        <v>1.7781001000000001E-2</v>
      </c>
      <c r="S29" s="270">
        <v>1.9613618999999999E-2</v>
      </c>
      <c r="T29" s="270">
        <v>2.0283011E-2</v>
      </c>
      <c r="U29" s="270">
        <v>2.0706612999999999E-2</v>
      </c>
      <c r="V29" s="270">
        <v>2.0052555E-2</v>
      </c>
      <c r="W29" s="270">
        <v>1.7956842000000001E-2</v>
      </c>
      <c r="X29" s="270">
        <v>1.6059308000000001E-2</v>
      </c>
      <c r="Y29" s="270">
        <v>1.2564278999999999E-2</v>
      </c>
      <c r="Z29" s="270">
        <v>1.1747469999999999E-2</v>
      </c>
      <c r="AA29" s="270">
        <v>1.1972806000000001E-2</v>
      </c>
      <c r="AB29" s="270">
        <v>1.3081953E-2</v>
      </c>
      <c r="AC29" s="270">
        <v>1.8083657999999999E-2</v>
      </c>
      <c r="AD29" s="270">
        <v>2.0571895E-2</v>
      </c>
      <c r="AE29" s="270">
        <v>2.2635635000000001E-2</v>
      </c>
      <c r="AF29" s="270">
        <v>2.3063552000000001E-2</v>
      </c>
      <c r="AG29" s="270">
        <v>2.3673037000000001E-2</v>
      </c>
      <c r="AH29" s="270">
        <v>2.2682058000000001E-2</v>
      </c>
      <c r="AI29" s="270">
        <v>1.9944177E-2</v>
      </c>
      <c r="AJ29" s="270">
        <v>1.7918470999999998E-2</v>
      </c>
      <c r="AK29" s="270">
        <v>1.4313230999999999E-2</v>
      </c>
      <c r="AL29" s="270">
        <v>1.3303850000000001E-2</v>
      </c>
      <c r="AM29" s="270">
        <v>1.3668428999999999E-2</v>
      </c>
      <c r="AN29" s="270">
        <v>1.4857512E-2</v>
      </c>
      <c r="AO29" s="270">
        <v>2.1227722000000001E-2</v>
      </c>
      <c r="AP29" s="270">
        <v>2.3755312000000001E-2</v>
      </c>
      <c r="AQ29" s="270">
        <v>2.6104450000000001E-2</v>
      </c>
      <c r="AR29" s="270">
        <v>2.6626613E-2</v>
      </c>
      <c r="AS29" s="270">
        <v>2.7768218000000001E-2</v>
      </c>
      <c r="AT29" s="270">
        <v>2.6725299000000001E-2</v>
      </c>
      <c r="AU29" s="270">
        <v>2.3634685999999999E-2</v>
      </c>
      <c r="AV29" s="270">
        <v>2.0811251999999999E-2</v>
      </c>
      <c r="AW29" s="270">
        <v>1.6468976999999999E-2</v>
      </c>
      <c r="AX29" s="270">
        <v>1.487234E-2</v>
      </c>
      <c r="AY29" s="270">
        <v>1.6067596999999999E-2</v>
      </c>
      <c r="AZ29" s="270">
        <v>1.8153770999999999E-2</v>
      </c>
      <c r="BA29" s="270">
        <v>2.4030693999999998E-2</v>
      </c>
      <c r="BB29" s="270">
        <v>2.7027866000000001E-2</v>
      </c>
      <c r="BC29" s="270">
        <v>3.0328568E-2</v>
      </c>
      <c r="BD29" s="270">
        <v>3.0575399999999999E-2</v>
      </c>
      <c r="BE29" s="270">
        <v>3.1572500000000003E-2</v>
      </c>
      <c r="BF29" s="270">
        <v>3.0412399999999999E-2</v>
      </c>
      <c r="BG29" s="356">
        <v>2.6955900000000001E-2</v>
      </c>
      <c r="BH29" s="356">
        <v>2.3964900000000001E-2</v>
      </c>
      <c r="BI29" s="356">
        <v>1.9085999999999999E-2</v>
      </c>
      <c r="BJ29" s="356">
        <v>1.73841E-2</v>
      </c>
      <c r="BK29" s="356">
        <v>1.7821199999999999E-2</v>
      </c>
      <c r="BL29" s="356">
        <v>1.9663799999999999E-2</v>
      </c>
      <c r="BM29" s="356">
        <v>2.7403500000000001E-2</v>
      </c>
      <c r="BN29" s="356">
        <v>3.06641E-2</v>
      </c>
      <c r="BO29" s="356">
        <v>3.3909799999999997E-2</v>
      </c>
      <c r="BP29" s="356">
        <v>3.4420399999999997E-2</v>
      </c>
      <c r="BQ29" s="356">
        <v>3.5612400000000002E-2</v>
      </c>
      <c r="BR29" s="356">
        <v>3.4383999999999998E-2</v>
      </c>
      <c r="BS29" s="356">
        <v>3.0549199999999999E-2</v>
      </c>
      <c r="BT29" s="356">
        <v>2.7231000000000002E-2</v>
      </c>
      <c r="BU29" s="356">
        <v>2.1767000000000002E-2</v>
      </c>
      <c r="BV29" s="356">
        <v>1.9876999999999999E-2</v>
      </c>
    </row>
    <row r="30" spans="1:74" ht="12" customHeight="1" x14ac:dyDescent="0.2">
      <c r="A30" s="580" t="s">
        <v>746</v>
      </c>
      <c r="B30" s="581" t="s">
        <v>1066</v>
      </c>
      <c r="C30" s="270">
        <v>3.7453917000000003E-2</v>
      </c>
      <c r="D30" s="270">
        <v>3.5037536000000001E-2</v>
      </c>
      <c r="E30" s="270">
        <v>3.7453917000000003E-2</v>
      </c>
      <c r="F30" s="270">
        <v>3.6245725999999999E-2</v>
      </c>
      <c r="G30" s="270">
        <v>3.7453917000000003E-2</v>
      </c>
      <c r="H30" s="270">
        <v>3.6245725999999999E-2</v>
      </c>
      <c r="I30" s="270">
        <v>3.7453917000000003E-2</v>
      </c>
      <c r="J30" s="270">
        <v>3.7453917000000003E-2</v>
      </c>
      <c r="K30" s="270">
        <v>3.6245725999999999E-2</v>
      </c>
      <c r="L30" s="270">
        <v>3.7453917000000003E-2</v>
      </c>
      <c r="M30" s="270">
        <v>3.6245725999999999E-2</v>
      </c>
      <c r="N30" s="270">
        <v>3.7453917000000003E-2</v>
      </c>
      <c r="O30" s="270">
        <v>3.6111588E-2</v>
      </c>
      <c r="P30" s="270">
        <v>3.2616918000000002E-2</v>
      </c>
      <c r="Q30" s="270">
        <v>3.6111588E-2</v>
      </c>
      <c r="R30" s="270">
        <v>3.4946697999999998E-2</v>
      </c>
      <c r="S30" s="270">
        <v>3.6111588E-2</v>
      </c>
      <c r="T30" s="270">
        <v>3.4946697999999998E-2</v>
      </c>
      <c r="U30" s="270">
        <v>3.6111588E-2</v>
      </c>
      <c r="V30" s="270">
        <v>3.6111588E-2</v>
      </c>
      <c r="W30" s="270">
        <v>3.4946697999999998E-2</v>
      </c>
      <c r="X30" s="270">
        <v>3.6111588E-2</v>
      </c>
      <c r="Y30" s="270">
        <v>3.4946697999999998E-2</v>
      </c>
      <c r="Z30" s="270">
        <v>3.6111588E-2</v>
      </c>
      <c r="AA30" s="270">
        <v>4.3938381999999998E-2</v>
      </c>
      <c r="AB30" s="270">
        <v>3.9686279999999997E-2</v>
      </c>
      <c r="AC30" s="270">
        <v>4.3938381999999998E-2</v>
      </c>
      <c r="AD30" s="270">
        <v>4.2521014000000003E-2</v>
      </c>
      <c r="AE30" s="270">
        <v>4.3938381999999998E-2</v>
      </c>
      <c r="AF30" s="270">
        <v>4.2521014000000003E-2</v>
      </c>
      <c r="AG30" s="270">
        <v>4.3938381999999998E-2</v>
      </c>
      <c r="AH30" s="270">
        <v>4.3938381999999998E-2</v>
      </c>
      <c r="AI30" s="270">
        <v>4.2521014000000003E-2</v>
      </c>
      <c r="AJ30" s="270">
        <v>4.3938381999999998E-2</v>
      </c>
      <c r="AK30" s="270">
        <v>4.2521014000000003E-2</v>
      </c>
      <c r="AL30" s="270">
        <v>4.3938381999999998E-2</v>
      </c>
      <c r="AM30" s="270">
        <v>4.4911698999999999E-2</v>
      </c>
      <c r="AN30" s="270">
        <v>4.0565404999999999E-2</v>
      </c>
      <c r="AO30" s="270">
        <v>4.4911698999999999E-2</v>
      </c>
      <c r="AP30" s="270">
        <v>4.3462934000000002E-2</v>
      </c>
      <c r="AQ30" s="270">
        <v>4.4911698999999999E-2</v>
      </c>
      <c r="AR30" s="270">
        <v>4.3462934000000002E-2</v>
      </c>
      <c r="AS30" s="270">
        <v>4.4911698999999999E-2</v>
      </c>
      <c r="AT30" s="270">
        <v>4.4911698999999999E-2</v>
      </c>
      <c r="AU30" s="270">
        <v>4.3462934000000002E-2</v>
      </c>
      <c r="AV30" s="270">
        <v>4.4911698999999999E-2</v>
      </c>
      <c r="AW30" s="270">
        <v>4.3462934000000002E-2</v>
      </c>
      <c r="AX30" s="270">
        <v>4.4911698999999999E-2</v>
      </c>
      <c r="AY30" s="270">
        <v>4.2167451000000002E-2</v>
      </c>
      <c r="AZ30" s="270">
        <v>3.9446969999999998E-2</v>
      </c>
      <c r="BA30" s="270">
        <v>4.2167451000000002E-2</v>
      </c>
      <c r="BB30" s="270">
        <v>4.0807211000000003E-2</v>
      </c>
      <c r="BC30" s="270">
        <v>4.2167451000000002E-2</v>
      </c>
      <c r="BD30" s="270">
        <v>4.3462899999999999E-2</v>
      </c>
      <c r="BE30" s="270">
        <v>4.4911699999999999E-2</v>
      </c>
      <c r="BF30" s="270">
        <v>4.4911699999999999E-2</v>
      </c>
      <c r="BG30" s="356">
        <v>4.3462899999999999E-2</v>
      </c>
      <c r="BH30" s="356">
        <v>4.4911699999999999E-2</v>
      </c>
      <c r="BI30" s="356">
        <v>4.3462899999999999E-2</v>
      </c>
      <c r="BJ30" s="356">
        <v>4.4911699999999999E-2</v>
      </c>
      <c r="BK30" s="356">
        <v>4.2167499999999997E-2</v>
      </c>
      <c r="BL30" s="356">
        <v>3.9447000000000003E-2</v>
      </c>
      <c r="BM30" s="356">
        <v>4.2167499999999997E-2</v>
      </c>
      <c r="BN30" s="356">
        <v>4.0807200000000002E-2</v>
      </c>
      <c r="BO30" s="356">
        <v>4.2167499999999997E-2</v>
      </c>
      <c r="BP30" s="356">
        <v>4.3462899999999999E-2</v>
      </c>
      <c r="BQ30" s="356">
        <v>4.4911699999999999E-2</v>
      </c>
      <c r="BR30" s="356">
        <v>4.4911699999999999E-2</v>
      </c>
      <c r="BS30" s="356">
        <v>4.3462899999999999E-2</v>
      </c>
      <c r="BT30" s="356">
        <v>4.4911699999999999E-2</v>
      </c>
      <c r="BU30" s="356">
        <v>4.3462899999999999E-2</v>
      </c>
      <c r="BV30" s="356">
        <v>4.4911699999999999E-2</v>
      </c>
    </row>
    <row r="31" spans="1:74" ht="12" customHeight="1" x14ac:dyDescent="0.2">
      <c r="A31" s="579" t="s">
        <v>25</v>
      </c>
      <c r="B31" s="581" t="s">
        <v>362</v>
      </c>
      <c r="C31" s="270">
        <v>4.8932279000000002E-2</v>
      </c>
      <c r="D31" s="270">
        <v>4.7800233999999997E-2</v>
      </c>
      <c r="E31" s="270">
        <v>5.3688234000000001E-2</v>
      </c>
      <c r="F31" s="270">
        <v>5.4049985000000002E-2</v>
      </c>
      <c r="G31" s="270">
        <v>5.6948459999999999E-2</v>
      </c>
      <c r="H31" s="270">
        <v>5.6179450999999998E-2</v>
      </c>
      <c r="I31" s="270">
        <v>5.8179686000000001E-2</v>
      </c>
      <c r="J31" s="270">
        <v>5.7670565E-2</v>
      </c>
      <c r="K31" s="270">
        <v>5.4512194999999999E-2</v>
      </c>
      <c r="L31" s="270">
        <v>5.4239583000000001E-2</v>
      </c>
      <c r="M31" s="270">
        <v>5.0456594E-2</v>
      </c>
      <c r="N31" s="270">
        <v>5.0792931999999999E-2</v>
      </c>
      <c r="O31" s="270">
        <v>4.9333574999999998E-2</v>
      </c>
      <c r="P31" s="270">
        <v>4.6685712999999997E-2</v>
      </c>
      <c r="Q31" s="270">
        <v>5.5394114000000001E-2</v>
      </c>
      <c r="R31" s="270">
        <v>5.5982494000000001E-2</v>
      </c>
      <c r="S31" s="270">
        <v>5.9088494999999998E-2</v>
      </c>
      <c r="T31" s="270">
        <v>5.8484504E-2</v>
      </c>
      <c r="U31" s="270">
        <v>6.0181488999999998E-2</v>
      </c>
      <c r="V31" s="270">
        <v>5.9527430999999999E-2</v>
      </c>
      <c r="W31" s="270">
        <v>5.6158334999999997E-2</v>
      </c>
      <c r="X31" s="270">
        <v>5.5534184E-2</v>
      </c>
      <c r="Y31" s="270">
        <v>5.0765772000000001E-2</v>
      </c>
      <c r="Z31" s="270">
        <v>5.1222346000000002E-2</v>
      </c>
      <c r="AA31" s="270">
        <v>5.9274476E-2</v>
      </c>
      <c r="AB31" s="270">
        <v>5.5806041000000001E-2</v>
      </c>
      <c r="AC31" s="270">
        <v>6.5385328000000006E-2</v>
      </c>
      <c r="AD31" s="270">
        <v>6.6347703999999993E-2</v>
      </c>
      <c r="AE31" s="270">
        <v>6.9937305000000005E-2</v>
      </c>
      <c r="AF31" s="270">
        <v>6.8839361000000002E-2</v>
      </c>
      <c r="AG31" s="270">
        <v>7.0974706999999998E-2</v>
      </c>
      <c r="AH31" s="270">
        <v>6.9983727999999995E-2</v>
      </c>
      <c r="AI31" s="270">
        <v>6.5719985999999994E-2</v>
      </c>
      <c r="AJ31" s="270">
        <v>6.5220140999999995E-2</v>
      </c>
      <c r="AK31" s="270">
        <v>6.0089040000000003E-2</v>
      </c>
      <c r="AL31" s="270">
        <v>6.0605520000000003E-2</v>
      </c>
      <c r="AM31" s="270">
        <v>6.1943416000000001E-2</v>
      </c>
      <c r="AN31" s="270">
        <v>5.8460724999999998E-2</v>
      </c>
      <c r="AO31" s="270">
        <v>6.9502708999999996E-2</v>
      </c>
      <c r="AP31" s="270">
        <v>7.0473041E-2</v>
      </c>
      <c r="AQ31" s="270">
        <v>7.4379437000000007E-2</v>
      </c>
      <c r="AR31" s="270">
        <v>7.3344342000000007E-2</v>
      </c>
      <c r="AS31" s="270">
        <v>7.6043205000000003E-2</v>
      </c>
      <c r="AT31" s="270">
        <v>7.5000285999999999E-2</v>
      </c>
      <c r="AU31" s="270">
        <v>7.0352415000000001E-2</v>
      </c>
      <c r="AV31" s="270">
        <v>6.9086238999999994E-2</v>
      </c>
      <c r="AW31" s="270">
        <v>6.3186705999999995E-2</v>
      </c>
      <c r="AX31" s="270">
        <v>6.3147327000000003E-2</v>
      </c>
      <c r="AY31" s="270">
        <v>6.1589145999999997E-2</v>
      </c>
      <c r="AZ31" s="270">
        <v>6.0738446000000001E-2</v>
      </c>
      <c r="BA31" s="270">
        <v>6.9552243E-2</v>
      </c>
      <c r="BB31" s="270">
        <v>7.1080979000000002E-2</v>
      </c>
      <c r="BC31" s="270">
        <v>7.5850116999999995E-2</v>
      </c>
      <c r="BD31" s="270">
        <v>7.7293200000000006E-2</v>
      </c>
      <c r="BE31" s="270">
        <v>7.9847399999999999E-2</v>
      </c>
      <c r="BF31" s="270">
        <v>7.8687400000000005E-2</v>
      </c>
      <c r="BG31" s="356">
        <v>7.3673600000000006E-2</v>
      </c>
      <c r="BH31" s="356">
        <v>7.2239899999999996E-2</v>
      </c>
      <c r="BI31" s="356">
        <v>6.5803700000000007E-2</v>
      </c>
      <c r="BJ31" s="356">
        <v>6.5659099999999998E-2</v>
      </c>
      <c r="BK31" s="356">
        <v>6.3342700000000002E-2</v>
      </c>
      <c r="BL31" s="356">
        <v>6.2248499999999998E-2</v>
      </c>
      <c r="BM31" s="356">
        <v>7.2925000000000004E-2</v>
      </c>
      <c r="BN31" s="356">
        <v>7.4717199999999998E-2</v>
      </c>
      <c r="BO31" s="356">
        <v>7.9431399999999999E-2</v>
      </c>
      <c r="BP31" s="356">
        <v>8.1138100000000005E-2</v>
      </c>
      <c r="BQ31" s="356">
        <v>8.3887400000000001E-2</v>
      </c>
      <c r="BR31" s="356">
        <v>8.2658999999999996E-2</v>
      </c>
      <c r="BS31" s="356">
        <v>7.7266899999999999E-2</v>
      </c>
      <c r="BT31" s="356">
        <v>7.5506000000000004E-2</v>
      </c>
      <c r="BU31" s="356">
        <v>6.8484699999999996E-2</v>
      </c>
      <c r="BV31" s="356">
        <v>6.8152000000000004E-2</v>
      </c>
    </row>
    <row r="32" spans="1:74" ht="12" customHeight="1" x14ac:dyDescent="0.2">
      <c r="A32" s="579"/>
      <c r="B32" s="170" t="s">
        <v>366</v>
      </c>
      <c r="C32" s="237"/>
      <c r="D32" s="237"/>
      <c r="E32" s="237"/>
      <c r="F32" s="237"/>
      <c r="G32" s="237"/>
      <c r="H32" s="237"/>
      <c r="I32" s="237"/>
      <c r="J32" s="237"/>
      <c r="K32" s="237"/>
      <c r="L32" s="237"/>
      <c r="M32" s="237"/>
      <c r="N32" s="237"/>
      <c r="O32" s="237"/>
      <c r="P32" s="237"/>
      <c r="Q32" s="237"/>
      <c r="R32" s="237"/>
      <c r="S32" s="237"/>
      <c r="T32" s="237"/>
      <c r="U32" s="237"/>
      <c r="V32" s="237"/>
      <c r="W32" s="237"/>
      <c r="X32" s="237"/>
      <c r="Y32" s="237"/>
      <c r="Z32" s="237"/>
      <c r="AA32" s="237"/>
      <c r="AB32" s="237"/>
      <c r="AC32" s="237"/>
      <c r="AD32" s="237"/>
      <c r="AE32" s="237"/>
      <c r="AF32" s="237"/>
      <c r="AG32" s="237"/>
      <c r="AH32" s="237"/>
      <c r="AI32" s="237"/>
      <c r="AJ32" s="237"/>
      <c r="AK32" s="237"/>
      <c r="AL32" s="237"/>
      <c r="AM32" s="237"/>
      <c r="AN32" s="237"/>
      <c r="AO32" s="237"/>
      <c r="AP32" s="237"/>
      <c r="AQ32" s="237"/>
      <c r="AR32" s="237"/>
      <c r="AS32" s="237"/>
      <c r="AT32" s="237"/>
      <c r="AU32" s="237"/>
      <c r="AV32" s="237"/>
      <c r="AW32" s="237"/>
      <c r="AX32" s="237"/>
      <c r="AY32" s="237"/>
      <c r="AZ32" s="237"/>
      <c r="BA32" s="237"/>
      <c r="BB32" s="237"/>
      <c r="BC32" s="237"/>
      <c r="BD32" s="237"/>
      <c r="BE32" s="237"/>
      <c r="BF32" s="237"/>
      <c r="BG32" s="358"/>
      <c r="BH32" s="358"/>
      <c r="BI32" s="358"/>
      <c r="BJ32" s="358"/>
      <c r="BK32" s="358"/>
      <c r="BL32" s="358"/>
      <c r="BM32" s="358"/>
      <c r="BN32" s="358"/>
      <c r="BO32" s="358"/>
      <c r="BP32" s="358"/>
      <c r="BQ32" s="358"/>
      <c r="BR32" s="358"/>
      <c r="BS32" s="358"/>
      <c r="BT32" s="358"/>
      <c r="BU32" s="358"/>
      <c r="BV32" s="358"/>
    </row>
    <row r="33" spans="1:74" ht="12" customHeight="1" x14ac:dyDescent="0.2">
      <c r="A33" s="579" t="s">
        <v>46</v>
      </c>
      <c r="B33" s="581" t="s">
        <v>1070</v>
      </c>
      <c r="C33" s="270">
        <v>1.3480141193000001E-2</v>
      </c>
      <c r="D33" s="270">
        <v>1.7223531180000001E-2</v>
      </c>
      <c r="E33" s="270">
        <v>1.9639679197E-2</v>
      </c>
      <c r="F33" s="270">
        <v>1.8984493242000001E-2</v>
      </c>
      <c r="G33" s="270">
        <v>2.5186635446E-2</v>
      </c>
      <c r="H33" s="270">
        <v>2.4381167012E-2</v>
      </c>
      <c r="I33" s="270">
        <v>2.8528320324E-2</v>
      </c>
      <c r="J33" s="270">
        <v>2.9784244889E-2</v>
      </c>
      <c r="K33" s="270">
        <v>2.9911172755999998E-2</v>
      </c>
      <c r="L33" s="270">
        <v>2.7369892073000002E-2</v>
      </c>
      <c r="M33" s="270">
        <v>2.9125939922000001E-2</v>
      </c>
      <c r="N33" s="270">
        <v>2.7251442112E-2</v>
      </c>
      <c r="O33" s="270">
        <v>1.5929332809E-2</v>
      </c>
      <c r="P33" s="270">
        <v>1.5584395382E-2</v>
      </c>
      <c r="Q33" s="270">
        <v>2.2017778458000001E-2</v>
      </c>
      <c r="R33" s="270">
        <v>2.2915228746999999E-2</v>
      </c>
      <c r="S33" s="270">
        <v>2.8354640542000001E-2</v>
      </c>
      <c r="T33" s="270">
        <v>2.8122199168E-2</v>
      </c>
      <c r="U33" s="270">
        <v>2.6249721728999999E-2</v>
      </c>
      <c r="V33" s="270">
        <v>2.7889297093E-2</v>
      </c>
      <c r="W33" s="270">
        <v>2.4009649086E-2</v>
      </c>
      <c r="X33" s="270">
        <v>2.3757224034000001E-2</v>
      </c>
      <c r="Y33" s="270">
        <v>2.2206002610000001E-2</v>
      </c>
      <c r="Z33" s="270">
        <v>2.3452714994999999E-2</v>
      </c>
      <c r="AA33" s="270">
        <v>1.6062273506000001E-2</v>
      </c>
      <c r="AB33" s="270">
        <v>1.6936138803E-2</v>
      </c>
      <c r="AC33" s="270">
        <v>2.0052059761E-2</v>
      </c>
      <c r="AD33" s="270">
        <v>2.0818884300999999E-2</v>
      </c>
      <c r="AE33" s="270">
        <v>2.6255621997999998E-2</v>
      </c>
      <c r="AF33" s="270">
        <v>2.3970062045000001E-2</v>
      </c>
      <c r="AG33" s="270">
        <v>2.3293970638000001E-2</v>
      </c>
      <c r="AH33" s="270">
        <v>2.547793462E-2</v>
      </c>
      <c r="AI33" s="270">
        <v>2.3648532871000001E-2</v>
      </c>
      <c r="AJ33" s="270">
        <v>2.2721993823000001E-2</v>
      </c>
      <c r="AK33" s="270">
        <v>2.1013839416000001E-2</v>
      </c>
      <c r="AL33" s="270">
        <v>1.9533635353000001E-2</v>
      </c>
      <c r="AM33" s="270">
        <v>1.7483994736999998E-2</v>
      </c>
      <c r="AN33" s="270">
        <v>1.7541362848000001E-2</v>
      </c>
      <c r="AO33" s="270">
        <v>2.2992178649000002E-2</v>
      </c>
      <c r="AP33" s="270">
        <v>2.2472109006E-2</v>
      </c>
      <c r="AQ33" s="270">
        <v>2.5766940078000001E-2</v>
      </c>
      <c r="AR33" s="270">
        <v>2.2425319576999999E-2</v>
      </c>
      <c r="AS33" s="270">
        <v>2.4606127184000001E-2</v>
      </c>
      <c r="AT33" s="270">
        <v>2.4859452511E-2</v>
      </c>
      <c r="AU33" s="270">
        <v>2.1712047395E-2</v>
      </c>
      <c r="AV33" s="270">
        <v>2.1377988862999998E-2</v>
      </c>
      <c r="AW33" s="270">
        <v>2.0337442458999998E-2</v>
      </c>
      <c r="AX33" s="270">
        <v>2.3892351310000001E-2</v>
      </c>
      <c r="AY33" s="270">
        <v>1.8343696289000001E-2</v>
      </c>
      <c r="AZ33" s="270">
        <v>2.2529637929999999E-2</v>
      </c>
      <c r="BA33" s="270">
        <v>2.0049278391999999E-2</v>
      </c>
      <c r="BB33" s="270">
        <v>2.1754056704000001E-2</v>
      </c>
      <c r="BC33" s="270">
        <v>1.9656769128000001E-2</v>
      </c>
      <c r="BD33" s="270">
        <v>2.2992827013000001E-2</v>
      </c>
      <c r="BE33" s="270">
        <v>2.0262599999999999E-2</v>
      </c>
      <c r="BF33" s="270">
        <v>2.2025099999999999E-2</v>
      </c>
      <c r="BG33" s="356">
        <v>1.9702500000000001E-2</v>
      </c>
      <c r="BH33" s="356">
        <v>2.1697999999999999E-2</v>
      </c>
      <c r="BI33" s="356">
        <v>2.19916E-2</v>
      </c>
      <c r="BJ33" s="356">
        <v>2.4898E-2</v>
      </c>
      <c r="BK33" s="356">
        <v>2.60472E-2</v>
      </c>
      <c r="BL33" s="356">
        <v>2.7221800000000001E-2</v>
      </c>
      <c r="BM33" s="356">
        <v>3.1207700000000001E-2</v>
      </c>
      <c r="BN33" s="356">
        <v>2.86304E-2</v>
      </c>
      <c r="BO33" s="356">
        <v>3.00751E-2</v>
      </c>
      <c r="BP33" s="356">
        <v>3.0213400000000001E-2</v>
      </c>
      <c r="BQ33" s="356">
        <v>2.6522400000000002E-2</v>
      </c>
      <c r="BR33" s="356">
        <v>2.81052E-2</v>
      </c>
      <c r="BS33" s="356">
        <v>2.4034300000000001E-2</v>
      </c>
      <c r="BT33" s="356">
        <v>2.7574700000000001E-2</v>
      </c>
      <c r="BU33" s="356">
        <v>2.6954700000000002E-2</v>
      </c>
      <c r="BV33" s="356">
        <v>3.0527700000000001E-2</v>
      </c>
    </row>
    <row r="34" spans="1:74" ht="12" customHeight="1" x14ac:dyDescent="0.2">
      <c r="A34" s="579" t="s">
        <v>367</v>
      </c>
      <c r="B34" s="581" t="s">
        <v>1069</v>
      </c>
      <c r="C34" s="270">
        <v>8.7733089035999995E-2</v>
      </c>
      <c r="D34" s="270">
        <v>8.9768564287999994E-2</v>
      </c>
      <c r="E34" s="270">
        <v>9.5858798231999998E-2</v>
      </c>
      <c r="F34" s="270">
        <v>8.8837490421000004E-2</v>
      </c>
      <c r="G34" s="270">
        <v>9.6891450886E-2</v>
      </c>
      <c r="H34" s="270">
        <v>9.6822931422999997E-2</v>
      </c>
      <c r="I34" s="270">
        <v>9.9067499313999996E-2</v>
      </c>
      <c r="J34" s="270">
        <v>0.10034754707</v>
      </c>
      <c r="K34" s="270">
        <v>9.3953449974E-2</v>
      </c>
      <c r="L34" s="270">
        <v>9.5402461962000001E-2</v>
      </c>
      <c r="M34" s="270">
        <v>9.4155181150999995E-2</v>
      </c>
      <c r="N34" s="270">
        <v>9.9202271894999999E-2</v>
      </c>
      <c r="O34" s="270">
        <v>9.0146185512999993E-2</v>
      </c>
      <c r="P34" s="270">
        <v>8.3815591132000003E-2</v>
      </c>
      <c r="Q34" s="270">
        <v>9.5163974161000003E-2</v>
      </c>
      <c r="R34" s="270">
        <v>9.3467451105000002E-2</v>
      </c>
      <c r="S34" s="270">
        <v>9.9538819256E-2</v>
      </c>
      <c r="T34" s="270">
        <v>9.9513665508000004E-2</v>
      </c>
      <c r="U34" s="270">
        <v>9.8124577475000002E-2</v>
      </c>
      <c r="V34" s="270">
        <v>0.10206316183</v>
      </c>
      <c r="W34" s="270">
        <v>9.5383989877000003E-2</v>
      </c>
      <c r="X34" s="270">
        <v>9.8779635510999997E-2</v>
      </c>
      <c r="Y34" s="270">
        <v>9.6680633473999994E-2</v>
      </c>
      <c r="Z34" s="270">
        <v>9.6412156834999999E-2</v>
      </c>
      <c r="AA34" s="270">
        <v>9.5782245153999995E-2</v>
      </c>
      <c r="AB34" s="270">
        <v>8.1402108924000002E-2</v>
      </c>
      <c r="AC34" s="270">
        <v>9.5049445501000002E-2</v>
      </c>
      <c r="AD34" s="270">
        <v>8.8954249503000002E-2</v>
      </c>
      <c r="AE34" s="270">
        <v>0.1028689955</v>
      </c>
      <c r="AF34" s="270">
        <v>9.7073196158000002E-2</v>
      </c>
      <c r="AG34" s="270">
        <v>0.10062526462</v>
      </c>
      <c r="AH34" s="270">
        <v>0.10372643535000001</v>
      </c>
      <c r="AI34" s="270">
        <v>8.9100141344999995E-2</v>
      </c>
      <c r="AJ34" s="270">
        <v>9.8282352424000005E-2</v>
      </c>
      <c r="AK34" s="270">
        <v>9.4634998885999994E-2</v>
      </c>
      <c r="AL34" s="270">
        <v>9.6777543994000001E-2</v>
      </c>
      <c r="AM34" s="270">
        <v>8.8736536113999995E-2</v>
      </c>
      <c r="AN34" s="270">
        <v>8.9794956804000001E-2</v>
      </c>
      <c r="AO34" s="270">
        <v>9.4491724767000004E-2</v>
      </c>
      <c r="AP34" s="270">
        <v>9.2894834709999999E-2</v>
      </c>
      <c r="AQ34" s="270">
        <v>0.10214298227</v>
      </c>
      <c r="AR34" s="270">
        <v>9.9465809690999996E-2</v>
      </c>
      <c r="AS34" s="270">
        <v>9.9732611644999997E-2</v>
      </c>
      <c r="AT34" s="270">
        <v>9.8979215597E-2</v>
      </c>
      <c r="AU34" s="270">
        <v>9.2387780444999998E-2</v>
      </c>
      <c r="AV34" s="270">
        <v>0.10064742906</v>
      </c>
      <c r="AW34" s="270">
        <v>9.8271054477999997E-2</v>
      </c>
      <c r="AX34" s="270">
        <v>9.7711789160999998E-2</v>
      </c>
      <c r="AY34" s="270">
        <v>9.4034905525000004E-2</v>
      </c>
      <c r="AZ34" s="270">
        <v>8.5409133972000006E-2</v>
      </c>
      <c r="BA34" s="270">
        <v>7.7774842321000001E-2</v>
      </c>
      <c r="BB34" s="270">
        <v>5.3008486838000003E-2</v>
      </c>
      <c r="BC34" s="270">
        <v>7.8076016297000006E-2</v>
      </c>
      <c r="BD34" s="270">
        <v>8.8475700000000004E-2</v>
      </c>
      <c r="BE34" s="270">
        <v>8.9539599999999997E-2</v>
      </c>
      <c r="BF34" s="270">
        <v>8.81025E-2</v>
      </c>
      <c r="BG34" s="356">
        <v>8.8860999999999996E-2</v>
      </c>
      <c r="BH34" s="356">
        <v>9.0568700000000002E-2</v>
      </c>
      <c r="BI34" s="356">
        <v>8.9365100000000003E-2</v>
      </c>
      <c r="BJ34" s="356">
        <v>9.1943399999999995E-2</v>
      </c>
      <c r="BK34" s="356">
        <v>8.9442999999999995E-2</v>
      </c>
      <c r="BL34" s="356">
        <v>8.3330100000000004E-2</v>
      </c>
      <c r="BM34" s="356">
        <v>9.2707700000000004E-2</v>
      </c>
      <c r="BN34" s="356">
        <v>9.0506500000000004E-2</v>
      </c>
      <c r="BO34" s="356">
        <v>9.7013000000000002E-2</v>
      </c>
      <c r="BP34" s="356">
        <v>9.5008400000000007E-2</v>
      </c>
      <c r="BQ34" s="356">
        <v>9.7407999999999995E-2</v>
      </c>
      <c r="BR34" s="356">
        <v>9.99115E-2</v>
      </c>
      <c r="BS34" s="356">
        <v>9.0127399999999996E-2</v>
      </c>
      <c r="BT34" s="356">
        <v>9.6572500000000006E-2</v>
      </c>
      <c r="BU34" s="356">
        <v>9.2995900000000006E-2</v>
      </c>
      <c r="BV34" s="356">
        <v>9.3001500000000001E-2</v>
      </c>
    </row>
    <row r="35" spans="1:74" ht="12" customHeight="1" x14ac:dyDescent="0.2">
      <c r="A35" s="579" t="s">
        <v>368</v>
      </c>
      <c r="B35" s="581" t="s">
        <v>362</v>
      </c>
      <c r="C35" s="270">
        <v>0.10121323023000001</v>
      </c>
      <c r="D35" s="270">
        <v>0.10699209547000001</v>
      </c>
      <c r="E35" s="270">
        <v>0.11549847743</v>
      </c>
      <c r="F35" s="270">
        <v>0.10782198366</v>
      </c>
      <c r="G35" s="270">
        <v>0.12207808633</v>
      </c>
      <c r="H35" s="270">
        <v>0.12120409844</v>
      </c>
      <c r="I35" s="270">
        <v>0.12759581964</v>
      </c>
      <c r="J35" s="270">
        <v>0.13013179195999999</v>
      </c>
      <c r="K35" s="270">
        <v>0.12386462273</v>
      </c>
      <c r="L35" s="270">
        <v>0.12277235404</v>
      </c>
      <c r="M35" s="270">
        <v>0.12328112107</v>
      </c>
      <c r="N35" s="270">
        <v>0.12645371401</v>
      </c>
      <c r="O35" s="270">
        <v>0.10607551832000001</v>
      </c>
      <c r="P35" s="270">
        <v>9.9399986514999997E-2</v>
      </c>
      <c r="Q35" s="270">
        <v>0.11718175262</v>
      </c>
      <c r="R35" s="270">
        <v>0.11638267985</v>
      </c>
      <c r="S35" s="270">
        <v>0.1278934598</v>
      </c>
      <c r="T35" s="270">
        <v>0.12763586467999999</v>
      </c>
      <c r="U35" s="270">
        <v>0.1243742992</v>
      </c>
      <c r="V35" s="270">
        <v>0.12995245892000001</v>
      </c>
      <c r="W35" s="270">
        <v>0.11939363896000001</v>
      </c>
      <c r="X35" s="270">
        <v>0.12253685955</v>
      </c>
      <c r="Y35" s="270">
        <v>0.11888663608</v>
      </c>
      <c r="Z35" s="270">
        <v>0.11986487183</v>
      </c>
      <c r="AA35" s="270">
        <v>0.11184451866</v>
      </c>
      <c r="AB35" s="270">
        <v>9.8338247727000005E-2</v>
      </c>
      <c r="AC35" s="270">
        <v>0.11510150526</v>
      </c>
      <c r="AD35" s="270">
        <v>0.10977313380000001</v>
      </c>
      <c r="AE35" s="270">
        <v>0.12912461750000001</v>
      </c>
      <c r="AF35" s="270">
        <v>0.1210432582</v>
      </c>
      <c r="AG35" s="270">
        <v>0.12391923526</v>
      </c>
      <c r="AH35" s="270">
        <v>0.12920436997000001</v>
      </c>
      <c r="AI35" s="270">
        <v>0.11274867422</v>
      </c>
      <c r="AJ35" s="270">
        <v>0.12100434625000001</v>
      </c>
      <c r="AK35" s="270">
        <v>0.1156488383</v>
      </c>
      <c r="AL35" s="270">
        <v>0.11631117935</v>
      </c>
      <c r="AM35" s="270">
        <v>0.10622053084999999</v>
      </c>
      <c r="AN35" s="270">
        <v>0.10733631965</v>
      </c>
      <c r="AO35" s="270">
        <v>0.11748390341999999</v>
      </c>
      <c r="AP35" s="270">
        <v>0.11536694372</v>
      </c>
      <c r="AQ35" s="270">
        <v>0.12790992235000001</v>
      </c>
      <c r="AR35" s="270">
        <v>0.12189112927</v>
      </c>
      <c r="AS35" s="270">
        <v>0.12433873883</v>
      </c>
      <c r="AT35" s="270">
        <v>0.12383866810999999</v>
      </c>
      <c r="AU35" s="270">
        <v>0.11409982784</v>
      </c>
      <c r="AV35" s="270">
        <v>0.12202541792</v>
      </c>
      <c r="AW35" s="270">
        <v>0.11860849694</v>
      </c>
      <c r="AX35" s="270">
        <v>0.12160414047</v>
      </c>
      <c r="AY35" s="270">
        <v>0.11237860181000001</v>
      </c>
      <c r="AZ35" s="270">
        <v>0.10793877189999999</v>
      </c>
      <c r="BA35" s="270">
        <v>9.7824120712000001E-2</v>
      </c>
      <c r="BB35" s="270">
        <v>7.4762543542000001E-2</v>
      </c>
      <c r="BC35" s="270">
        <v>9.7732785424999996E-2</v>
      </c>
      <c r="BD35" s="270">
        <v>0.1114686</v>
      </c>
      <c r="BE35" s="270">
        <v>0.1098022</v>
      </c>
      <c r="BF35" s="270">
        <v>0.11012760000000001</v>
      </c>
      <c r="BG35" s="356">
        <v>0.10856349999999999</v>
      </c>
      <c r="BH35" s="356">
        <v>0.1122667</v>
      </c>
      <c r="BI35" s="356">
        <v>0.11135680000000001</v>
      </c>
      <c r="BJ35" s="356">
        <v>0.1168414</v>
      </c>
      <c r="BK35" s="356">
        <v>0.1154902</v>
      </c>
      <c r="BL35" s="356">
        <v>0.11055189999999999</v>
      </c>
      <c r="BM35" s="356">
        <v>0.12391539999999999</v>
      </c>
      <c r="BN35" s="356">
        <v>0.1191369</v>
      </c>
      <c r="BO35" s="356">
        <v>0.12708810000000001</v>
      </c>
      <c r="BP35" s="356">
        <v>0.12522179999999999</v>
      </c>
      <c r="BQ35" s="356">
        <v>0.1239304</v>
      </c>
      <c r="BR35" s="356">
        <v>0.12801670000000001</v>
      </c>
      <c r="BS35" s="356">
        <v>0.1141617</v>
      </c>
      <c r="BT35" s="356">
        <v>0.1241471</v>
      </c>
      <c r="BU35" s="356">
        <v>0.1199506</v>
      </c>
      <c r="BV35" s="356">
        <v>0.12352920000000001</v>
      </c>
    </row>
    <row r="36" spans="1:74" s="169" customFormat="1" ht="12" customHeight="1" x14ac:dyDescent="0.2">
      <c r="A36" s="132"/>
      <c r="B36" s="170" t="s">
        <v>369</v>
      </c>
      <c r="C36" s="171"/>
      <c r="D36" s="171"/>
      <c r="E36" s="171"/>
      <c r="F36" s="171"/>
      <c r="G36" s="171"/>
      <c r="H36" s="171"/>
      <c r="I36" s="171"/>
      <c r="J36" s="171"/>
      <c r="K36" s="171"/>
      <c r="L36" s="171"/>
      <c r="M36" s="171"/>
      <c r="N36" s="171"/>
      <c r="O36" s="171"/>
      <c r="P36" s="171"/>
      <c r="Q36" s="171"/>
      <c r="R36" s="171"/>
      <c r="S36" s="171"/>
      <c r="T36" s="171"/>
      <c r="U36" s="171"/>
      <c r="V36" s="171"/>
      <c r="W36" s="171"/>
      <c r="X36" s="171"/>
      <c r="Y36" s="171"/>
      <c r="Z36" s="171"/>
      <c r="AA36" s="171"/>
      <c r="AB36" s="171"/>
      <c r="AC36" s="171"/>
      <c r="AD36" s="171"/>
      <c r="AE36" s="171"/>
      <c r="AF36" s="171"/>
      <c r="AG36" s="171"/>
      <c r="AH36" s="171"/>
      <c r="AI36" s="171"/>
      <c r="AJ36" s="171"/>
      <c r="AK36" s="171"/>
      <c r="AL36" s="171"/>
      <c r="AM36" s="171"/>
      <c r="AN36" s="171"/>
      <c r="AO36" s="171"/>
      <c r="AP36" s="171"/>
      <c r="AQ36" s="171"/>
      <c r="AR36" s="171"/>
      <c r="AS36" s="171"/>
      <c r="AT36" s="171"/>
      <c r="AU36" s="171"/>
      <c r="AV36" s="171"/>
      <c r="AW36" s="171"/>
      <c r="AX36" s="171"/>
      <c r="AY36" s="171"/>
      <c r="AZ36" s="171"/>
      <c r="BA36" s="171"/>
      <c r="BB36" s="171"/>
      <c r="BC36" s="171"/>
      <c r="BD36" s="171"/>
      <c r="BE36" s="171"/>
      <c r="BF36" s="171"/>
      <c r="BG36" s="415"/>
      <c r="BH36" s="415"/>
      <c r="BI36" s="415"/>
      <c r="BJ36" s="415"/>
      <c r="BK36" s="415"/>
      <c r="BL36" s="415"/>
      <c r="BM36" s="415"/>
      <c r="BN36" s="415"/>
      <c r="BO36" s="415"/>
      <c r="BP36" s="415"/>
      <c r="BQ36" s="415"/>
      <c r="BR36" s="415"/>
      <c r="BS36" s="415"/>
      <c r="BT36" s="415"/>
      <c r="BU36" s="415"/>
      <c r="BV36" s="415"/>
    </row>
    <row r="37" spans="1:74" s="169" customFormat="1" ht="12" customHeight="1" x14ac:dyDescent="0.2">
      <c r="A37" s="579" t="s">
        <v>46</v>
      </c>
      <c r="B37" s="581" t="s">
        <v>1070</v>
      </c>
      <c r="C37" s="270">
        <v>1.3480141193000001E-2</v>
      </c>
      <c r="D37" s="270">
        <v>1.7223531180000001E-2</v>
      </c>
      <c r="E37" s="270">
        <v>1.9639679197E-2</v>
      </c>
      <c r="F37" s="270">
        <v>1.8984493242000001E-2</v>
      </c>
      <c r="G37" s="270">
        <v>2.5186635446E-2</v>
      </c>
      <c r="H37" s="270">
        <v>2.4381167012E-2</v>
      </c>
      <c r="I37" s="270">
        <v>2.8528320324E-2</v>
      </c>
      <c r="J37" s="270">
        <v>2.9784244889E-2</v>
      </c>
      <c r="K37" s="270">
        <v>2.9911172755999998E-2</v>
      </c>
      <c r="L37" s="270">
        <v>2.7369892073000002E-2</v>
      </c>
      <c r="M37" s="270">
        <v>2.9125939922000001E-2</v>
      </c>
      <c r="N37" s="270">
        <v>2.7251442112E-2</v>
      </c>
      <c r="O37" s="270">
        <v>1.5929332809E-2</v>
      </c>
      <c r="P37" s="270">
        <v>1.5584395382E-2</v>
      </c>
      <c r="Q37" s="270">
        <v>2.2017778458000001E-2</v>
      </c>
      <c r="R37" s="270">
        <v>2.2915228746999999E-2</v>
      </c>
      <c r="S37" s="270">
        <v>2.8354640542000001E-2</v>
      </c>
      <c r="T37" s="270">
        <v>2.8122199168E-2</v>
      </c>
      <c r="U37" s="270">
        <v>2.6249721728999999E-2</v>
      </c>
      <c r="V37" s="270">
        <v>2.7889297093E-2</v>
      </c>
      <c r="W37" s="270">
        <v>2.4009649086E-2</v>
      </c>
      <c r="X37" s="270">
        <v>2.3757224034000001E-2</v>
      </c>
      <c r="Y37" s="270">
        <v>2.2206002610000001E-2</v>
      </c>
      <c r="Z37" s="270">
        <v>2.3452714994999999E-2</v>
      </c>
      <c r="AA37" s="270">
        <v>1.6062273506000001E-2</v>
      </c>
      <c r="AB37" s="270">
        <v>1.6936138803E-2</v>
      </c>
      <c r="AC37" s="270">
        <v>2.0052059761E-2</v>
      </c>
      <c r="AD37" s="270">
        <v>2.0818884300999999E-2</v>
      </c>
      <c r="AE37" s="270">
        <v>2.6255621997999998E-2</v>
      </c>
      <c r="AF37" s="270">
        <v>2.3970062045000001E-2</v>
      </c>
      <c r="AG37" s="270">
        <v>2.3293970638000001E-2</v>
      </c>
      <c r="AH37" s="270">
        <v>2.547793462E-2</v>
      </c>
      <c r="AI37" s="270">
        <v>2.3648532871000001E-2</v>
      </c>
      <c r="AJ37" s="270">
        <v>2.2721993823000001E-2</v>
      </c>
      <c r="AK37" s="270">
        <v>2.1013839416000001E-2</v>
      </c>
      <c r="AL37" s="270">
        <v>1.9533635353000001E-2</v>
      </c>
      <c r="AM37" s="270">
        <v>1.7483994736999998E-2</v>
      </c>
      <c r="AN37" s="270">
        <v>1.7541362848000001E-2</v>
      </c>
      <c r="AO37" s="270">
        <v>2.2992178649000002E-2</v>
      </c>
      <c r="AP37" s="270">
        <v>2.2472109006E-2</v>
      </c>
      <c r="AQ37" s="270">
        <v>2.5766940078000001E-2</v>
      </c>
      <c r="AR37" s="270">
        <v>2.2425319576999999E-2</v>
      </c>
      <c r="AS37" s="270">
        <v>2.4606127184000001E-2</v>
      </c>
      <c r="AT37" s="270">
        <v>2.4859452511E-2</v>
      </c>
      <c r="AU37" s="270">
        <v>2.1712047395E-2</v>
      </c>
      <c r="AV37" s="270">
        <v>2.1377988862999998E-2</v>
      </c>
      <c r="AW37" s="270">
        <v>2.0337442458999998E-2</v>
      </c>
      <c r="AX37" s="270">
        <v>2.3892351310000001E-2</v>
      </c>
      <c r="AY37" s="270">
        <v>1.8343696289000001E-2</v>
      </c>
      <c r="AZ37" s="270">
        <v>2.2529637929999999E-2</v>
      </c>
      <c r="BA37" s="270">
        <v>2.0049278391999999E-2</v>
      </c>
      <c r="BB37" s="270">
        <v>2.1754056704000001E-2</v>
      </c>
      <c r="BC37" s="270">
        <v>1.9656769128000001E-2</v>
      </c>
      <c r="BD37" s="270">
        <v>2.2992827013000001E-2</v>
      </c>
      <c r="BE37" s="270">
        <v>2.0262599999999999E-2</v>
      </c>
      <c r="BF37" s="270">
        <v>2.2025099999999999E-2</v>
      </c>
      <c r="BG37" s="356">
        <v>1.9702500000000001E-2</v>
      </c>
      <c r="BH37" s="356">
        <v>2.1697999999999999E-2</v>
      </c>
      <c r="BI37" s="356">
        <v>2.19916E-2</v>
      </c>
      <c r="BJ37" s="356">
        <v>2.4898E-2</v>
      </c>
      <c r="BK37" s="356">
        <v>2.60472E-2</v>
      </c>
      <c r="BL37" s="356">
        <v>2.7221800000000001E-2</v>
      </c>
      <c r="BM37" s="356">
        <v>3.1207700000000001E-2</v>
      </c>
      <c r="BN37" s="356">
        <v>2.86304E-2</v>
      </c>
      <c r="BO37" s="356">
        <v>3.00751E-2</v>
      </c>
      <c r="BP37" s="356">
        <v>3.0213400000000001E-2</v>
      </c>
      <c r="BQ37" s="356">
        <v>2.6522400000000002E-2</v>
      </c>
      <c r="BR37" s="356">
        <v>2.81052E-2</v>
      </c>
      <c r="BS37" s="356">
        <v>2.4034300000000001E-2</v>
      </c>
      <c r="BT37" s="356">
        <v>2.7574700000000001E-2</v>
      </c>
      <c r="BU37" s="356">
        <v>2.6954700000000002E-2</v>
      </c>
      <c r="BV37" s="356">
        <v>3.0527700000000001E-2</v>
      </c>
    </row>
    <row r="38" spans="1:74" s="169" customFormat="1" ht="12" customHeight="1" x14ac:dyDescent="0.2">
      <c r="A38" s="580" t="s">
        <v>1005</v>
      </c>
      <c r="B38" s="581" t="s">
        <v>1067</v>
      </c>
      <c r="C38" s="270">
        <v>6.6298613000000006E-2</v>
      </c>
      <c r="D38" s="270">
        <v>6.2729654999999995E-2</v>
      </c>
      <c r="E38" s="270">
        <v>6.7480604999999999E-2</v>
      </c>
      <c r="F38" s="270">
        <v>6.1485958E-2</v>
      </c>
      <c r="G38" s="270">
        <v>6.6186623E-2</v>
      </c>
      <c r="H38" s="270">
        <v>6.6442403999999997E-2</v>
      </c>
      <c r="I38" s="270">
        <v>6.8718651000000006E-2</v>
      </c>
      <c r="J38" s="270">
        <v>6.9593574000000005E-2</v>
      </c>
      <c r="K38" s="270">
        <v>6.5618134999999994E-2</v>
      </c>
      <c r="L38" s="270">
        <v>6.7715739999999996E-2</v>
      </c>
      <c r="M38" s="270">
        <v>6.7057971999999993E-2</v>
      </c>
      <c r="N38" s="270">
        <v>7.1329435999999996E-2</v>
      </c>
      <c r="O38" s="270">
        <v>7.1065680000000006E-2</v>
      </c>
      <c r="P38" s="270">
        <v>6.3326939999999998E-2</v>
      </c>
      <c r="Q38" s="270">
        <v>7.0015173E-2</v>
      </c>
      <c r="R38" s="270">
        <v>6.4113870000000003E-2</v>
      </c>
      <c r="S38" s="270">
        <v>6.8976934000000004E-2</v>
      </c>
      <c r="T38" s="270">
        <v>6.6678670999999995E-2</v>
      </c>
      <c r="U38" s="270">
        <v>6.7955128000000004E-2</v>
      </c>
      <c r="V38" s="270">
        <v>7.0744000000000001E-2</v>
      </c>
      <c r="W38" s="270">
        <v>6.6504052999999994E-2</v>
      </c>
      <c r="X38" s="270">
        <v>6.9820594999999999E-2</v>
      </c>
      <c r="Y38" s="270">
        <v>7.0769894999999999E-2</v>
      </c>
      <c r="Z38" s="270">
        <v>7.1461034000000007E-2</v>
      </c>
      <c r="AA38" s="270">
        <v>7.0007658E-2</v>
      </c>
      <c r="AB38" s="270">
        <v>6.3832082999999998E-2</v>
      </c>
      <c r="AC38" s="270">
        <v>6.9683676E-2</v>
      </c>
      <c r="AD38" s="270">
        <v>6.5998955999999998E-2</v>
      </c>
      <c r="AE38" s="270">
        <v>6.9678822000000001E-2</v>
      </c>
      <c r="AF38" s="270">
        <v>6.8717285000000003E-2</v>
      </c>
      <c r="AG38" s="270">
        <v>7.1907395999999998E-2</v>
      </c>
      <c r="AH38" s="270">
        <v>7.2646837000000006E-2</v>
      </c>
      <c r="AI38" s="270">
        <v>6.5996147000000005E-2</v>
      </c>
      <c r="AJ38" s="270">
        <v>6.9733007999999999E-2</v>
      </c>
      <c r="AK38" s="270">
        <v>6.7866770000000007E-2</v>
      </c>
      <c r="AL38" s="270">
        <v>6.8225988000000001E-2</v>
      </c>
      <c r="AM38" s="270">
        <v>6.7172813999999997E-2</v>
      </c>
      <c r="AN38" s="270">
        <v>6.0735915000000001E-2</v>
      </c>
      <c r="AO38" s="270">
        <v>6.5740724E-2</v>
      </c>
      <c r="AP38" s="270">
        <v>6.5971867000000003E-2</v>
      </c>
      <c r="AQ38" s="270">
        <v>6.9171618000000004E-2</v>
      </c>
      <c r="AR38" s="270">
        <v>6.7894854000000004E-2</v>
      </c>
      <c r="AS38" s="270">
        <v>6.9301951000000001E-2</v>
      </c>
      <c r="AT38" s="270">
        <v>6.7958917999999993E-2</v>
      </c>
      <c r="AU38" s="270">
        <v>6.222341E-2</v>
      </c>
      <c r="AV38" s="270">
        <v>6.5846002000000001E-2</v>
      </c>
      <c r="AW38" s="270">
        <v>6.6645917999999998E-2</v>
      </c>
      <c r="AX38" s="270">
        <v>7.0743513999999993E-2</v>
      </c>
      <c r="AY38" s="270">
        <v>7.0264506000000004E-2</v>
      </c>
      <c r="AZ38" s="270">
        <v>6.4358105999999998E-2</v>
      </c>
      <c r="BA38" s="270">
        <v>6.2027231000000002E-2</v>
      </c>
      <c r="BB38" s="270">
        <v>3.5765727999999997E-2</v>
      </c>
      <c r="BC38" s="270">
        <v>4.4488028999999998E-2</v>
      </c>
      <c r="BD38" s="270">
        <v>5.4987099999999997E-2</v>
      </c>
      <c r="BE38" s="270">
        <v>6.1183599999999998E-2</v>
      </c>
      <c r="BF38" s="270">
        <v>6.0731500000000001E-2</v>
      </c>
      <c r="BG38" s="356">
        <v>5.9542100000000001E-2</v>
      </c>
      <c r="BH38" s="356">
        <v>6.00119E-2</v>
      </c>
      <c r="BI38" s="356">
        <v>6.0618499999999999E-2</v>
      </c>
      <c r="BJ38" s="356">
        <v>6.4200499999999994E-2</v>
      </c>
      <c r="BK38" s="356">
        <v>6.4876299999999998E-2</v>
      </c>
      <c r="BL38" s="356">
        <v>5.9734700000000002E-2</v>
      </c>
      <c r="BM38" s="356">
        <v>6.5242099999999997E-2</v>
      </c>
      <c r="BN38" s="356">
        <v>6.2156599999999999E-2</v>
      </c>
      <c r="BO38" s="356">
        <v>6.6066299999999994E-2</v>
      </c>
      <c r="BP38" s="356">
        <v>6.4583500000000002E-2</v>
      </c>
      <c r="BQ38" s="356">
        <v>6.6298399999999993E-2</v>
      </c>
      <c r="BR38" s="356">
        <v>6.7325800000000005E-2</v>
      </c>
      <c r="BS38" s="356">
        <v>6.2341199999999999E-2</v>
      </c>
      <c r="BT38" s="356">
        <v>6.5692E-2</v>
      </c>
      <c r="BU38" s="356">
        <v>6.5889400000000001E-2</v>
      </c>
      <c r="BV38" s="356">
        <v>6.6403199999999996E-2</v>
      </c>
    </row>
    <row r="39" spans="1:74" s="169" customFormat="1" ht="12" customHeight="1" x14ac:dyDescent="0.2">
      <c r="A39" s="579" t="s">
        <v>45</v>
      </c>
      <c r="B39" s="581" t="s">
        <v>1069</v>
      </c>
      <c r="C39" s="270">
        <v>9.1098747359000004E-2</v>
      </c>
      <c r="D39" s="270">
        <v>9.3212241698000006E-2</v>
      </c>
      <c r="E39" s="270">
        <v>9.9536102032000001E-2</v>
      </c>
      <c r="F39" s="270">
        <v>9.2245450600000001E-2</v>
      </c>
      <c r="G39" s="270">
        <v>0.10060836595</v>
      </c>
      <c r="H39" s="270">
        <v>0.10053722143</v>
      </c>
      <c r="I39" s="270">
        <v>0.10286787235</v>
      </c>
      <c r="J39" s="270">
        <v>0.1041970252</v>
      </c>
      <c r="K39" s="270">
        <v>9.7557666550000005E-2</v>
      </c>
      <c r="L39" s="270">
        <v>9.9062272399999998E-2</v>
      </c>
      <c r="M39" s="270">
        <v>9.7767139959999999E-2</v>
      </c>
      <c r="N39" s="270">
        <v>0.10300785041</v>
      </c>
      <c r="O39" s="270">
        <v>9.3546471936000006E-2</v>
      </c>
      <c r="P39" s="270">
        <v>8.6977054548000005E-2</v>
      </c>
      <c r="Q39" s="270">
        <v>9.8753476955000002E-2</v>
      </c>
      <c r="R39" s="270">
        <v>9.6992912929999994E-2</v>
      </c>
      <c r="S39" s="270">
        <v>0.10329328138</v>
      </c>
      <c r="T39" s="270">
        <v>0.10326717064</v>
      </c>
      <c r="U39" s="270">
        <v>0.10182570763</v>
      </c>
      <c r="V39" s="270">
        <v>0.10591285979999999</v>
      </c>
      <c r="W39" s="270">
        <v>9.898176015E-2</v>
      </c>
      <c r="X39" s="270">
        <v>0.10250547875</v>
      </c>
      <c r="Y39" s="270">
        <v>0.10032732334</v>
      </c>
      <c r="Z39" s="270">
        <v>0.10004871557</v>
      </c>
      <c r="AA39" s="270">
        <v>9.9457766266999995E-2</v>
      </c>
      <c r="AB39" s="270">
        <v>8.4525829900000002E-2</v>
      </c>
      <c r="AC39" s="270">
        <v>9.8696817564999997E-2</v>
      </c>
      <c r="AD39" s="270">
        <v>9.2367758440000003E-2</v>
      </c>
      <c r="AE39" s="270">
        <v>0.10681642312</v>
      </c>
      <c r="AF39" s="270">
        <v>0.10079822267999999</v>
      </c>
      <c r="AG39" s="270">
        <v>0.10448661803000001</v>
      </c>
      <c r="AH39" s="270">
        <v>0.10770678244</v>
      </c>
      <c r="AI39" s="270">
        <v>9.2519263030000007E-2</v>
      </c>
      <c r="AJ39" s="270">
        <v>0.10205375371</v>
      </c>
      <c r="AK39" s="270">
        <v>9.8266457469999999E-2</v>
      </c>
      <c r="AL39" s="270">
        <v>0.10049120735</v>
      </c>
      <c r="AM39" s="270">
        <v>9.2141963162000004E-2</v>
      </c>
      <c r="AN39" s="270">
        <v>9.3240121940000004E-2</v>
      </c>
      <c r="AO39" s="270">
        <v>9.8118403404999999E-2</v>
      </c>
      <c r="AP39" s="270">
        <v>9.6459444069999997E-2</v>
      </c>
      <c r="AQ39" s="270">
        <v>0.10606237547</v>
      </c>
      <c r="AR39" s="270">
        <v>0.10328245912</v>
      </c>
      <c r="AS39" s="270">
        <v>0.10355929032</v>
      </c>
      <c r="AT39" s="270">
        <v>0.10277786849999999</v>
      </c>
      <c r="AU39" s="270">
        <v>9.5932876259999994E-2</v>
      </c>
      <c r="AV39" s="270">
        <v>0.10450944104</v>
      </c>
      <c r="AW39" s="270">
        <v>0.10204189806</v>
      </c>
      <c r="AX39" s="270">
        <v>0.10146138527</v>
      </c>
      <c r="AY39" s="270">
        <v>9.7643377591000002E-2</v>
      </c>
      <c r="AZ39" s="270">
        <v>8.8686603887999996E-2</v>
      </c>
      <c r="BA39" s="270">
        <v>8.0759399603999998E-2</v>
      </c>
      <c r="BB39" s="270">
        <v>5.504259785E-2</v>
      </c>
      <c r="BC39" s="270">
        <v>8.1071971162000003E-2</v>
      </c>
      <c r="BD39" s="270">
        <v>9.1870812060000001E-2</v>
      </c>
      <c r="BE39" s="270">
        <v>9.2975508280999999E-2</v>
      </c>
      <c r="BF39" s="270">
        <v>9.1483251299000007E-2</v>
      </c>
      <c r="BG39" s="356">
        <v>9.22708E-2</v>
      </c>
      <c r="BH39" s="356">
        <v>9.4044100000000005E-2</v>
      </c>
      <c r="BI39" s="356">
        <v>9.2794299999999996E-2</v>
      </c>
      <c r="BJ39" s="356">
        <v>9.5471500000000001E-2</v>
      </c>
      <c r="BK39" s="356">
        <v>9.2875200000000005E-2</v>
      </c>
      <c r="BL39" s="356">
        <v>8.6527699999999999E-2</v>
      </c>
      <c r="BM39" s="356">
        <v>9.6265199999999995E-2</v>
      </c>
      <c r="BN39" s="356">
        <v>9.3979499999999994E-2</v>
      </c>
      <c r="BO39" s="356">
        <v>0.10073559999999999</v>
      </c>
      <c r="BP39" s="356">
        <v>9.8654099999999995E-2</v>
      </c>
      <c r="BQ39" s="356">
        <v>0.10114579999999999</v>
      </c>
      <c r="BR39" s="356">
        <v>0.1037454</v>
      </c>
      <c r="BS39" s="356">
        <v>9.3585799999999997E-2</v>
      </c>
      <c r="BT39" s="356">
        <v>0.1002782</v>
      </c>
      <c r="BU39" s="356">
        <v>9.6564499999999998E-2</v>
      </c>
      <c r="BV39" s="356">
        <v>9.6570199999999995E-2</v>
      </c>
    </row>
    <row r="40" spans="1:74" s="169" customFormat="1" ht="12" customHeight="1" x14ac:dyDescent="0.2">
      <c r="A40" s="576" t="s">
        <v>33</v>
      </c>
      <c r="B40" s="581" t="s">
        <v>469</v>
      </c>
      <c r="C40" s="270">
        <v>1.7675495999999999E-2</v>
      </c>
      <c r="D40" s="270">
        <v>1.6510339999999998E-2</v>
      </c>
      <c r="E40" s="270">
        <v>1.7519960000000001E-2</v>
      </c>
      <c r="F40" s="270">
        <v>1.6366128000000001E-2</v>
      </c>
      <c r="G40" s="270">
        <v>1.7766285999999999E-2</v>
      </c>
      <c r="H40" s="270">
        <v>1.6757774999999999E-2</v>
      </c>
      <c r="I40" s="270">
        <v>1.7483555000000001E-2</v>
      </c>
      <c r="J40" s="270">
        <v>1.7604017E-2</v>
      </c>
      <c r="K40" s="270">
        <v>1.7452789E-2</v>
      </c>
      <c r="L40" s="270">
        <v>1.7870857E-2</v>
      </c>
      <c r="M40" s="270">
        <v>1.7795978E-2</v>
      </c>
      <c r="N40" s="270">
        <v>1.8800668999999999E-2</v>
      </c>
      <c r="O40" s="270">
        <v>1.8355539000000001E-2</v>
      </c>
      <c r="P40" s="270">
        <v>1.6284964999999998E-2</v>
      </c>
      <c r="Q40" s="270">
        <v>1.8173284000000001E-2</v>
      </c>
      <c r="R40" s="270">
        <v>1.7575844E-2</v>
      </c>
      <c r="S40" s="270">
        <v>1.7387171999999999E-2</v>
      </c>
      <c r="T40" s="270">
        <v>1.7046362999999998E-2</v>
      </c>
      <c r="U40" s="270">
        <v>1.8039873000000001E-2</v>
      </c>
      <c r="V40" s="270">
        <v>1.7950434000000001E-2</v>
      </c>
      <c r="W40" s="270">
        <v>1.7486315999999998E-2</v>
      </c>
      <c r="X40" s="270">
        <v>1.6578875999999999E-2</v>
      </c>
      <c r="Y40" s="270">
        <v>1.7239236000000002E-2</v>
      </c>
      <c r="Z40" s="270">
        <v>1.8115470000000002E-2</v>
      </c>
      <c r="AA40" s="270">
        <v>1.7604412999999999E-2</v>
      </c>
      <c r="AB40" s="270">
        <v>1.6470571999999999E-2</v>
      </c>
      <c r="AC40" s="270">
        <v>1.7836069999999999E-2</v>
      </c>
      <c r="AD40" s="270">
        <v>1.6034152999999999E-2</v>
      </c>
      <c r="AE40" s="270">
        <v>1.7980525000000001E-2</v>
      </c>
      <c r="AF40" s="270">
        <v>1.7052873999999999E-2</v>
      </c>
      <c r="AG40" s="270">
        <v>1.7862092E-2</v>
      </c>
      <c r="AH40" s="270">
        <v>1.7838819999999998E-2</v>
      </c>
      <c r="AI40" s="270">
        <v>1.730845E-2</v>
      </c>
      <c r="AJ40" s="270">
        <v>1.6983365E-2</v>
      </c>
      <c r="AK40" s="270">
        <v>1.7335178E-2</v>
      </c>
      <c r="AL40" s="270">
        <v>1.8558274999999999E-2</v>
      </c>
      <c r="AM40" s="270">
        <v>1.8334903E-2</v>
      </c>
      <c r="AN40" s="270">
        <v>1.6779097999999999E-2</v>
      </c>
      <c r="AO40" s="270">
        <v>1.8475681000000001E-2</v>
      </c>
      <c r="AP40" s="270">
        <v>1.6499361000000001E-2</v>
      </c>
      <c r="AQ40" s="270">
        <v>1.7657791999999999E-2</v>
      </c>
      <c r="AR40" s="270">
        <v>1.7621825000000001E-2</v>
      </c>
      <c r="AS40" s="270">
        <v>1.8244651000000001E-2</v>
      </c>
      <c r="AT40" s="270">
        <v>1.8224988000000001E-2</v>
      </c>
      <c r="AU40" s="270">
        <v>1.7823199000000001E-2</v>
      </c>
      <c r="AV40" s="270">
        <v>1.7018605999999999E-2</v>
      </c>
      <c r="AW40" s="270">
        <v>1.5339678000000001E-2</v>
      </c>
      <c r="AX40" s="270">
        <v>1.7240596E-2</v>
      </c>
      <c r="AY40" s="270">
        <v>1.6477895999999999E-2</v>
      </c>
      <c r="AZ40" s="270">
        <v>1.5174033999999999E-2</v>
      </c>
      <c r="BA40" s="270">
        <v>1.8544409000000001E-2</v>
      </c>
      <c r="BB40" s="270">
        <v>1.7184327999999999E-2</v>
      </c>
      <c r="BC40" s="270">
        <v>1.795942E-2</v>
      </c>
      <c r="BD40" s="270">
        <v>1.73449E-2</v>
      </c>
      <c r="BE40" s="270">
        <v>1.8304999999999998E-2</v>
      </c>
      <c r="BF40" s="270">
        <v>1.8315499999999998E-2</v>
      </c>
      <c r="BG40" s="356">
        <v>1.7980800000000002E-2</v>
      </c>
      <c r="BH40" s="356">
        <v>1.7013199999999999E-2</v>
      </c>
      <c r="BI40" s="356">
        <v>1.53966E-2</v>
      </c>
      <c r="BJ40" s="356">
        <v>1.80915E-2</v>
      </c>
      <c r="BK40" s="356">
        <v>1.6342200000000001E-2</v>
      </c>
      <c r="BL40" s="356">
        <v>1.4693400000000001E-2</v>
      </c>
      <c r="BM40" s="356">
        <v>1.76341E-2</v>
      </c>
      <c r="BN40" s="356">
        <v>1.73128E-2</v>
      </c>
      <c r="BO40" s="356">
        <v>1.88626E-2</v>
      </c>
      <c r="BP40" s="356">
        <v>1.7479499999999999E-2</v>
      </c>
      <c r="BQ40" s="356">
        <v>1.8307899999999998E-2</v>
      </c>
      <c r="BR40" s="356">
        <v>1.8369E-2</v>
      </c>
      <c r="BS40" s="356">
        <v>1.8082399999999998E-2</v>
      </c>
      <c r="BT40" s="356">
        <v>1.6987100000000002E-2</v>
      </c>
      <c r="BU40" s="356">
        <v>1.5341799999999999E-2</v>
      </c>
      <c r="BV40" s="356">
        <v>1.7915500000000001E-2</v>
      </c>
    </row>
    <row r="41" spans="1:74" s="169" customFormat="1" ht="12" customHeight="1" x14ac:dyDescent="0.2">
      <c r="A41" s="576" t="s">
        <v>32</v>
      </c>
      <c r="B41" s="581" t="s">
        <v>52</v>
      </c>
      <c r="C41" s="270">
        <v>0.236473455</v>
      </c>
      <c r="D41" s="270">
        <v>0.22285139100000001</v>
      </c>
      <c r="E41" s="270">
        <v>0.25286334599999999</v>
      </c>
      <c r="F41" s="270">
        <v>0.238905962</v>
      </c>
      <c r="G41" s="270">
        <v>0.23529027299999999</v>
      </c>
      <c r="H41" s="270">
        <v>0.21452276000000001</v>
      </c>
      <c r="I41" s="270">
        <v>0.198075523</v>
      </c>
      <c r="J41" s="270">
        <v>0.18066607800000001</v>
      </c>
      <c r="K41" s="270">
        <v>0.151106459</v>
      </c>
      <c r="L41" s="270">
        <v>0.16007232399999999</v>
      </c>
      <c r="M41" s="270">
        <v>0.17363790500000001</v>
      </c>
      <c r="N41" s="270">
        <v>0.20797632199999999</v>
      </c>
      <c r="O41" s="270">
        <v>0.24532267099999999</v>
      </c>
      <c r="P41" s="270">
        <v>0.22002269699999999</v>
      </c>
      <c r="Q41" s="270">
        <v>0.27282636199999999</v>
      </c>
      <c r="R41" s="270">
        <v>0.27094940699999998</v>
      </c>
      <c r="S41" s="270">
        <v>0.30040935200000002</v>
      </c>
      <c r="T41" s="270">
        <v>0.281690198</v>
      </c>
      <c r="U41" s="270">
        <v>0.24504964500000001</v>
      </c>
      <c r="V41" s="270">
        <v>0.202997913</v>
      </c>
      <c r="W41" s="270">
        <v>0.17644512200000001</v>
      </c>
      <c r="X41" s="270">
        <v>0.163053327</v>
      </c>
      <c r="Y41" s="270">
        <v>0.183231221</v>
      </c>
      <c r="Z41" s="270">
        <v>0.20496936499999999</v>
      </c>
      <c r="AA41" s="270">
        <v>0.228183354</v>
      </c>
      <c r="AB41" s="270">
        <v>0.226710153</v>
      </c>
      <c r="AC41" s="270">
        <v>0.23543493900000001</v>
      </c>
      <c r="AD41" s="270">
        <v>0.25596036700000002</v>
      </c>
      <c r="AE41" s="270">
        <v>0.27716476000000001</v>
      </c>
      <c r="AF41" s="270">
        <v>0.25124753500000002</v>
      </c>
      <c r="AG41" s="270">
        <v>0.22850611200000001</v>
      </c>
      <c r="AH41" s="270">
        <v>0.200441906</v>
      </c>
      <c r="AI41" s="270">
        <v>0.17448381199999999</v>
      </c>
      <c r="AJ41" s="270">
        <v>0.17796672999999999</v>
      </c>
      <c r="AK41" s="270">
        <v>0.19949337</v>
      </c>
      <c r="AL41" s="270">
        <v>0.20754535700000001</v>
      </c>
      <c r="AM41" s="270">
        <v>0.220405718</v>
      </c>
      <c r="AN41" s="270">
        <v>0.19870541799999999</v>
      </c>
      <c r="AO41" s="270">
        <v>0.23257209400000001</v>
      </c>
      <c r="AP41" s="270">
        <v>0.23200091</v>
      </c>
      <c r="AQ41" s="270">
        <v>0.27367217199999999</v>
      </c>
      <c r="AR41" s="270">
        <v>0.240971926</v>
      </c>
      <c r="AS41" s="270">
        <v>0.216035693</v>
      </c>
      <c r="AT41" s="270">
        <v>0.19155946300000001</v>
      </c>
      <c r="AU41" s="270">
        <v>0.14861111599999999</v>
      </c>
      <c r="AV41" s="270">
        <v>0.14831976399999999</v>
      </c>
      <c r="AW41" s="270">
        <v>0.186813857</v>
      </c>
      <c r="AX41" s="270">
        <v>0.20216373300000001</v>
      </c>
      <c r="AY41" s="270">
        <v>0.221102618</v>
      </c>
      <c r="AZ41" s="270">
        <v>0.228300007</v>
      </c>
      <c r="BA41" s="270">
        <v>0.202739427</v>
      </c>
      <c r="BB41" s="270">
        <v>0.189098869</v>
      </c>
      <c r="BC41" s="270">
        <v>0.26827263800000001</v>
      </c>
      <c r="BD41" s="270">
        <v>0.26056580000000001</v>
      </c>
      <c r="BE41" s="270">
        <v>0.24569389999999999</v>
      </c>
      <c r="BF41" s="270">
        <v>0.2005256</v>
      </c>
      <c r="BG41" s="356">
        <v>0.16430330000000001</v>
      </c>
      <c r="BH41" s="356">
        <v>0.158279</v>
      </c>
      <c r="BI41" s="356">
        <v>0.18925549999999999</v>
      </c>
      <c r="BJ41" s="356">
        <v>0.2166913</v>
      </c>
      <c r="BK41" s="356">
        <v>0.22635420000000001</v>
      </c>
      <c r="BL41" s="356">
        <v>0.2081887</v>
      </c>
      <c r="BM41" s="356">
        <v>0.23467579999999999</v>
      </c>
      <c r="BN41" s="356">
        <v>0.2066093</v>
      </c>
      <c r="BO41" s="356">
        <v>0.24844279999999999</v>
      </c>
      <c r="BP41" s="356">
        <v>0.24242720000000001</v>
      </c>
      <c r="BQ41" s="356">
        <v>0.21935730000000001</v>
      </c>
      <c r="BR41" s="356">
        <v>0.19754869999999999</v>
      </c>
      <c r="BS41" s="356">
        <v>0.16383049999999999</v>
      </c>
      <c r="BT41" s="356">
        <v>0.16003700000000001</v>
      </c>
      <c r="BU41" s="356">
        <v>0.19029099999999999</v>
      </c>
      <c r="BV41" s="356">
        <v>0.2222268</v>
      </c>
    </row>
    <row r="42" spans="1:74" s="169" customFormat="1" ht="12" customHeight="1" x14ac:dyDescent="0.2">
      <c r="A42" s="576" t="s">
        <v>34</v>
      </c>
      <c r="B42" s="581" t="s">
        <v>1071</v>
      </c>
      <c r="C42" s="270">
        <v>2.6084961E-2</v>
      </c>
      <c r="D42" s="270">
        <v>3.5144950000000001E-2</v>
      </c>
      <c r="E42" s="270">
        <v>4.3420017999999998E-2</v>
      </c>
      <c r="F42" s="270">
        <v>4.8085700000000002E-2</v>
      </c>
      <c r="G42" s="270">
        <v>5.5344554999999997E-2</v>
      </c>
      <c r="H42" s="270">
        <v>5.6406412000000003E-2</v>
      </c>
      <c r="I42" s="270">
        <v>6.1672975999999997E-2</v>
      </c>
      <c r="J42" s="270">
        <v>6.1157784E-2</v>
      </c>
      <c r="K42" s="270">
        <v>5.5469031000000002E-2</v>
      </c>
      <c r="L42" s="270">
        <v>4.9057005000000001E-2</v>
      </c>
      <c r="M42" s="270">
        <v>4.1414602000000002E-2</v>
      </c>
      <c r="N42" s="270">
        <v>3.7109794000000002E-2</v>
      </c>
      <c r="O42" s="270">
        <v>3.6273326000000002E-2</v>
      </c>
      <c r="P42" s="270">
        <v>4.1856760999999999E-2</v>
      </c>
      <c r="Q42" s="270">
        <v>6.5115400000000004E-2</v>
      </c>
      <c r="R42" s="270">
        <v>7.1388309999999996E-2</v>
      </c>
      <c r="S42" s="270">
        <v>8.2200829000000003E-2</v>
      </c>
      <c r="T42" s="270">
        <v>8.6002771000000006E-2</v>
      </c>
      <c r="U42" s="270">
        <v>8.1779555000000004E-2</v>
      </c>
      <c r="V42" s="270">
        <v>7.9037009000000005E-2</v>
      </c>
      <c r="W42" s="270">
        <v>7.3156582999999997E-2</v>
      </c>
      <c r="X42" s="270">
        <v>6.6573040999999999E-2</v>
      </c>
      <c r="Y42" s="270">
        <v>4.8182807000000001E-2</v>
      </c>
      <c r="Z42" s="270">
        <v>4.5517520999999998E-2</v>
      </c>
      <c r="AA42" s="270">
        <v>4.8550528000000003E-2</v>
      </c>
      <c r="AB42" s="270">
        <v>5.5471670000000001E-2</v>
      </c>
      <c r="AC42" s="270">
        <v>7.3589544000000007E-2</v>
      </c>
      <c r="AD42" s="270">
        <v>8.6159767999999998E-2</v>
      </c>
      <c r="AE42" s="270">
        <v>9.6446668999999999E-2</v>
      </c>
      <c r="AF42" s="270">
        <v>0.10213873399999999</v>
      </c>
      <c r="AG42" s="270">
        <v>9.7120520000000002E-2</v>
      </c>
      <c r="AH42" s="270">
        <v>9.5112679000000006E-2</v>
      </c>
      <c r="AI42" s="270">
        <v>8.4547153999999999E-2</v>
      </c>
      <c r="AJ42" s="270">
        <v>7.2324022000000002E-2</v>
      </c>
      <c r="AK42" s="270">
        <v>5.5645956000000003E-2</v>
      </c>
      <c r="AL42" s="270">
        <v>4.8405477000000002E-2</v>
      </c>
      <c r="AM42" s="270">
        <v>5.4229594999999998E-2</v>
      </c>
      <c r="AN42" s="270">
        <v>5.7503068999999997E-2</v>
      </c>
      <c r="AO42" s="270">
        <v>8.5887107000000004E-2</v>
      </c>
      <c r="AP42" s="270">
        <v>9.7995358000000005E-2</v>
      </c>
      <c r="AQ42" s="270">
        <v>0.104592067</v>
      </c>
      <c r="AR42" s="270">
        <v>0.112621745</v>
      </c>
      <c r="AS42" s="270">
        <v>0.11583587200000001</v>
      </c>
      <c r="AT42" s="270">
        <v>0.111637709</v>
      </c>
      <c r="AU42" s="270">
        <v>9.6824297000000004E-2</v>
      </c>
      <c r="AV42" s="270">
        <v>8.7040626999999995E-2</v>
      </c>
      <c r="AW42" s="270">
        <v>6.4380039999999999E-2</v>
      </c>
      <c r="AX42" s="270">
        <v>5.4308852999999997E-2</v>
      </c>
      <c r="AY42" s="270">
        <v>6.5947916999999995E-2</v>
      </c>
      <c r="AZ42" s="270">
        <v>7.9102175999999996E-2</v>
      </c>
      <c r="BA42" s="270">
        <v>9.403483E-2</v>
      </c>
      <c r="BB42" s="270">
        <v>0.11367535500000001</v>
      </c>
      <c r="BC42" s="270">
        <v>0.13406089700000001</v>
      </c>
      <c r="BD42" s="270">
        <v>0.13193389999999999</v>
      </c>
      <c r="BE42" s="270">
        <v>0.14056379999999999</v>
      </c>
      <c r="BF42" s="270">
        <v>0.13537579999999999</v>
      </c>
      <c r="BG42" s="356">
        <v>0.1202225</v>
      </c>
      <c r="BH42" s="356">
        <v>0.1065252</v>
      </c>
      <c r="BI42" s="356">
        <v>8.0082100000000003E-2</v>
      </c>
      <c r="BJ42" s="356">
        <v>7.2776999999999994E-2</v>
      </c>
      <c r="BK42" s="356">
        <v>8.2866800000000004E-2</v>
      </c>
      <c r="BL42" s="356">
        <v>9.5306799999999997E-2</v>
      </c>
      <c r="BM42" s="356">
        <v>0.1187565</v>
      </c>
      <c r="BN42" s="356">
        <v>0.1426374</v>
      </c>
      <c r="BO42" s="356">
        <v>0.16717190000000001</v>
      </c>
      <c r="BP42" s="356">
        <v>0.1646022</v>
      </c>
      <c r="BQ42" s="356">
        <v>0.17234050000000001</v>
      </c>
      <c r="BR42" s="356">
        <v>0.1675199</v>
      </c>
      <c r="BS42" s="356">
        <v>0.1480042</v>
      </c>
      <c r="BT42" s="356">
        <v>0.1317304</v>
      </c>
      <c r="BU42" s="356">
        <v>0.1000384</v>
      </c>
      <c r="BV42" s="356">
        <v>8.7434799999999993E-2</v>
      </c>
    </row>
    <row r="43" spans="1:74" s="169" customFormat="1" ht="12" customHeight="1" x14ac:dyDescent="0.2">
      <c r="A43" s="545" t="s">
        <v>37</v>
      </c>
      <c r="B43" s="581" t="s">
        <v>841</v>
      </c>
      <c r="C43" s="270">
        <v>4.2163866000000001E-2</v>
      </c>
      <c r="D43" s="270">
        <v>4.0467425000000001E-2</v>
      </c>
      <c r="E43" s="270">
        <v>4.3543246000000001E-2</v>
      </c>
      <c r="F43" s="270">
        <v>4.2678010000000002E-2</v>
      </c>
      <c r="G43" s="270">
        <v>4.2939946E-2</v>
      </c>
      <c r="H43" s="270">
        <v>4.0066659999999997E-2</v>
      </c>
      <c r="I43" s="270">
        <v>4.1448486E-2</v>
      </c>
      <c r="J43" s="270">
        <v>4.1957915999999998E-2</v>
      </c>
      <c r="K43" s="270">
        <v>3.9306920000000002E-2</v>
      </c>
      <c r="L43" s="270">
        <v>4.0714316E-2</v>
      </c>
      <c r="M43" s="270">
        <v>4.3322300000000001E-2</v>
      </c>
      <c r="N43" s="270">
        <v>4.4609556000000002E-2</v>
      </c>
      <c r="O43" s="270">
        <v>4.4421625999999999E-2</v>
      </c>
      <c r="P43" s="270">
        <v>3.9584504E-2</v>
      </c>
      <c r="Q43" s="270">
        <v>4.3377416000000002E-2</v>
      </c>
      <c r="R43" s="270">
        <v>4.0534388999999997E-2</v>
      </c>
      <c r="S43" s="270">
        <v>4.1367736000000002E-2</v>
      </c>
      <c r="T43" s="270">
        <v>4.0043918999999997E-2</v>
      </c>
      <c r="U43" s="270">
        <v>4.1027246000000003E-2</v>
      </c>
      <c r="V43" s="270">
        <v>4.1128376000000001E-2</v>
      </c>
      <c r="W43" s="270">
        <v>3.8225329000000002E-2</v>
      </c>
      <c r="X43" s="270">
        <v>4.0435746000000002E-2</v>
      </c>
      <c r="Y43" s="270">
        <v>4.1676418999999999E-2</v>
      </c>
      <c r="Z43" s="270">
        <v>4.3437096000000001E-2</v>
      </c>
      <c r="AA43" s="270">
        <v>4.3327806000000003E-2</v>
      </c>
      <c r="AB43" s="270">
        <v>4.0156374000000002E-2</v>
      </c>
      <c r="AC43" s="270">
        <v>4.3239896E-2</v>
      </c>
      <c r="AD43" s="270">
        <v>4.0661248999999997E-2</v>
      </c>
      <c r="AE43" s="270">
        <v>4.0752546000000001E-2</v>
      </c>
      <c r="AF43" s="270">
        <v>3.8992618999999999E-2</v>
      </c>
      <c r="AG43" s="270">
        <v>3.9499776E-2</v>
      </c>
      <c r="AH43" s="270">
        <v>3.9887805999999998E-2</v>
      </c>
      <c r="AI43" s="270">
        <v>3.6521179000000001E-2</v>
      </c>
      <c r="AJ43" s="270">
        <v>4.0945495999999998E-2</v>
      </c>
      <c r="AK43" s="270">
        <v>4.0939298999999998E-2</v>
      </c>
      <c r="AL43" s="270">
        <v>4.2423245999999998E-2</v>
      </c>
      <c r="AM43" s="270">
        <v>3.8365195999999997E-2</v>
      </c>
      <c r="AN43" s="270">
        <v>3.4871764E-2</v>
      </c>
      <c r="AO43" s="270">
        <v>3.8199245999999999E-2</v>
      </c>
      <c r="AP43" s="270">
        <v>3.4909319000000001E-2</v>
      </c>
      <c r="AQ43" s="270">
        <v>3.5004295999999997E-2</v>
      </c>
      <c r="AR43" s="270">
        <v>3.5183448999999999E-2</v>
      </c>
      <c r="AS43" s="270">
        <v>3.5416705999999999E-2</v>
      </c>
      <c r="AT43" s="270">
        <v>3.5846455999999999E-2</v>
      </c>
      <c r="AU43" s="270">
        <v>3.3524408999999998E-2</v>
      </c>
      <c r="AV43" s="270">
        <v>3.6962646000000002E-2</v>
      </c>
      <c r="AW43" s="270">
        <v>3.6687359000000003E-2</v>
      </c>
      <c r="AX43" s="270">
        <v>3.8161995999999997E-2</v>
      </c>
      <c r="AY43" s="270">
        <v>3.8511996E-2</v>
      </c>
      <c r="AZ43" s="270">
        <v>3.5663424999999999E-2</v>
      </c>
      <c r="BA43" s="270">
        <v>3.8060716000000001E-2</v>
      </c>
      <c r="BB43" s="270">
        <v>3.5323239999999999E-2</v>
      </c>
      <c r="BC43" s="270">
        <v>3.5810186000000001E-2</v>
      </c>
      <c r="BD43" s="270">
        <v>3.2569000000000001E-2</v>
      </c>
      <c r="BE43" s="270">
        <v>3.6611699999999997E-2</v>
      </c>
      <c r="BF43" s="270">
        <v>3.6887200000000002E-2</v>
      </c>
      <c r="BG43" s="356">
        <v>3.4872100000000003E-2</v>
      </c>
      <c r="BH43" s="356">
        <v>3.6879200000000001E-2</v>
      </c>
      <c r="BI43" s="356">
        <v>3.5483800000000003E-2</v>
      </c>
      <c r="BJ43" s="356">
        <v>3.8321599999999997E-2</v>
      </c>
      <c r="BK43" s="356">
        <v>3.9522799999999997E-2</v>
      </c>
      <c r="BL43" s="356">
        <v>3.4552100000000002E-2</v>
      </c>
      <c r="BM43" s="356">
        <v>3.8488399999999999E-2</v>
      </c>
      <c r="BN43" s="356">
        <v>3.70896E-2</v>
      </c>
      <c r="BO43" s="356">
        <v>3.7658700000000003E-2</v>
      </c>
      <c r="BP43" s="356">
        <v>3.4315199999999997E-2</v>
      </c>
      <c r="BQ43" s="356">
        <v>3.7165900000000002E-2</v>
      </c>
      <c r="BR43" s="356">
        <v>3.6780100000000003E-2</v>
      </c>
      <c r="BS43" s="356">
        <v>3.4696400000000002E-2</v>
      </c>
      <c r="BT43" s="356">
        <v>3.7421900000000001E-2</v>
      </c>
      <c r="BU43" s="356">
        <v>3.5570699999999997E-2</v>
      </c>
      <c r="BV43" s="356">
        <v>3.8953599999999998E-2</v>
      </c>
    </row>
    <row r="44" spans="1:74" s="169" customFormat="1" ht="12" customHeight="1" x14ac:dyDescent="0.2">
      <c r="A44" s="545" t="s">
        <v>36</v>
      </c>
      <c r="B44" s="581" t="s">
        <v>1066</v>
      </c>
      <c r="C44" s="270">
        <v>0.19206428</v>
      </c>
      <c r="D44" s="270">
        <v>0.180737492</v>
      </c>
      <c r="E44" s="270">
        <v>0.18535209</v>
      </c>
      <c r="F44" s="270">
        <v>0.173579396</v>
      </c>
      <c r="G44" s="270">
        <v>0.18099213</v>
      </c>
      <c r="H44" s="270">
        <v>0.18244337599999999</v>
      </c>
      <c r="I44" s="270">
        <v>0.18871006000000001</v>
      </c>
      <c r="J44" s="270">
        <v>0.19043674999999999</v>
      </c>
      <c r="K44" s="270">
        <v>0.17911950600000001</v>
      </c>
      <c r="L44" s="270">
        <v>0.17969197000000001</v>
      </c>
      <c r="M44" s="270">
        <v>0.18286978600000001</v>
      </c>
      <c r="N44" s="270">
        <v>0.20812383000000001</v>
      </c>
      <c r="O44" s="270">
        <v>0.186913312</v>
      </c>
      <c r="P44" s="270">
        <v>0.16977568000000001</v>
      </c>
      <c r="Q44" s="270">
        <v>0.185831472</v>
      </c>
      <c r="R44" s="270">
        <v>0.173920305</v>
      </c>
      <c r="S44" s="270">
        <v>0.17792622199999999</v>
      </c>
      <c r="T44" s="270">
        <v>0.181025885</v>
      </c>
      <c r="U44" s="270">
        <v>0.187905292</v>
      </c>
      <c r="V44" s="270">
        <v>0.18976590199999999</v>
      </c>
      <c r="W44" s="270">
        <v>0.17428369499999999</v>
      </c>
      <c r="X44" s="270">
        <v>0.18073087199999999</v>
      </c>
      <c r="Y44" s="270">
        <v>0.181491715</v>
      </c>
      <c r="Z44" s="270">
        <v>0.19099237199999999</v>
      </c>
      <c r="AA44" s="270">
        <v>0.19664757599999999</v>
      </c>
      <c r="AB44" s="270">
        <v>0.176280362</v>
      </c>
      <c r="AC44" s="270">
        <v>0.192760456</v>
      </c>
      <c r="AD44" s="270">
        <v>0.18050620100000001</v>
      </c>
      <c r="AE44" s="270">
        <v>0.189063906</v>
      </c>
      <c r="AF44" s="270">
        <v>0.18642880100000001</v>
      </c>
      <c r="AG44" s="270">
        <v>0.19606298599999999</v>
      </c>
      <c r="AH44" s="270">
        <v>0.19438982599999999</v>
      </c>
      <c r="AI44" s="270">
        <v>0.18163792100000001</v>
      </c>
      <c r="AJ44" s="270">
        <v>0.186573866</v>
      </c>
      <c r="AK44" s="270">
        <v>0.184591491</v>
      </c>
      <c r="AL44" s="270">
        <v>0.19556236599999999</v>
      </c>
      <c r="AM44" s="270">
        <v>0.20304702299999999</v>
      </c>
      <c r="AN44" s="270">
        <v>0.18235897700000001</v>
      </c>
      <c r="AO44" s="270">
        <v>0.19245585300000001</v>
      </c>
      <c r="AP44" s="270">
        <v>0.18657944100000001</v>
      </c>
      <c r="AQ44" s="270">
        <v>0.19337971300000001</v>
      </c>
      <c r="AR44" s="270">
        <v>0.18765764099999999</v>
      </c>
      <c r="AS44" s="270">
        <v>0.194993523</v>
      </c>
      <c r="AT44" s="270">
        <v>0.200297643</v>
      </c>
      <c r="AU44" s="270">
        <v>0.18650325100000001</v>
      </c>
      <c r="AV44" s="270">
        <v>0.18722667300000001</v>
      </c>
      <c r="AW44" s="270">
        <v>0.186791601</v>
      </c>
      <c r="AX44" s="270">
        <v>0.195874413</v>
      </c>
      <c r="AY44" s="270">
        <v>0.18525745399999999</v>
      </c>
      <c r="AZ44" s="270">
        <v>0.17318570699999999</v>
      </c>
      <c r="BA44" s="270">
        <v>0.179140514</v>
      </c>
      <c r="BB44" s="270">
        <v>0.17363038</v>
      </c>
      <c r="BC44" s="270">
        <v>0.182582314</v>
      </c>
      <c r="BD44" s="270">
        <v>0.17236370000000001</v>
      </c>
      <c r="BE44" s="270">
        <v>0.18354419999999999</v>
      </c>
      <c r="BF44" s="270">
        <v>0.18811339999999999</v>
      </c>
      <c r="BG44" s="356">
        <v>0.1792377</v>
      </c>
      <c r="BH44" s="356">
        <v>0.18381510000000001</v>
      </c>
      <c r="BI44" s="356">
        <v>0.17917079999999999</v>
      </c>
      <c r="BJ44" s="356">
        <v>0.19447880000000001</v>
      </c>
      <c r="BK44" s="356">
        <v>0.19100890000000001</v>
      </c>
      <c r="BL44" s="356">
        <v>0.17728169999999999</v>
      </c>
      <c r="BM44" s="356">
        <v>0.18092140000000001</v>
      </c>
      <c r="BN44" s="356">
        <v>0.17402290000000001</v>
      </c>
      <c r="BO44" s="356">
        <v>0.18112259999999999</v>
      </c>
      <c r="BP44" s="356">
        <v>0.18105170000000001</v>
      </c>
      <c r="BQ44" s="356">
        <v>0.19186729999999999</v>
      </c>
      <c r="BR44" s="356">
        <v>0.1922008</v>
      </c>
      <c r="BS44" s="356">
        <v>0.18402689999999999</v>
      </c>
      <c r="BT44" s="356">
        <v>0.18790100000000001</v>
      </c>
      <c r="BU44" s="356">
        <v>0.18211279999999999</v>
      </c>
      <c r="BV44" s="356">
        <v>0.19944819999999999</v>
      </c>
    </row>
    <row r="45" spans="1:74" s="169" customFormat="1" ht="12" customHeight="1" x14ac:dyDescent="0.2">
      <c r="A45" s="576" t="s">
        <v>101</v>
      </c>
      <c r="B45" s="581" t="s">
        <v>470</v>
      </c>
      <c r="C45" s="270">
        <v>0.17030163332000001</v>
      </c>
      <c r="D45" s="270">
        <v>0.18573338899</v>
      </c>
      <c r="E45" s="270">
        <v>0.20236352217</v>
      </c>
      <c r="F45" s="270">
        <v>0.19184983360999999</v>
      </c>
      <c r="G45" s="270">
        <v>0.17385692727999999</v>
      </c>
      <c r="H45" s="270">
        <v>0.15038772320999999</v>
      </c>
      <c r="I45" s="270">
        <v>0.16253037604000001</v>
      </c>
      <c r="J45" s="270">
        <v>0.12535975307</v>
      </c>
      <c r="K45" s="270">
        <v>0.15131875582000001</v>
      </c>
      <c r="L45" s="270">
        <v>0.18757523056</v>
      </c>
      <c r="M45" s="270">
        <v>0.1789883571</v>
      </c>
      <c r="N45" s="270">
        <v>0.21346248437000001</v>
      </c>
      <c r="O45" s="270">
        <v>0.1914463743</v>
      </c>
      <c r="P45" s="270">
        <v>0.20334923634999999</v>
      </c>
      <c r="Q45" s="270">
        <v>0.23682316685999999</v>
      </c>
      <c r="R45" s="270">
        <v>0.23359440976000001</v>
      </c>
      <c r="S45" s="270">
        <v>0.21233092631</v>
      </c>
      <c r="T45" s="270">
        <v>0.18540642711999999</v>
      </c>
      <c r="U45" s="270">
        <v>0.14840164875</v>
      </c>
      <c r="V45" s="270">
        <v>0.12777797336999999</v>
      </c>
      <c r="W45" s="270">
        <v>0.16487719613999999</v>
      </c>
      <c r="X45" s="270">
        <v>0.22429652132</v>
      </c>
      <c r="Y45" s="270">
        <v>0.20814320989999999</v>
      </c>
      <c r="Z45" s="270">
        <v>0.20433688262999999</v>
      </c>
      <c r="AA45" s="270">
        <v>0.23278976269000001</v>
      </c>
      <c r="AB45" s="270">
        <v>0.21089434288</v>
      </c>
      <c r="AC45" s="270">
        <v>0.24066441146000001</v>
      </c>
      <c r="AD45" s="270">
        <v>0.24040196132</v>
      </c>
      <c r="AE45" s="270">
        <v>0.21787306294</v>
      </c>
      <c r="AF45" s="270">
        <v>0.22471188727999999</v>
      </c>
      <c r="AG45" s="270">
        <v>0.14959366940999999</v>
      </c>
      <c r="AH45" s="270">
        <v>0.18053417722000001</v>
      </c>
      <c r="AI45" s="270">
        <v>0.16844034386000001</v>
      </c>
      <c r="AJ45" s="270">
        <v>0.19272835997000001</v>
      </c>
      <c r="AK45" s="270">
        <v>0.20020624089</v>
      </c>
      <c r="AL45" s="270">
        <v>0.22105885938</v>
      </c>
      <c r="AM45" s="270">
        <v>0.22847849363</v>
      </c>
      <c r="AN45" s="270">
        <v>0.20917997811</v>
      </c>
      <c r="AO45" s="270">
        <v>0.23752179245999999</v>
      </c>
      <c r="AP45" s="270">
        <v>0.27021315242999999</v>
      </c>
      <c r="AQ45" s="270">
        <v>0.23623020533</v>
      </c>
      <c r="AR45" s="270">
        <v>0.20870325727</v>
      </c>
      <c r="AS45" s="270">
        <v>0.20032304337000001</v>
      </c>
      <c r="AT45" s="270">
        <v>0.18072906530999999</v>
      </c>
      <c r="AU45" s="270">
        <v>0.22181141051</v>
      </c>
      <c r="AV45" s="270">
        <v>0.25592078500999998</v>
      </c>
      <c r="AW45" s="270">
        <v>0.23287973178999999</v>
      </c>
      <c r="AX45" s="270">
        <v>0.24724811543</v>
      </c>
      <c r="AY45" s="270">
        <v>0.25835216931999999</v>
      </c>
      <c r="AZ45" s="270">
        <v>0.26590993673000002</v>
      </c>
      <c r="BA45" s="270">
        <v>0.26816827084</v>
      </c>
      <c r="BB45" s="270">
        <v>0.26862401464000002</v>
      </c>
      <c r="BC45" s="270">
        <v>0.25632563715000001</v>
      </c>
      <c r="BD45" s="270">
        <v>0.27375590370000003</v>
      </c>
      <c r="BE45" s="270">
        <v>0.22268160000000001</v>
      </c>
      <c r="BF45" s="270">
        <v>0.2205049</v>
      </c>
      <c r="BG45" s="356">
        <v>0.22853490000000001</v>
      </c>
      <c r="BH45" s="356">
        <v>0.30398950000000002</v>
      </c>
      <c r="BI45" s="356">
        <v>0.26300200000000001</v>
      </c>
      <c r="BJ45" s="356">
        <v>0.3154592</v>
      </c>
      <c r="BK45" s="356">
        <v>0.3243663</v>
      </c>
      <c r="BL45" s="356">
        <v>0.31107849999999998</v>
      </c>
      <c r="BM45" s="356">
        <v>0.3317755</v>
      </c>
      <c r="BN45" s="356">
        <v>0.3264551</v>
      </c>
      <c r="BO45" s="356">
        <v>0.30119950000000001</v>
      </c>
      <c r="BP45" s="356">
        <v>0.31981229999999999</v>
      </c>
      <c r="BQ45" s="356">
        <v>0.26863120000000001</v>
      </c>
      <c r="BR45" s="356">
        <v>0.25482280000000002</v>
      </c>
      <c r="BS45" s="356">
        <v>0.26710089999999997</v>
      </c>
      <c r="BT45" s="356">
        <v>0.34031450000000002</v>
      </c>
      <c r="BU45" s="356">
        <v>0.2953443</v>
      </c>
      <c r="BV45" s="356">
        <v>0.33504909999999999</v>
      </c>
    </row>
    <row r="46" spans="1:74" ht="12" customHeight="1" x14ac:dyDescent="0.2">
      <c r="A46" s="582" t="s">
        <v>26</v>
      </c>
      <c r="B46" s="583" t="s">
        <v>795</v>
      </c>
      <c r="C46" s="271">
        <v>0.85459608652999997</v>
      </c>
      <c r="D46" s="271">
        <v>0.85346211542999995</v>
      </c>
      <c r="E46" s="271">
        <v>0.93013934433000001</v>
      </c>
      <c r="F46" s="271">
        <v>0.88246184510000003</v>
      </c>
      <c r="G46" s="271">
        <v>0.89627229477000003</v>
      </c>
      <c r="H46" s="271">
        <v>0.85004286218000003</v>
      </c>
      <c r="I46" s="271">
        <v>0.86806329074999999</v>
      </c>
      <c r="J46" s="271">
        <v>0.81882543036</v>
      </c>
      <c r="K46" s="271">
        <v>0.78510750612000002</v>
      </c>
      <c r="L46" s="271">
        <v>0.82752041311000002</v>
      </c>
      <c r="M46" s="271">
        <v>0.83070110573</v>
      </c>
      <c r="N46" s="271">
        <v>0.93049417121</v>
      </c>
      <c r="O46" s="271">
        <v>0.90214277900999995</v>
      </c>
      <c r="P46" s="271">
        <v>0.85550178432000001</v>
      </c>
      <c r="Q46" s="271">
        <v>1.0111206996</v>
      </c>
      <c r="R46" s="271">
        <v>0.99001914507</v>
      </c>
      <c r="S46" s="271">
        <v>1.0300483789999999</v>
      </c>
      <c r="T46" s="271">
        <v>0.98706583598999997</v>
      </c>
      <c r="U46" s="271">
        <v>0.91590968906000003</v>
      </c>
      <c r="V46" s="271">
        <v>0.86093739860999996</v>
      </c>
      <c r="W46" s="271">
        <v>0.83191795477999997</v>
      </c>
      <c r="X46" s="271">
        <v>0.88590329892999997</v>
      </c>
      <c r="Y46" s="271">
        <v>0.87183533445000005</v>
      </c>
      <c r="Z46" s="271">
        <v>0.90106008003000004</v>
      </c>
      <c r="AA46" s="271">
        <v>0.95129850898000001</v>
      </c>
      <c r="AB46" s="271">
        <v>0.88986559620000005</v>
      </c>
      <c r="AC46" s="271">
        <v>0.98994532737999996</v>
      </c>
      <c r="AD46" s="271">
        <v>0.99671750566999995</v>
      </c>
      <c r="AE46" s="271">
        <v>1.0396040033</v>
      </c>
      <c r="AF46" s="271">
        <v>1.0116173971</v>
      </c>
      <c r="AG46" s="271">
        <v>0.92581350371000004</v>
      </c>
      <c r="AH46" s="271">
        <v>0.93159787035999997</v>
      </c>
      <c r="AI46" s="271">
        <v>0.84289605393</v>
      </c>
      <c r="AJ46" s="271">
        <v>0.88002774499000003</v>
      </c>
      <c r="AK46" s="271">
        <v>0.88377562953</v>
      </c>
      <c r="AL46" s="271">
        <v>0.92037448183000004</v>
      </c>
      <c r="AM46" s="271">
        <v>0.93815108651000001</v>
      </c>
      <c r="AN46" s="271">
        <v>0.86931453979999995</v>
      </c>
      <c r="AO46" s="271">
        <v>0.98966891757999997</v>
      </c>
      <c r="AP46" s="271">
        <v>1.0205903501</v>
      </c>
      <c r="AQ46" s="271">
        <v>1.0587459024999999</v>
      </c>
      <c r="AR46" s="271">
        <v>0.99355423056000003</v>
      </c>
      <c r="AS46" s="271">
        <v>0.97541677967999996</v>
      </c>
      <c r="AT46" s="271">
        <v>0.93108061141999998</v>
      </c>
      <c r="AU46" s="271">
        <v>0.88242491932</v>
      </c>
      <c r="AV46" s="271">
        <v>0.92192804531999994</v>
      </c>
      <c r="AW46" s="271">
        <v>0.91012744908999998</v>
      </c>
      <c r="AX46" s="271">
        <v>0.94948100348999998</v>
      </c>
      <c r="AY46" s="271">
        <v>0.97015610994000001</v>
      </c>
      <c r="AZ46" s="271">
        <v>0.97097396020000004</v>
      </c>
      <c r="BA46" s="271">
        <v>0.96085656009999998</v>
      </c>
      <c r="BB46" s="271">
        <v>0.90722291419000001</v>
      </c>
      <c r="BC46" s="271">
        <v>1.0370478124</v>
      </c>
      <c r="BD46" s="271">
        <v>1.0550539999999999</v>
      </c>
      <c r="BE46" s="271">
        <v>1.018402</v>
      </c>
      <c r="BF46" s="271">
        <v>0.97064539999999999</v>
      </c>
      <c r="BG46" s="354">
        <v>0.91366539999999996</v>
      </c>
      <c r="BH46" s="354">
        <v>0.97951060000000001</v>
      </c>
      <c r="BI46" s="354">
        <v>0.93562829999999997</v>
      </c>
      <c r="BJ46" s="354">
        <v>1.03843</v>
      </c>
      <c r="BK46" s="354">
        <v>1.0621940000000001</v>
      </c>
      <c r="BL46" s="354">
        <v>1.0123850000000001</v>
      </c>
      <c r="BM46" s="354">
        <v>1.1118870000000001</v>
      </c>
      <c r="BN46" s="354">
        <v>1.0855630000000001</v>
      </c>
      <c r="BO46" s="354">
        <v>1.1476660000000001</v>
      </c>
      <c r="BP46" s="354">
        <v>1.1494599999999999</v>
      </c>
      <c r="BQ46" s="354">
        <v>1.0978349999999999</v>
      </c>
      <c r="BR46" s="354">
        <v>1.062724</v>
      </c>
      <c r="BS46" s="354">
        <v>0.99235439999999997</v>
      </c>
      <c r="BT46" s="354">
        <v>1.064873</v>
      </c>
      <c r="BU46" s="354">
        <v>1.0056879999999999</v>
      </c>
      <c r="BV46" s="354">
        <v>1.0923419999999999</v>
      </c>
    </row>
    <row r="47" spans="1:74" ht="12" customHeight="1" x14ac:dyDescent="0.25">
      <c r="A47" s="582"/>
      <c r="B47" s="584" t="s">
        <v>826</v>
      </c>
      <c r="C47" s="585"/>
      <c r="D47" s="585"/>
      <c r="E47" s="585"/>
      <c r="F47" s="585"/>
      <c r="G47" s="585"/>
      <c r="H47" s="585"/>
      <c r="I47" s="585"/>
      <c r="J47" s="585"/>
      <c r="K47" s="585"/>
      <c r="L47" s="585"/>
      <c r="M47" s="585"/>
      <c r="N47" s="585"/>
      <c r="O47" s="585"/>
      <c r="P47" s="585"/>
      <c r="Q47" s="585"/>
      <c r="R47" s="585"/>
      <c r="S47" s="585"/>
      <c r="T47" s="585"/>
      <c r="U47" s="585"/>
      <c r="V47" s="585"/>
      <c r="W47" s="585"/>
      <c r="X47" s="585"/>
      <c r="Y47" s="585"/>
      <c r="Z47" s="585"/>
      <c r="AA47" s="585"/>
      <c r="AB47" s="585"/>
      <c r="AC47" s="585"/>
      <c r="AD47" s="585"/>
      <c r="AE47" s="585"/>
      <c r="AF47" s="585"/>
      <c r="AG47" s="585"/>
      <c r="AH47" s="585"/>
      <c r="AI47" s="585"/>
      <c r="AJ47" s="585"/>
      <c r="AK47" s="585"/>
      <c r="AL47" s="585"/>
      <c r="AM47" s="585"/>
      <c r="AN47" s="585"/>
      <c r="AO47" s="585"/>
      <c r="AP47" s="585"/>
      <c r="AQ47" s="585"/>
      <c r="AR47" s="585"/>
      <c r="AS47" s="585"/>
      <c r="AT47" s="585"/>
      <c r="AU47" s="585"/>
      <c r="AV47" s="585"/>
      <c r="AW47" s="585"/>
      <c r="AX47" s="585"/>
      <c r="AY47" s="585"/>
      <c r="AZ47" s="585"/>
      <c r="BA47" s="585"/>
      <c r="BB47" s="585"/>
      <c r="BC47" s="585"/>
      <c r="BD47" s="687"/>
      <c r="BE47" s="687"/>
      <c r="BF47" s="687"/>
      <c r="BG47" s="585"/>
      <c r="BH47" s="585"/>
      <c r="BI47" s="585"/>
      <c r="BJ47" s="585"/>
      <c r="BK47" s="585"/>
      <c r="BL47" s="585"/>
      <c r="BM47" s="585"/>
      <c r="BN47" s="585"/>
      <c r="BO47" s="585"/>
      <c r="BP47" s="585"/>
      <c r="BQ47" s="585"/>
      <c r="BR47" s="585"/>
      <c r="BS47" s="585"/>
      <c r="BT47" s="585"/>
      <c r="BU47" s="585"/>
      <c r="BV47" s="585"/>
    </row>
    <row r="48" spans="1:74" s="589" customFormat="1" ht="12" customHeight="1" x14ac:dyDescent="0.25">
      <c r="A48" s="586"/>
      <c r="B48" s="587" t="s">
        <v>0</v>
      </c>
      <c r="C48" s="588"/>
      <c r="D48" s="588"/>
      <c r="E48" s="588"/>
      <c r="F48" s="588"/>
      <c r="G48" s="588"/>
      <c r="H48" s="588"/>
      <c r="I48" s="588"/>
      <c r="J48" s="588"/>
      <c r="K48" s="588"/>
      <c r="L48" s="588"/>
      <c r="M48" s="588"/>
      <c r="N48" s="588"/>
      <c r="O48" s="588"/>
      <c r="P48" s="588"/>
      <c r="Q48" s="588"/>
      <c r="R48" s="588"/>
      <c r="S48" s="588"/>
      <c r="T48" s="588"/>
      <c r="U48" s="588"/>
      <c r="V48" s="588"/>
      <c r="W48" s="588"/>
      <c r="X48" s="588"/>
      <c r="Y48" s="588"/>
      <c r="Z48" s="588"/>
      <c r="AA48" s="588"/>
      <c r="AB48" s="588"/>
      <c r="AC48" s="588"/>
      <c r="AD48" s="588"/>
      <c r="AE48" s="588"/>
      <c r="AF48" s="588"/>
      <c r="AG48" s="588"/>
      <c r="AH48" s="588"/>
      <c r="AI48" s="588"/>
      <c r="AJ48" s="588"/>
      <c r="AK48" s="588"/>
      <c r="AL48" s="588"/>
      <c r="AM48" s="588"/>
      <c r="AN48" s="588"/>
      <c r="AO48" s="588"/>
      <c r="AP48" s="588"/>
      <c r="AQ48" s="588"/>
      <c r="AR48" s="588"/>
      <c r="AS48" s="588"/>
      <c r="AT48" s="588"/>
      <c r="AU48" s="588"/>
      <c r="AV48" s="588"/>
      <c r="AW48" s="588"/>
      <c r="AX48" s="588"/>
      <c r="AY48" s="588"/>
      <c r="AZ48" s="588"/>
      <c r="BA48" s="588"/>
      <c r="BB48" s="588"/>
      <c r="BC48" s="588"/>
      <c r="BD48" s="688"/>
      <c r="BE48" s="688"/>
      <c r="BF48" s="688"/>
      <c r="BG48" s="588"/>
      <c r="BH48" s="588"/>
      <c r="BI48" s="588"/>
      <c r="BJ48" s="588"/>
      <c r="BK48" s="588"/>
      <c r="BL48" s="588"/>
      <c r="BM48" s="588"/>
      <c r="BN48" s="588"/>
      <c r="BO48" s="588"/>
      <c r="BP48" s="588"/>
      <c r="BQ48" s="588"/>
      <c r="BR48" s="588"/>
      <c r="BS48" s="588"/>
      <c r="BT48" s="588"/>
      <c r="BU48" s="588"/>
      <c r="BV48" s="588"/>
    </row>
    <row r="49" spans="1:74" s="589" customFormat="1" ht="12" customHeight="1" x14ac:dyDescent="0.25">
      <c r="A49" s="586"/>
      <c r="B49" s="587" t="s">
        <v>1072</v>
      </c>
      <c r="C49" s="588"/>
      <c r="D49" s="588"/>
      <c r="E49" s="588"/>
      <c r="F49" s="588"/>
      <c r="G49" s="588"/>
      <c r="H49" s="588"/>
      <c r="I49" s="588"/>
      <c r="J49" s="588"/>
      <c r="K49" s="588"/>
      <c r="L49" s="588"/>
      <c r="M49" s="588"/>
      <c r="N49" s="588"/>
      <c r="O49" s="588"/>
      <c r="P49" s="588"/>
      <c r="Q49" s="588"/>
      <c r="R49" s="588"/>
      <c r="S49" s="588"/>
      <c r="T49" s="588"/>
      <c r="U49" s="588"/>
      <c r="V49" s="588"/>
      <c r="W49" s="588"/>
      <c r="X49" s="588"/>
      <c r="Y49" s="588"/>
      <c r="Z49" s="588"/>
      <c r="AA49" s="588"/>
      <c r="AB49" s="588"/>
      <c r="AC49" s="588"/>
      <c r="AD49" s="588"/>
      <c r="AE49" s="588"/>
      <c r="AF49" s="588"/>
      <c r="AG49" s="588"/>
      <c r="AH49" s="588"/>
      <c r="AI49" s="588"/>
      <c r="AJ49" s="588"/>
      <c r="AK49" s="588"/>
      <c r="AL49" s="588"/>
      <c r="AM49" s="588"/>
      <c r="AN49" s="588"/>
      <c r="AO49" s="588"/>
      <c r="AP49" s="588"/>
      <c r="AQ49" s="588"/>
      <c r="AR49" s="588"/>
      <c r="AS49" s="588"/>
      <c r="AT49" s="588"/>
      <c r="AU49" s="588"/>
      <c r="AV49" s="588"/>
      <c r="AW49" s="588"/>
      <c r="AX49" s="588"/>
      <c r="AY49" s="588"/>
      <c r="AZ49" s="588"/>
      <c r="BA49" s="588"/>
      <c r="BB49" s="588"/>
      <c r="BC49" s="588"/>
      <c r="BD49" s="688"/>
      <c r="BE49" s="688"/>
      <c r="BF49" s="688"/>
      <c r="BG49" s="588"/>
      <c r="BH49" s="588"/>
      <c r="BI49" s="588"/>
      <c r="BJ49" s="588"/>
      <c r="BK49" s="588"/>
      <c r="BL49" s="588"/>
      <c r="BM49" s="588"/>
      <c r="BN49" s="588"/>
      <c r="BO49" s="588"/>
      <c r="BP49" s="588"/>
      <c r="BQ49" s="588"/>
      <c r="BR49" s="588"/>
      <c r="BS49" s="588"/>
      <c r="BT49" s="588"/>
      <c r="BU49" s="588"/>
      <c r="BV49" s="588"/>
    </row>
    <row r="50" spans="1:74" s="589" customFormat="1" ht="13.2" x14ac:dyDescent="0.25">
      <c r="A50" s="586"/>
      <c r="B50" s="587" t="s">
        <v>842</v>
      </c>
      <c r="C50" s="588"/>
      <c r="D50" s="588"/>
      <c r="E50" s="588"/>
      <c r="F50" s="588"/>
      <c r="G50" s="588"/>
      <c r="H50" s="588"/>
      <c r="I50" s="588"/>
      <c r="J50" s="588"/>
      <c r="K50" s="588"/>
      <c r="L50" s="588"/>
      <c r="M50" s="588"/>
      <c r="N50" s="588"/>
      <c r="O50" s="588"/>
      <c r="P50" s="588"/>
      <c r="Q50" s="588"/>
      <c r="R50" s="588"/>
      <c r="S50" s="588"/>
      <c r="T50" s="588"/>
      <c r="U50" s="588"/>
      <c r="V50" s="588"/>
      <c r="W50" s="588"/>
      <c r="X50" s="588"/>
      <c r="Y50" s="588"/>
      <c r="Z50" s="588"/>
      <c r="AA50" s="588"/>
      <c r="AB50" s="588"/>
      <c r="AC50" s="588"/>
      <c r="AD50" s="588"/>
      <c r="AE50" s="588"/>
      <c r="AF50" s="588"/>
      <c r="AG50" s="588"/>
      <c r="AH50" s="588"/>
      <c r="AI50" s="588"/>
      <c r="AJ50" s="588"/>
      <c r="AK50" s="588"/>
      <c r="AL50" s="588"/>
      <c r="AM50" s="588"/>
      <c r="AN50" s="588"/>
      <c r="AO50" s="588"/>
      <c r="AP50" s="588"/>
      <c r="AQ50" s="588"/>
      <c r="AR50" s="588"/>
      <c r="AS50" s="588"/>
      <c r="AT50" s="588"/>
      <c r="AU50" s="588"/>
      <c r="AV50" s="588"/>
      <c r="AW50" s="588"/>
      <c r="AX50" s="588"/>
      <c r="AY50" s="588"/>
      <c r="AZ50" s="588"/>
      <c r="BA50" s="588"/>
      <c r="BB50" s="588"/>
      <c r="BC50" s="588"/>
      <c r="BD50" s="688"/>
      <c r="BE50" s="688"/>
      <c r="BF50" s="688"/>
      <c r="BG50" s="588"/>
      <c r="BH50" s="588"/>
      <c r="BI50" s="588"/>
      <c r="BJ50" s="588"/>
      <c r="BK50" s="588"/>
      <c r="BL50" s="588"/>
      <c r="BM50" s="588"/>
      <c r="BN50" s="588"/>
      <c r="BO50" s="588"/>
      <c r="BP50" s="588"/>
      <c r="BQ50" s="588"/>
      <c r="BR50" s="588"/>
      <c r="BS50" s="588"/>
      <c r="BT50" s="588"/>
      <c r="BU50" s="588"/>
      <c r="BV50" s="588"/>
    </row>
    <row r="51" spans="1:74" s="589" customFormat="1" x14ac:dyDescent="0.25">
      <c r="A51" s="586"/>
      <c r="B51" s="590" t="s">
        <v>1073</v>
      </c>
      <c r="C51" s="590"/>
      <c r="D51" s="590"/>
      <c r="E51" s="590"/>
      <c r="F51" s="590"/>
      <c r="G51" s="590"/>
      <c r="H51" s="590"/>
      <c r="I51" s="590"/>
      <c r="J51" s="590"/>
      <c r="K51" s="590"/>
      <c r="L51" s="590"/>
      <c r="M51" s="590"/>
      <c r="N51" s="590"/>
      <c r="O51" s="590"/>
      <c r="P51" s="590"/>
      <c r="Q51" s="590"/>
      <c r="R51" s="590"/>
      <c r="S51" s="590"/>
      <c r="T51" s="590"/>
      <c r="U51" s="590"/>
      <c r="V51" s="590"/>
      <c r="W51" s="590"/>
      <c r="X51" s="590"/>
      <c r="Y51" s="590"/>
      <c r="Z51" s="590"/>
      <c r="AA51" s="590"/>
      <c r="AB51" s="590"/>
      <c r="AC51" s="590"/>
      <c r="AD51" s="590"/>
      <c r="AE51" s="590"/>
      <c r="AF51" s="590"/>
      <c r="AG51" s="590"/>
      <c r="AH51" s="590"/>
      <c r="AI51" s="590"/>
      <c r="AJ51" s="590"/>
      <c r="AK51" s="590"/>
      <c r="AL51" s="590"/>
      <c r="AM51" s="590"/>
      <c r="AN51" s="590"/>
      <c r="AO51" s="590"/>
      <c r="AP51" s="590"/>
      <c r="AQ51" s="590"/>
      <c r="AR51" s="590"/>
      <c r="AS51" s="590"/>
      <c r="AT51" s="590"/>
      <c r="AU51" s="590"/>
      <c r="AV51" s="590"/>
      <c r="AW51" s="590"/>
      <c r="AX51" s="590"/>
      <c r="AY51" s="590"/>
      <c r="AZ51" s="590"/>
      <c r="BA51" s="590"/>
      <c r="BB51" s="590"/>
      <c r="BC51" s="590"/>
      <c r="BD51" s="689"/>
      <c r="BE51" s="689"/>
      <c r="BF51" s="689"/>
      <c r="BG51" s="590"/>
      <c r="BH51" s="590"/>
      <c r="BI51" s="590"/>
      <c r="BJ51" s="590"/>
      <c r="BK51" s="590"/>
      <c r="BL51" s="590"/>
      <c r="BM51" s="590"/>
      <c r="BN51" s="590"/>
      <c r="BO51" s="590"/>
      <c r="BP51" s="590"/>
      <c r="BQ51" s="590"/>
      <c r="BR51" s="590"/>
      <c r="BS51" s="590"/>
      <c r="BT51" s="590"/>
      <c r="BU51" s="590"/>
      <c r="BV51" s="590"/>
    </row>
    <row r="52" spans="1:74" s="589" customFormat="1" ht="13.2" x14ac:dyDescent="0.25">
      <c r="A52" s="586"/>
      <c r="B52" s="587" t="s">
        <v>1074</v>
      </c>
      <c r="C52" s="588"/>
      <c r="D52" s="588"/>
      <c r="E52" s="588"/>
      <c r="F52" s="588"/>
      <c r="G52" s="588"/>
      <c r="H52" s="588"/>
      <c r="I52" s="588"/>
      <c r="J52" s="588"/>
      <c r="K52" s="588"/>
      <c r="L52" s="588"/>
      <c r="M52" s="588"/>
      <c r="N52" s="588"/>
      <c r="O52" s="588"/>
      <c r="P52" s="588"/>
      <c r="Q52" s="588"/>
      <c r="R52" s="588"/>
      <c r="S52" s="588"/>
      <c r="T52" s="588"/>
      <c r="U52" s="588"/>
      <c r="V52" s="588"/>
      <c r="W52" s="588"/>
      <c r="X52" s="588"/>
      <c r="Y52" s="588"/>
      <c r="Z52" s="588"/>
      <c r="AA52" s="588"/>
      <c r="AB52" s="588"/>
      <c r="AC52" s="588"/>
      <c r="AD52" s="588"/>
      <c r="AE52" s="588"/>
      <c r="AF52" s="588"/>
      <c r="AG52" s="588"/>
      <c r="AH52" s="588"/>
      <c r="AI52" s="588"/>
      <c r="AJ52" s="588"/>
      <c r="AK52" s="588"/>
      <c r="AL52" s="588"/>
      <c r="AM52" s="588"/>
      <c r="AN52" s="588"/>
      <c r="AO52" s="588"/>
      <c r="AP52" s="588"/>
      <c r="AQ52" s="588"/>
      <c r="AR52" s="588"/>
      <c r="AS52" s="588"/>
      <c r="AT52" s="588"/>
      <c r="AU52" s="588"/>
      <c r="AV52" s="588"/>
      <c r="AW52" s="588"/>
      <c r="AX52" s="588"/>
      <c r="AY52" s="588"/>
      <c r="AZ52" s="588"/>
      <c r="BA52" s="588"/>
      <c r="BB52" s="588"/>
      <c r="BC52" s="588"/>
      <c r="BD52" s="688"/>
      <c r="BE52" s="688"/>
      <c r="BF52" s="688"/>
      <c r="BG52" s="588"/>
      <c r="BH52" s="588"/>
      <c r="BI52" s="588"/>
      <c r="BJ52" s="588"/>
      <c r="BK52" s="588"/>
      <c r="BL52" s="588"/>
      <c r="BM52" s="588"/>
      <c r="BN52" s="588"/>
      <c r="BO52" s="588"/>
      <c r="BP52" s="588"/>
      <c r="BQ52" s="588"/>
      <c r="BR52" s="588"/>
      <c r="BS52" s="588"/>
      <c r="BT52" s="588"/>
      <c r="BU52" s="588"/>
      <c r="BV52" s="588"/>
    </row>
    <row r="53" spans="1:74" s="589" customFormat="1" ht="13.2" x14ac:dyDescent="0.25">
      <c r="A53" s="586"/>
      <c r="B53" s="865" t="s">
        <v>1075</v>
      </c>
      <c r="C53" s="795"/>
      <c r="D53" s="795"/>
      <c r="E53" s="795"/>
      <c r="F53" s="795"/>
      <c r="G53" s="795"/>
      <c r="H53" s="795"/>
      <c r="I53" s="795"/>
      <c r="J53" s="795"/>
      <c r="K53" s="795"/>
      <c r="L53" s="795"/>
      <c r="M53" s="795"/>
      <c r="N53" s="795"/>
      <c r="O53" s="795"/>
      <c r="P53" s="795"/>
      <c r="Q53" s="791"/>
      <c r="R53" s="588"/>
      <c r="S53" s="588"/>
      <c r="T53" s="588"/>
      <c r="U53" s="588"/>
      <c r="V53" s="588"/>
      <c r="W53" s="588"/>
      <c r="X53" s="588"/>
      <c r="Y53" s="588"/>
      <c r="Z53" s="588"/>
      <c r="AA53" s="588"/>
      <c r="AB53" s="588"/>
      <c r="AC53" s="588"/>
      <c r="AD53" s="588"/>
      <c r="AE53" s="588"/>
      <c r="AF53" s="588"/>
      <c r="AG53" s="588"/>
      <c r="AH53" s="588"/>
      <c r="AI53" s="588"/>
      <c r="AJ53" s="588"/>
      <c r="AK53" s="588"/>
      <c r="AL53" s="588"/>
      <c r="AM53" s="588"/>
      <c r="AN53" s="588"/>
      <c r="AO53" s="588"/>
      <c r="AP53" s="588"/>
      <c r="AQ53" s="588"/>
      <c r="AR53" s="588"/>
      <c r="AS53" s="588"/>
      <c r="AT53" s="588"/>
      <c r="AU53" s="588"/>
      <c r="AV53" s="588"/>
      <c r="AW53" s="588"/>
      <c r="AX53" s="588"/>
      <c r="AY53" s="588"/>
      <c r="AZ53" s="588"/>
      <c r="BA53" s="588"/>
      <c r="BB53" s="588"/>
      <c r="BC53" s="588"/>
      <c r="BD53" s="688"/>
      <c r="BE53" s="688"/>
      <c r="BF53" s="688"/>
      <c r="BG53" s="588"/>
      <c r="BH53" s="588"/>
      <c r="BI53" s="588"/>
      <c r="BJ53" s="588"/>
      <c r="BK53" s="588"/>
      <c r="BL53" s="588"/>
      <c r="BM53" s="588"/>
      <c r="BN53" s="588"/>
      <c r="BO53" s="588"/>
      <c r="BP53" s="588"/>
      <c r="BQ53" s="588"/>
      <c r="BR53" s="588"/>
      <c r="BS53" s="588"/>
      <c r="BT53" s="588"/>
      <c r="BU53" s="588"/>
      <c r="BV53" s="588"/>
    </row>
    <row r="54" spans="1:74" s="589" customFormat="1" ht="12" customHeight="1" x14ac:dyDescent="0.25">
      <c r="A54" s="586"/>
      <c r="B54" s="591" t="s">
        <v>370</v>
      </c>
      <c r="C54" s="588"/>
      <c r="D54" s="588"/>
      <c r="E54" s="588"/>
      <c r="F54" s="588"/>
      <c r="G54" s="588"/>
      <c r="H54" s="588"/>
      <c r="I54" s="588"/>
      <c r="J54" s="588"/>
      <c r="K54" s="588"/>
      <c r="L54" s="588"/>
      <c r="M54" s="588"/>
      <c r="N54" s="588"/>
      <c r="O54" s="588"/>
      <c r="P54" s="588"/>
      <c r="Q54" s="588"/>
      <c r="R54" s="588"/>
      <c r="S54" s="588"/>
      <c r="T54" s="588"/>
      <c r="U54" s="588"/>
      <c r="V54" s="588"/>
      <c r="W54" s="588"/>
      <c r="X54" s="588"/>
      <c r="Y54" s="588"/>
      <c r="Z54" s="588"/>
      <c r="AA54" s="588"/>
      <c r="AB54" s="588"/>
      <c r="AC54" s="588"/>
      <c r="AD54" s="588"/>
      <c r="AE54" s="588"/>
      <c r="AF54" s="588"/>
      <c r="AG54" s="588"/>
      <c r="AH54" s="588"/>
      <c r="AI54" s="588"/>
      <c r="AJ54" s="588"/>
      <c r="AK54" s="588"/>
      <c r="AL54" s="588"/>
      <c r="AM54" s="588"/>
      <c r="AN54" s="588"/>
      <c r="AO54" s="588"/>
      <c r="AP54" s="588"/>
      <c r="AQ54" s="588"/>
      <c r="AR54" s="588"/>
      <c r="AS54" s="588"/>
      <c r="AT54" s="588"/>
      <c r="AU54" s="588"/>
      <c r="AV54" s="588"/>
      <c r="AW54" s="588"/>
      <c r="AX54" s="588"/>
      <c r="AY54" s="588"/>
      <c r="AZ54" s="588"/>
      <c r="BA54" s="588"/>
      <c r="BB54" s="588"/>
      <c r="BC54" s="588"/>
      <c r="BD54" s="688"/>
      <c r="BE54" s="688"/>
      <c r="BF54" s="688"/>
      <c r="BG54" s="588"/>
      <c r="BH54" s="588"/>
      <c r="BI54" s="588"/>
      <c r="BJ54" s="588"/>
      <c r="BK54" s="588"/>
      <c r="BL54" s="588"/>
      <c r="BM54" s="588"/>
      <c r="BN54" s="588"/>
      <c r="BO54" s="588"/>
      <c r="BP54" s="588"/>
      <c r="BQ54" s="588"/>
      <c r="BR54" s="588"/>
      <c r="BS54" s="588"/>
      <c r="BT54" s="588"/>
      <c r="BU54" s="588"/>
      <c r="BV54" s="588"/>
    </row>
    <row r="55" spans="1:74" s="589" customFormat="1" ht="22.35" customHeight="1" x14ac:dyDescent="0.25">
      <c r="A55" s="586"/>
      <c r="B55" s="592" t="s">
        <v>371</v>
      </c>
      <c r="C55" s="588"/>
      <c r="D55" s="588"/>
      <c r="E55" s="588"/>
      <c r="F55" s="588"/>
      <c r="G55" s="588"/>
      <c r="H55" s="588"/>
      <c r="I55" s="588"/>
      <c r="J55" s="588"/>
      <c r="K55" s="588"/>
      <c r="L55" s="588"/>
      <c r="M55" s="588"/>
      <c r="N55" s="588"/>
      <c r="O55" s="588"/>
      <c r="P55" s="588"/>
      <c r="Q55" s="588"/>
      <c r="R55" s="588"/>
      <c r="S55" s="588"/>
      <c r="T55" s="588"/>
      <c r="U55" s="588"/>
      <c r="V55" s="588"/>
      <c r="W55" s="588"/>
      <c r="X55" s="588"/>
      <c r="Y55" s="588"/>
      <c r="Z55" s="588"/>
      <c r="AA55" s="588"/>
      <c r="AB55" s="588"/>
      <c r="AC55" s="588"/>
      <c r="AD55" s="588"/>
      <c r="AE55" s="588"/>
      <c r="AF55" s="588"/>
      <c r="AG55" s="588"/>
      <c r="AH55" s="588"/>
      <c r="AI55" s="588"/>
      <c r="AJ55" s="588"/>
      <c r="AK55" s="588"/>
      <c r="AL55" s="588"/>
      <c r="AM55" s="588"/>
      <c r="AN55" s="588"/>
      <c r="AO55" s="588"/>
      <c r="AP55" s="588"/>
      <c r="AQ55" s="588"/>
      <c r="AR55" s="588"/>
      <c r="AS55" s="588"/>
      <c r="AT55" s="588"/>
      <c r="AU55" s="588"/>
      <c r="AV55" s="588"/>
      <c r="AW55" s="588"/>
      <c r="AX55" s="588"/>
      <c r="AY55" s="588"/>
      <c r="AZ55" s="588"/>
      <c r="BA55" s="588"/>
      <c r="BB55" s="588"/>
      <c r="BC55" s="588"/>
      <c r="BD55" s="688"/>
      <c r="BE55" s="688"/>
      <c r="BF55" s="688"/>
      <c r="BG55" s="588"/>
      <c r="BH55" s="588"/>
      <c r="BI55" s="588"/>
      <c r="BJ55" s="588"/>
      <c r="BK55" s="588"/>
      <c r="BL55" s="588"/>
      <c r="BM55" s="588"/>
      <c r="BN55" s="588"/>
      <c r="BO55" s="588"/>
      <c r="BP55" s="588"/>
      <c r="BQ55" s="588"/>
      <c r="BR55" s="588"/>
      <c r="BS55" s="588"/>
      <c r="BT55" s="588"/>
      <c r="BU55" s="588"/>
      <c r="BV55" s="588"/>
    </row>
    <row r="56" spans="1:74" s="589" customFormat="1" ht="12" customHeight="1" x14ac:dyDescent="0.25">
      <c r="A56" s="586"/>
      <c r="B56" s="593" t="s">
        <v>855</v>
      </c>
      <c r="C56" s="594"/>
      <c r="D56" s="594"/>
      <c r="E56" s="594"/>
      <c r="F56" s="594"/>
      <c r="G56" s="594"/>
      <c r="H56" s="594"/>
      <c r="I56" s="594"/>
      <c r="J56" s="594"/>
      <c r="K56" s="594"/>
      <c r="L56" s="594"/>
      <c r="M56" s="594"/>
      <c r="N56" s="594"/>
      <c r="O56" s="594"/>
      <c r="P56" s="594"/>
      <c r="Q56" s="594"/>
      <c r="R56" s="594"/>
      <c r="S56" s="594"/>
      <c r="T56" s="594"/>
      <c r="U56" s="594"/>
      <c r="V56" s="594"/>
      <c r="W56" s="594"/>
      <c r="X56" s="594"/>
      <c r="Y56" s="594"/>
      <c r="Z56" s="594"/>
      <c r="AA56" s="594"/>
      <c r="AB56" s="594"/>
      <c r="AC56" s="594"/>
      <c r="AD56" s="594"/>
      <c r="AE56" s="594"/>
      <c r="AF56" s="594"/>
      <c r="AG56" s="594"/>
      <c r="AH56" s="594"/>
      <c r="AI56" s="594"/>
      <c r="AJ56" s="594"/>
      <c r="AK56" s="594"/>
      <c r="AL56" s="594"/>
      <c r="AM56" s="594"/>
      <c r="AN56" s="594"/>
      <c r="AO56" s="594"/>
      <c r="AP56" s="594"/>
      <c r="AQ56" s="594"/>
      <c r="AR56" s="594"/>
      <c r="AS56" s="594"/>
      <c r="AT56" s="594"/>
      <c r="AU56" s="594"/>
      <c r="AV56" s="594"/>
      <c r="AW56" s="594"/>
      <c r="AX56" s="594"/>
      <c r="AY56" s="594"/>
      <c r="AZ56" s="594"/>
      <c r="BA56" s="594"/>
      <c r="BB56" s="594"/>
      <c r="BC56" s="594"/>
      <c r="BD56" s="690"/>
      <c r="BE56" s="690"/>
      <c r="BF56" s="690"/>
      <c r="BG56" s="594"/>
      <c r="BH56" s="594"/>
      <c r="BI56" s="594"/>
      <c r="BJ56" s="594"/>
      <c r="BK56" s="594"/>
      <c r="BL56" s="594"/>
      <c r="BM56" s="594"/>
      <c r="BN56" s="594"/>
      <c r="BO56" s="594"/>
      <c r="BP56" s="594"/>
      <c r="BQ56" s="594"/>
      <c r="BR56" s="594"/>
      <c r="BS56" s="594"/>
      <c r="BT56" s="594"/>
      <c r="BU56" s="594"/>
      <c r="BV56" s="594"/>
    </row>
    <row r="57" spans="1:74" s="589" customFormat="1" ht="12" customHeight="1" x14ac:dyDescent="0.25">
      <c r="A57" s="586"/>
      <c r="B57" s="811" t="s">
        <v>949</v>
      </c>
      <c r="C57" s="791"/>
      <c r="D57" s="791"/>
      <c r="E57" s="791"/>
      <c r="F57" s="791"/>
      <c r="G57" s="791"/>
      <c r="H57" s="791"/>
      <c r="I57" s="791"/>
      <c r="J57" s="791"/>
      <c r="K57" s="791"/>
      <c r="L57" s="791"/>
      <c r="M57" s="791"/>
      <c r="N57" s="791"/>
      <c r="O57" s="791"/>
      <c r="P57" s="791"/>
      <c r="Q57" s="791"/>
      <c r="R57" s="595"/>
      <c r="S57" s="595"/>
      <c r="T57" s="595"/>
      <c r="U57" s="595"/>
      <c r="V57" s="595"/>
      <c r="W57" s="595"/>
      <c r="X57" s="595"/>
      <c r="Y57" s="595"/>
      <c r="Z57" s="595"/>
      <c r="AA57" s="595"/>
      <c r="AB57" s="595"/>
      <c r="AC57" s="595"/>
      <c r="AD57" s="595"/>
      <c r="AE57" s="595"/>
      <c r="AF57" s="595"/>
      <c r="AG57" s="595"/>
      <c r="AH57" s="595"/>
      <c r="AI57" s="595"/>
      <c r="AJ57" s="595"/>
      <c r="AK57" s="595"/>
      <c r="AL57" s="595"/>
      <c r="AM57" s="595"/>
      <c r="AN57" s="595"/>
      <c r="AO57" s="595"/>
      <c r="AP57" s="595"/>
      <c r="AQ57" s="595"/>
      <c r="AR57" s="595"/>
      <c r="AS57" s="595"/>
      <c r="AT57" s="595"/>
      <c r="AU57" s="595"/>
      <c r="AV57" s="595"/>
      <c r="AW57" s="595"/>
      <c r="AX57" s="595"/>
      <c r="AY57" s="595"/>
      <c r="AZ57" s="595"/>
      <c r="BA57" s="595"/>
      <c r="BB57" s="595"/>
      <c r="BC57" s="595"/>
      <c r="BD57" s="690"/>
      <c r="BE57" s="690"/>
      <c r="BF57" s="690"/>
      <c r="BG57" s="595"/>
      <c r="BH57" s="595"/>
      <c r="BI57" s="595"/>
      <c r="BJ57" s="595"/>
      <c r="BK57" s="595"/>
      <c r="BL57" s="595"/>
      <c r="BM57" s="595"/>
      <c r="BN57" s="595"/>
      <c r="BO57" s="595"/>
      <c r="BP57" s="595"/>
      <c r="BQ57" s="595"/>
      <c r="BR57" s="595"/>
      <c r="BS57" s="595"/>
      <c r="BT57" s="595"/>
      <c r="BU57" s="595"/>
      <c r="BV57" s="595"/>
    </row>
  </sheetData>
  <mergeCells count="9">
    <mergeCell ref="B57:Q57"/>
    <mergeCell ref="BK3:BV3"/>
    <mergeCell ref="A1:A2"/>
    <mergeCell ref="C3:N3"/>
    <mergeCell ref="O3:Z3"/>
    <mergeCell ref="AA3:AL3"/>
    <mergeCell ref="AM3:AX3"/>
    <mergeCell ref="AY3:BJ3"/>
    <mergeCell ref="B53:Q53"/>
  </mergeCells>
  <phoneticPr fontId="0" type="noConversion"/>
  <hyperlinks>
    <hyperlink ref="A1:A2" location="Contents!A1" display="Table of Contents"/>
  </hyperlinks>
  <pageMargins left="0.25" right="0.25" top="0.25" bottom="0.25" header="0.5" footer="0.5"/>
  <pageSetup scale="83"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V54"/>
  <sheetViews>
    <sheetView showGridLines="0" workbookViewId="0">
      <pane xSplit="2" ySplit="4" topLeftCell="AU5" activePane="bottomRight" state="frozen"/>
      <selection activeCell="BF63" sqref="BF63"/>
      <selection pane="topRight" activeCell="BF63" sqref="BF63"/>
      <selection pane="bottomLeft" activeCell="BF63" sqref="BF63"/>
      <selection pane="bottomRight" activeCell="B1" sqref="B1"/>
    </sheetView>
  </sheetViews>
  <sheetFormatPr defaultColWidth="9.21875" defaultRowHeight="12" customHeight="1" x14ac:dyDescent="0.3"/>
  <cols>
    <col min="1" max="1" width="12.44140625" style="716" customWidth="1"/>
    <col min="2" max="2" width="26" style="716" customWidth="1"/>
    <col min="3" max="55" width="6.5546875" style="716" customWidth="1"/>
    <col min="56" max="58" width="6.5546875" style="734" customWidth="1"/>
    <col min="59" max="74" width="6.5546875" style="716" customWidth="1"/>
    <col min="75" max="16384" width="9.21875" style="716"/>
  </cols>
  <sheetData>
    <row r="1" spans="1:74" ht="12.75" customHeight="1" x14ac:dyDescent="0.3">
      <c r="A1" s="866" t="s">
        <v>809</v>
      </c>
      <c r="B1" s="719" t="s">
        <v>1076</v>
      </c>
      <c r="C1" s="717"/>
      <c r="D1" s="717"/>
      <c r="E1" s="717"/>
      <c r="F1" s="717"/>
      <c r="G1" s="717"/>
      <c r="H1" s="717"/>
      <c r="I1" s="717"/>
      <c r="J1" s="717"/>
      <c r="K1" s="717"/>
      <c r="L1" s="717"/>
      <c r="M1" s="717"/>
      <c r="N1" s="717"/>
      <c r="O1" s="717"/>
      <c r="P1" s="717"/>
      <c r="Q1" s="717"/>
    </row>
    <row r="2" spans="1:74" ht="12.75" customHeight="1" x14ac:dyDescent="0.3">
      <c r="A2" s="866"/>
      <c r="B2" s="718" t="str">
        <f>"U.S. Energy Information Administration  |  Short-Term Energy Outlook - "&amp;Dates!$D$1</f>
        <v>U.S. Energy Information Administration  |  Short-Term Energy Outlook - September 2020</v>
      </c>
      <c r="C2" s="717"/>
      <c r="D2" s="717"/>
      <c r="E2" s="717"/>
      <c r="F2" s="717"/>
      <c r="G2" s="717"/>
      <c r="H2" s="717"/>
      <c r="I2" s="717"/>
      <c r="J2" s="717"/>
      <c r="K2" s="717"/>
      <c r="L2" s="717"/>
      <c r="M2" s="717"/>
      <c r="N2" s="717"/>
      <c r="O2" s="717"/>
      <c r="P2" s="717"/>
      <c r="Q2" s="717"/>
    </row>
    <row r="3" spans="1:74" ht="12.75" customHeight="1" x14ac:dyDescent="0.3">
      <c r="A3" s="722"/>
      <c r="B3" s="723"/>
      <c r="C3" s="867">
        <f>Dates!D3</f>
        <v>2016</v>
      </c>
      <c r="D3" s="868"/>
      <c r="E3" s="868"/>
      <c r="F3" s="868"/>
      <c r="G3" s="868"/>
      <c r="H3" s="868"/>
      <c r="I3" s="868"/>
      <c r="J3" s="868"/>
      <c r="K3" s="868"/>
      <c r="L3" s="868"/>
      <c r="M3" s="868"/>
      <c r="N3" s="869"/>
      <c r="O3" s="867">
        <f>C3+1</f>
        <v>2017</v>
      </c>
      <c r="P3" s="868"/>
      <c r="Q3" s="868"/>
      <c r="R3" s="868"/>
      <c r="S3" s="868"/>
      <c r="T3" s="868"/>
      <c r="U3" s="868"/>
      <c r="V3" s="868"/>
      <c r="W3" s="868"/>
      <c r="X3" s="868"/>
      <c r="Y3" s="868"/>
      <c r="Z3" s="869"/>
      <c r="AA3" s="867">
        <f>O3+1</f>
        <v>2018</v>
      </c>
      <c r="AB3" s="868"/>
      <c r="AC3" s="868"/>
      <c r="AD3" s="868"/>
      <c r="AE3" s="868"/>
      <c r="AF3" s="868"/>
      <c r="AG3" s="868"/>
      <c r="AH3" s="868"/>
      <c r="AI3" s="868"/>
      <c r="AJ3" s="868"/>
      <c r="AK3" s="868"/>
      <c r="AL3" s="869"/>
      <c r="AM3" s="867">
        <f>AA3+1</f>
        <v>2019</v>
      </c>
      <c r="AN3" s="868"/>
      <c r="AO3" s="868"/>
      <c r="AP3" s="868"/>
      <c r="AQ3" s="868"/>
      <c r="AR3" s="868"/>
      <c r="AS3" s="868"/>
      <c r="AT3" s="868"/>
      <c r="AU3" s="868"/>
      <c r="AV3" s="868"/>
      <c r="AW3" s="868"/>
      <c r="AX3" s="869"/>
      <c r="AY3" s="867">
        <f>AM3+1</f>
        <v>2020</v>
      </c>
      <c r="AZ3" s="868"/>
      <c r="BA3" s="868"/>
      <c r="BB3" s="868"/>
      <c r="BC3" s="868"/>
      <c r="BD3" s="868"/>
      <c r="BE3" s="868"/>
      <c r="BF3" s="868"/>
      <c r="BG3" s="868"/>
      <c r="BH3" s="868"/>
      <c r="BI3" s="868"/>
      <c r="BJ3" s="869"/>
      <c r="BK3" s="867">
        <f>AY3+1</f>
        <v>2021</v>
      </c>
      <c r="BL3" s="868"/>
      <c r="BM3" s="868"/>
      <c r="BN3" s="868"/>
      <c r="BO3" s="868"/>
      <c r="BP3" s="868"/>
      <c r="BQ3" s="868"/>
      <c r="BR3" s="868"/>
      <c r="BS3" s="868"/>
      <c r="BT3" s="868"/>
      <c r="BU3" s="868"/>
      <c r="BV3" s="869"/>
    </row>
    <row r="4" spans="1:74" ht="12.75" customHeight="1" x14ac:dyDescent="0.3">
      <c r="A4" s="722"/>
      <c r="B4" s="724"/>
      <c r="C4" s="725" t="s">
        <v>482</v>
      </c>
      <c r="D4" s="725" t="s">
        <v>483</v>
      </c>
      <c r="E4" s="725" t="s">
        <v>484</v>
      </c>
      <c r="F4" s="725" t="s">
        <v>485</v>
      </c>
      <c r="G4" s="725" t="s">
        <v>486</v>
      </c>
      <c r="H4" s="725" t="s">
        <v>487</v>
      </c>
      <c r="I4" s="725" t="s">
        <v>488</v>
      </c>
      <c r="J4" s="725" t="s">
        <v>489</v>
      </c>
      <c r="K4" s="725" t="s">
        <v>490</v>
      </c>
      <c r="L4" s="725" t="s">
        <v>491</v>
      </c>
      <c r="M4" s="725" t="s">
        <v>492</v>
      </c>
      <c r="N4" s="725" t="s">
        <v>493</v>
      </c>
      <c r="O4" s="725" t="s">
        <v>482</v>
      </c>
      <c r="P4" s="725" t="s">
        <v>483</v>
      </c>
      <c r="Q4" s="725" t="s">
        <v>484</v>
      </c>
      <c r="R4" s="725" t="s">
        <v>485</v>
      </c>
      <c r="S4" s="725" t="s">
        <v>486</v>
      </c>
      <c r="T4" s="725" t="s">
        <v>487</v>
      </c>
      <c r="U4" s="725" t="s">
        <v>488</v>
      </c>
      <c r="V4" s="725" t="s">
        <v>489</v>
      </c>
      <c r="W4" s="725" t="s">
        <v>490</v>
      </c>
      <c r="X4" s="725" t="s">
        <v>491</v>
      </c>
      <c r="Y4" s="725" t="s">
        <v>492</v>
      </c>
      <c r="Z4" s="725" t="s">
        <v>493</v>
      </c>
      <c r="AA4" s="725" t="s">
        <v>482</v>
      </c>
      <c r="AB4" s="725" t="s">
        <v>483</v>
      </c>
      <c r="AC4" s="725" t="s">
        <v>484</v>
      </c>
      <c r="AD4" s="725" t="s">
        <v>485</v>
      </c>
      <c r="AE4" s="725" t="s">
        <v>486</v>
      </c>
      <c r="AF4" s="725" t="s">
        <v>487</v>
      </c>
      <c r="AG4" s="725" t="s">
        <v>488</v>
      </c>
      <c r="AH4" s="725" t="s">
        <v>489</v>
      </c>
      <c r="AI4" s="725" t="s">
        <v>490</v>
      </c>
      <c r="AJ4" s="725" t="s">
        <v>491</v>
      </c>
      <c r="AK4" s="725" t="s">
        <v>492</v>
      </c>
      <c r="AL4" s="725" t="s">
        <v>493</v>
      </c>
      <c r="AM4" s="725" t="s">
        <v>482</v>
      </c>
      <c r="AN4" s="725" t="s">
        <v>483</v>
      </c>
      <c r="AO4" s="725" t="s">
        <v>484</v>
      </c>
      <c r="AP4" s="725" t="s">
        <v>485</v>
      </c>
      <c r="AQ4" s="725" t="s">
        <v>486</v>
      </c>
      <c r="AR4" s="725" t="s">
        <v>487</v>
      </c>
      <c r="AS4" s="725" t="s">
        <v>488</v>
      </c>
      <c r="AT4" s="725" t="s">
        <v>489</v>
      </c>
      <c r="AU4" s="725" t="s">
        <v>490</v>
      </c>
      <c r="AV4" s="725" t="s">
        <v>491</v>
      </c>
      <c r="AW4" s="725" t="s">
        <v>492</v>
      </c>
      <c r="AX4" s="725" t="s">
        <v>493</v>
      </c>
      <c r="AY4" s="725" t="s">
        <v>482</v>
      </c>
      <c r="AZ4" s="725" t="s">
        <v>483</v>
      </c>
      <c r="BA4" s="725" t="s">
        <v>484</v>
      </c>
      <c r="BB4" s="725" t="s">
        <v>485</v>
      </c>
      <c r="BC4" s="725" t="s">
        <v>486</v>
      </c>
      <c r="BD4" s="725" t="s">
        <v>487</v>
      </c>
      <c r="BE4" s="725" t="s">
        <v>488</v>
      </c>
      <c r="BF4" s="725" t="s">
        <v>489</v>
      </c>
      <c r="BG4" s="725" t="s">
        <v>490</v>
      </c>
      <c r="BH4" s="725" t="s">
        <v>491</v>
      </c>
      <c r="BI4" s="725" t="s">
        <v>492</v>
      </c>
      <c r="BJ4" s="725" t="s">
        <v>493</v>
      </c>
      <c r="BK4" s="725" t="s">
        <v>482</v>
      </c>
      <c r="BL4" s="725" t="s">
        <v>483</v>
      </c>
      <c r="BM4" s="725" t="s">
        <v>484</v>
      </c>
      <c r="BN4" s="725" t="s">
        <v>485</v>
      </c>
      <c r="BO4" s="725" t="s">
        <v>486</v>
      </c>
      <c r="BP4" s="725" t="s">
        <v>487</v>
      </c>
      <c r="BQ4" s="725" t="s">
        <v>488</v>
      </c>
      <c r="BR4" s="725" t="s">
        <v>489</v>
      </c>
      <c r="BS4" s="725" t="s">
        <v>490</v>
      </c>
      <c r="BT4" s="725" t="s">
        <v>491</v>
      </c>
      <c r="BU4" s="725" t="s">
        <v>492</v>
      </c>
      <c r="BV4" s="725" t="s">
        <v>493</v>
      </c>
    </row>
    <row r="5" spans="1:74" ht="12" customHeight="1" x14ac:dyDescent="0.3">
      <c r="A5" s="722"/>
      <c r="B5" s="721" t="s">
        <v>1084</v>
      </c>
      <c r="C5" s="717"/>
      <c r="D5" s="717"/>
      <c r="E5" s="717"/>
      <c r="F5" s="717"/>
      <c r="G5" s="717"/>
      <c r="H5" s="717"/>
      <c r="I5" s="717"/>
      <c r="J5" s="717"/>
      <c r="K5" s="717"/>
      <c r="L5" s="717"/>
      <c r="M5" s="717"/>
      <c r="N5" s="717"/>
      <c r="O5" s="717"/>
      <c r="P5" s="717"/>
      <c r="Q5" s="717"/>
      <c r="BG5" s="734"/>
      <c r="BH5" s="734"/>
      <c r="BI5" s="734"/>
    </row>
    <row r="6" spans="1:74" ht="12" customHeight="1" x14ac:dyDescent="0.3">
      <c r="A6" s="722"/>
      <c r="B6" s="721" t="s">
        <v>1085</v>
      </c>
      <c r="C6" s="717"/>
      <c r="D6" s="717"/>
      <c r="E6" s="717"/>
      <c r="F6" s="717"/>
      <c r="G6" s="717"/>
      <c r="H6" s="717"/>
      <c r="I6" s="717"/>
      <c r="J6" s="717"/>
      <c r="K6" s="717"/>
      <c r="L6" s="717"/>
      <c r="M6" s="717"/>
      <c r="N6" s="717"/>
      <c r="O6" s="717"/>
      <c r="P6" s="717"/>
      <c r="Q6" s="717"/>
      <c r="BG6" s="734"/>
      <c r="BH6" s="734"/>
      <c r="BI6" s="734"/>
    </row>
    <row r="7" spans="1:74" ht="12" customHeight="1" x14ac:dyDescent="0.3">
      <c r="A7" s="722" t="s">
        <v>1077</v>
      </c>
      <c r="B7" s="720" t="s">
        <v>1086</v>
      </c>
      <c r="C7" s="732">
        <v>7408.5</v>
      </c>
      <c r="D7" s="732">
        <v>7408.5</v>
      </c>
      <c r="E7" s="732">
        <v>7410</v>
      </c>
      <c r="F7" s="732">
        <v>7433.8</v>
      </c>
      <c r="G7" s="732">
        <v>7431.8</v>
      </c>
      <c r="H7" s="732">
        <v>7439.7</v>
      </c>
      <c r="I7" s="732">
        <v>7441.3</v>
      </c>
      <c r="J7" s="732">
        <v>7428.7</v>
      </c>
      <c r="K7" s="732">
        <v>7432.7</v>
      </c>
      <c r="L7" s="732">
        <v>7444.1</v>
      </c>
      <c r="M7" s="732">
        <v>7463.5</v>
      </c>
      <c r="N7" s="732">
        <v>7422.4</v>
      </c>
      <c r="O7" s="732">
        <v>7226.6</v>
      </c>
      <c r="P7" s="732">
        <v>7225</v>
      </c>
      <c r="Q7" s="732">
        <v>7233.4</v>
      </c>
      <c r="R7" s="732">
        <v>7255.4</v>
      </c>
      <c r="S7" s="732">
        <v>7254.4</v>
      </c>
      <c r="T7" s="732">
        <v>7268.9</v>
      </c>
      <c r="U7" s="732">
        <v>7325.6</v>
      </c>
      <c r="V7" s="732">
        <v>7325.6</v>
      </c>
      <c r="W7" s="732">
        <v>7325.6</v>
      </c>
      <c r="X7" s="732">
        <v>7325.6</v>
      </c>
      <c r="Y7" s="732">
        <v>7325.6</v>
      </c>
      <c r="Z7" s="732">
        <v>7313.4</v>
      </c>
      <c r="AA7" s="732">
        <v>7126.6</v>
      </c>
      <c r="AB7" s="732">
        <v>7105.9</v>
      </c>
      <c r="AC7" s="732">
        <v>7105.9</v>
      </c>
      <c r="AD7" s="732">
        <v>7103.3</v>
      </c>
      <c r="AE7" s="732">
        <v>7101.3</v>
      </c>
      <c r="AF7" s="732">
        <v>7068.1</v>
      </c>
      <c r="AG7" s="732">
        <v>7057.3</v>
      </c>
      <c r="AH7" s="732">
        <v>7035.2</v>
      </c>
      <c r="AI7" s="732">
        <v>7035.2</v>
      </c>
      <c r="AJ7" s="732">
        <v>7034.1</v>
      </c>
      <c r="AK7" s="732">
        <v>6976.7</v>
      </c>
      <c r="AL7" s="732">
        <v>6972.3</v>
      </c>
      <c r="AM7" s="732">
        <v>6925.2</v>
      </c>
      <c r="AN7" s="732">
        <v>6925.2</v>
      </c>
      <c r="AO7" s="732">
        <v>6807.4</v>
      </c>
      <c r="AP7" s="732">
        <v>6796.2</v>
      </c>
      <c r="AQ7" s="732">
        <v>6779.8</v>
      </c>
      <c r="AR7" s="732">
        <v>6760.5</v>
      </c>
      <c r="AS7" s="732">
        <v>6764.3</v>
      </c>
      <c r="AT7" s="732">
        <v>6762.4</v>
      </c>
      <c r="AU7" s="732">
        <v>6661.5</v>
      </c>
      <c r="AV7" s="732">
        <v>6622.8</v>
      </c>
      <c r="AW7" s="732">
        <v>6622.6</v>
      </c>
      <c r="AX7" s="732">
        <v>6671.6</v>
      </c>
      <c r="AY7" s="732">
        <v>6672.2</v>
      </c>
      <c r="AZ7" s="732">
        <v>6672.2</v>
      </c>
      <c r="BA7" s="732">
        <v>6672.2</v>
      </c>
      <c r="BB7" s="732">
        <v>6672.2</v>
      </c>
      <c r="BC7" s="732">
        <v>6655.1</v>
      </c>
      <c r="BD7" s="732">
        <v>6590.2</v>
      </c>
      <c r="BE7" s="732">
        <v>6590.2</v>
      </c>
      <c r="BF7" s="732">
        <v>6590.2</v>
      </c>
      <c r="BG7" s="735">
        <v>6595</v>
      </c>
      <c r="BH7" s="735">
        <v>6596.4</v>
      </c>
      <c r="BI7" s="735">
        <v>6596.4</v>
      </c>
      <c r="BJ7" s="735">
        <v>6628.4</v>
      </c>
      <c r="BK7" s="735">
        <v>6628.4</v>
      </c>
      <c r="BL7" s="735">
        <v>6628.4</v>
      </c>
      <c r="BM7" s="735">
        <v>6628.4</v>
      </c>
      <c r="BN7" s="735">
        <v>6628.4</v>
      </c>
      <c r="BO7" s="735">
        <v>6628.4</v>
      </c>
      <c r="BP7" s="735">
        <v>6630.4</v>
      </c>
      <c r="BQ7" s="735">
        <v>6630.4</v>
      </c>
      <c r="BR7" s="735">
        <v>6630.4</v>
      </c>
      <c r="BS7" s="735">
        <v>6550.4</v>
      </c>
      <c r="BT7" s="735">
        <v>6638.4</v>
      </c>
      <c r="BU7" s="735">
        <v>6638.4</v>
      </c>
      <c r="BV7" s="735">
        <v>6638.4</v>
      </c>
    </row>
    <row r="8" spans="1:74" ht="12" customHeight="1" x14ac:dyDescent="0.3">
      <c r="A8" s="722" t="s">
        <v>1078</v>
      </c>
      <c r="B8" s="720" t="s">
        <v>1087</v>
      </c>
      <c r="C8" s="732">
        <v>4140.8999999999996</v>
      </c>
      <c r="D8" s="732">
        <v>4140.8999999999996</v>
      </c>
      <c r="E8" s="732">
        <v>4142.3999999999996</v>
      </c>
      <c r="F8" s="732">
        <v>4166.2</v>
      </c>
      <c r="G8" s="732">
        <v>4164.2</v>
      </c>
      <c r="H8" s="732">
        <v>4172.1000000000004</v>
      </c>
      <c r="I8" s="732">
        <v>4173.7</v>
      </c>
      <c r="J8" s="732">
        <v>4179.1000000000004</v>
      </c>
      <c r="K8" s="732">
        <v>4183.1000000000004</v>
      </c>
      <c r="L8" s="732">
        <v>4187.3999999999996</v>
      </c>
      <c r="M8" s="732">
        <v>4206.8</v>
      </c>
      <c r="N8" s="732">
        <v>4206.8</v>
      </c>
      <c r="O8" s="732">
        <v>4195.3</v>
      </c>
      <c r="P8" s="732">
        <v>4193.7</v>
      </c>
      <c r="Q8" s="732">
        <v>4202.1000000000004</v>
      </c>
      <c r="R8" s="732">
        <v>4224.1000000000004</v>
      </c>
      <c r="S8" s="732">
        <v>4223.1000000000004</v>
      </c>
      <c r="T8" s="732">
        <v>4237.6000000000004</v>
      </c>
      <c r="U8" s="732">
        <v>4240.8</v>
      </c>
      <c r="V8" s="732">
        <v>4240.8</v>
      </c>
      <c r="W8" s="732">
        <v>4240.8</v>
      </c>
      <c r="X8" s="732">
        <v>4240.8</v>
      </c>
      <c r="Y8" s="732">
        <v>4240.8</v>
      </c>
      <c r="Z8" s="732">
        <v>4234.1000000000004</v>
      </c>
      <c r="AA8" s="732">
        <v>4120.1000000000004</v>
      </c>
      <c r="AB8" s="732">
        <v>4099.3999999999996</v>
      </c>
      <c r="AC8" s="732">
        <v>4099.3999999999996</v>
      </c>
      <c r="AD8" s="732">
        <v>4096.8</v>
      </c>
      <c r="AE8" s="732">
        <v>4094.8</v>
      </c>
      <c r="AF8" s="732">
        <v>4061.6</v>
      </c>
      <c r="AG8" s="732">
        <v>4050.8</v>
      </c>
      <c r="AH8" s="732">
        <v>4047.2</v>
      </c>
      <c r="AI8" s="732">
        <v>4047.2</v>
      </c>
      <c r="AJ8" s="732">
        <v>4046.1</v>
      </c>
      <c r="AK8" s="732">
        <v>4043.7</v>
      </c>
      <c r="AL8" s="732">
        <v>4039.3</v>
      </c>
      <c r="AM8" s="732">
        <v>4039.3</v>
      </c>
      <c r="AN8" s="732">
        <v>4039.3</v>
      </c>
      <c r="AO8" s="732">
        <v>4004.5</v>
      </c>
      <c r="AP8" s="732">
        <v>3993.3</v>
      </c>
      <c r="AQ8" s="732">
        <v>3991.9</v>
      </c>
      <c r="AR8" s="732">
        <v>3972.6</v>
      </c>
      <c r="AS8" s="732">
        <v>3976.4</v>
      </c>
      <c r="AT8" s="732">
        <v>3974.5</v>
      </c>
      <c r="AU8" s="732">
        <v>3962.9</v>
      </c>
      <c r="AV8" s="732">
        <v>3961.2</v>
      </c>
      <c r="AW8" s="732">
        <v>3961</v>
      </c>
      <c r="AX8" s="732">
        <v>3945</v>
      </c>
      <c r="AY8" s="732">
        <v>3945.6</v>
      </c>
      <c r="AZ8" s="732">
        <v>3945.6</v>
      </c>
      <c r="BA8" s="732">
        <v>3945.6</v>
      </c>
      <c r="BB8" s="732">
        <v>3945.6</v>
      </c>
      <c r="BC8" s="732">
        <v>3928.5</v>
      </c>
      <c r="BD8" s="732">
        <v>3863.6</v>
      </c>
      <c r="BE8" s="732">
        <v>3863.6</v>
      </c>
      <c r="BF8" s="732">
        <v>3863.6</v>
      </c>
      <c r="BG8" s="735">
        <v>3868.4</v>
      </c>
      <c r="BH8" s="735">
        <v>3869.8</v>
      </c>
      <c r="BI8" s="735">
        <v>3869.8</v>
      </c>
      <c r="BJ8" s="735">
        <v>3901.8</v>
      </c>
      <c r="BK8" s="735">
        <v>3901.8</v>
      </c>
      <c r="BL8" s="735">
        <v>3901.8</v>
      </c>
      <c r="BM8" s="735">
        <v>3901.8</v>
      </c>
      <c r="BN8" s="735">
        <v>3901.8</v>
      </c>
      <c r="BO8" s="735">
        <v>3901.8</v>
      </c>
      <c r="BP8" s="735">
        <v>3903.8</v>
      </c>
      <c r="BQ8" s="735">
        <v>3903.8</v>
      </c>
      <c r="BR8" s="735">
        <v>3903.8</v>
      </c>
      <c r="BS8" s="735">
        <v>3823.8</v>
      </c>
      <c r="BT8" s="735">
        <v>3911.8</v>
      </c>
      <c r="BU8" s="735">
        <v>3911.8</v>
      </c>
      <c r="BV8" s="735">
        <v>3911.8</v>
      </c>
    </row>
    <row r="9" spans="1:74" ht="12" customHeight="1" x14ac:dyDescent="0.3">
      <c r="A9" s="722" t="s">
        <v>1079</v>
      </c>
      <c r="B9" s="720" t="s">
        <v>1088</v>
      </c>
      <c r="C9" s="732">
        <v>3267.6</v>
      </c>
      <c r="D9" s="732">
        <v>3267.6</v>
      </c>
      <c r="E9" s="732">
        <v>3267.6</v>
      </c>
      <c r="F9" s="732">
        <v>3267.6</v>
      </c>
      <c r="G9" s="732">
        <v>3267.6</v>
      </c>
      <c r="H9" s="732">
        <v>3267.6</v>
      </c>
      <c r="I9" s="732">
        <v>3267.6</v>
      </c>
      <c r="J9" s="732">
        <v>3249.6</v>
      </c>
      <c r="K9" s="732">
        <v>3249.6</v>
      </c>
      <c r="L9" s="732">
        <v>3256.7</v>
      </c>
      <c r="M9" s="732">
        <v>3256.7</v>
      </c>
      <c r="N9" s="732">
        <v>3215.6</v>
      </c>
      <c r="O9" s="732">
        <v>3031.3</v>
      </c>
      <c r="P9" s="732">
        <v>3031.3</v>
      </c>
      <c r="Q9" s="732">
        <v>3031.3</v>
      </c>
      <c r="R9" s="732">
        <v>3031.3</v>
      </c>
      <c r="S9" s="732">
        <v>3031.3</v>
      </c>
      <c r="T9" s="732">
        <v>3031.3</v>
      </c>
      <c r="U9" s="732">
        <v>3084.8</v>
      </c>
      <c r="V9" s="732">
        <v>3084.8</v>
      </c>
      <c r="W9" s="732">
        <v>3084.8</v>
      </c>
      <c r="X9" s="732">
        <v>3084.8</v>
      </c>
      <c r="Y9" s="732">
        <v>3084.8</v>
      </c>
      <c r="Z9" s="732">
        <v>3079.3</v>
      </c>
      <c r="AA9" s="732">
        <v>3006.5</v>
      </c>
      <c r="AB9" s="732">
        <v>3006.5</v>
      </c>
      <c r="AC9" s="732">
        <v>3006.5</v>
      </c>
      <c r="AD9" s="732">
        <v>3006.5</v>
      </c>
      <c r="AE9" s="732">
        <v>3006.5</v>
      </c>
      <c r="AF9" s="732">
        <v>3006.5</v>
      </c>
      <c r="AG9" s="732">
        <v>3006.5</v>
      </c>
      <c r="AH9" s="732">
        <v>2988</v>
      </c>
      <c r="AI9" s="732">
        <v>2988</v>
      </c>
      <c r="AJ9" s="732">
        <v>2988</v>
      </c>
      <c r="AK9" s="732">
        <v>2933</v>
      </c>
      <c r="AL9" s="732">
        <v>2933</v>
      </c>
      <c r="AM9" s="732">
        <v>2885.9</v>
      </c>
      <c r="AN9" s="732">
        <v>2885.9</v>
      </c>
      <c r="AO9" s="732">
        <v>2802.9</v>
      </c>
      <c r="AP9" s="732">
        <v>2802.9</v>
      </c>
      <c r="AQ9" s="732">
        <v>2787.9</v>
      </c>
      <c r="AR9" s="732">
        <v>2787.9</v>
      </c>
      <c r="AS9" s="732">
        <v>2787.9</v>
      </c>
      <c r="AT9" s="732">
        <v>2787.9</v>
      </c>
      <c r="AU9" s="732">
        <v>2698.6</v>
      </c>
      <c r="AV9" s="732">
        <v>2661.6</v>
      </c>
      <c r="AW9" s="732">
        <v>2661.6</v>
      </c>
      <c r="AX9" s="732">
        <v>2726.6</v>
      </c>
      <c r="AY9" s="732">
        <v>2726.6</v>
      </c>
      <c r="AZ9" s="732">
        <v>2726.6</v>
      </c>
      <c r="BA9" s="732">
        <v>2726.6</v>
      </c>
      <c r="BB9" s="732">
        <v>2726.6</v>
      </c>
      <c r="BC9" s="732">
        <v>2726.6</v>
      </c>
      <c r="BD9" s="732">
        <v>2726.6</v>
      </c>
      <c r="BE9" s="732">
        <v>2726.6</v>
      </c>
      <c r="BF9" s="732">
        <v>2726.6</v>
      </c>
      <c r="BG9" s="735">
        <v>2726.6</v>
      </c>
      <c r="BH9" s="735">
        <v>2726.6</v>
      </c>
      <c r="BI9" s="735">
        <v>2726.6</v>
      </c>
      <c r="BJ9" s="735">
        <v>2726.6</v>
      </c>
      <c r="BK9" s="735">
        <v>2726.6</v>
      </c>
      <c r="BL9" s="735">
        <v>2726.6</v>
      </c>
      <c r="BM9" s="735">
        <v>2726.6</v>
      </c>
      <c r="BN9" s="735">
        <v>2726.6</v>
      </c>
      <c r="BO9" s="735">
        <v>2726.6</v>
      </c>
      <c r="BP9" s="735">
        <v>2726.6</v>
      </c>
      <c r="BQ9" s="735">
        <v>2726.6</v>
      </c>
      <c r="BR9" s="735">
        <v>2726.6</v>
      </c>
      <c r="BS9" s="735">
        <v>2726.6</v>
      </c>
      <c r="BT9" s="735">
        <v>2726.6</v>
      </c>
      <c r="BU9" s="735">
        <v>2726.6</v>
      </c>
      <c r="BV9" s="735">
        <v>2726.6</v>
      </c>
    </row>
    <row r="10" spans="1:74" ht="12" customHeight="1" x14ac:dyDescent="0.3">
      <c r="A10" s="722" t="s">
        <v>1080</v>
      </c>
      <c r="B10" s="720" t="s">
        <v>1089</v>
      </c>
      <c r="C10" s="732">
        <v>79375.600000000006</v>
      </c>
      <c r="D10" s="732">
        <v>79432.600000000006</v>
      </c>
      <c r="E10" s="732">
        <v>79461.899999999994</v>
      </c>
      <c r="F10" s="732">
        <v>79499.3</v>
      </c>
      <c r="G10" s="732">
        <v>79499.3</v>
      </c>
      <c r="H10" s="732">
        <v>79528.600000000006</v>
      </c>
      <c r="I10" s="732">
        <v>79653.5</v>
      </c>
      <c r="J10" s="732">
        <v>79549.7</v>
      </c>
      <c r="K10" s="732">
        <v>79549.7</v>
      </c>
      <c r="L10" s="732">
        <v>79556.2</v>
      </c>
      <c r="M10" s="732">
        <v>79556.2</v>
      </c>
      <c r="N10" s="732">
        <v>79556.2</v>
      </c>
      <c r="O10" s="732">
        <v>79333.5</v>
      </c>
      <c r="P10" s="732">
        <v>79333.5</v>
      </c>
      <c r="Q10" s="732">
        <v>79335.899999999994</v>
      </c>
      <c r="R10" s="732">
        <v>79335.899999999994</v>
      </c>
      <c r="S10" s="732">
        <v>79335.899999999994</v>
      </c>
      <c r="T10" s="732">
        <v>79343.199999999997</v>
      </c>
      <c r="U10" s="732">
        <v>79393.8</v>
      </c>
      <c r="V10" s="732">
        <v>79437.3</v>
      </c>
      <c r="W10" s="732">
        <v>79437.3</v>
      </c>
      <c r="X10" s="732">
        <v>79437.3</v>
      </c>
      <c r="Y10" s="732">
        <v>79434.3</v>
      </c>
      <c r="Z10" s="732">
        <v>79431.600000000006</v>
      </c>
      <c r="AA10" s="732">
        <v>79437.2</v>
      </c>
      <c r="AB10" s="732">
        <v>79449.2</v>
      </c>
      <c r="AC10" s="732">
        <v>79449.2</v>
      </c>
      <c r="AD10" s="732">
        <v>79449.2</v>
      </c>
      <c r="AE10" s="732">
        <v>79410.2</v>
      </c>
      <c r="AF10" s="732">
        <v>79410.2</v>
      </c>
      <c r="AG10" s="732">
        <v>79408</v>
      </c>
      <c r="AH10" s="732">
        <v>79408</v>
      </c>
      <c r="AI10" s="732">
        <v>79408</v>
      </c>
      <c r="AJ10" s="732">
        <v>79408</v>
      </c>
      <c r="AK10" s="732">
        <v>79530</v>
      </c>
      <c r="AL10" s="732">
        <v>79526.3</v>
      </c>
      <c r="AM10" s="732">
        <v>79428.5</v>
      </c>
      <c r="AN10" s="732">
        <v>79512.5</v>
      </c>
      <c r="AO10" s="732">
        <v>79511.3</v>
      </c>
      <c r="AP10" s="732">
        <v>79511.3</v>
      </c>
      <c r="AQ10" s="732">
        <v>79490</v>
      </c>
      <c r="AR10" s="732">
        <v>79490</v>
      </c>
      <c r="AS10" s="732">
        <v>79489.8</v>
      </c>
      <c r="AT10" s="732">
        <v>79386</v>
      </c>
      <c r="AU10" s="732">
        <v>79313.5</v>
      </c>
      <c r="AV10" s="732">
        <v>79379.899999999994</v>
      </c>
      <c r="AW10" s="732">
        <v>79379.899999999994</v>
      </c>
      <c r="AX10" s="732">
        <v>79370.100000000006</v>
      </c>
      <c r="AY10" s="732">
        <v>79383.100000000006</v>
      </c>
      <c r="AZ10" s="732">
        <v>79383.100000000006</v>
      </c>
      <c r="BA10" s="732">
        <v>79383.100000000006</v>
      </c>
      <c r="BB10" s="732">
        <v>79343.100000000006</v>
      </c>
      <c r="BC10" s="732">
        <v>79393.100000000006</v>
      </c>
      <c r="BD10" s="732">
        <v>79393.100000000006</v>
      </c>
      <c r="BE10" s="732">
        <v>79396.2</v>
      </c>
      <c r="BF10" s="732">
        <v>79412.899999999994</v>
      </c>
      <c r="BG10" s="735">
        <v>79544.600000000006</v>
      </c>
      <c r="BH10" s="735">
        <v>79607.600000000006</v>
      </c>
      <c r="BI10" s="735">
        <v>79612.600000000006</v>
      </c>
      <c r="BJ10" s="735">
        <v>79568.800000000003</v>
      </c>
      <c r="BK10" s="735">
        <v>79599</v>
      </c>
      <c r="BL10" s="735">
        <v>79647.399999999994</v>
      </c>
      <c r="BM10" s="735">
        <v>79650.8</v>
      </c>
      <c r="BN10" s="735">
        <v>79650.8</v>
      </c>
      <c r="BO10" s="735">
        <v>79650.8</v>
      </c>
      <c r="BP10" s="735">
        <v>79599.7</v>
      </c>
      <c r="BQ10" s="735">
        <v>79495.7</v>
      </c>
      <c r="BR10" s="735">
        <v>79676.2</v>
      </c>
      <c r="BS10" s="735">
        <v>79676.2</v>
      </c>
      <c r="BT10" s="735">
        <v>79686.100000000006</v>
      </c>
      <c r="BU10" s="735">
        <v>79686.100000000006</v>
      </c>
      <c r="BV10" s="735">
        <v>79700.100000000006</v>
      </c>
    </row>
    <row r="11" spans="1:74" ht="12" customHeight="1" x14ac:dyDescent="0.3">
      <c r="A11" s="722" t="s">
        <v>1081</v>
      </c>
      <c r="B11" s="720" t="s">
        <v>89</v>
      </c>
      <c r="C11" s="732">
        <v>2516.6</v>
      </c>
      <c r="D11" s="732">
        <v>2516.6</v>
      </c>
      <c r="E11" s="732">
        <v>2516.6</v>
      </c>
      <c r="F11" s="732">
        <v>2516.6</v>
      </c>
      <c r="G11" s="732">
        <v>2516.6</v>
      </c>
      <c r="H11" s="732">
        <v>2516.6</v>
      </c>
      <c r="I11" s="732">
        <v>2516.6</v>
      </c>
      <c r="J11" s="732">
        <v>2516.6</v>
      </c>
      <c r="K11" s="732">
        <v>2516.6</v>
      </c>
      <c r="L11" s="732">
        <v>2516.6</v>
      </c>
      <c r="M11" s="732">
        <v>2516.6</v>
      </c>
      <c r="N11" s="732">
        <v>2516.6</v>
      </c>
      <c r="O11" s="732">
        <v>2508.6</v>
      </c>
      <c r="P11" s="732">
        <v>2508.6</v>
      </c>
      <c r="Q11" s="732">
        <v>2448.6</v>
      </c>
      <c r="R11" s="732">
        <v>2448.6</v>
      </c>
      <c r="S11" s="732">
        <v>2448.6</v>
      </c>
      <c r="T11" s="732">
        <v>2448.6</v>
      </c>
      <c r="U11" s="732">
        <v>2448.6</v>
      </c>
      <c r="V11" s="732">
        <v>2448.6</v>
      </c>
      <c r="W11" s="732">
        <v>2448.6</v>
      </c>
      <c r="X11" s="732">
        <v>2448.6</v>
      </c>
      <c r="Y11" s="732">
        <v>2448.6</v>
      </c>
      <c r="Z11" s="732">
        <v>2485.6</v>
      </c>
      <c r="AA11" s="732">
        <v>2491.9</v>
      </c>
      <c r="AB11" s="732">
        <v>2491.9</v>
      </c>
      <c r="AC11" s="732">
        <v>2480.6</v>
      </c>
      <c r="AD11" s="732">
        <v>2480.6</v>
      </c>
      <c r="AE11" s="732">
        <v>2480.6</v>
      </c>
      <c r="AF11" s="732">
        <v>2480.6</v>
      </c>
      <c r="AG11" s="732">
        <v>2480.6</v>
      </c>
      <c r="AH11" s="732">
        <v>2480.6</v>
      </c>
      <c r="AI11" s="732">
        <v>2480.6</v>
      </c>
      <c r="AJ11" s="732">
        <v>2487</v>
      </c>
      <c r="AK11" s="732">
        <v>2487</v>
      </c>
      <c r="AL11" s="732">
        <v>2489.6999999999998</v>
      </c>
      <c r="AM11" s="732">
        <v>2486</v>
      </c>
      <c r="AN11" s="732">
        <v>2486</v>
      </c>
      <c r="AO11" s="732">
        <v>2486</v>
      </c>
      <c r="AP11" s="732">
        <v>2486</v>
      </c>
      <c r="AQ11" s="732">
        <v>2486</v>
      </c>
      <c r="AR11" s="732">
        <v>2486</v>
      </c>
      <c r="AS11" s="732">
        <v>2486</v>
      </c>
      <c r="AT11" s="732">
        <v>2486</v>
      </c>
      <c r="AU11" s="732">
        <v>2486</v>
      </c>
      <c r="AV11" s="732">
        <v>2486</v>
      </c>
      <c r="AW11" s="732">
        <v>2506</v>
      </c>
      <c r="AX11" s="732">
        <v>2506</v>
      </c>
      <c r="AY11" s="732">
        <v>2506</v>
      </c>
      <c r="AZ11" s="732">
        <v>2506</v>
      </c>
      <c r="BA11" s="732">
        <v>2506</v>
      </c>
      <c r="BB11" s="732">
        <v>2506</v>
      </c>
      <c r="BC11" s="732">
        <v>2506</v>
      </c>
      <c r="BD11" s="732">
        <v>2506</v>
      </c>
      <c r="BE11" s="732">
        <v>2506</v>
      </c>
      <c r="BF11" s="732">
        <v>2506</v>
      </c>
      <c r="BG11" s="735">
        <v>2506</v>
      </c>
      <c r="BH11" s="735">
        <v>2506</v>
      </c>
      <c r="BI11" s="735">
        <v>2506</v>
      </c>
      <c r="BJ11" s="735">
        <v>2506</v>
      </c>
      <c r="BK11" s="735">
        <v>2506</v>
      </c>
      <c r="BL11" s="735">
        <v>2506</v>
      </c>
      <c r="BM11" s="735">
        <v>2506</v>
      </c>
      <c r="BN11" s="735">
        <v>2506</v>
      </c>
      <c r="BO11" s="735">
        <v>2506</v>
      </c>
      <c r="BP11" s="735">
        <v>2506</v>
      </c>
      <c r="BQ11" s="735">
        <v>2506</v>
      </c>
      <c r="BR11" s="735">
        <v>2506</v>
      </c>
      <c r="BS11" s="735">
        <v>2506</v>
      </c>
      <c r="BT11" s="735">
        <v>2506</v>
      </c>
      <c r="BU11" s="735">
        <v>2506</v>
      </c>
      <c r="BV11" s="735">
        <v>2548</v>
      </c>
    </row>
    <row r="12" spans="1:74" ht="12" customHeight="1" x14ac:dyDescent="0.3">
      <c r="A12" s="722" t="s">
        <v>1082</v>
      </c>
      <c r="B12" s="720" t="s">
        <v>1090</v>
      </c>
      <c r="C12" s="732">
        <v>13922.1</v>
      </c>
      <c r="D12" s="732">
        <v>14066.8</v>
      </c>
      <c r="E12" s="732">
        <v>14273.6</v>
      </c>
      <c r="F12" s="732">
        <v>14747.7</v>
      </c>
      <c r="G12" s="732">
        <v>14862.5</v>
      </c>
      <c r="H12" s="732">
        <v>15076.5</v>
      </c>
      <c r="I12" s="732">
        <v>15807.6</v>
      </c>
      <c r="J12" s="732">
        <v>16742.3</v>
      </c>
      <c r="K12" s="732">
        <v>17508.5</v>
      </c>
      <c r="L12" s="732">
        <v>17918.3</v>
      </c>
      <c r="M12" s="732">
        <v>18633.099999999999</v>
      </c>
      <c r="N12" s="732">
        <v>21625.5</v>
      </c>
      <c r="O12" s="732">
        <v>22017.8</v>
      </c>
      <c r="P12" s="732">
        <v>22205.7</v>
      </c>
      <c r="Q12" s="732">
        <v>22590.799999999999</v>
      </c>
      <c r="R12" s="732">
        <v>23113.5</v>
      </c>
      <c r="S12" s="732">
        <v>23415</v>
      </c>
      <c r="T12" s="732">
        <v>23624.1</v>
      </c>
      <c r="U12" s="732">
        <v>23736.799999999999</v>
      </c>
      <c r="V12" s="732">
        <v>23928.1</v>
      </c>
      <c r="W12" s="732">
        <v>24134.3</v>
      </c>
      <c r="X12" s="732">
        <v>24466.799999999999</v>
      </c>
      <c r="Y12" s="732">
        <v>25020.3</v>
      </c>
      <c r="Z12" s="732">
        <v>26432.1</v>
      </c>
      <c r="AA12" s="732">
        <v>27479.8</v>
      </c>
      <c r="AB12" s="732">
        <v>27579</v>
      </c>
      <c r="AC12" s="732">
        <v>28105.5</v>
      </c>
      <c r="AD12" s="732">
        <v>28287.200000000001</v>
      </c>
      <c r="AE12" s="732">
        <v>28719</v>
      </c>
      <c r="AF12" s="732">
        <v>28892.9</v>
      </c>
      <c r="AG12" s="732">
        <v>29035.1</v>
      </c>
      <c r="AH12" s="732">
        <v>29116</v>
      </c>
      <c r="AI12" s="732">
        <v>29433.1</v>
      </c>
      <c r="AJ12" s="732">
        <v>29608.7</v>
      </c>
      <c r="AK12" s="732">
        <v>30144.9</v>
      </c>
      <c r="AL12" s="732">
        <v>31594.799999999999</v>
      </c>
      <c r="AM12" s="732">
        <v>32266.7</v>
      </c>
      <c r="AN12" s="732">
        <v>32477.4</v>
      </c>
      <c r="AO12" s="732">
        <v>32707</v>
      </c>
      <c r="AP12" s="732">
        <v>32815</v>
      </c>
      <c r="AQ12" s="732">
        <v>32876.800000000003</v>
      </c>
      <c r="AR12" s="732">
        <v>33155.5</v>
      </c>
      <c r="AS12" s="732">
        <v>33466.9</v>
      </c>
      <c r="AT12" s="732">
        <v>33689.599999999999</v>
      </c>
      <c r="AU12" s="732">
        <v>33943.199999999997</v>
      </c>
      <c r="AV12" s="732">
        <v>34393.599999999999</v>
      </c>
      <c r="AW12" s="732">
        <v>35044.800000000003</v>
      </c>
      <c r="AX12" s="732">
        <v>36998.1</v>
      </c>
      <c r="AY12" s="732">
        <v>38191.699999999997</v>
      </c>
      <c r="AZ12" s="732">
        <v>38603</v>
      </c>
      <c r="BA12" s="732">
        <v>38822.1</v>
      </c>
      <c r="BB12" s="732">
        <v>39468.699999999997</v>
      </c>
      <c r="BC12" s="732">
        <v>39739.9</v>
      </c>
      <c r="BD12" s="732">
        <v>41272.400000000001</v>
      </c>
      <c r="BE12" s="732">
        <v>42380.6</v>
      </c>
      <c r="BF12" s="732">
        <v>42636.4</v>
      </c>
      <c r="BG12" s="735">
        <v>43440.9</v>
      </c>
      <c r="BH12" s="735">
        <v>43850.7</v>
      </c>
      <c r="BI12" s="735">
        <v>45028.7</v>
      </c>
      <c r="BJ12" s="735">
        <v>50655.199999999997</v>
      </c>
      <c r="BK12" s="735">
        <v>50969.8</v>
      </c>
      <c r="BL12" s="735">
        <v>50972.800000000003</v>
      </c>
      <c r="BM12" s="735">
        <v>51125.7</v>
      </c>
      <c r="BN12" s="735">
        <v>51930.9</v>
      </c>
      <c r="BO12" s="735">
        <v>52892</v>
      </c>
      <c r="BP12" s="735">
        <v>54610.3</v>
      </c>
      <c r="BQ12" s="735">
        <v>55236</v>
      </c>
      <c r="BR12" s="735">
        <v>55657.2</v>
      </c>
      <c r="BS12" s="735">
        <v>56441.9</v>
      </c>
      <c r="BT12" s="735">
        <v>57228.9</v>
      </c>
      <c r="BU12" s="735">
        <v>58648.7</v>
      </c>
      <c r="BV12" s="735">
        <v>62463.5</v>
      </c>
    </row>
    <row r="13" spans="1:74" ht="12" customHeight="1" x14ac:dyDescent="0.3">
      <c r="A13" s="722" t="s">
        <v>1083</v>
      </c>
      <c r="B13" s="720" t="s">
        <v>90</v>
      </c>
      <c r="C13" s="732">
        <v>72948.2</v>
      </c>
      <c r="D13" s="732">
        <v>72948.2</v>
      </c>
      <c r="E13" s="732">
        <v>73306.8</v>
      </c>
      <c r="F13" s="732">
        <v>73469.100000000006</v>
      </c>
      <c r="G13" s="732">
        <v>73742.899999999994</v>
      </c>
      <c r="H13" s="732">
        <v>74163.3</v>
      </c>
      <c r="I13" s="732">
        <v>74604.899999999994</v>
      </c>
      <c r="J13" s="732">
        <v>74608.3</v>
      </c>
      <c r="K13" s="732">
        <v>74698.8</v>
      </c>
      <c r="L13" s="732">
        <v>75331.7</v>
      </c>
      <c r="M13" s="732">
        <v>76208.600000000006</v>
      </c>
      <c r="N13" s="732">
        <v>81336.399999999994</v>
      </c>
      <c r="O13" s="732">
        <v>81592.3</v>
      </c>
      <c r="P13" s="732">
        <v>81841.399999999994</v>
      </c>
      <c r="Q13" s="732">
        <v>82919.199999999997</v>
      </c>
      <c r="R13" s="732">
        <v>83070.399999999994</v>
      </c>
      <c r="S13" s="732">
        <v>83222.899999999994</v>
      </c>
      <c r="T13" s="732">
        <v>83378</v>
      </c>
      <c r="U13" s="732">
        <v>83860</v>
      </c>
      <c r="V13" s="732">
        <v>83860</v>
      </c>
      <c r="W13" s="732">
        <v>84109.2</v>
      </c>
      <c r="X13" s="732">
        <v>84358.2</v>
      </c>
      <c r="Y13" s="732">
        <v>85322.1</v>
      </c>
      <c r="Z13" s="732">
        <v>87488.4</v>
      </c>
      <c r="AA13" s="732">
        <v>88420.6</v>
      </c>
      <c r="AB13" s="732">
        <v>88645.1</v>
      </c>
      <c r="AC13" s="732">
        <v>88645.1</v>
      </c>
      <c r="AD13" s="732">
        <v>88945.1</v>
      </c>
      <c r="AE13" s="732">
        <v>88945.1</v>
      </c>
      <c r="AF13" s="732">
        <v>89094.1</v>
      </c>
      <c r="AG13" s="732">
        <v>89251</v>
      </c>
      <c r="AH13" s="732">
        <v>89333</v>
      </c>
      <c r="AI13" s="732">
        <v>89803</v>
      </c>
      <c r="AJ13" s="732">
        <v>90140</v>
      </c>
      <c r="AK13" s="732">
        <v>90391.3</v>
      </c>
      <c r="AL13" s="732">
        <v>94283</v>
      </c>
      <c r="AM13" s="732">
        <v>95205.8</v>
      </c>
      <c r="AN13" s="732">
        <v>95671.8</v>
      </c>
      <c r="AO13" s="732">
        <v>96504.3</v>
      </c>
      <c r="AP13" s="732">
        <v>96506.1</v>
      </c>
      <c r="AQ13" s="732">
        <v>96735.4</v>
      </c>
      <c r="AR13" s="732">
        <v>97979.5</v>
      </c>
      <c r="AS13" s="732">
        <v>98255.1</v>
      </c>
      <c r="AT13" s="732">
        <v>98638.5</v>
      </c>
      <c r="AU13" s="732">
        <v>99560.2</v>
      </c>
      <c r="AV13" s="732">
        <v>99558.2</v>
      </c>
      <c r="AW13" s="732">
        <v>100634.5</v>
      </c>
      <c r="AX13" s="732">
        <v>103391.6</v>
      </c>
      <c r="AY13" s="732">
        <v>104126.8</v>
      </c>
      <c r="AZ13" s="732">
        <v>104204.1</v>
      </c>
      <c r="BA13" s="732">
        <v>105739</v>
      </c>
      <c r="BB13" s="732">
        <v>106019</v>
      </c>
      <c r="BC13" s="732">
        <v>106878.39999999999</v>
      </c>
      <c r="BD13" s="732">
        <v>107193.4</v>
      </c>
      <c r="BE13" s="732">
        <v>108318.5</v>
      </c>
      <c r="BF13" s="732">
        <v>109130.5</v>
      </c>
      <c r="BG13" s="735">
        <v>112873.4</v>
      </c>
      <c r="BH13" s="735">
        <v>115040</v>
      </c>
      <c r="BI13" s="735">
        <v>117639.8</v>
      </c>
      <c r="BJ13" s="735">
        <v>126670.39999999999</v>
      </c>
      <c r="BK13" s="735">
        <v>126922.2</v>
      </c>
      <c r="BL13" s="735">
        <v>127656</v>
      </c>
      <c r="BM13" s="735">
        <v>127656</v>
      </c>
      <c r="BN13" s="735">
        <v>127656</v>
      </c>
      <c r="BO13" s="735">
        <v>127884</v>
      </c>
      <c r="BP13" s="735">
        <v>128174.7</v>
      </c>
      <c r="BQ13" s="735">
        <v>128701.1</v>
      </c>
      <c r="BR13" s="735">
        <v>128701.1</v>
      </c>
      <c r="BS13" s="735">
        <v>128796.4</v>
      </c>
      <c r="BT13" s="735">
        <v>129520</v>
      </c>
      <c r="BU13" s="735">
        <v>129622</v>
      </c>
      <c r="BV13" s="735">
        <v>133950.9</v>
      </c>
    </row>
    <row r="14" spans="1:74" ht="12" customHeight="1" x14ac:dyDescent="0.3">
      <c r="A14" s="722"/>
      <c r="B14" s="721" t="s">
        <v>1091</v>
      </c>
      <c r="C14" s="721"/>
      <c r="D14" s="721"/>
      <c r="E14" s="721"/>
      <c r="F14" s="721"/>
      <c r="G14" s="721"/>
      <c r="H14" s="721"/>
      <c r="I14" s="721"/>
      <c r="J14" s="721"/>
      <c r="K14" s="721"/>
      <c r="L14" s="721"/>
      <c r="M14" s="721"/>
      <c r="N14" s="721"/>
      <c r="O14" s="721"/>
      <c r="P14" s="721"/>
      <c r="Q14" s="721"/>
      <c r="R14" s="721"/>
      <c r="S14" s="721"/>
      <c r="T14" s="721"/>
      <c r="U14" s="721"/>
      <c r="V14" s="721"/>
      <c r="W14" s="721"/>
      <c r="X14" s="721"/>
      <c r="Y14" s="721"/>
      <c r="Z14" s="721"/>
      <c r="AA14" s="721"/>
      <c r="AB14" s="721"/>
      <c r="AC14" s="721"/>
      <c r="AD14" s="721"/>
      <c r="AE14" s="721"/>
      <c r="AF14" s="721"/>
      <c r="AG14" s="721"/>
      <c r="AH14" s="721"/>
      <c r="AI14" s="721"/>
      <c r="AJ14" s="721"/>
      <c r="AK14" s="721"/>
      <c r="AL14" s="721"/>
      <c r="AM14" s="721"/>
      <c r="AN14" s="721"/>
      <c r="AO14" s="721"/>
      <c r="AP14" s="721"/>
      <c r="AQ14" s="721"/>
      <c r="AR14" s="721"/>
      <c r="AS14" s="721"/>
      <c r="AT14" s="721"/>
      <c r="AU14" s="721"/>
      <c r="AV14" s="721"/>
      <c r="AW14" s="721"/>
      <c r="AX14" s="721"/>
      <c r="AY14" s="721"/>
      <c r="AZ14" s="721"/>
      <c r="BA14" s="721"/>
      <c r="BB14" s="721"/>
      <c r="BC14" s="721"/>
      <c r="BD14" s="721"/>
      <c r="BE14" s="721"/>
      <c r="BF14" s="721"/>
      <c r="BG14" s="736"/>
      <c r="BH14" s="736"/>
      <c r="BI14" s="736"/>
      <c r="BJ14" s="736"/>
      <c r="BK14" s="736"/>
      <c r="BL14" s="736"/>
      <c r="BM14" s="736"/>
      <c r="BN14" s="736"/>
      <c r="BO14" s="736"/>
      <c r="BP14" s="736"/>
      <c r="BQ14" s="736"/>
      <c r="BR14" s="736"/>
      <c r="BS14" s="736"/>
      <c r="BT14" s="736"/>
      <c r="BU14" s="736"/>
      <c r="BV14" s="736"/>
    </row>
    <row r="15" spans="1:74" ht="12" customHeight="1" x14ac:dyDescent="0.3">
      <c r="A15" s="722" t="s">
        <v>1092</v>
      </c>
      <c r="B15" s="720" t="s">
        <v>1086</v>
      </c>
      <c r="C15" s="732">
        <v>6727.6</v>
      </c>
      <c r="D15" s="732">
        <v>6726.2</v>
      </c>
      <c r="E15" s="732">
        <v>6717.3</v>
      </c>
      <c r="F15" s="732">
        <v>6714.3</v>
      </c>
      <c r="G15" s="732">
        <v>6714</v>
      </c>
      <c r="H15" s="732">
        <v>6713.6</v>
      </c>
      <c r="I15" s="732">
        <v>6713.4</v>
      </c>
      <c r="J15" s="732">
        <v>6712</v>
      </c>
      <c r="K15" s="732">
        <v>6712</v>
      </c>
      <c r="L15" s="732">
        <v>6712</v>
      </c>
      <c r="M15" s="732">
        <v>6712</v>
      </c>
      <c r="N15" s="732">
        <v>6657</v>
      </c>
      <c r="O15" s="732">
        <v>6647.7</v>
      </c>
      <c r="P15" s="732">
        <v>6645.1</v>
      </c>
      <c r="Q15" s="732">
        <v>6685.6</v>
      </c>
      <c r="R15" s="732">
        <v>6685.6</v>
      </c>
      <c r="S15" s="732">
        <v>6685.6</v>
      </c>
      <c r="T15" s="732">
        <v>6689.6</v>
      </c>
      <c r="U15" s="732">
        <v>6689.6</v>
      </c>
      <c r="V15" s="732">
        <v>6689.4</v>
      </c>
      <c r="W15" s="732">
        <v>6688.4</v>
      </c>
      <c r="X15" s="732">
        <v>6688.4</v>
      </c>
      <c r="Y15" s="732">
        <v>6688.4</v>
      </c>
      <c r="Z15" s="732">
        <v>6657.4</v>
      </c>
      <c r="AA15" s="732">
        <v>6713.3</v>
      </c>
      <c r="AB15" s="732">
        <v>6713.3</v>
      </c>
      <c r="AC15" s="732">
        <v>6680.8</v>
      </c>
      <c r="AD15" s="732">
        <v>6686.8</v>
      </c>
      <c r="AE15" s="732">
        <v>6685.2</v>
      </c>
      <c r="AF15" s="732">
        <v>6674.6</v>
      </c>
      <c r="AG15" s="732">
        <v>6666.3</v>
      </c>
      <c r="AH15" s="732">
        <v>6662.2</v>
      </c>
      <c r="AI15" s="732">
        <v>6662.2</v>
      </c>
      <c r="AJ15" s="732">
        <v>6662.2</v>
      </c>
      <c r="AK15" s="732">
        <v>6662.2</v>
      </c>
      <c r="AL15" s="732">
        <v>6655.6</v>
      </c>
      <c r="AM15" s="732">
        <v>6672.6</v>
      </c>
      <c r="AN15" s="732">
        <v>6672.6</v>
      </c>
      <c r="AO15" s="732">
        <v>6541.3</v>
      </c>
      <c r="AP15" s="732">
        <v>6528.9</v>
      </c>
      <c r="AQ15" s="732">
        <v>6530.3</v>
      </c>
      <c r="AR15" s="732">
        <v>6490.2</v>
      </c>
      <c r="AS15" s="732">
        <v>6490.2</v>
      </c>
      <c r="AT15" s="732">
        <v>6490.2</v>
      </c>
      <c r="AU15" s="732">
        <v>6490.2</v>
      </c>
      <c r="AV15" s="732">
        <v>6423.6</v>
      </c>
      <c r="AW15" s="732">
        <v>6423.6</v>
      </c>
      <c r="AX15" s="732">
        <v>6423.6</v>
      </c>
      <c r="AY15" s="732">
        <v>6432.1</v>
      </c>
      <c r="AZ15" s="732">
        <v>6432.1</v>
      </c>
      <c r="BA15" s="732">
        <v>6432.1</v>
      </c>
      <c r="BB15" s="732">
        <v>6432.1</v>
      </c>
      <c r="BC15" s="732">
        <v>6432.1</v>
      </c>
      <c r="BD15" s="732">
        <v>6432.1</v>
      </c>
      <c r="BE15" s="732">
        <v>6432.1</v>
      </c>
      <c r="BF15" s="732">
        <v>6441.1</v>
      </c>
      <c r="BG15" s="735">
        <v>6448.1</v>
      </c>
      <c r="BH15" s="735">
        <v>6448.1</v>
      </c>
      <c r="BI15" s="735">
        <v>6448.1</v>
      </c>
      <c r="BJ15" s="735">
        <v>6428.1</v>
      </c>
      <c r="BK15" s="735">
        <v>6428.1</v>
      </c>
      <c r="BL15" s="735">
        <v>6428.1</v>
      </c>
      <c r="BM15" s="735">
        <v>6428.1</v>
      </c>
      <c r="BN15" s="735">
        <v>6428.1</v>
      </c>
      <c r="BO15" s="735">
        <v>6428.1</v>
      </c>
      <c r="BP15" s="735">
        <v>6428.1</v>
      </c>
      <c r="BQ15" s="735">
        <v>6428.1</v>
      </c>
      <c r="BR15" s="735">
        <v>6428.1</v>
      </c>
      <c r="BS15" s="735">
        <v>6428.1</v>
      </c>
      <c r="BT15" s="735">
        <v>6428.1</v>
      </c>
      <c r="BU15" s="735">
        <v>6428.1</v>
      </c>
      <c r="BV15" s="735">
        <v>6428.1</v>
      </c>
    </row>
    <row r="16" spans="1:74" ht="12" customHeight="1" x14ac:dyDescent="0.3">
      <c r="A16" s="722" t="s">
        <v>1093</v>
      </c>
      <c r="B16" s="720" t="s">
        <v>1087</v>
      </c>
      <c r="C16" s="732">
        <v>944.9</v>
      </c>
      <c r="D16" s="732">
        <v>944.9</v>
      </c>
      <c r="E16" s="732">
        <v>943.8</v>
      </c>
      <c r="F16" s="732">
        <v>943.8</v>
      </c>
      <c r="G16" s="732">
        <v>943.5</v>
      </c>
      <c r="H16" s="732">
        <v>943.1</v>
      </c>
      <c r="I16" s="732">
        <v>942.9</v>
      </c>
      <c r="J16" s="732">
        <v>941.5</v>
      </c>
      <c r="K16" s="732">
        <v>941.5</v>
      </c>
      <c r="L16" s="732">
        <v>941.5</v>
      </c>
      <c r="M16" s="732">
        <v>941.5</v>
      </c>
      <c r="N16" s="732">
        <v>886.5</v>
      </c>
      <c r="O16" s="732">
        <v>883.2</v>
      </c>
      <c r="P16" s="732">
        <v>880.6</v>
      </c>
      <c r="Q16" s="732">
        <v>880.6</v>
      </c>
      <c r="R16" s="732">
        <v>880.6</v>
      </c>
      <c r="S16" s="732">
        <v>880.6</v>
      </c>
      <c r="T16" s="732">
        <v>884.6</v>
      </c>
      <c r="U16" s="732">
        <v>884.6</v>
      </c>
      <c r="V16" s="732">
        <v>884.4</v>
      </c>
      <c r="W16" s="732">
        <v>883.4</v>
      </c>
      <c r="X16" s="732">
        <v>883.4</v>
      </c>
      <c r="Y16" s="732">
        <v>883.4</v>
      </c>
      <c r="Z16" s="732">
        <v>872.4</v>
      </c>
      <c r="AA16" s="732">
        <v>851.6</v>
      </c>
      <c r="AB16" s="732">
        <v>851.6</v>
      </c>
      <c r="AC16" s="732">
        <v>851.6</v>
      </c>
      <c r="AD16" s="732">
        <v>851.6</v>
      </c>
      <c r="AE16" s="732">
        <v>851</v>
      </c>
      <c r="AF16" s="732">
        <v>850.4</v>
      </c>
      <c r="AG16" s="732">
        <v>850.4</v>
      </c>
      <c r="AH16" s="732">
        <v>846.3</v>
      </c>
      <c r="AI16" s="732">
        <v>846.3</v>
      </c>
      <c r="AJ16" s="732">
        <v>846.3</v>
      </c>
      <c r="AK16" s="732">
        <v>846.3</v>
      </c>
      <c r="AL16" s="732">
        <v>845.9</v>
      </c>
      <c r="AM16" s="732">
        <v>848.6</v>
      </c>
      <c r="AN16" s="732">
        <v>848.6</v>
      </c>
      <c r="AO16" s="732">
        <v>785</v>
      </c>
      <c r="AP16" s="732">
        <v>785</v>
      </c>
      <c r="AQ16" s="732">
        <v>786.4</v>
      </c>
      <c r="AR16" s="732">
        <v>786.4</v>
      </c>
      <c r="AS16" s="732">
        <v>786.4</v>
      </c>
      <c r="AT16" s="732">
        <v>786.4</v>
      </c>
      <c r="AU16" s="732">
        <v>786.4</v>
      </c>
      <c r="AV16" s="732">
        <v>786.4</v>
      </c>
      <c r="AW16" s="732">
        <v>786.4</v>
      </c>
      <c r="AX16" s="732">
        <v>786.4</v>
      </c>
      <c r="AY16" s="732">
        <v>786.4</v>
      </c>
      <c r="AZ16" s="732">
        <v>786.4</v>
      </c>
      <c r="BA16" s="732">
        <v>786.4</v>
      </c>
      <c r="BB16" s="732">
        <v>786.4</v>
      </c>
      <c r="BC16" s="732">
        <v>786.4</v>
      </c>
      <c r="BD16" s="732">
        <v>786.4</v>
      </c>
      <c r="BE16" s="732">
        <v>786.4</v>
      </c>
      <c r="BF16" s="732">
        <v>795.4</v>
      </c>
      <c r="BG16" s="735">
        <v>802.4</v>
      </c>
      <c r="BH16" s="735">
        <v>802.4</v>
      </c>
      <c r="BI16" s="735">
        <v>802.4</v>
      </c>
      <c r="BJ16" s="735">
        <v>802.4</v>
      </c>
      <c r="BK16" s="735">
        <v>802.4</v>
      </c>
      <c r="BL16" s="735">
        <v>802.4</v>
      </c>
      <c r="BM16" s="735">
        <v>802.4</v>
      </c>
      <c r="BN16" s="735">
        <v>802.4</v>
      </c>
      <c r="BO16" s="735">
        <v>802.4</v>
      </c>
      <c r="BP16" s="735">
        <v>802.4</v>
      </c>
      <c r="BQ16" s="735">
        <v>802.4</v>
      </c>
      <c r="BR16" s="735">
        <v>802.4</v>
      </c>
      <c r="BS16" s="735">
        <v>802.4</v>
      </c>
      <c r="BT16" s="735">
        <v>802.4</v>
      </c>
      <c r="BU16" s="735">
        <v>802.4</v>
      </c>
      <c r="BV16" s="735">
        <v>802.4</v>
      </c>
    </row>
    <row r="17" spans="1:74" ht="12" customHeight="1" x14ac:dyDescent="0.3">
      <c r="A17" s="722" t="s">
        <v>1094</v>
      </c>
      <c r="B17" s="720" t="s">
        <v>1088</v>
      </c>
      <c r="C17" s="732">
        <v>5782.7</v>
      </c>
      <c r="D17" s="732">
        <v>5781.3</v>
      </c>
      <c r="E17" s="732">
        <v>5773.5</v>
      </c>
      <c r="F17" s="732">
        <v>5770.5</v>
      </c>
      <c r="G17" s="732">
        <v>5770.5</v>
      </c>
      <c r="H17" s="732">
        <v>5770.5</v>
      </c>
      <c r="I17" s="732">
        <v>5770.5</v>
      </c>
      <c r="J17" s="732">
        <v>5770.5</v>
      </c>
      <c r="K17" s="732">
        <v>5770.5</v>
      </c>
      <c r="L17" s="732">
        <v>5770.5</v>
      </c>
      <c r="M17" s="732">
        <v>5770.5</v>
      </c>
      <c r="N17" s="732">
        <v>5770.5</v>
      </c>
      <c r="O17" s="732">
        <v>5764.5</v>
      </c>
      <c r="P17" s="732">
        <v>5764.5</v>
      </c>
      <c r="Q17" s="732">
        <v>5805</v>
      </c>
      <c r="R17" s="732">
        <v>5805</v>
      </c>
      <c r="S17" s="732">
        <v>5805</v>
      </c>
      <c r="T17" s="732">
        <v>5805</v>
      </c>
      <c r="U17" s="732">
        <v>5805</v>
      </c>
      <c r="V17" s="732">
        <v>5805</v>
      </c>
      <c r="W17" s="732">
        <v>5805</v>
      </c>
      <c r="X17" s="732">
        <v>5805</v>
      </c>
      <c r="Y17" s="732">
        <v>5805</v>
      </c>
      <c r="Z17" s="732">
        <v>5785</v>
      </c>
      <c r="AA17" s="732">
        <v>5861.7</v>
      </c>
      <c r="AB17" s="732">
        <v>5861.7</v>
      </c>
      <c r="AC17" s="732">
        <v>5829.2</v>
      </c>
      <c r="AD17" s="732">
        <v>5835.2</v>
      </c>
      <c r="AE17" s="732">
        <v>5834.2</v>
      </c>
      <c r="AF17" s="732">
        <v>5824.2</v>
      </c>
      <c r="AG17" s="732">
        <v>5815.9</v>
      </c>
      <c r="AH17" s="732">
        <v>5815.9</v>
      </c>
      <c r="AI17" s="732">
        <v>5815.9</v>
      </c>
      <c r="AJ17" s="732">
        <v>5815.9</v>
      </c>
      <c r="AK17" s="732">
        <v>5815.9</v>
      </c>
      <c r="AL17" s="732">
        <v>5809.7</v>
      </c>
      <c r="AM17" s="732">
        <v>5824</v>
      </c>
      <c r="AN17" s="732">
        <v>5824</v>
      </c>
      <c r="AO17" s="732">
        <v>5756.3</v>
      </c>
      <c r="AP17" s="732">
        <v>5743.9</v>
      </c>
      <c r="AQ17" s="732">
        <v>5743.9</v>
      </c>
      <c r="AR17" s="732">
        <v>5703.8</v>
      </c>
      <c r="AS17" s="732">
        <v>5703.8</v>
      </c>
      <c r="AT17" s="732">
        <v>5703.8</v>
      </c>
      <c r="AU17" s="732">
        <v>5703.8</v>
      </c>
      <c r="AV17" s="732">
        <v>5637.2</v>
      </c>
      <c r="AW17" s="732">
        <v>5637.2</v>
      </c>
      <c r="AX17" s="732">
        <v>5637.2</v>
      </c>
      <c r="AY17" s="732">
        <v>5645.7</v>
      </c>
      <c r="AZ17" s="732">
        <v>5645.7</v>
      </c>
      <c r="BA17" s="732">
        <v>5645.7</v>
      </c>
      <c r="BB17" s="732">
        <v>5645.7</v>
      </c>
      <c r="BC17" s="732">
        <v>5645.7</v>
      </c>
      <c r="BD17" s="732">
        <v>5645.7</v>
      </c>
      <c r="BE17" s="732">
        <v>5645.7</v>
      </c>
      <c r="BF17" s="732">
        <v>5645.7</v>
      </c>
      <c r="BG17" s="735">
        <v>5645.7</v>
      </c>
      <c r="BH17" s="735">
        <v>5645.7</v>
      </c>
      <c r="BI17" s="735">
        <v>5645.7</v>
      </c>
      <c r="BJ17" s="735">
        <v>5625.7</v>
      </c>
      <c r="BK17" s="735">
        <v>5625.7</v>
      </c>
      <c r="BL17" s="735">
        <v>5625.7</v>
      </c>
      <c r="BM17" s="735">
        <v>5625.7</v>
      </c>
      <c r="BN17" s="735">
        <v>5625.7</v>
      </c>
      <c r="BO17" s="735">
        <v>5625.7</v>
      </c>
      <c r="BP17" s="735">
        <v>5625.7</v>
      </c>
      <c r="BQ17" s="735">
        <v>5625.7</v>
      </c>
      <c r="BR17" s="735">
        <v>5625.7</v>
      </c>
      <c r="BS17" s="735">
        <v>5625.7</v>
      </c>
      <c r="BT17" s="735">
        <v>5625.7</v>
      </c>
      <c r="BU17" s="735">
        <v>5625.7</v>
      </c>
      <c r="BV17" s="735">
        <v>5625.7</v>
      </c>
    </row>
    <row r="18" spans="1:74" ht="12" customHeight="1" x14ac:dyDescent="0.3">
      <c r="A18" s="722" t="s">
        <v>1095</v>
      </c>
      <c r="B18" s="720" t="s">
        <v>1089</v>
      </c>
      <c r="C18" s="732">
        <v>354.6</v>
      </c>
      <c r="D18" s="732">
        <v>354.6</v>
      </c>
      <c r="E18" s="732">
        <v>354.6</v>
      </c>
      <c r="F18" s="732">
        <v>354.6</v>
      </c>
      <c r="G18" s="732">
        <v>355.8</v>
      </c>
      <c r="H18" s="732">
        <v>355.8</v>
      </c>
      <c r="I18" s="732">
        <v>355.8</v>
      </c>
      <c r="J18" s="732">
        <v>355.8</v>
      </c>
      <c r="K18" s="732">
        <v>356.7</v>
      </c>
      <c r="L18" s="732">
        <v>356.7</v>
      </c>
      <c r="M18" s="732">
        <v>356.7</v>
      </c>
      <c r="N18" s="732">
        <v>356.7</v>
      </c>
      <c r="O18" s="732">
        <v>357.1</v>
      </c>
      <c r="P18" s="732">
        <v>357.1</v>
      </c>
      <c r="Q18" s="732">
        <v>357.1</v>
      </c>
      <c r="R18" s="732">
        <v>357.1</v>
      </c>
      <c r="S18" s="732">
        <v>357.1</v>
      </c>
      <c r="T18" s="732">
        <v>357.1</v>
      </c>
      <c r="U18" s="732">
        <v>357.1</v>
      </c>
      <c r="V18" s="732">
        <v>357.1</v>
      </c>
      <c r="W18" s="732">
        <v>357.1</v>
      </c>
      <c r="X18" s="732">
        <v>357.1</v>
      </c>
      <c r="Y18" s="732">
        <v>357.1</v>
      </c>
      <c r="Z18" s="732">
        <v>357.1</v>
      </c>
      <c r="AA18" s="732">
        <v>283.60000000000002</v>
      </c>
      <c r="AB18" s="732">
        <v>283.60000000000002</v>
      </c>
      <c r="AC18" s="732">
        <v>283.60000000000002</v>
      </c>
      <c r="AD18" s="732">
        <v>283.60000000000002</v>
      </c>
      <c r="AE18" s="732">
        <v>283.60000000000002</v>
      </c>
      <c r="AF18" s="732">
        <v>283.60000000000002</v>
      </c>
      <c r="AG18" s="732">
        <v>283.60000000000002</v>
      </c>
      <c r="AH18" s="732">
        <v>283.60000000000002</v>
      </c>
      <c r="AI18" s="732">
        <v>283.60000000000002</v>
      </c>
      <c r="AJ18" s="732">
        <v>283.60000000000002</v>
      </c>
      <c r="AK18" s="732">
        <v>283.60000000000002</v>
      </c>
      <c r="AL18" s="732">
        <v>283.60000000000002</v>
      </c>
      <c r="AM18" s="732">
        <v>290.3</v>
      </c>
      <c r="AN18" s="732">
        <v>290.3</v>
      </c>
      <c r="AO18" s="732">
        <v>289.10000000000002</v>
      </c>
      <c r="AP18" s="732">
        <v>289.10000000000002</v>
      </c>
      <c r="AQ18" s="732">
        <v>289.10000000000002</v>
      </c>
      <c r="AR18" s="732">
        <v>289.10000000000002</v>
      </c>
      <c r="AS18" s="732">
        <v>289.10000000000002</v>
      </c>
      <c r="AT18" s="732">
        <v>289.10000000000002</v>
      </c>
      <c r="AU18" s="732">
        <v>289.10000000000002</v>
      </c>
      <c r="AV18" s="732">
        <v>289.10000000000002</v>
      </c>
      <c r="AW18" s="732">
        <v>289.10000000000002</v>
      </c>
      <c r="AX18" s="732">
        <v>289.10000000000002</v>
      </c>
      <c r="AY18" s="732">
        <v>289.10000000000002</v>
      </c>
      <c r="AZ18" s="732">
        <v>289.10000000000002</v>
      </c>
      <c r="BA18" s="732">
        <v>289.10000000000002</v>
      </c>
      <c r="BB18" s="732">
        <v>289.10000000000002</v>
      </c>
      <c r="BC18" s="732">
        <v>289.10000000000002</v>
      </c>
      <c r="BD18" s="732">
        <v>289.10000000000002</v>
      </c>
      <c r="BE18" s="732">
        <v>289.10000000000002</v>
      </c>
      <c r="BF18" s="732">
        <v>289.10000000000002</v>
      </c>
      <c r="BG18" s="735">
        <v>289.10000000000002</v>
      </c>
      <c r="BH18" s="735">
        <v>289.10000000000002</v>
      </c>
      <c r="BI18" s="735">
        <v>289.10000000000002</v>
      </c>
      <c r="BJ18" s="735">
        <v>289.10000000000002</v>
      </c>
      <c r="BK18" s="735">
        <v>289.10000000000002</v>
      </c>
      <c r="BL18" s="735">
        <v>289.10000000000002</v>
      </c>
      <c r="BM18" s="735">
        <v>289.10000000000002</v>
      </c>
      <c r="BN18" s="735">
        <v>289.10000000000002</v>
      </c>
      <c r="BO18" s="735">
        <v>289.10000000000002</v>
      </c>
      <c r="BP18" s="735">
        <v>291.60000000000002</v>
      </c>
      <c r="BQ18" s="735">
        <v>291.60000000000002</v>
      </c>
      <c r="BR18" s="735">
        <v>289.5</v>
      </c>
      <c r="BS18" s="735">
        <v>289.5</v>
      </c>
      <c r="BT18" s="735">
        <v>289.5</v>
      </c>
      <c r="BU18" s="735">
        <v>289.5</v>
      </c>
      <c r="BV18" s="735">
        <v>289.5</v>
      </c>
    </row>
    <row r="19" spans="1:74" ht="12" customHeight="1" x14ac:dyDescent="0.3">
      <c r="A19" s="722" t="s">
        <v>1096</v>
      </c>
      <c r="B19" s="720" t="s">
        <v>1090</v>
      </c>
      <c r="C19" s="732">
        <v>309.3</v>
      </c>
      <c r="D19" s="732">
        <v>309.3</v>
      </c>
      <c r="E19" s="732">
        <v>309.3</v>
      </c>
      <c r="F19" s="732">
        <v>311.2</v>
      </c>
      <c r="G19" s="732">
        <v>312.2</v>
      </c>
      <c r="H19" s="732">
        <v>313.7</v>
      </c>
      <c r="I19" s="732">
        <v>313.7</v>
      </c>
      <c r="J19" s="732">
        <v>315.7</v>
      </c>
      <c r="K19" s="732">
        <v>315.7</v>
      </c>
      <c r="L19" s="732">
        <v>316.10000000000002</v>
      </c>
      <c r="M19" s="732">
        <v>316.10000000000002</v>
      </c>
      <c r="N19" s="732">
        <v>320.2</v>
      </c>
      <c r="O19" s="732">
        <v>321.89999999999998</v>
      </c>
      <c r="P19" s="732">
        <v>321.89999999999998</v>
      </c>
      <c r="Q19" s="732">
        <v>321.89999999999998</v>
      </c>
      <c r="R19" s="732">
        <v>321.89999999999998</v>
      </c>
      <c r="S19" s="732">
        <v>325.89999999999998</v>
      </c>
      <c r="T19" s="732">
        <v>340.3</v>
      </c>
      <c r="U19" s="732">
        <v>340.3</v>
      </c>
      <c r="V19" s="732">
        <v>340.3</v>
      </c>
      <c r="W19" s="732">
        <v>340.3</v>
      </c>
      <c r="X19" s="732">
        <v>340.3</v>
      </c>
      <c r="Y19" s="732">
        <v>344.1</v>
      </c>
      <c r="Z19" s="732">
        <v>349.1</v>
      </c>
      <c r="AA19" s="732">
        <v>375</v>
      </c>
      <c r="AB19" s="732">
        <v>375</v>
      </c>
      <c r="AC19" s="732">
        <v>377.1</v>
      </c>
      <c r="AD19" s="732">
        <v>376.3</v>
      </c>
      <c r="AE19" s="732">
        <v>384.3</v>
      </c>
      <c r="AF19" s="732">
        <v>387.4</v>
      </c>
      <c r="AG19" s="732">
        <v>387.4</v>
      </c>
      <c r="AH19" s="732">
        <v>392.4</v>
      </c>
      <c r="AI19" s="732">
        <v>394.9</v>
      </c>
      <c r="AJ19" s="732">
        <v>397.1</v>
      </c>
      <c r="AK19" s="732">
        <v>397.1</v>
      </c>
      <c r="AL19" s="732">
        <v>405</v>
      </c>
      <c r="AM19" s="732">
        <v>405.3</v>
      </c>
      <c r="AN19" s="732">
        <v>407.3</v>
      </c>
      <c r="AO19" s="732">
        <v>408.6</v>
      </c>
      <c r="AP19" s="732">
        <v>411.1</v>
      </c>
      <c r="AQ19" s="732">
        <v>411.1</v>
      </c>
      <c r="AR19" s="732">
        <v>414.4</v>
      </c>
      <c r="AS19" s="732">
        <v>425.8</v>
      </c>
      <c r="AT19" s="732">
        <v>425.8</v>
      </c>
      <c r="AU19" s="732">
        <v>425.8</v>
      </c>
      <c r="AV19" s="732">
        <v>425.8</v>
      </c>
      <c r="AW19" s="732">
        <v>431.5</v>
      </c>
      <c r="AX19" s="732">
        <v>431.5</v>
      </c>
      <c r="AY19" s="732">
        <v>431.5</v>
      </c>
      <c r="AZ19" s="732">
        <v>431.5</v>
      </c>
      <c r="BA19" s="732">
        <v>431.5</v>
      </c>
      <c r="BB19" s="732">
        <v>432.9</v>
      </c>
      <c r="BC19" s="732">
        <v>441.3</v>
      </c>
      <c r="BD19" s="732">
        <v>443.4</v>
      </c>
      <c r="BE19" s="732">
        <v>443.4</v>
      </c>
      <c r="BF19" s="732">
        <v>443.4</v>
      </c>
      <c r="BG19" s="735">
        <v>443.4</v>
      </c>
      <c r="BH19" s="735">
        <v>445.2</v>
      </c>
      <c r="BI19" s="735">
        <v>445.2</v>
      </c>
      <c r="BJ19" s="735">
        <v>445.2</v>
      </c>
      <c r="BK19" s="735">
        <v>445.2</v>
      </c>
      <c r="BL19" s="735">
        <v>445.2</v>
      </c>
      <c r="BM19" s="735">
        <v>445.2</v>
      </c>
      <c r="BN19" s="735">
        <v>445.2</v>
      </c>
      <c r="BO19" s="735">
        <v>445.2</v>
      </c>
      <c r="BP19" s="735">
        <v>445.2</v>
      </c>
      <c r="BQ19" s="735">
        <v>445.9</v>
      </c>
      <c r="BR19" s="735">
        <v>445.9</v>
      </c>
      <c r="BS19" s="735">
        <v>445.9</v>
      </c>
      <c r="BT19" s="735">
        <v>445.9</v>
      </c>
      <c r="BU19" s="735">
        <v>445.9</v>
      </c>
      <c r="BV19" s="735">
        <v>445.9</v>
      </c>
    </row>
    <row r="20" spans="1:74" ht="12" customHeight="1" x14ac:dyDescent="0.3">
      <c r="A20" s="722" t="s">
        <v>1097</v>
      </c>
      <c r="B20" s="720" t="s">
        <v>1098</v>
      </c>
      <c r="C20" s="733" t="s">
        <v>1123</v>
      </c>
      <c r="D20" s="733" t="s">
        <v>1123</v>
      </c>
      <c r="E20" s="733" t="s">
        <v>1123</v>
      </c>
      <c r="F20" s="733" t="s">
        <v>1123</v>
      </c>
      <c r="G20" s="733" t="s">
        <v>1123</v>
      </c>
      <c r="H20" s="733" t="s">
        <v>1123</v>
      </c>
      <c r="I20" s="733" t="s">
        <v>1123</v>
      </c>
      <c r="J20" s="733" t="s">
        <v>1123</v>
      </c>
      <c r="K20" s="733" t="s">
        <v>1123</v>
      </c>
      <c r="L20" s="733" t="s">
        <v>1123</v>
      </c>
      <c r="M20" s="733" t="s">
        <v>1123</v>
      </c>
      <c r="N20" s="733" t="s">
        <v>1123</v>
      </c>
      <c r="O20" s="732">
        <v>12970.144</v>
      </c>
      <c r="P20" s="732">
        <v>13271.996999999999</v>
      </c>
      <c r="Q20" s="732">
        <v>13558.928</v>
      </c>
      <c r="R20" s="732">
        <v>13815.092000000001</v>
      </c>
      <c r="S20" s="732">
        <v>14115.334999999999</v>
      </c>
      <c r="T20" s="732">
        <v>14401.788</v>
      </c>
      <c r="U20" s="732">
        <v>14670.805</v>
      </c>
      <c r="V20" s="732">
        <v>15018.724</v>
      </c>
      <c r="W20" s="732">
        <v>15216.326999999999</v>
      </c>
      <c r="X20" s="732">
        <v>15456.587</v>
      </c>
      <c r="Y20" s="732">
        <v>15719.891</v>
      </c>
      <c r="Z20" s="732">
        <v>16147.754000000001</v>
      </c>
      <c r="AA20" s="732">
        <v>16647.878000000001</v>
      </c>
      <c r="AB20" s="732">
        <v>16888.875</v>
      </c>
      <c r="AC20" s="732">
        <v>17172.449000000001</v>
      </c>
      <c r="AD20" s="732">
        <v>17431.162</v>
      </c>
      <c r="AE20" s="732">
        <v>17714.661</v>
      </c>
      <c r="AF20" s="732">
        <v>17988.499</v>
      </c>
      <c r="AG20" s="732">
        <v>18239.913</v>
      </c>
      <c r="AH20" s="732">
        <v>18519.620999999999</v>
      </c>
      <c r="AI20" s="732">
        <v>18780.940999999999</v>
      </c>
      <c r="AJ20" s="732">
        <v>19059.823</v>
      </c>
      <c r="AK20" s="732">
        <v>19319.962</v>
      </c>
      <c r="AL20" s="732">
        <v>19547.129000000001</v>
      </c>
      <c r="AM20" s="732">
        <v>19727.025000000001</v>
      </c>
      <c r="AN20" s="732">
        <v>19967.141</v>
      </c>
      <c r="AO20" s="732">
        <v>20284.244999999999</v>
      </c>
      <c r="AP20" s="732">
        <v>20561.204000000002</v>
      </c>
      <c r="AQ20" s="732">
        <v>20870.608</v>
      </c>
      <c r="AR20" s="732">
        <v>21137.154999999999</v>
      </c>
      <c r="AS20" s="732">
        <v>21473.282999999999</v>
      </c>
      <c r="AT20" s="732">
        <v>21790.884999999998</v>
      </c>
      <c r="AU20" s="732">
        <v>22102.666000000001</v>
      </c>
      <c r="AV20" s="732">
        <v>22428.149000000001</v>
      </c>
      <c r="AW20" s="732">
        <v>22710.031999999999</v>
      </c>
      <c r="AX20" s="732">
        <v>23210.812000000002</v>
      </c>
      <c r="AY20" s="732">
        <v>23582.826000000001</v>
      </c>
      <c r="AZ20" s="732">
        <v>23919.262999999999</v>
      </c>
      <c r="BA20" s="732">
        <v>24258.837</v>
      </c>
      <c r="BB20" s="732">
        <v>24580.954000000002</v>
      </c>
      <c r="BC20" s="732">
        <v>24807.388999999999</v>
      </c>
      <c r="BD20" s="732">
        <v>25191.874</v>
      </c>
      <c r="BE20" s="732">
        <v>25269.06</v>
      </c>
      <c r="BF20" s="732">
        <v>25480.46</v>
      </c>
      <c r="BG20" s="735">
        <v>25712.35</v>
      </c>
      <c r="BH20" s="735">
        <v>25955.97</v>
      </c>
      <c r="BI20" s="735">
        <v>26212.73</v>
      </c>
      <c r="BJ20" s="735">
        <v>26480.66</v>
      </c>
      <c r="BK20" s="735">
        <v>26769.13</v>
      </c>
      <c r="BL20" s="735">
        <v>27073.37</v>
      </c>
      <c r="BM20" s="735">
        <v>27394.76</v>
      </c>
      <c r="BN20" s="735">
        <v>27733.23</v>
      </c>
      <c r="BO20" s="735">
        <v>28089.4</v>
      </c>
      <c r="BP20" s="735">
        <v>28453.18</v>
      </c>
      <c r="BQ20" s="735">
        <v>28829.68</v>
      </c>
      <c r="BR20" s="735">
        <v>29228.02</v>
      </c>
      <c r="BS20" s="735">
        <v>29633.3</v>
      </c>
      <c r="BT20" s="735">
        <v>30044.67</v>
      </c>
      <c r="BU20" s="735">
        <v>30471.19</v>
      </c>
      <c r="BV20" s="735">
        <v>30905</v>
      </c>
    </row>
    <row r="21" spans="1:74" ht="12" customHeight="1" x14ac:dyDescent="0.3">
      <c r="A21" s="722" t="s">
        <v>1099</v>
      </c>
      <c r="B21" s="720" t="s">
        <v>1100</v>
      </c>
      <c r="C21" s="733" t="s">
        <v>1123</v>
      </c>
      <c r="D21" s="733" t="s">
        <v>1123</v>
      </c>
      <c r="E21" s="733" t="s">
        <v>1123</v>
      </c>
      <c r="F21" s="733" t="s">
        <v>1123</v>
      </c>
      <c r="G21" s="733" t="s">
        <v>1123</v>
      </c>
      <c r="H21" s="733" t="s">
        <v>1123</v>
      </c>
      <c r="I21" s="733" t="s">
        <v>1123</v>
      </c>
      <c r="J21" s="733" t="s">
        <v>1123</v>
      </c>
      <c r="K21" s="733" t="s">
        <v>1123</v>
      </c>
      <c r="L21" s="733" t="s">
        <v>1123</v>
      </c>
      <c r="M21" s="733" t="s">
        <v>1123</v>
      </c>
      <c r="N21" s="733" t="s">
        <v>1123</v>
      </c>
      <c r="O21" s="732">
        <v>7754.924</v>
      </c>
      <c r="P21" s="732">
        <v>7946.3239999999996</v>
      </c>
      <c r="Q21" s="732">
        <v>8115.3419999999996</v>
      </c>
      <c r="R21" s="732">
        <v>8269.3250000000007</v>
      </c>
      <c r="S21" s="732">
        <v>8453.1579999999994</v>
      </c>
      <c r="T21" s="732">
        <v>8618.1880000000001</v>
      </c>
      <c r="U21" s="732">
        <v>8778.3189999999995</v>
      </c>
      <c r="V21" s="732">
        <v>8961.27</v>
      </c>
      <c r="W21" s="732">
        <v>9113.0149999999994</v>
      </c>
      <c r="X21" s="732">
        <v>9265.2009999999991</v>
      </c>
      <c r="Y21" s="732">
        <v>9429.84</v>
      </c>
      <c r="Z21" s="732">
        <v>9626.7980000000007</v>
      </c>
      <c r="AA21" s="732">
        <v>9816.9639999999999</v>
      </c>
      <c r="AB21" s="732">
        <v>9977.5040000000008</v>
      </c>
      <c r="AC21" s="732">
        <v>10144.519</v>
      </c>
      <c r="AD21" s="732">
        <v>10301.445</v>
      </c>
      <c r="AE21" s="732">
        <v>10476.821</v>
      </c>
      <c r="AF21" s="732">
        <v>10643.474</v>
      </c>
      <c r="AG21" s="732">
        <v>10810.71</v>
      </c>
      <c r="AH21" s="732">
        <v>10991.834999999999</v>
      </c>
      <c r="AI21" s="732">
        <v>11157.656999999999</v>
      </c>
      <c r="AJ21" s="732">
        <v>11354.29</v>
      </c>
      <c r="AK21" s="732">
        <v>11529.06</v>
      </c>
      <c r="AL21" s="732">
        <v>11720.380999999999</v>
      </c>
      <c r="AM21" s="732">
        <v>11898.319</v>
      </c>
      <c r="AN21" s="732">
        <v>12069.513999999999</v>
      </c>
      <c r="AO21" s="732">
        <v>12270.665000000001</v>
      </c>
      <c r="AP21" s="732">
        <v>12454.049000000001</v>
      </c>
      <c r="AQ21" s="732">
        <v>12650.226000000001</v>
      </c>
      <c r="AR21" s="732">
        <v>12840.412</v>
      </c>
      <c r="AS21" s="732">
        <v>13089.460999999999</v>
      </c>
      <c r="AT21" s="732">
        <v>13308.096</v>
      </c>
      <c r="AU21" s="732">
        <v>13525.831</v>
      </c>
      <c r="AV21" s="732">
        <v>13760.847</v>
      </c>
      <c r="AW21" s="732">
        <v>13985.34</v>
      </c>
      <c r="AX21" s="732">
        <v>14228.682000000001</v>
      </c>
      <c r="AY21" s="732">
        <v>14491.242</v>
      </c>
      <c r="AZ21" s="732">
        <v>14746.6</v>
      </c>
      <c r="BA21" s="732">
        <v>14963.424000000001</v>
      </c>
      <c r="BB21" s="732">
        <v>15182.630999999999</v>
      </c>
      <c r="BC21" s="732">
        <v>15379.548000000001</v>
      </c>
      <c r="BD21" s="732">
        <v>15581.718999999999</v>
      </c>
      <c r="BE21" s="732">
        <v>15711.37</v>
      </c>
      <c r="BF21" s="732">
        <v>15864.12</v>
      </c>
      <c r="BG21" s="735">
        <v>16028.22</v>
      </c>
      <c r="BH21" s="735">
        <v>16192.87</v>
      </c>
      <c r="BI21" s="735">
        <v>16360.45</v>
      </c>
      <c r="BJ21" s="735">
        <v>16528.95</v>
      </c>
      <c r="BK21" s="735">
        <v>16707.73</v>
      </c>
      <c r="BL21" s="735">
        <v>16891.96</v>
      </c>
      <c r="BM21" s="735">
        <v>17092</v>
      </c>
      <c r="BN21" s="735">
        <v>17307.740000000002</v>
      </c>
      <c r="BO21" s="735">
        <v>17539.77</v>
      </c>
      <c r="BP21" s="735">
        <v>17777.96</v>
      </c>
      <c r="BQ21" s="735">
        <v>18019.38</v>
      </c>
      <c r="BR21" s="735">
        <v>18273.12</v>
      </c>
      <c r="BS21" s="735">
        <v>18532.240000000002</v>
      </c>
      <c r="BT21" s="735">
        <v>18794.849999999999</v>
      </c>
      <c r="BU21" s="735">
        <v>19070.98</v>
      </c>
      <c r="BV21" s="735">
        <v>19352.71</v>
      </c>
    </row>
    <row r="22" spans="1:74" ht="12" customHeight="1" x14ac:dyDescent="0.3">
      <c r="A22" s="722" t="s">
        <v>1101</v>
      </c>
      <c r="B22" s="720" t="s">
        <v>1102</v>
      </c>
      <c r="C22" s="733" t="s">
        <v>1123</v>
      </c>
      <c r="D22" s="733" t="s">
        <v>1123</v>
      </c>
      <c r="E22" s="733" t="s">
        <v>1123</v>
      </c>
      <c r="F22" s="733" t="s">
        <v>1123</v>
      </c>
      <c r="G22" s="733" t="s">
        <v>1123</v>
      </c>
      <c r="H22" s="733" t="s">
        <v>1123</v>
      </c>
      <c r="I22" s="733" t="s">
        <v>1123</v>
      </c>
      <c r="J22" s="733" t="s">
        <v>1123</v>
      </c>
      <c r="K22" s="733" t="s">
        <v>1123</v>
      </c>
      <c r="L22" s="733" t="s">
        <v>1123</v>
      </c>
      <c r="M22" s="733" t="s">
        <v>1123</v>
      </c>
      <c r="N22" s="733" t="s">
        <v>1123</v>
      </c>
      <c r="O22" s="732">
        <v>4071.5230000000001</v>
      </c>
      <c r="P22" s="732">
        <v>4110.9070000000002</v>
      </c>
      <c r="Q22" s="732">
        <v>4203.6210000000001</v>
      </c>
      <c r="R22" s="732">
        <v>4293.5709999999999</v>
      </c>
      <c r="S22" s="732">
        <v>4381.8209999999999</v>
      </c>
      <c r="T22" s="732">
        <v>4481.7489999999998</v>
      </c>
      <c r="U22" s="732">
        <v>4565.3190000000004</v>
      </c>
      <c r="V22" s="732">
        <v>4711.4539999999997</v>
      </c>
      <c r="W22" s="732">
        <v>4738.4269999999997</v>
      </c>
      <c r="X22" s="732">
        <v>4826.6729999999998</v>
      </c>
      <c r="Y22" s="732">
        <v>4924.9449999999997</v>
      </c>
      <c r="Z22" s="732">
        <v>5155.8100000000004</v>
      </c>
      <c r="AA22" s="732">
        <v>5460.2240000000002</v>
      </c>
      <c r="AB22" s="732">
        <v>5530.9459999999999</v>
      </c>
      <c r="AC22" s="732">
        <v>5629.9210000000003</v>
      </c>
      <c r="AD22" s="732">
        <v>5712.2219999999998</v>
      </c>
      <c r="AE22" s="732">
        <v>5801.6059999999998</v>
      </c>
      <c r="AF22" s="732">
        <v>5890.9849999999997</v>
      </c>
      <c r="AG22" s="732">
        <v>5966.9830000000002</v>
      </c>
      <c r="AH22" s="732">
        <v>6055.3890000000001</v>
      </c>
      <c r="AI22" s="732">
        <v>6132.2820000000002</v>
      </c>
      <c r="AJ22" s="732">
        <v>6204.1589999999997</v>
      </c>
      <c r="AK22" s="732">
        <v>6261.1980000000003</v>
      </c>
      <c r="AL22" s="732">
        <v>6271.3609999999999</v>
      </c>
      <c r="AM22" s="732">
        <v>6249.0190000000002</v>
      </c>
      <c r="AN22" s="732">
        <v>6306.7740000000003</v>
      </c>
      <c r="AO22" s="732">
        <v>6402.4690000000001</v>
      </c>
      <c r="AP22" s="732">
        <v>6467.9089999999997</v>
      </c>
      <c r="AQ22" s="732">
        <v>6553.6610000000001</v>
      </c>
      <c r="AR22" s="732">
        <v>6608.7650000000003</v>
      </c>
      <c r="AS22" s="732">
        <v>6686.88</v>
      </c>
      <c r="AT22" s="732">
        <v>6769.7910000000002</v>
      </c>
      <c r="AU22" s="732">
        <v>6841.2060000000001</v>
      </c>
      <c r="AV22" s="732">
        <v>6917.2879999999996</v>
      </c>
      <c r="AW22" s="732">
        <v>6959.3360000000002</v>
      </c>
      <c r="AX22" s="732">
        <v>7185.69</v>
      </c>
      <c r="AY22" s="732">
        <v>7270.616</v>
      </c>
      <c r="AZ22" s="732">
        <v>7325.982</v>
      </c>
      <c r="BA22" s="732">
        <v>7428.82</v>
      </c>
      <c r="BB22" s="732">
        <v>7528.8649999999998</v>
      </c>
      <c r="BC22" s="732">
        <v>7537.0140000000001</v>
      </c>
      <c r="BD22" s="732">
        <v>7678.8810000000003</v>
      </c>
      <c r="BE22" s="732">
        <v>7620.3149999999996</v>
      </c>
      <c r="BF22" s="732">
        <v>7663.7139999999999</v>
      </c>
      <c r="BG22" s="735">
        <v>7715.5050000000001</v>
      </c>
      <c r="BH22" s="735">
        <v>7777.5529999999999</v>
      </c>
      <c r="BI22" s="735">
        <v>7848.97</v>
      </c>
      <c r="BJ22" s="735">
        <v>7929.7860000000001</v>
      </c>
      <c r="BK22" s="735">
        <v>8020.0309999999999</v>
      </c>
      <c r="BL22" s="735">
        <v>8119.7370000000001</v>
      </c>
      <c r="BM22" s="735">
        <v>8220.6759999999995</v>
      </c>
      <c r="BN22" s="735">
        <v>8322.8790000000008</v>
      </c>
      <c r="BO22" s="735">
        <v>8426.3790000000008</v>
      </c>
      <c r="BP22" s="735">
        <v>8531.2090000000007</v>
      </c>
      <c r="BQ22" s="735">
        <v>8644.7440000000006</v>
      </c>
      <c r="BR22" s="735">
        <v>8767.018</v>
      </c>
      <c r="BS22" s="735">
        <v>8890.723</v>
      </c>
      <c r="BT22" s="735">
        <v>9016.8109999999997</v>
      </c>
      <c r="BU22" s="735">
        <v>9144.402</v>
      </c>
      <c r="BV22" s="735">
        <v>9273.5300000000007</v>
      </c>
    </row>
    <row r="23" spans="1:74" ht="12" customHeight="1" x14ac:dyDescent="0.3">
      <c r="A23" s="722" t="s">
        <v>1103</v>
      </c>
      <c r="B23" s="720" t="s">
        <v>1104</v>
      </c>
      <c r="C23" s="733" t="s">
        <v>1123</v>
      </c>
      <c r="D23" s="733" t="s">
        <v>1123</v>
      </c>
      <c r="E23" s="733" t="s">
        <v>1123</v>
      </c>
      <c r="F23" s="733" t="s">
        <v>1123</v>
      </c>
      <c r="G23" s="733" t="s">
        <v>1123</v>
      </c>
      <c r="H23" s="733" t="s">
        <v>1123</v>
      </c>
      <c r="I23" s="733" t="s">
        <v>1123</v>
      </c>
      <c r="J23" s="733" t="s">
        <v>1123</v>
      </c>
      <c r="K23" s="733" t="s">
        <v>1123</v>
      </c>
      <c r="L23" s="733" t="s">
        <v>1123</v>
      </c>
      <c r="M23" s="733" t="s">
        <v>1123</v>
      </c>
      <c r="N23" s="733" t="s">
        <v>1123</v>
      </c>
      <c r="O23" s="732">
        <v>1143.6969999999999</v>
      </c>
      <c r="P23" s="732">
        <v>1214.7660000000001</v>
      </c>
      <c r="Q23" s="732">
        <v>1239.9649999999999</v>
      </c>
      <c r="R23" s="732">
        <v>1252.1959999999999</v>
      </c>
      <c r="S23" s="732">
        <v>1280.356</v>
      </c>
      <c r="T23" s="732">
        <v>1301.8510000000001</v>
      </c>
      <c r="U23" s="732">
        <v>1327.1669999999999</v>
      </c>
      <c r="V23" s="732">
        <v>1346</v>
      </c>
      <c r="W23" s="732">
        <v>1364.885</v>
      </c>
      <c r="X23" s="732">
        <v>1364.713</v>
      </c>
      <c r="Y23" s="732">
        <v>1365.106</v>
      </c>
      <c r="Z23" s="732">
        <v>1365.146</v>
      </c>
      <c r="AA23" s="732">
        <v>1370.69</v>
      </c>
      <c r="AB23" s="732">
        <v>1380.425</v>
      </c>
      <c r="AC23" s="732">
        <v>1398.009</v>
      </c>
      <c r="AD23" s="732">
        <v>1417.4949999999999</v>
      </c>
      <c r="AE23" s="732">
        <v>1436.2339999999999</v>
      </c>
      <c r="AF23" s="732">
        <v>1454.04</v>
      </c>
      <c r="AG23" s="732">
        <v>1462.22</v>
      </c>
      <c r="AH23" s="732">
        <v>1472.3969999999999</v>
      </c>
      <c r="AI23" s="732">
        <v>1491.002</v>
      </c>
      <c r="AJ23" s="732">
        <v>1501.374</v>
      </c>
      <c r="AK23" s="732">
        <v>1529.704</v>
      </c>
      <c r="AL23" s="732">
        <v>1555.3869999999999</v>
      </c>
      <c r="AM23" s="732">
        <v>1579.6869999999999</v>
      </c>
      <c r="AN23" s="732">
        <v>1590.8530000000001</v>
      </c>
      <c r="AO23" s="732">
        <v>1611.1110000000001</v>
      </c>
      <c r="AP23" s="732">
        <v>1639.2460000000001</v>
      </c>
      <c r="AQ23" s="732">
        <v>1666.721</v>
      </c>
      <c r="AR23" s="732">
        <v>1687.9780000000001</v>
      </c>
      <c r="AS23" s="732">
        <v>1696.942</v>
      </c>
      <c r="AT23" s="732">
        <v>1712.998</v>
      </c>
      <c r="AU23" s="732">
        <v>1735.6289999999999</v>
      </c>
      <c r="AV23" s="732">
        <v>1750.0139999999999</v>
      </c>
      <c r="AW23" s="732">
        <v>1765.356</v>
      </c>
      <c r="AX23" s="732">
        <v>1796.44</v>
      </c>
      <c r="AY23" s="732">
        <v>1820.9680000000001</v>
      </c>
      <c r="AZ23" s="732">
        <v>1846.681</v>
      </c>
      <c r="BA23" s="732">
        <v>1866.5930000000001</v>
      </c>
      <c r="BB23" s="732">
        <v>1869.4580000000001</v>
      </c>
      <c r="BC23" s="732">
        <v>1890.827</v>
      </c>
      <c r="BD23" s="732">
        <v>1931.2739999999999</v>
      </c>
      <c r="BE23" s="732">
        <v>1937.374</v>
      </c>
      <c r="BF23" s="732">
        <v>1952.623</v>
      </c>
      <c r="BG23" s="735">
        <v>1968.625</v>
      </c>
      <c r="BH23" s="735">
        <v>1985.548</v>
      </c>
      <c r="BI23" s="735">
        <v>2003.3109999999999</v>
      </c>
      <c r="BJ23" s="735">
        <v>2021.9179999999999</v>
      </c>
      <c r="BK23" s="735">
        <v>2041.37</v>
      </c>
      <c r="BL23" s="735">
        <v>2061.672</v>
      </c>
      <c r="BM23" s="735">
        <v>2082.0839999999998</v>
      </c>
      <c r="BN23" s="735">
        <v>2102.61</v>
      </c>
      <c r="BO23" s="735">
        <v>2123.252</v>
      </c>
      <c r="BP23" s="735">
        <v>2144.0140000000001</v>
      </c>
      <c r="BQ23" s="735">
        <v>2165.556</v>
      </c>
      <c r="BR23" s="735">
        <v>2187.8829999999998</v>
      </c>
      <c r="BS23" s="735">
        <v>2210.3380000000002</v>
      </c>
      <c r="BT23" s="735">
        <v>2233.0070000000001</v>
      </c>
      <c r="BU23" s="735">
        <v>2255.8110000000001</v>
      </c>
      <c r="BV23" s="735">
        <v>2278.7530000000002</v>
      </c>
    </row>
    <row r="24" spans="1:74" ht="12" customHeight="1" x14ac:dyDescent="0.3">
      <c r="A24" s="722" t="s">
        <v>1105</v>
      </c>
      <c r="B24" s="720" t="s">
        <v>90</v>
      </c>
      <c r="C24" s="732">
        <v>88.6</v>
      </c>
      <c r="D24" s="732">
        <v>88.6</v>
      </c>
      <c r="E24" s="732">
        <v>88.6</v>
      </c>
      <c r="F24" s="732">
        <v>88.6</v>
      </c>
      <c r="G24" s="732">
        <v>88.6</v>
      </c>
      <c r="H24" s="732">
        <v>88.6</v>
      </c>
      <c r="I24" s="732">
        <v>88.6</v>
      </c>
      <c r="J24" s="732">
        <v>88.6</v>
      </c>
      <c r="K24" s="732">
        <v>88.6</v>
      </c>
      <c r="L24" s="732">
        <v>88.6</v>
      </c>
      <c r="M24" s="732">
        <v>88.6</v>
      </c>
      <c r="N24" s="732">
        <v>88.6</v>
      </c>
      <c r="O24" s="732">
        <v>92.7</v>
      </c>
      <c r="P24" s="732">
        <v>92.7</v>
      </c>
      <c r="Q24" s="732">
        <v>94.2</v>
      </c>
      <c r="R24" s="732">
        <v>94.2</v>
      </c>
      <c r="S24" s="732">
        <v>94.2</v>
      </c>
      <c r="T24" s="732">
        <v>92.6</v>
      </c>
      <c r="U24" s="732">
        <v>92.6</v>
      </c>
      <c r="V24" s="732">
        <v>92.6</v>
      </c>
      <c r="W24" s="732">
        <v>92.6</v>
      </c>
      <c r="X24" s="732">
        <v>97.1</v>
      </c>
      <c r="Y24" s="732">
        <v>97.1</v>
      </c>
      <c r="Z24" s="732">
        <v>97.1</v>
      </c>
      <c r="AA24" s="732">
        <v>113.5</v>
      </c>
      <c r="AB24" s="732">
        <v>113.5</v>
      </c>
      <c r="AC24" s="732">
        <v>115</v>
      </c>
      <c r="AD24" s="732">
        <v>115</v>
      </c>
      <c r="AE24" s="732">
        <v>112</v>
      </c>
      <c r="AF24" s="732">
        <v>112</v>
      </c>
      <c r="AG24" s="732">
        <v>115.4</v>
      </c>
      <c r="AH24" s="732">
        <v>115.4</v>
      </c>
      <c r="AI24" s="732">
        <v>118.4</v>
      </c>
      <c r="AJ24" s="732">
        <v>118.4</v>
      </c>
      <c r="AK24" s="732">
        <v>118.4</v>
      </c>
      <c r="AL24" s="732">
        <v>118.4</v>
      </c>
      <c r="AM24" s="732">
        <v>118.4</v>
      </c>
      <c r="AN24" s="732">
        <v>118.4</v>
      </c>
      <c r="AO24" s="732">
        <v>118.4</v>
      </c>
      <c r="AP24" s="732">
        <v>118.4</v>
      </c>
      <c r="AQ24" s="732">
        <v>118.4</v>
      </c>
      <c r="AR24" s="732">
        <v>118.4</v>
      </c>
      <c r="AS24" s="732">
        <v>118.4</v>
      </c>
      <c r="AT24" s="732">
        <v>118.4</v>
      </c>
      <c r="AU24" s="732">
        <v>118.4</v>
      </c>
      <c r="AV24" s="732">
        <v>118.4</v>
      </c>
      <c r="AW24" s="732">
        <v>118.4</v>
      </c>
      <c r="AX24" s="732">
        <v>118.4</v>
      </c>
      <c r="AY24" s="732">
        <v>118.4</v>
      </c>
      <c r="AZ24" s="732">
        <v>118.4</v>
      </c>
      <c r="BA24" s="732">
        <v>118.4</v>
      </c>
      <c r="BB24" s="732">
        <v>118.4</v>
      </c>
      <c r="BC24" s="732">
        <v>118.4</v>
      </c>
      <c r="BD24" s="732">
        <v>344.4</v>
      </c>
      <c r="BE24" s="732">
        <v>353.4</v>
      </c>
      <c r="BF24" s="732">
        <v>353.4</v>
      </c>
      <c r="BG24" s="735">
        <v>353.4</v>
      </c>
      <c r="BH24" s="735">
        <v>353.4</v>
      </c>
      <c r="BI24" s="735">
        <v>353.4</v>
      </c>
      <c r="BJ24" s="735">
        <v>353.4</v>
      </c>
      <c r="BK24" s="735">
        <v>353.4</v>
      </c>
      <c r="BL24" s="735">
        <v>353.4</v>
      </c>
      <c r="BM24" s="735">
        <v>353.4</v>
      </c>
      <c r="BN24" s="735">
        <v>353.4</v>
      </c>
      <c r="BO24" s="735">
        <v>353.4</v>
      </c>
      <c r="BP24" s="735">
        <v>353.4</v>
      </c>
      <c r="BQ24" s="735">
        <v>353.4</v>
      </c>
      <c r="BR24" s="735">
        <v>353.4</v>
      </c>
      <c r="BS24" s="735">
        <v>353.4</v>
      </c>
      <c r="BT24" s="735">
        <v>353.4</v>
      </c>
      <c r="BU24" s="735">
        <v>353.4</v>
      </c>
      <c r="BV24" s="735">
        <v>353.4</v>
      </c>
    </row>
    <row r="25" spans="1:74" ht="12" customHeight="1" x14ac:dyDescent="0.3">
      <c r="A25" s="722"/>
      <c r="B25" s="717"/>
      <c r="C25" s="721"/>
      <c r="D25" s="721"/>
      <c r="E25" s="721"/>
      <c r="F25" s="721"/>
      <c r="G25" s="721"/>
      <c r="H25" s="721"/>
      <c r="I25" s="721"/>
      <c r="J25" s="721"/>
      <c r="K25" s="721"/>
      <c r="L25" s="721"/>
      <c r="M25" s="721"/>
      <c r="N25" s="721"/>
      <c r="O25" s="721"/>
      <c r="P25" s="721"/>
      <c r="Q25" s="721"/>
      <c r="R25" s="734"/>
      <c r="S25" s="734"/>
      <c r="T25" s="734"/>
      <c r="U25" s="734"/>
      <c r="V25" s="734"/>
      <c r="W25" s="734"/>
      <c r="X25" s="734"/>
      <c r="Y25" s="734"/>
      <c r="Z25" s="734"/>
      <c r="AA25" s="734"/>
      <c r="AB25" s="734"/>
      <c r="AC25" s="734"/>
      <c r="AD25" s="734"/>
      <c r="AE25" s="734"/>
      <c r="AF25" s="734"/>
      <c r="AG25" s="734"/>
      <c r="AH25" s="734"/>
      <c r="AI25" s="734"/>
      <c r="AJ25" s="734"/>
      <c r="AK25" s="734"/>
      <c r="AL25" s="734"/>
      <c r="AM25" s="734"/>
      <c r="AN25" s="734"/>
      <c r="AO25" s="734"/>
      <c r="AP25" s="734"/>
      <c r="AQ25" s="734"/>
      <c r="AR25" s="734"/>
      <c r="AS25" s="734"/>
      <c r="AT25" s="734"/>
      <c r="AU25" s="734"/>
      <c r="AV25" s="734"/>
      <c r="AW25" s="734"/>
      <c r="AX25" s="734"/>
      <c r="AY25" s="734"/>
      <c r="AZ25" s="734"/>
      <c r="BA25" s="734"/>
      <c r="BB25" s="734"/>
      <c r="BC25" s="734"/>
      <c r="BG25" s="737"/>
      <c r="BH25" s="737"/>
      <c r="BI25" s="737"/>
      <c r="BJ25" s="737"/>
      <c r="BK25" s="737"/>
      <c r="BL25" s="737"/>
      <c r="BM25" s="737"/>
      <c r="BN25" s="737"/>
      <c r="BO25" s="737"/>
      <c r="BP25" s="737"/>
      <c r="BQ25" s="737"/>
      <c r="BR25" s="737"/>
      <c r="BS25" s="737"/>
      <c r="BT25" s="737"/>
      <c r="BU25" s="737"/>
      <c r="BV25" s="737"/>
    </row>
    <row r="26" spans="1:74" ht="12" customHeight="1" x14ac:dyDescent="0.3">
      <c r="A26" s="722"/>
      <c r="B26" s="721" t="s">
        <v>1357</v>
      </c>
      <c r="C26" s="721"/>
      <c r="D26" s="721"/>
      <c r="E26" s="721"/>
      <c r="F26" s="721"/>
      <c r="G26" s="721"/>
      <c r="H26" s="721"/>
      <c r="I26" s="721"/>
      <c r="J26" s="721"/>
      <c r="K26" s="721"/>
      <c r="L26" s="721"/>
      <c r="M26" s="721"/>
      <c r="N26" s="721"/>
      <c r="O26" s="721"/>
      <c r="P26" s="721"/>
      <c r="Q26" s="721"/>
      <c r="R26" s="734"/>
      <c r="S26" s="734"/>
      <c r="T26" s="734"/>
      <c r="U26" s="734"/>
      <c r="V26" s="734"/>
      <c r="W26" s="734"/>
      <c r="X26" s="734"/>
      <c r="Y26" s="734"/>
      <c r="Z26" s="734"/>
      <c r="AA26" s="734"/>
      <c r="AB26" s="734"/>
      <c r="AC26" s="734"/>
      <c r="AD26" s="734"/>
      <c r="AE26" s="734"/>
      <c r="AF26" s="734"/>
      <c r="AG26" s="734"/>
      <c r="AH26" s="734"/>
      <c r="AI26" s="734"/>
      <c r="AJ26" s="734"/>
      <c r="AK26" s="734"/>
      <c r="AL26" s="734"/>
      <c r="AM26" s="734"/>
      <c r="AN26" s="734"/>
      <c r="AO26" s="734"/>
      <c r="AP26" s="734"/>
      <c r="AQ26" s="734"/>
      <c r="AR26" s="734"/>
      <c r="AS26" s="734"/>
      <c r="AT26" s="734"/>
      <c r="AU26" s="734"/>
      <c r="AV26" s="734"/>
      <c r="AW26" s="734"/>
      <c r="AX26" s="734"/>
      <c r="AY26" s="734"/>
      <c r="AZ26" s="734"/>
      <c r="BA26" s="734"/>
      <c r="BB26" s="734"/>
      <c r="BC26" s="734"/>
      <c r="BG26" s="737"/>
      <c r="BH26" s="737"/>
      <c r="BI26" s="737"/>
      <c r="BJ26" s="737"/>
      <c r="BK26" s="737"/>
      <c r="BL26" s="737"/>
      <c r="BM26" s="737"/>
      <c r="BN26" s="737"/>
      <c r="BO26" s="737"/>
      <c r="BP26" s="737"/>
      <c r="BQ26" s="737"/>
      <c r="BR26" s="737"/>
      <c r="BS26" s="737"/>
      <c r="BT26" s="737"/>
      <c r="BU26" s="737"/>
      <c r="BV26" s="737"/>
    </row>
    <row r="27" spans="1:74" ht="12" customHeight="1" x14ac:dyDescent="0.3">
      <c r="A27" s="722"/>
      <c r="B27" s="721" t="s">
        <v>1085</v>
      </c>
      <c r="C27" s="721"/>
      <c r="D27" s="721"/>
      <c r="E27" s="721"/>
      <c r="F27" s="721"/>
      <c r="G27" s="721"/>
      <c r="H27" s="721"/>
      <c r="I27" s="721"/>
      <c r="J27" s="721"/>
      <c r="K27" s="721"/>
      <c r="L27" s="721"/>
      <c r="M27" s="721"/>
      <c r="N27" s="721"/>
      <c r="O27" s="721"/>
      <c r="P27" s="721"/>
      <c r="Q27" s="721"/>
      <c r="R27" s="734"/>
      <c r="S27" s="734"/>
      <c r="T27" s="734"/>
      <c r="U27" s="734"/>
      <c r="V27" s="734"/>
      <c r="W27" s="734"/>
      <c r="X27" s="734"/>
      <c r="Y27" s="734"/>
      <c r="Z27" s="734"/>
      <c r="AA27" s="734"/>
      <c r="AB27" s="734"/>
      <c r="AC27" s="734"/>
      <c r="AD27" s="734"/>
      <c r="AE27" s="734"/>
      <c r="AF27" s="734"/>
      <c r="AG27" s="734"/>
      <c r="AH27" s="734"/>
      <c r="AI27" s="734"/>
      <c r="AJ27" s="734"/>
      <c r="AK27" s="734"/>
      <c r="AL27" s="734"/>
      <c r="AM27" s="734"/>
      <c r="AN27" s="734"/>
      <c r="AO27" s="734"/>
      <c r="AP27" s="734"/>
      <c r="AQ27" s="734"/>
      <c r="AR27" s="734"/>
      <c r="AS27" s="734"/>
      <c r="AT27" s="734"/>
      <c r="AU27" s="734"/>
      <c r="AV27" s="734"/>
      <c r="AW27" s="734"/>
      <c r="AX27" s="734"/>
      <c r="AY27" s="734"/>
      <c r="AZ27" s="734"/>
      <c r="BA27" s="734"/>
      <c r="BB27" s="734"/>
      <c r="BC27" s="734"/>
      <c r="BG27" s="737"/>
      <c r="BH27" s="737"/>
      <c r="BI27" s="737"/>
      <c r="BJ27" s="737"/>
      <c r="BK27" s="737"/>
      <c r="BL27" s="737"/>
      <c r="BM27" s="737"/>
      <c r="BN27" s="737"/>
      <c r="BO27" s="737"/>
      <c r="BP27" s="737"/>
      <c r="BQ27" s="737"/>
      <c r="BR27" s="737"/>
      <c r="BS27" s="737"/>
      <c r="BT27" s="737"/>
      <c r="BU27" s="737"/>
      <c r="BV27" s="737"/>
    </row>
    <row r="28" spans="1:74" ht="12" customHeight="1" x14ac:dyDescent="0.3">
      <c r="A28" s="722" t="s">
        <v>1249</v>
      </c>
      <c r="B28" s="720" t="s">
        <v>1086</v>
      </c>
      <c r="C28" s="768">
        <v>2.6922903260000002</v>
      </c>
      <c r="D28" s="768">
        <v>2.607369856</v>
      </c>
      <c r="E28" s="768">
        <v>2.6252150329999999</v>
      </c>
      <c r="F28" s="768">
        <v>2.3843547049999998</v>
      </c>
      <c r="G28" s="768">
        <v>2.5324055649999999</v>
      </c>
      <c r="H28" s="768">
        <v>2.6100580770000001</v>
      </c>
      <c r="I28" s="768">
        <v>2.7766789749999998</v>
      </c>
      <c r="J28" s="768">
        <v>2.8697601810000002</v>
      </c>
      <c r="K28" s="768">
        <v>2.6423389799999999</v>
      </c>
      <c r="L28" s="768">
        <v>2.3572095829999999</v>
      </c>
      <c r="M28" s="768">
        <v>2.6432804320000001</v>
      </c>
      <c r="N28" s="768">
        <v>2.8620619519999999</v>
      </c>
      <c r="O28" s="768">
        <v>2.83509272</v>
      </c>
      <c r="P28" s="768">
        <v>2.483653565</v>
      </c>
      <c r="Q28" s="768">
        <v>2.7602272750000001</v>
      </c>
      <c r="R28" s="768">
        <v>2.4394207520000002</v>
      </c>
      <c r="S28" s="768">
        <v>2.5312207039999999</v>
      </c>
      <c r="T28" s="768">
        <v>2.60795449</v>
      </c>
      <c r="U28" s="768">
        <v>2.7518554740000001</v>
      </c>
      <c r="V28" s="768">
        <v>2.7789265900000002</v>
      </c>
      <c r="W28" s="768">
        <v>2.5093160669999999</v>
      </c>
      <c r="X28" s="768">
        <v>2.5192473770000001</v>
      </c>
      <c r="Y28" s="768">
        <v>2.6582102710000002</v>
      </c>
      <c r="Z28" s="768">
        <v>2.8498886159999999</v>
      </c>
      <c r="AA28" s="768">
        <v>2.8523723890000001</v>
      </c>
      <c r="AB28" s="768">
        <v>2.592616155</v>
      </c>
      <c r="AC28" s="768">
        <v>2.733876312</v>
      </c>
      <c r="AD28" s="768">
        <v>2.3982216460000001</v>
      </c>
      <c r="AE28" s="768">
        <v>2.4932074929999999</v>
      </c>
      <c r="AF28" s="768">
        <v>2.6284628489999999</v>
      </c>
      <c r="AG28" s="768">
        <v>2.750952297</v>
      </c>
      <c r="AH28" s="768">
        <v>2.6997930210000001</v>
      </c>
      <c r="AI28" s="768">
        <v>2.385446671</v>
      </c>
      <c r="AJ28" s="768">
        <v>2.4541334849999998</v>
      </c>
      <c r="AK28" s="768">
        <v>2.483504881</v>
      </c>
      <c r="AL28" s="768">
        <v>2.5353854180000002</v>
      </c>
      <c r="AM28" s="768">
        <v>2.5842587159999999</v>
      </c>
      <c r="AN28" s="768">
        <v>2.2917362830000001</v>
      </c>
      <c r="AO28" s="768">
        <v>2.325414356</v>
      </c>
      <c r="AP28" s="768">
        <v>2.1080840759999999</v>
      </c>
      <c r="AQ28" s="768">
        <v>2.5038369189999998</v>
      </c>
      <c r="AR28" s="768">
        <v>2.4041449579999998</v>
      </c>
      <c r="AS28" s="768">
        <v>2.5607869170000002</v>
      </c>
      <c r="AT28" s="768">
        <v>2.6694924379999998</v>
      </c>
      <c r="AU28" s="768">
        <v>2.4095269799999999</v>
      </c>
      <c r="AV28" s="768">
        <v>2.2822246609999999</v>
      </c>
      <c r="AW28" s="768">
        <v>2.1741560980000001</v>
      </c>
      <c r="AX28" s="768">
        <v>2.4394816339999998</v>
      </c>
      <c r="AY28" s="768">
        <v>2.4151445680000001</v>
      </c>
      <c r="AZ28" s="768">
        <v>2.2501753440000001</v>
      </c>
      <c r="BA28" s="768">
        <v>2.3600314610000002</v>
      </c>
      <c r="BB28" s="768">
        <v>2.144255453</v>
      </c>
      <c r="BC28" s="768">
        <v>2.2813178920000001</v>
      </c>
      <c r="BD28" s="768">
        <v>2.1167408590000001</v>
      </c>
      <c r="BE28" s="768">
        <v>2.3786770000000002</v>
      </c>
      <c r="BF28" s="768">
        <v>2.6555789999999999</v>
      </c>
      <c r="BG28" s="769">
        <v>2.3275220000000001</v>
      </c>
      <c r="BH28" s="769">
        <v>2.241959</v>
      </c>
      <c r="BI28" s="769">
        <v>2.1671299999999998</v>
      </c>
      <c r="BJ28" s="769">
        <v>2.808748</v>
      </c>
      <c r="BK28" s="769">
        <v>2.8491420000000001</v>
      </c>
      <c r="BL28" s="769">
        <v>2.6614080000000002</v>
      </c>
      <c r="BM28" s="769">
        <v>2.519781</v>
      </c>
      <c r="BN28" s="769">
        <v>2.2900309999999999</v>
      </c>
      <c r="BO28" s="769">
        <v>2.5180259999999999</v>
      </c>
      <c r="BP28" s="769">
        <v>2.3179280000000002</v>
      </c>
      <c r="BQ28" s="769">
        <v>2.5885850000000001</v>
      </c>
      <c r="BR28" s="769">
        <v>2.672142</v>
      </c>
      <c r="BS28" s="769">
        <v>2.4511620000000001</v>
      </c>
      <c r="BT28" s="769">
        <v>2.4094500000000001</v>
      </c>
      <c r="BU28" s="769">
        <v>2.251976</v>
      </c>
      <c r="BV28" s="769">
        <v>3.0592679999999999</v>
      </c>
    </row>
    <row r="29" spans="1:74" ht="12" customHeight="1" x14ac:dyDescent="0.3">
      <c r="A29" s="722" t="s">
        <v>1349</v>
      </c>
      <c r="B29" s="720" t="s">
        <v>1087</v>
      </c>
      <c r="C29" s="768">
        <v>1.4899824399999999</v>
      </c>
      <c r="D29" s="768">
        <v>1.4242332120000001</v>
      </c>
      <c r="E29" s="768">
        <v>1.490667089</v>
      </c>
      <c r="F29" s="768">
        <v>1.5011477449999999</v>
      </c>
      <c r="G29" s="768">
        <v>1.585054296</v>
      </c>
      <c r="H29" s="768">
        <v>1.515689557</v>
      </c>
      <c r="I29" s="768">
        <v>1.534412753</v>
      </c>
      <c r="J29" s="768">
        <v>1.5565114980000001</v>
      </c>
      <c r="K29" s="768">
        <v>1.474435658</v>
      </c>
      <c r="L29" s="768">
        <v>1.4056017700000001</v>
      </c>
      <c r="M29" s="768">
        <v>1.577050649</v>
      </c>
      <c r="N29" s="768">
        <v>1.6283427189999999</v>
      </c>
      <c r="O29" s="768">
        <v>1.6458511709999999</v>
      </c>
      <c r="P29" s="768">
        <v>1.4225672949999999</v>
      </c>
      <c r="Q29" s="768">
        <v>1.5440642680000001</v>
      </c>
      <c r="R29" s="768">
        <v>1.4646890509999999</v>
      </c>
      <c r="S29" s="768">
        <v>1.5538919920000001</v>
      </c>
      <c r="T29" s="768">
        <v>1.5150064999999999</v>
      </c>
      <c r="U29" s="768">
        <v>1.512502963</v>
      </c>
      <c r="V29" s="768">
        <v>1.5077254360000001</v>
      </c>
      <c r="W29" s="768">
        <v>1.4217151539999999</v>
      </c>
      <c r="X29" s="768">
        <v>1.4360065719999999</v>
      </c>
      <c r="Y29" s="768">
        <v>1.49568944</v>
      </c>
      <c r="Z29" s="768">
        <v>1.564012612</v>
      </c>
      <c r="AA29" s="768">
        <v>1.5318969170000001</v>
      </c>
      <c r="AB29" s="768">
        <v>1.455156095</v>
      </c>
      <c r="AC29" s="768">
        <v>1.5339783259999999</v>
      </c>
      <c r="AD29" s="768">
        <v>1.450110856</v>
      </c>
      <c r="AE29" s="768">
        <v>1.4555804029999999</v>
      </c>
      <c r="AF29" s="768">
        <v>1.460067387</v>
      </c>
      <c r="AG29" s="768">
        <v>1.4801326690000001</v>
      </c>
      <c r="AH29" s="768">
        <v>1.4829386579999999</v>
      </c>
      <c r="AI29" s="768">
        <v>1.3411104899999999</v>
      </c>
      <c r="AJ29" s="768">
        <v>1.4650783430000001</v>
      </c>
      <c r="AK29" s="768">
        <v>1.453472431</v>
      </c>
      <c r="AL29" s="768">
        <v>1.5137033600000001</v>
      </c>
      <c r="AM29" s="768">
        <v>1.35141058</v>
      </c>
      <c r="AN29" s="768">
        <v>1.221952267</v>
      </c>
      <c r="AO29" s="768">
        <v>1.3286928200000001</v>
      </c>
      <c r="AP29" s="768">
        <v>1.235094519</v>
      </c>
      <c r="AQ29" s="768">
        <v>1.3333876739999999</v>
      </c>
      <c r="AR29" s="768">
        <v>1.324703628</v>
      </c>
      <c r="AS29" s="768">
        <v>1.3619565330000001</v>
      </c>
      <c r="AT29" s="768">
        <v>1.368199242</v>
      </c>
      <c r="AU29" s="768">
        <v>1.288796686</v>
      </c>
      <c r="AV29" s="768">
        <v>1.3256602280000001</v>
      </c>
      <c r="AW29" s="768">
        <v>1.262054032</v>
      </c>
      <c r="AX29" s="768">
        <v>1.3390536280000001</v>
      </c>
      <c r="AY29" s="768">
        <v>1.359442</v>
      </c>
      <c r="AZ29" s="768">
        <v>1.2280732240000001</v>
      </c>
      <c r="BA29" s="768">
        <v>1.3718007510000001</v>
      </c>
      <c r="BB29" s="768">
        <v>1.2993315160000001</v>
      </c>
      <c r="BC29" s="768">
        <v>1.318710327</v>
      </c>
      <c r="BD29" s="768">
        <v>1.1955238159999999</v>
      </c>
      <c r="BE29" s="768">
        <v>1.36453</v>
      </c>
      <c r="BF29" s="768">
        <v>1.3583460000000001</v>
      </c>
      <c r="BG29" s="769">
        <v>1.28088</v>
      </c>
      <c r="BH29" s="769">
        <v>1.3154239999999999</v>
      </c>
      <c r="BI29" s="769">
        <v>1.249943</v>
      </c>
      <c r="BJ29" s="769">
        <v>1.3942589999999999</v>
      </c>
      <c r="BK29" s="769">
        <v>1.478642</v>
      </c>
      <c r="BL29" s="769">
        <v>1.24553</v>
      </c>
      <c r="BM29" s="769">
        <v>1.4359919999999999</v>
      </c>
      <c r="BN29" s="769">
        <v>1.388978</v>
      </c>
      <c r="BO29" s="769">
        <v>1.4073599999999999</v>
      </c>
      <c r="BP29" s="769">
        <v>1.2527269999999999</v>
      </c>
      <c r="BQ29" s="769">
        <v>1.39392</v>
      </c>
      <c r="BR29" s="769">
        <v>1.3485659999999999</v>
      </c>
      <c r="BS29" s="769">
        <v>1.272572</v>
      </c>
      <c r="BT29" s="769">
        <v>1.3638440000000001</v>
      </c>
      <c r="BU29" s="769">
        <v>1.268861</v>
      </c>
      <c r="BV29" s="769">
        <v>1.4459740000000001</v>
      </c>
    </row>
    <row r="30" spans="1:74" ht="12" customHeight="1" x14ac:dyDescent="0.3">
      <c r="A30" s="722" t="s">
        <v>1350</v>
      </c>
      <c r="B30" s="720" t="s">
        <v>1088</v>
      </c>
      <c r="C30" s="768">
        <v>1.202307886</v>
      </c>
      <c r="D30" s="768">
        <v>1.183136644</v>
      </c>
      <c r="E30" s="768">
        <v>1.1345479439999999</v>
      </c>
      <c r="F30" s="768">
        <v>0.88320695999999999</v>
      </c>
      <c r="G30" s="768">
        <v>0.947351269</v>
      </c>
      <c r="H30" s="768">
        <v>1.09436852</v>
      </c>
      <c r="I30" s="768">
        <v>1.242266222</v>
      </c>
      <c r="J30" s="768">
        <v>1.3132486830000001</v>
      </c>
      <c r="K30" s="768">
        <v>1.1679033219999999</v>
      </c>
      <c r="L30" s="768">
        <v>0.95160781299999997</v>
      </c>
      <c r="M30" s="768">
        <v>1.066229783</v>
      </c>
      <c r="N30" s="768">
        <v>1.233719233</v>
      </c>
      <c r="O30" s="768">
        <v>1.1892415489999999</v>
      </c>
      <c r="P30" s="768">
        <v>1.0610862700000001</v>
      </c>
      <c r="Q30" s="768">
        <v>1.216163007</v>
      </c>
      <c r="R30" s="768">
        <v>0.97473170099999995</v>
      </c>
      <c r="S30" s="768">
        <v>0.97732871200000004</v>
      </c>
      <c r="T30" s="768">
        <v>1.0929479900000001</v>
      </c>
      <c r="U30" s="768">
        <v>1.2393525110000001</v>
      </c>
      <c r="V30" s="768">
        <v>1.2712011540000001</v>
      </c>
      <c r="W30" s="768">
        <v>1.0876009129999999</v>
      </c>
      <c r="X30" s="768">
        <v>1.083240805</v>
      </c>
      <c r="Y30" s="768">
        <v>1.1625208309999999</v>
      </c>
      <c r="Z30" s="768">
        <v>1.2858760039999999</v>
      </c>
      <c r="AA30" s="768">
        <v>1.320475472</v>
      </c>
      <c r="AB30" s="768">
        <v>1.13746006</v>
      </c>
      <c r="AC30" s="768">
        <v>1.1998979860000001</v>
      </c>
      <c r="AD30" s="768">
        <v>0.94811078999999998</v>
      </c>
      <c r="AE30" s="768">
        <v>1.03762709</v>
      </c>
      <c r="AF30" s="768">
        <v>1.1683954620000001</v>
      </c>
      <c r="AG30" s="768">
        <v>1.2708196279999999</v>
      </c>
      <c r="AH30" s="768">
        <v>1.2168543629999999</v>
      </c>
      <c r="AI30" s="768">
        <v>1.044336181</v>
      </c>
      <c r="AJ30" s="768">
        <v>0.989055142</v>
      </c>
      <c r="AK30" s="768">
        <v>1.03003245</v>
      </c>
      <c r="AL30" s="768">
        <v>1.0216820579999999</v>
      </c>
      <c r="AM30" s="768">
        <v>1.2328481360000001</v>
      </c>
      <c r="AN30" s="768">
        <v>1.0697840160000001</v>
      </c>
      <c r="AO30" s="768">
        <v>0.99672153600000002</v>
      </c>
      <c r="AP30" s="768">
        <v>0.87298955700000003</v>
      </c>
      <c r="AQ30" s="768">
        <v>1.1704492449999999</v>
      </c>
      <c r="AR30" s="768">
        <v>1.0794413300000001</v>
      </c>
      <c r="AS30" s="768">
        <v>1.1988303840000001</v>
      </c>
      <c r="AT30" s="768">
        <v>1.301293196</v>
      </c>
      <c r="AU30" s="768">
        <v>1.1207302939999999</v>
      </c>
      <c r="AV30" s="768">
        <v>0.95656443300000005</v>
      </c>
      <c r="AW30" s="768">
        <v>0.91210206599999999</v>
      </c>
      <c r="AX30" s="768">
        <v>1.100428006</v>
      </c>
      <c r="AY30" s="768">
        <v>1.0557025680000001</v>
      </c>
      <c r="AZ30" s="768">
        <v>1.02210212</v>
      </c>
      <c r="BA30" s="768">
        <v>0.98823070999999996</v>
      </c>
      <c r="BB30" s="768">
        <v>0.84492393700000001</v>
      </c>
      <c r="BC30" s="768">
        <v>0.962607565</v>
      </c>
      <c r="BD30" s="768">
        <v>0.92121704299999996</v>
      </c>
      <c r="BE30" s="768">
        <v>1.0141469999999999</v>
      </c>
      <c r="BF30" s="768">
        <v>1.2972330000000001</v>
      </c>
      <c r="BG30" s="769">
        <v>1.0466420000000001</v>
      </c>
      <c r="BH30" s="769">
        <v>0.92653569999999996</v>
      </c>
      <c r="BI30" s="769">
        <v>0.91718679999999997</v>
      </c>
      <c r="BJ30" s="769">
        <v>1.4144890000000001</v>
      </c>
      <c r="BK30" s="769">
        <v>1.3705000000000001</v>
      </c>
      <c r="BL30" s="769">
        <v>1.415878</v>
      </c>
      <c r="BM30" s="769">
        <v>1.0837889999999999</v>
      </c>
      <c r="BN30" s="769">
        <v>0.90105299999999999</v>
      </c>
      <c r="BO30" s="769">
        <v>1.1106659999999999</v>
      </c>
      <c r="BP30" s="769">
        <v>1.065202</v>
      </c>
      <c r="BQ30" s="769">
        <v>1.1946650000000001</v>
      </c>
      <c r="BR30" s="769">
        <v>1.3235760000000001</v>
      </c>
      <c r="BS30" s="769">
        <v>1.17859</v>
      </c>
      <c r="BT30" s="769">
        <v>1.045606</v>
      </c>
      <c r="BU30" s="769">
        <v>0.98311519999999997</v>
      </c>
      <c r="BV30" s="769">
        <v>1.613294</v>
      </c>
    </row>
    <row r="31" spans="1:74" ht="12" customHeight="1" x14ac:dyDescent="0.3">
      <c r="A31" s="722" t="s">
        <v>1246</v>
      </c>
      <c r="B31" s="720" t="s">
        <v>1089</v>
      </c>
      <c r="C31" s="768">
        <v>25.463883343999999</v>
      </c>
      <c r="D31" s="768">
        <v>24.005828575999999</v>
      </c>
      <c r="E31" s="768">
        <v>27.225644544000001</v>
      </c>
      <c r="F31" s="768">
        <v>25.734887539999999</v>
      </c>
      <c r="G31" s="768">
        <v>25.355410851999999</v>
      </c>
      <c r="H31" s="768">
        <v>23.125486846000001</v>
      </c>
      <c r="I31" s="768">
        <v>21.336666547</v>
      </c>
      <c r="J31" s="768">
        <v>19.458009986</v>
      </c>
      <c r="K31" s="768">
        <v>16.278917528000001</v>
      </c>
      <c r="L31" s="768">
        <v>17.229361544</v>
      </c>
      <c r="M31" s="768">
        <v>18.721487344</v>
      </c>
      <c r="N31" s="768">
        <v>22.390337258999999</v>
      </c>
      <c r="O31" s="768">
        <v>26.635124529999999</v>
      </c>
      <c r="P31" s="768">
        <v>23.512950132</v>
      </c>
      <c r="Q31" s="768">
        <v>29.12596426</v>
      </c>
      <c r="R31" s="768">
        <v>29.221115293</v>
      </c>
      <c r="S31" s="768">
        <v>32.205104990999999</v>
      </c>
      <c r="T31" s="768">
        <v>30.082813378000001</v>
      </c>
      <c r="U31" s="768">
        <v>26.362805812000001</v>
      </c>
      <c r="V31" s="768">
        <v>21.740628482999998</v>
      </c>
      <c r="W31" s="768">
        <v>18.977782783999999</v>
      </c>
      <c r="X31" s="768">
        <v>18.170779733</v>
      </c>
      <c r="Y31" s="768">
        <v>20.420851729999999</v>
      </c>
      <c r="Z31" s="768">
        <v>22.254988574999999</v>
      </c>
      <c r="AA31" s="768">
        <v>24.96201993</v>
      </c>
      <c r="AB31" s="768">
        <v>24.793710240999999</v>
      </c>
      <c r="AC31" s="768">
        <v>25.752148085000002</v>
      </c>
      <c r="AD31" s="768">
        <v>27.989979192</v>
      </c>
      <c r="AE31" s="768">
        <v>30.318598342000001</v>
      </c>
      <c r="AF31" s="768">
        <v>27.502186480999999</v>
      </c>
      <c r="AG31" s="768">
        <v>25.002925764</v>
      </c>
      <c r="AH31" s="768">
        <v>21.908293526000001</v>
      </c>
      <c r="AI31" s="768">
        <v>19.059726191999999</v>
      </c>
      <c r="AJ31" s="768">
        <v>19.426419968000001</v>
      </c>
      <c r="AK31" s="768">
        <v>21.780770564000001</v>
      </c>
      <c r="AL31" s="768">
        <v>22.650886192000002</v>
      </c>
      <c r="AM31" s="768">
        <v>24.088139807000001</v>
      </c>
      <c r="AN31" s="768">
        <v>21.722339858000002</v>
      </c>
      <c r="AO31" s="768">
        <v>25.424952186999999</v>
      </c>
      <c r="AP31" s="768">
        <v>25.369321756000001</v>
      </c>
      <c r="AQ31" s="768">
        <v>29.933336800999999</v>
      </c>
      <c r="AR31" s="768">
        <v>26.351084341</v>
      </c>
      <c r="AS31" s="768">
        <v>23.619235652</v>
      </c>
      <c r="AT31" s="768">
        <v>20.937623532</v>
      </c>
      <c r="AU31" s="768">
        <v>16.230955226999999</v>
      </c>
      <c r="AV31" s="768">
        <v>16.196783906</v>
      </c>
      <c r="AW31" s="768">
        <v>20.414273008999999</v>
      </c>
      <c r="AX31" s="768">
        <v>22.088645532000001</v>
      </c>
      <c r="AY31" s="768">
        <v>24.167385535000001</v>
      </c>
      <c r="AZ31" s="768">
        <v>24.959944192999998</v>
      </c>
      <c r="BA31" s="768">
        <v>22.148798798000001</v>
      </c>
      <c r="BB31" s="768">
        <v>20.650694566999999</v>
      </c>
      <c r="BC31" s="768">
        <v>29.339937075999998</v>
      </c>
      <c r="BD31" s="768">
        <v>28.502846394999999</v>
      </c>
      <c r="BE31" s="768">
        <v>27.710239999999999</v>
      </c>
      <c r="BF31" s="768">
        <v>22.151769999999999</v>
      </c>
      <c r="BG31" s="769">
        <v>18.081330000000001</v>
      </c>
      <c r="BH31" s="769">
        <v>17.721450000000001</v>
      </c>
      <c r="BI31" s="769">
        <v>20.798770000000001</v>
      </c>
      <c r="BJ31" s="769">
        <v>23.71828</v>
      </c>
      <c r="BK31" s="769">
        <v>24.373259999999998</v>
      </c>
      <c r="BL31" s="769">
        <v>22.227039999999999</v>
      </c>
      <c r="BM31" s="769">
        <v>25.724889999999998</v>
      </c>
      <c r="BN31" s="769">
        <v>22.851890000000001</v>
      </c>
      <c r="BO31" s="769">
        <v>27.081140000000001</v>
      </c>
      <c r="BP31" s="769">
        <v>26.08793</v>
      </c>
      <c r="BQ31" s="769">
        <v>24.396000000000001</v>
      </c>
      <c r="BR31" s="769">
        <v>22.07582</v>
      </c>
      <c r="BS31" s="769">
        <v>18.32057</v>
      </c>
      <c r="BT31" s="769">
        <v>17.969650000000001</v>
      </c>
      <c r="BU31" s="769">
        <v>21.159669999999998</v>
      </c>
      <c r="BV31" s="769">
        <v>24.355370000000001</v>
      </c>
    </row>
    <row r="32" spans="1:74" ht="12" customHeight="1" x14ac:dyDescent="0.3">
      <c r="A32" s="722" t="s">
        <v>1250</v>
      </c>
      <c r="B32" s="720" t="s">
        <v>1106</v>
      </c>
      <c r="C32" s="768">
        <v>1.3320060929999999</v>
      </c>
      <c r="D32" s="768">
        <v>1.243383806</v>
      </c>
      <c r="E32" s="768">
        <v>1.315158662</v>
      </c>
      <c r="F32" s="768">
        <v>1.208969835</v>
      </c>
      <c r="G32" s="768">
        <v>1.341840417</v>
      </c>
      <c r="H32" s="768">
        <v>1.251392659</v>
      </c>
      <c r="I32" s="768">
        <v>1.311215298</v>
      </c>
      <c r="J32" s="768">
        <v>1.3242636430000001</v>
      </c>
      <c r="K32" s="768">
        <v>1.32667585</v>
      </c>
      <c r="L32" s="768">
        <v>1.3531674170000001</v>
      </c>
      <c r="M32" s="768">
        <v>1.3638496870000001</v>
      </c>
      <c r="N32" s="768">
        <v>1.453883633</v>
      </c>
      <c r="O32" s="768">
        <v>1.38259964</v>
      </c>
      <c r="P32" s="768">
        <v>1.238879219</v>
      </c>
      <c r="Q32" s="768">
        <v>1.3845126619999999</v>
      </c>
      <c r="R32" s="768">
        <v>1.3367918329999999</v>
      </c>
      <c r="S32" s="768">
        <v>1.2834570190000001</v>
      </c>
      <c r="T32" s="768">
        <v>1.213937228</v>
      </c>
      <c r="U32" s="768">
        <v>1.3554001259999999</v>
      </c>
      <c r="V32" s="768">
        <v>1.3450315399999999</v>
      </c>
      <c r="W32" s="768">
        <v>1.2969612800000001</v>
      </c>
      <c r="X32" s="768">
        <v>1.229009276</v>
      </c>
      <c r="Y32" s="768">
        <v>1.2892570139999999</v>
      </c>
      <c r="Z32" s="768">
        <v>1.5709278179999999</v>
      </c>
      <c r="AA32" s="768">
        <v>1.341307424</v>
      </c>
      <c r="AB32" s="768">
        <v>1.2740925759999999</v>
      </c>
      <c r="AC32" s="768">
        <v>1.366753028</v>
      </c>
      <c r="AD32" s="768">
        <v>1.1879366360000001</v>
      </c>
      <c r="AE32" s="768">
        <v>1.38262025</v>
      </c>
      <c r="AF32" s="768">
        <v>1.299834782</v>
      </c>
      <c r="AG32" s="768">
        <v>1.3696112949999999</v>
      </c>
      <c r="AH32" s="768">
        <v>1.3670550370000001</v>
      </c>
      <c r="AI32" s="768">
        <v>1.3279076910000001</v>
      </c>
      <c r="AJ32" s="768">
        <v>1.273090287</v>
      </c>
      <c r="AK32" s="768">
        <v>1.330843628</v>
      </c>
      <c r="AL32" s="768">
        <v>1.4126393660000001</v>
      </c>
      <c r="AM32" s="768">
        <v>1.379498766</v>
      </c>
      <c r="AN32" s="768">
        <v>1.267338683</v>
      </c>
      <c r="AO32" s="768">
        <v>1.392847044</v>
      </c>
      <c r="AP32" s="768">
        <v>1.2120828779999999</v>
      </c>
      <c r="AQ32" s="768">
        <v>1.3097806439999999</v>
      </c>
      <c r="AR32" s="768">
        <v>1.328394364</v>
      </c>
      <c r="AS32" s="768">
        <v>1.3782393049999999</v>
      </c>
      <c r="AT32" s="768">
        <v>1.378732415</v>
      </c>
      <c r="AU32" s="768">
        <v>1.3549297389999999</v>
      </c>
      <c r="AV32" s="768">
        <v>1.2387932559999999</v>
      </c>
      <c r="AW32" s="768">
        <v>1.0695062070000001</v>
      </c>
      <c r="AX32" s="768">
        <v>1.2586900519999999</v>
      </c>
      <c r="AY32" s="768">
        <v>1.2191872960000001</v>
      </c>
      <c r="AZ32" s="768">
        <v>1.114083189</v>
      </c>
      <c r="BA32" s="768">
        <v>1.4461767640000001</v>
      </c>
      <c r="BB32" s="768">
        <v>1.3158403279999999</v>
      </c>
      <c r="BC32" s="768">
        <v>1.3819205619999999</v>
      </c>
      <c r="BD32" s="768">
        <v>1.3085673959999999</v>
      </c>
      <c r="BE32" s="768">
        <v>1.4026080000000001</v>
      </c>
      <c r="BF32" s="768">
        <v>1.4053279999999999</v>
      </c>
      <c r="BG32" s="769">
        <v>1.3814379999999999</v>
      </c>
      <c r="BH32" s="769">
        <v>1.2657609999999999</v>
      </c>
      <c r="BI32" s="769">
        <v>1.1025640000000001</v>
      </c>
      <c r="BJ32" s="769">
        <v>1.3898109999999999</v>
      </c>
      <c r="BK32" s="769">
        <v>1.198393</v>
      </c>
      <c r="BL32" s="769">
        <v>1.0392749999999999</v>
      </c>
      <c r="BM32" s="769">
        <v>1.3377159999999999</v>
      </c>
      <c r="BN32" s="769">
        <v>1.312902</v>
      </c>
      <c r="BO32" s="769">
        <v>1.4702869999999999</v>
      </c>
      <c r="BP32" s="769">
        <v>1.3298730000000001</v>
      </c>
      <c r="BQ32" s="769">
        <v>1.40937</v>
      </c>
      <c r="BR32" s="769">
        <v>1.416531</v>
      </c>
      <c r="BS32" s="769">
        <v>1.397383</v>
      </c>
      <c r="BT32" s="769">
        <v>1.2654350000000001</v>
      </c>
      <c r="BU32" s="769">
        <v>1.0967089999999999</v>
      </c>
      <c r="BV32" s="769">
        <v>1.36711</v>
      </c>
    </row>
    <row r="33" spans="1:74" ht="12" customHeight="1" x14ac:dyDescent="0.3">
      <c r="A33" s="722" t="s">
        <v>1248</v>
      </c>
      <c r="B33" s="720" t="s">
        <v>1090</v>
      </c>
      <c r="C33" s="768">
        <v>1.4581818280000001</v>
      </c>
      <c r="D33" s="768">
        <v>2.2005458170000001</v>
      </c>
      <c r="E33" s="768">
        <v>2.5707716139999999</v>
      </c>
      <c r="F33" s="768">
        <v>2.8311145660000001</v>
      </c>
      <c r="G33" s="768">
        <v>3.3750025219999999</v>
      </c>
      <c r="H33" s="768">
        <v>3.4177261799999998</v>
      </c>
      <c r="I33" s="768">
        <v>3.8864771469999999</v>
      </c>
      <c r="J33" s="768">
        <v>3.9084050939999999</v>
      </c>
      <c r="K33" s="768">
        <v>3.5841792450000001</v>
      </c>
      <c r="L33" s="768">
        <v>3.1466032849999999</v>
      </c>
      <c r="M33" s="768">
        <v>2.7294060500000001</v>
      </c>
      <c r="N33" s="768">
        <v>2.3889669429999998</v>
      </c>
      <c r="O33" s="768">
        <v>2.0113707110000001</v>
      </c>
      <c r="P33" s="768">
        <v>2.5263937589999999</v>
      </c>
      <c r="Q33" s="768">
        <v>4.2001654549999996</v>
      </c>
      <c r="R33" s="768">
        <v>4.6461027880000003</v>
      </c>
      <c r="S33" s="768">
        <v>5.6054859800000001</v>
      </c>
      <c r="T33" s="768">
        <v>6.1094939119999996</v>
      </c>
      <c r="U33" s="768">
        <v>5.6898626930000002</v>
      </c>
      <c r="V33" s="768">
        <v>5.374119394</v>
      </c>
      <c r="W33" s="768">
        <v>5.0589946619999999</v>
      </c>
      <c r="X33" s="768">
        <v>4.7709950760000002</v>
      </c>
      <c r="Y33" s="768">
        <v>3.3723608999999999</v>
      </c>
      <c r="Z33" s="768">
        <v>3.3575164989999999</v>
      </c>
      <c r="AA33" s="768">
        <v>3.2878421100000002</v>
      </c>
      <c r="AB33" s="768">
        <v>3.862710603</v>
      </c>
      <c r="AC33" s="768">
        <v>5.0091143149999997</v>
      </c>
      <c r="AD33" s="768">
        <v>6.0023999479999999</v>
      </c>
      <c r="AE33" s="768">
        <v>6.7877244069999998</v>
      </c>
      <c r="AF33" s="768">
        <v>7.3474862559999998</v>
      </c>
      <c r="AG33" s="768">
        <v>6.6913073829999998</v>
      </c>
      <c r="AH33" s="768">
        <v>6.6335520260000003</v>
      </c>
      <c r="AI33" s="768">
        <v>5.9109033249999996</v>
      </c>
      <c r="AJ33" s="768">
        <v>4.9262676990000003</v>
      </c>
      <c r="AK33" s="768">
        <v>3.711003957</v>
      </c>
      <c r="AL33" s="768">
        <v>3.082523423</v>
      </c>
      <c r="AM33" s="768">
        <v>3.6188813359999998</v>
      </c>
      <c r="AN33" s="768">
        <v>3.791078959</v>
      </c>
      <c r="AO33" s="768">
        <v>5.8521085350000002</v>
      </c>
      <c r="AP33" s="768">
        <v>6.7709653850000002</v>
      </c>
      <c r="AQ33" s="768">
        <v>7.1227371310000001</v>
      </c>
      <c r="AR33" s="768">
        <v>7.9303512090000003</v>
      </c>
      <c r="AS33" s="768">
        <v>8.0893357909999999</v>
      </c>
      <c r="AT33" s="768">
        <v>7.8119023439999999</v>
      </c>
      <c r="AU33" s="768">
        <v>6.6880927860000003</v>
      </c>
      <c r="AV33" s="768">
        <v>6.0767339270000003</v>
      </c>
      <c r="AW33" s="768">
        <v>4.3346182229999997</v>
      </c>
      <c r="AX33" s="768">
        <v>3.4604906990000002</v>
      </c>
      <c r="AY33" s="768">
        <v>4.5161417439999996</v>
      </c>
      <c r="AZ33" s="768">
        <v>5.6056280750000003</v>
      </c>
      <c r="BA33" s="768">
        <v>6.2584360209999996</v>
      </c>
      <c r="BB33" s="768">
        <v>7.9380526429999998</v>
      </c>
      <c r="BC33" s="768">
        <v>9.6556880249999999</v>
      </c>
      <c r="BD33" s="768">
        <v>9.3873630289999994</v>
      </c>
      <c r="BE33" s="768">
        <v>10.19267</v>
      </c>
      <c r="BF33" s="768">
        <v>9.8250360000000008</v>
      </c>
      <c r="BG33" s="769">
        <v>8.7162640000000007</v>
      </c>
      <c r="BH33" s="769">
        <v>7.7048100000000002</v>
      </c>
      <c r="BI33" s="769">
        <v>5.6177950000000001</v>
      </c>
      <c r="BJ33" s="769">
        <v>5.0679949999999998</v>
      </c>
      <c r="BK33" s="769">
        <v>6.0598299999999998</v>
      </c>
      <c r="BL33" s="769">
        <v>7.1206509999999996</v>
      </c>
      <c r="BM33" s="769">
        <v>8.4302790000000005</v>
      </c>
      <c r="BN33" s="769">
        <v>10.54406</v>
      </c>
      <c r="BO33" s="769">
        <v>12.718170000000001</v>
      </c>
      <c r="BP33" s="769">
        <v>12.37026</v>
      </c>
      <c r="BQ33" s="769">
        <v>13.019349999999999</v>
      </c>
      <c r="BR33" s="769">
        <v>12.696490000000001</v>
      </c>
      <c r="BS33" s="769">
        <v>11.163220000000001</v>
      </c>
      <c r="BT33" s="769">
        <v>9.921087</v>
      </c>
      <c r="BU33" s="769">
        <v>7.3579030000000003</v>
      </c>
      <c r="BV33" s="769">
        <v>6.2525250000000003</v>
      </c>
    </row>
    <row r="34" spans="1:74" ht="12" customHeight="1" x14ac:dyDescent="0.3">
      <c r="A34" s="722" t="s">
        <v>1247</v>
      </c>
      <c r="B34" s="720" t="s">
        <v>1107</v>
      </c>
      <c r="C34" s="768">
        <v>18.446884036</v>
      </c>
      <c r="D34" s="768">
        <v>20.118434685</v>
      </c>
      <c r="E34" s="768">
        <v>21.919792248</v>
      </c>
      <c r="F34" s="768">
        <v>20.780961161</v>
      </c>
      <c r="G34" s="768">
        <v>18.831989532000001</v>
      </c>
      <c r="H34" s="768">
        <v>16.289831368000002</v>
      </c>
      <c r="I34" s="768">
        <v>17.605110055000001</v>
      </c>
      <c r="J34" s="768">
        <v>13.578829418</v>
      </c>
      <c r="K34" s="768">
        <v>16.390679785</v>
      </c>
      <c r="L34" s="768">
        <v>20.317940924999998</v>
      </c>
      <c r="M34" s="768">
        <v>19.387820299000001</v>
      </c>
      <c r="N34" s="768">
        <v>23.122019547000001</v>
      </c>
      <c r="O34" s="768">
        <v>19.821557472999999</v>
      </c>
      <c r="P34" s="768">
        <v>21.178905960000002</v>
      </c>
      <c r="Q34" s="768">
        <v>24.967858157999999</v>
      </c>
      <c r="R34" s="768">
        <v>24.59097852</v>
      </c>
      <c r="S34" s="768">
        <v>22.429443505999998</v>
      </c>
      <c r="T34" s="768">
        <v>19.791476312</v>
      </c>
      <c r="U34" s="768">
        <v>15.948165603</v>
      </c>
      <c r="V34" s="768">
        <v>13.611459654000001</v>
      </c>
      <c r="W34" s="768">
        <v>17.83981854</v>
      </c>
      <c r="X34" s="768">
        <v>25.282942181999999</v>
      </c>
      <c r="Y34" s="768">
        <v>24.058954143000001</v>
      </c>
      <c r="Z34" s="768">
        <v>24.552425012</v>
      </c>
      <c r="AA34" s="768">
        <v>25.568495308999999</v>
      </c>
      <c r="AB34" s="768">
        <v>23.163573897999999</v>
      </c>
      <c r="AC34" s="768">
        <v>26.433195717</v>
      </c>
      <c r="AD34" s="768">
        <v>26.404351177999999</v>
      </c>
      <c r="AE34" s="768">
        <v>23.930206885</v>
      </c>
      <c r="AF34" s="768">
        <v>24.681250038000002</v>
      </c>
      <c r="AG34" s="768">
        <v>16.430433538999999</v>
      </c>
      <c r="AH34" s="768">
        <v>19.828948305000001</v>
      </c>
      <c r="AI34" s="768">
        <v>18.500520235</v>
      </c>
      <c r="AJ34" s="768">
        <v>21.168288813</v>
      </c>
      <c r="AK34" s="768">
        <v>21.989541356</v>
      </c>
      <c r="AL34" s="768">
        <v>24.279958934</v>
      </c>
      <c r="AM34" s="768">
        <v>25.096495336</v>
      </c>
      <c r="AN34" s="768">
        <v>22.976711123000001</v>
      </c>
      <c r="AO34" s="768">
        <v>26.089827822</v>
      </c>
      <c r="AP34" s="768">
        <v>29.680706541999999</v>
      </c>
      <c r="AQ34" s="768">
        <v>25.947957538000001</v>
      </c>
      <c r="AR34" s="768">
        <v>22.924347230999999</v>
      </c>
      <c r="AS34" s="768">
        <v>22.003849242000001</v>
      </c>
      <c r="AT34" s="768">
        <v>19.851610876999999</v>
      </c>
      <c r="AU34" s="768">
        <v>24.364170743999999</v>
      </c>
      <c r="AV34" s="768">
        <v>28.110806778000001</v>
      </c>
      <c r="AW34" s="768">
        <v>25.579935403</v>
      </c>
      <c r="AX34" s="768">
        <v>27.158184905999999</v>
      </c>
      <c r="AY34" s="768">
        <v>28.377874483999999</v>
      </c>
      <c r="AZ34" s="768">
        <v>29.208033471</v>
      </c>
      <c r="BA34" s="768">
        <v>29.456093024000001</v>
      </c>
      <c r="BB34" s="768">
        <v>29.506152738000001</v>
      </c>
      <c r="BC34" s="768">
        <v>28.155276487999998</v>
      </c>
      <c r="BD34" s="768">
        <v>30.069848825000001</v>
      </c>
      <c r="BE34" s="768">
        <v>24.45975</v>
      </c>
      <c r="BF34" s="768">
        <v>24.220659999999999</v>
      </c>
      <c r="BG34" s="769">
        <v>25.102689999999999</v>
      </c>
      <c r="BH34" s="769">
        <v>33.390770000000003</v>
      </c>
      <c r="BI34" s="769">
        <v>28.888629999999999</v>
      </c>
      <c r="BJ34" s="769">
        <v>34.650620000000004</v>
      </c>
      <c r="BK34" s="769">
        <v>35.628979999999999</v>
      </c>
      <c r="BL34" s="769">
        <v>34.169440000000002</v>
      </c>
      <c r="BM34" s="769">
        <v>36.442830000000001</v>
      </c>
      <c r="BN34" s="769">
        <v>35.858429999999998</v>
      </c>
      <c r="BO34" s="769">
        <v>33.084299999999999</v>
      </c>
      <c r="BP34" s="769">
        <v>35.12876</v>
      </c>
      <c r="BQ34" s="769">
        <v>29.50694</v>
      </c>
      <c r="BR34" s="769">
        <v>27.990200000000002</v>
      </c>
      <c r="BS34" s="769">
        <v>29.338850000000001</v>
      </c>
      <c r="BT34" s="769">
        <v>37.380760000000002</v>
      </c>
      <c r="BU34" s="769">
        <v>32.441160000000004</v>
      </c>
      <c r="BV34" s="769">
        <v>36.802410000000002</v>
      </c>
    </row>
    <row r="35" spans="1:74" ht="12" customHeight="1" x14ac:dyDescent="0.3">
      <c r="A35" s="722"/>
      <c r="B35" s="721" t="s">
        <v>1091</v>
      </c>
      <c r="C35" s="768"/>
      <c r="D35" s="768"/>
      <c r="E35" s="768"/>
      <c r="F35" s="768"/>
      <c r="G35" s="768"/>
      <c r="H35" s="768"/>
      <c r="I35" s="768"/>
      <c r="J35" s="768"/>
      <c r="K35" s="768"/>
      <c r="L35" s="768"/>
      <c r="M35" s="768"/>
      <c r="N35" s="768"/>
      <c r="O35" s="768"/>
      <c r="P35" s="768"/>
      <c r="Q35" s="768"/>
      <c r="R35" s="768"/>
      <c r="S35" s="768"/>
      <c r="T35" s="768"/>
      <c r="U35" s="768"/>
      <c r="V35" s="768"/>
      <c r="W35" s="768"/>
      <c r="X35" s="768"/>
      <c r="Y35" s="768"/>
      <c r="Z35" s="768"/>
      <c r="AA35" s="768"/>
      <c r="AB35" s="768"/>
      <c r="AC35" s="768"/>
      <c r="AD35" s="768"/>
      <c r="AE35" s="768"/>
      <c r="AF35" s="768"/>
      <c r="AG35" s="768"/>
      <c r="AH35" s="768"/>
      <c r="AI35" s="768"/>
      <c r="AJ35" s="768"/>
      <c r="AK35" s="768"/>
      <c r="AL35" s="768"/>
      <c r="AM35" s="768"/>
      <c r="AN35" s="768"/>
      <c r="AO35" s="768"/>
      <c r="AP35" s="768"/>
      <c r="AQ35" s="768"/>
      <c r="AR35" s="768"/>
      <c r="AS35" s="768"/>
      <c r="AT35" s="768"/>
      <c r="AU35" s="768"/>
      <c r="AV35" s="768"/>
      <c r="AW35" s="768"/>
      <c r="AX35" s="768"/>
      <c r="AY35" s="768"/>
      <c r="AZ35" s="768"/>
      <c r="BA35" s="768"/>
      <c r="BB35" s="768"/>
      <c r="BC35" s="768"/>
      <c r="BD35" s="768"/>
      <c r="BE35" s="768"/>
      <c r="BF35" s="768"/>
      <c r="BG35" s="769"/>
      <c r="BH35" s="769"/>
      <c r="BI35" s="769"/>
      <c r="BJ35" s="769"/>
      <c r="BK35" s="769"/>
      <c r="BL35" s="769"/>
      <c r="BM35" s="769"/>
      <c r="BN35" s="769"/>
      <c r="BO35" s="769"/>
      <c r="BP35" s="769"/>
      <c r="BQ35" s="769"/>
      <c r="BR35" s="769"/>
      <c r="BS35" s="769"/>
      <c r="BT35" s="769"/>
      <c r="BU35" s="769"/>
      <c r="BV35" s="769"/>
    </row>
    <row r="36" spans="1:74" ht="12" customHeight="1" x14ac:dyDescent="0.3">
      <c r="A36" s="722" t="s">
        <v>1351</v>
      </c>
      <c r="B36" s="720" t="s">
        <v>1086</v>
      </c>
      <c r="C36" s="768">
        <v>2.702523169</v>
      </c>
      <c r="D36" s="768">
        <v>2.507323328</v>
      </c>
      <c r="E36" s="768">
        <v>2.5868358800000002</v>
      </c>
      <c r="F36" s="768">
        <v>2.3941346669999999</v>
      </c>
      <c r="G36" s="768">
        <v>2.5637329109999998</v>
      </c>
      <c r="H36" s="768">
        <v>2.5979708750000001</v>
      </c>
      <c r="I36" s="768">
        <v>2.7214271249999999</v>
      </c>
      <c r="J36" s="768">
        <v>2.7127849909999999</v>
      </c>
      <c r="K36" s="768">
        <v>2.5216551919999999</v>
      </c>
      <c r="L36" s="768">
        <v>2.5119770799999999</v>
      </c>
      <c r="M36" s="768">
        <v>2.6391902960000002</v>
      </c>
      <c r="N36" s="768">
        <v>2.6978788420000002</v>
      </c>
      <c r="O36" s="768">
        <v>2.6180523920000001</v>
      </c>
      <c r="P36" s="768">
        <v>2.3964748409999999</v>
      </c>
      <c r="Q36" s="768">
        <v>2.5505457580000002</v>
      </c>
      <c r="R36" s="768">
        <v>2.4641994679999999</v>
      </c>
      <c r="S36" s="768">
        <v>2.5171235150000002</v>
      </c>
      <c r="T36" s="768">
        <v>2.6268324010000002</v>
      </c>
      <c r="U36" s="768">
        <v>2.7643808550000002</v>
      </c>
      <c r="V36" s="768">
        <v>2.7818081659999998</v>
      </c>
      <c r="W36" s="768">
        <v>2.4810259129999999</v>
      </c>
      <c r="X36" s="768">
        <v>2.5037476679999999</v>
      </c>
      <c r="Y36" s="768">
        <v>2.5666289010000001</v>
      </c>
      <c r="Z36" s="768">
        <v>2.7658357840000001</v>
      </c>
      <c r="AA36" s="768">
        <v>2.6620626449999998</v>
      </c>
      <c r="AB36" s="768">
        <v>2.36413655</v>
      </c>
      <c r="AC36" s="768">
        <v>2.6415690469999999</v>
      </c>
      <c r="AD36" s="768">
        <v>2.4354663589999999</v>
      </c>
      <c r="AE36" s="768">
        <v>2.5963431680000002</v>
      </c>
      <c r="AF36" s="768">
        <v>2.5671292120000002</v>
      </c>
      <c r="AG36" s="768">
        <v>2.7521497030000002</v>
      </c>
      <c r="AH36" s="768">
        <v>2.691324185</v>
      </c>
      <c r="AI36" s="768">
        <v>2.490515845</v>
      </c>
      <c r="AJ36" s="768">
        <v>2.5118499160000001</v>
      </c>
      <c r="AK36" s="768">
        <v>2.511780699</v>
      </c>
      <c r="AL36" s="768">
        <v>2.6687742270000001</v>
      </c>
      <c r="AM36" s="768">
        <v>2.5614096970000002</v>
      </c>
      <c r="AN36" s="768">
        <v>2.3271147669999999</v>
      </c>
      <c r="AO36" s="768">
        <v>2.5211252580000001</v>
      </c>
      <c r="AP36" s="768">
        <v>2.383071374</v>
      </c>
      <c r="AQ36" s="768">
        <v>2.4027789990000001</v>
      </c>
      <c r="AR36" s="768">
        <v>2.4882866159999999</v>
      </c>
      <c r="AS36" s="768">
        <v>2.5957807900000001</v>
      </c>
      <c r="AT36" s="768">
        <v>2.649184494</v>
      </c>
      <c r="AU36" s="768">
        <v>2.3789572219999999</v>
      </c>
      <c r="AV36" s="768">
        <v>2.3647036290000001</v>
      </c>
      <c r="AW36" s="768">
        <v>2.4302021229999999</v>
      </c>
      <c r="AX36" s="768">
        <v>2.556401825</v>
      </c>
      <c r="AY36" s="768">
        <v>2.5420997970000001</v>
      </c>
      <c r="AZ36" s="768">
        <v>2.3649222239999999</v>
      </c>
      <c r="BA36" s="768">
        <v>2.4831806190000001</v>
      </c>
      <c r="BB36" s="768">
        <v>2.3795422930000001</v>
      </c>
      <c r="BC36" s="768">
        <v>2.3725994849999998</v>
      </c>
      <c r="BD36" s="768">
        <v>2.2861796509999999</v>
      </c>
      <c r="BE36" s="768">
        <v>2.5957810000000001</v>
      </c>
      <c r="BF36" s="768">
        <v>2.6491850000000001</v>
      </c>
      <c r="BG36" s="769">
        <v>2.3789570000000002</v>
      </c>
      <c r="BH36" s="769">
        <v>2.3647040000000001</v>
      </c>
      <c r="BI36" s="769">
        <v>2.430202</v>
      </c>
      <c r="BJ36" s="769">
        <v>2.5564019999999998</v>
      </c>
      <c r="BK36" s="769">
        <v>2.5421</v>
      </c>
      <c r="BL36" s="769">
        <v>2.2833730000000001</v>
      </c>
      <c r="BM36" s="769">
        <v>2.4831810000000001</v>
      </c>
      <c r="BN36" s="769">
        <v>2.3795419999999998</v>
      </c>
      <c r="BO36" s="769">
        <v>2.3725990000000001</v>
      </c>
      <c r="BP36" s="769">
        <v>2.2861799999999999</v>
      </c>
      <c r="BQ36" s="769">
        <v>2.5957819999999998</v>
      </c>
      <c r="BR36" s="769">
        <v>2.6491859999999998</v>
      </c>
      <c r="BS36" s="769">
        <v>2.3789570000000002</v>
      </c>
      <c r="BT36" s="769">
        <v>2.3647040000000001</v>
      </c>
      <c r="BU36" s="769">
        <v>2.430202</v>
      </c>
      <c r="BV36" s="769">
        <v>2.5564019999999998</v>
      </c>
    </row>
    <row r="37" spans="1:74" ht="12" customHeight="1" x14ac:dyDescent="0.3">
      <c r="A37" s="722" t="s">
        <v>1352</v>
      </c>
      <c r="B37" s="720" t="s">
        <v>1087</v>
      </c>
      <c r="C37" s="768">
        <v>0.30456746899999998</v>
      </c>
      <c r="D37" s="768">
        <v>0.28406959599999998</v>
      </c>
      <c r="E37" s="768">
        <v>0.31855067300000001</v>
      </c>
      <c r="F37" s="768">
        <v>0.31033686100000002</v>
      </c>
      <c r="G37" s="768">
        <v>0.32395664699999999</v>
      </c>
      <c r="H37" s="768">
        <v>0.278776739</v>
      </c>
      <c r="I37" s="768">
        <v>0.30599538500000001</v>
      </c>
      <c r="J37" s="768">
        <v>0.30379789000000001</v>
      </c>
      <c r="K37" s="768">
        <v>0.28220068799999998</v>
      </c>
      <c r="L37" s="768">
        <v>0.287502113</v>
      </c>
      <c r="M37" s="768">
        <v>0.31419796700000002</v>
      </c>
      <c r="N37" s="768">
        <v>0.31614945799999999</v>
      </c>
      <c r="O37" s="768">
        <v>0.30186723300000001</v>
      </c>
      <c r="P37" s="768">
        <v>0.27107102</v>
      </c>
      <c r="Q37" s="768">
        <v>0.30943701899999998</v>
      </c>
      <c r="R37" s="768">
        <v>0.290050743</v>
      </c>
      <c r="S37" s="768">
        <v>0.305025084</v>
      </c>
      <c r="T37" s="768">
        <v>0.28042729700000002</v>
      </c>
      <c r="U37" s="768">
        <v>0.30026196100000002</v>
      </c>
      <c r="V37" s="768">
        <v>0.29999501299999998</v>
      </c>
      <c r="W37" s="768">
        <v>0.27442552999999997</v>
      </c>
      <c r="X37" s="768">
        <v>0.28141631499999997</v>
      </c>
      <c r="Y37" s="768">
        <v>0.29889563299999999</v>
      </c>
      <c r="Z37" s="768">
        <v>0.31329566599999997</v>
      </c>
      <c r="AA37" s="768">
        <v>0.28471027700000001</v>
      </c>
      <c r="AB37" s="768">
        <v>0.260908115</v>
      </c>
      <c r="AC37" s="768">
        <v>0.28778520000000002</v>
      </c>
      <c r="AD37" s="768">
        <v>0.27558682299999998</v>
      </c>
      <c r="AE37" s="768">
        <v>0.27598138700000002</v>
      </c>
      <c r="AF37" s="768">
        <v>0.25992764899999998</v>
      </c>
      <c r="AG37" s="768">
        <v>0.26989844800000001</v>
      </c>
      <c r="AH37" s="768">
        <v>0.27458047699999999</v>
      </c>
      <c r="AI37" s="768">
        <v>0.24844701999999999</v>
      </c>
      <c r="AJ37" s="768">
        <v>0.27830796299999999</v>
      </c>
      <c r="AK37" s="768">
        <v>0.27082224500000002</v>
      </c>
      <c r="AL37" s="768">
        <v>0.28558314200000001</v>
      </c>
      <c r="AM37" s="768">
        <v>0.261047629</v>
      </c>
      <c r="AN37" s="768">
        <v>0.231727242</v>
      </c>
      <c r="AO37" s="768">
        <v>0.26084629599999998</v>
      </c>
      <c r="AP37" s="768">
        <v>0.22894209900000001</v>
      </c>
      <c r="AQ37" s="768">
        <v>0.20811507700000001</v>
      </c>
      <c r="AR37" s="768">
        <v>0.22904609300000001</v>
      </c>
      <c r="AS37" s="768">
        <v>0.22533841900000001</v>
      </c>
      <c r="AT37" s="768">
        <v>0.23347654700000001</v>
      </c>
      <c r="AU37" s="768">
        <v>0.21728755</v>
      </c>
      <c r="AV37" s="768">
        <v>0.23981021899999999</v>
      </c>
      <c r="AW37" s="768">
        <v>0.23540148899999999</v>
      </c>
      <c r="AX37" s="768">
        <v>0.249389421</v>
      </c>
      <c r="AY37" s="768">
        <v>0.249268394</v>
      </c>
      <c r="AZ37" s="768">
        <v>0.23281927499999999</v>
      </c>
      <c r="BA37" s="768">
        <v>0.24808556700000001</v>
      </c>
      <c r="BB37" s="768">
        <v>0.232269485</v>
      </c>
      <c r="BC37" s="768">
        <v>0.231740166</v>
      </c>
      <c r="BD37" s="768">
        <v>0.21327584799999999</v>
      </c>
      <c r="BE37" s="768">
        <v>0.22533839999999999</v>
      </c>
      <c r="BF37" s="768">
        <v>0.2334765</v>
      </c>
      <c r="BG37" s="769">
        <v>0.2172876</v>
      </c>
      <c r="BH37" s="769">
        <v>0.2398102</v>
      </c>
      <c r="BI37" s="769">
        <v>0.23540150000000001</v>
      </c>
      <c r="BJ37" s="769">
        <v>0.24938940000000001</v>
      </c>
      <c r="BK37" s="769">
        <v>0.2492684</v>
      </c>
      <c r="BL37" s="769">
        <v>0.22479099999999999</v>
      </c>
      <c r="BM37" s="769">
        <v>0.24808559999999999</v>
      </c>
      <c r="BN37" s="769">
        <v>0.23226949999999999</v>
      </c>
      <c r="BO37" s="769">
        <v>0.23174020000000001</v>
      </c>
      <c r="BP37" s="769">
        <v>0.21327579999999999</v>
      </c>
      <c r="BQ37" s="769">
        <v>0.22533829999999999</v>
      </c>
      <c r="BR37" s="769">
        <v>0.2334764</v>
      </c>
      <c r="BS37" s="769">
        <v>0.2172876</v>
      </c>
      <c r="BT37" s="769">
        <v>0.2398102</v>
      </c>
      <c r="BU37" s="769">
        <v>0.23540150000000001</v>
      </c>
      <c r="BV37" s="769">
        <v>0.24938940000000001</v>
      </c>
    </row>
    <row r="38" spans="1:74" ht="12" customHeight="1" x14ac:dyDescent="0.3">
      <c r="A38" s="722" t="s">
        <v>1353</v>
      </c>
      <c r="B38" s="720" t="s">
        <v>1088</v>
      </c>
      <c r="C38" s="768">
        <v>2.3979556999999998</v>
      </c>
      <c r="D38" s="768">
        <v>2.2232537319999999</v>
      </c>
      <c r="E38" s="768">
        <v>2.2682852069999999</v>
      </c>
      <c r="F38" s="768">
        <v>2.0837978060000002</v>
      </c>
      <c r="G38" s="768">
        <v>2.2397762640000001</v>
      </c>
      <c r="H38" s="768">
        <v>2.3191941360000001</v>
      </c>
      <c r="I38" s="768">
        <v>2.4154317399999998</v>
      </c>
      <c r="J38" s="768">
        <v>2.4089871010000001</v>
      </c>
      <c r="K38" s="768">
        <v>2.2394545039999998</v>
      </c>
      <c r="L38" s="768">
        <v>2.2244749669999999</v>
      </c>
      <c r="M38" s="768">
        <v>2.3249923290000001</v>
      </c>
      <c r="N38" s="768">
        <v>2.3817293839999998</v>
      </c>
      <c r="O38" s="768">
        <v>2.3161851590000002</v>
      </c>
      <c r="P38" s="768">
        <v>2.1254038209999999</v>
      </c>
      <c r="Q38" s="768">
        <v>2.241108739</v>
      </c>
      <c r="R38" s="768">
        <v>2.1741487249999998</v>
      </c>
      <c r="S38" s="768">
        <v>2.2120984309999998</v>
      </c>
      <c r="T38" s="768">
        <v>2.346405104</v>
      </c>
      <c r="U38" s="768">
        <v>2.4641188939999998</v>
      </c>
      <c r="V38" s="768">
        <v>2.481813153</v>
      </c>
      <c r="W38" s="768">
        <v>2.2066003830000001</v>
      </c>
      <c r="X38" s="768">
        <v>2.222331353</v>
      </c>
      <c r="Y38" s="768">
        <v>2.2677332680000002</v>
      </c>
      <c r="Z38" s="768">
        <v>2.4525401179999999</v>
      </c>
      <c r="AA38" s="768">
        <v>2.3773523679999999</v>
      </c>
      <c r="AB38" s="768">
        <v>2.1032284350000001</v>
      </c>
      <c r="AC38" s="768">
        <v>2.3537838469999999</v>
      </c>
      <c r="AD38" s="768">
        <v>2.159879536</v>
      </c>
      <c r="AE38" s="768">
        <v>2.3203617809999999</v>
      </c>
      <c r="AF38" s="768">
        <v>2.307201563</v>
      </c>
      <c r="AG38" s="768">
        <v>2.482251255</v>
      </c>
      <c r="AH38" s="768">
        <v>2.4167437079999998</v>
      </c>
      <c r="AI38" s="768">
        <v>2.242068825</v>
      </c>
      <c r="AJ38" s="768">
        <v>2.233541953</v>
      </c>
      <c r="AK38" s="768">
        <v>2.2409584539999998</v>
      </c>
      <c r="AL38" s="768">
        <v>2.383191085</v>
      </c>
      <c r="AM38" s="768">
        <v>2.3003620680000001</v>
      </c>
      <c r="AN38" s="768">
        <v>2.095387525</v>
      </c>
      <c r="AO38" s="768">
        <v>2.2602789620000001</v>
      </c>
      <c r="AP38" s="768">
        <v>2.1541292749999998</v>
      </c>
      <c r="AQ38" s="768">
        <v>2.1946639220000002</v>
      </c>
      <c r="AR38" s="768">
        <v>2.2592405229999999</v>
      </c>
      <c r="AS38" s="768">
        <v>2.3704423710000002</v>
      </c>
      <c r="AT38" s="768">
        <v>2.415707947</v>
      </c>
      <c r="AU38" s="768">
        <v>2.1616696719999999</v>
      </c>
      <c r="AV38" s="768">
        <v>2.1248934099999999</v>
      </c>
      <c r="AW38" s="768">
        <v>2.1948006339999999</v>
      </c>
      <c r="AX38" s="768">
        <v>2.307012404</v>
      </c>
      <c r="AY38" s="768">
        <v>2.2928314030000001</v>
      </c>
      <c r="AZ38" s="768">
        <v>2.1321029490000001</v>
      </c>
      <c r="BA38" s="768">
        <v>2.2350950520000001</v>
      </c>
      <c r="BB38" s="768">
        <v>2.1472728079999999</v>
      </c>
      <c r="BC38" s="768">
        <v>2.140859319</v>
      </c>
      <c r="BD38" s="768">
        <v>2.072903803</v>
      </c>
      <c r="BE38" s="768">
        <v>2.3704420000000002</v>
      </c>
      <c r="BF38" s="768">
        <v>2.415708</v>
      </c>
      <c r="BG38" s="769">
        <v>2.16167</v>
      </c>
      <c r="BH38" s="769">
        <v>2.1248930000000001</v>
      </c>
      <c r="BI38" s="769">
        <v>2.194801</v>
      </c>
      <c r="BJ38" s="769">
        <v>2.3070119999999998</v>
      </c>
      <c r="BK38" s="769">
        <v>2.2928310000000001</v>
      </c>
      <c r="BL38" s="769">
        <v>2.0585819999999999</v>
      </c>
      <c r="BM38" s="769">
        <v>2.2350949999999998</v>
      </c>
      <c r="BN38" s="769">
        <v>2.1472730000000002</v>
      </c>
      <c r="BO38" s="769">
        <v>2.1408589999999998</v>
      </c>
      <c r="BP38" s="769">
        <v>2.0729039999999999</v>
      </c>
      <c r="BQ38" s="769">
        <v>2.3704429999999999</v>
      </c>
      <c r="BR38" s="769">
        <v>2.4157090000000001</v>
      </c>
      <c r="BS38" s="769">
        <v>2.16167</v>
      </c>
      <c r="BT38" s="769">
        <v>2.1248930000000001</v>
      </c>
      <c r="BU38" s="769">
        <v>2.194801</v>
      </c>
      <c r="BV38" s="769">
        <v>2.3070119999999998</v>
      </c>
    </row>
    <row r="39" spans="1:74" ht="12" customHeight="1" x14ac:dyDescent="0.3">
      <c r="A39" s="722" t="s">
        <v>1354</v>
      </c>
      <c r="B39" s="720" t="s">
        <v>1089</v>
      </c>
      <c r="C39" s="768">
        <v>0.15065898799999999</v>
      </c>
      <c r="D39" s="768">
        <v>0.133186903</v>
      </c>
      <c r="E39" s="768">
        <v>0.16423265100000001</v>
      </c>
      <c r="F39" s="768">
        <v>0.14314123500000001</v>
      </c>
      <c r="G39" s="768">
        <v>0.13097057600000001</v>
      </c>
      <c r="H39" s="768">
        <v>0.111380545</v>
      </c>
      <c r="I39" s="768">
        <v>0.118654383</v>
      </c>
      <c r="J39" s="768">
        <v>0.111539154</v>
      </c>
      <c r="K39" s="768">
        <v>8.8766498999999999E-2</v>
      </c>
      <c r="L39" s="768">
        <v>0.109494997</v>
      </c>
      <c r="M39" s="768">
        <v>8.6777938999999998E-2</v>
      </c>
      <c r="N39" s="768">
        <v>0.1374273</v>
      </c>
      <c r="O39" s="768">
        <v>0.152727322</v>
      </c>
      <c r="P39" s="768">
        <v>0.130297993</v>
      </c>
      <c r="Q39" s="768">
        <v>0.145613085</v>
      </c>
      <c r="R39" s="768">
        <v>0.16884965699999999</v>
      </c>
      <c r="S39" s="768">
        <v>0.17907555999999999</v>
      </c>
      <c r="T39" s="768">
        <v>0.13906112600000001</v>
      </c>
      <c r="U39" s="768">
        <v>0.12846864099999999</v>
      </c>
      <c r="V39" s="768">
        <v>0.110205637</v>
      </c>
      <c r="W39" s="768">
        <v>8.9153014000000003E-2</v>
      </c>
      <c r="X39" s="768">
        <v>0.113098694</v>
      </c>
      <c r="Y39" s="768">
        <v>0.14377742199999999</v>
      </c>
      <c r="Z39" s="768">
        <v>0.121917662</v>
      </c>
      <c r="AA39" s="768">
        <v>0.102056698</v>
      </c>
      <c r="AB39" s="768">
        <v>0.10854733799999999</v>
      </c>
      <c r="AC39" s="768">
        <v>0.108455914</v>
      </c>
      <c r="AD39" s="768">
        <v>0.12517532300000001</v>
      </c>
      <c r="AE39" s="768">
        <v>0.125685506</v>
      </c>
      <c r="AF39" s="768">
        <v>9.5301986000000005E-2</v>
      </c>
      <c r="AG39" s="768">
        <v>9.6603192000000004E-2</v>
      </c>
      <c r="AH39" s="768">
        <v>0.10861182899999999</v>
      </c>
      <c r="AI39" s="768">
        <v>0.105894603</v>
      </c>
      <c r="AJ39" s="768">
        <v>0.121770948</v>
      </c>
      <c r="AK39" s="768">
        <v>0.13194586899999999</v>
      </c>
      <c r="AL39" s="768">
        <v>0.14627511400000001</v>
      </c>
      <c r="AM39" s="768">
        <v>0.121627096</v>
      </c>
      <c r="AN39" s="768">
        <v>0.10382646399999999</v>
      </c>
      <c r="AO39" s="768">
        <v>0.12119168299999999</v>
      </c>
      <c r="AP39" s="768">
        <v>0.114082223</v>
      </c>
      <c r="AQ39" s="768">
        <v>0.127314751</v>
      </c>
      <c r="AR39" s="768">
        <v>0.117712478</v>
      </c>
      <c r="AS39" s="768">
        <v>0.110519751</v>
      </c>
      <c r="AT39" s="768">
        <v>0.103617979</v>
      </c>
      <c r="AU39" s="768">
        <v>9.2761383000000003E-2</v>
      </c>
      <c r="AV39" s="768">
        <v>9.4930089999999995E-2</v>
      </c>
      <c r="AW39" s="768">
        <v>0.10570249399999999</v>
      </c>
      <c r="AX39" s="768">
        <v>0.117388376</v>
      </c>
      <c r="AY39" s="768">
        <v>0.118930113</v>
      </c>
      <c r="AZ39" s="768">
        <v>0.116945877</v>
      </c>
      <c r="BA39" s="768">
        <v>0.120470459</v>
      </c>
      <c r="BB39" s="768">
        <v>0.120270878</v>
      </c>
      <c r="BC39" s="768">
        <v>0.12761982599999999</v>
      </c>
      <c r="BD39" s="768">
        <v>0.11826542700000001</v>
      </c>
      <c r="BE39" s="768">
        <v>0.1105198</v>
      </c>
      <c r="BF39" s="768">
        <v>0.103618</v>
      </c>
      <c r="BG39" s="769">
        <v>9.2761399999999994E-2</v>
      </c>
      <c r="BH39" s="769">
        <v>9.4930100000000003E-2</v>
      </c>
      <c r="BI39" s="769">
        <v>0.1057025</v>
      </c>
      <c r="BJ39" s="769">
        <v>0.1173884</v>
      </c>
      <c r="BK39" s="769">
        <v>0.1189301</v>
      </c>
      <c r="BL39" s="769">
        <v>0.11291320000000001</v>
      </c>
      <c r="BM39" s="769">
        <v>0.12047049999999999</v>
      </c>
      <c r="BN39" s="769">
        <v>0.1202709</v>
      </c>
      <c r="BO39" s="769">
        <v>0.12761980000000001</v>
      </c>
      <c r="BP39" s="769">
        <v>0.11826540000000001</v>
      </c>
      <c r="BQ39" s="769">
        <v>0.1105197</v>
      </c>
      <c r="BR39" s="769">
        <v>0.1036181</v>
      </c>
      <c r="BS39" s="769">
        <v>9.2761399999999994E-2</v>
      </c>
      <c r="BT39" s="769">
        <v>9.4930100000000003E-2</v>
      </c>
      <c r="BU39" s="769">
        <v>0.1057025</v>
      </c>
      <c r="BV39" s="769">
        <v>0.1173884</v>
      </c>
    </row>
    <row r="40" spans="1:74" ht="12" customHeight="1" x14ac:dyDescent="0.3">
      <c r="A40" s="722" t="s">
        <v>1355</v>
      </c>
      <c r="B40" s="720" t="s">
        <v>1090</v>
      </c>
      <c r="C40" s="768">
        <v>2.7619988000000002E-2</v>
      </c>
      <c r="D40" s="768">
        <v>4.1017605999999998E-2</v>
      </c>
      <c r="E40" s="768">
        <v>4.6680639000000003E-2</v>
      </c>
      <c r="F40" s="768">
        <v>4.8567300000000001E-2</v>
      </c>
      <c r="G40" s="768">
        <v>5.0180924000000002E-2</v>
      </c>
      <c r="H40" s="768">
        <v>5.5771658000000002E-2</v>
      </c>
      <c r="I40" s="768">
        <v>5.8315737999999999E-2</v>
      </c>
      <c r="J40" s="768">
        <v>6.0781138999999998E-2</v>
      </c>
      <c r="K40" s="768">
        <v>5.0890034000000001E-2</v>
      </c>
      <c r="L40" s="768">
        <v>4.4620893000000002E-2</v>
      </c>
      <c r="M40" s="768">
        <v>3.7738441999999997E-2</v>
      </c>
      <c r="N40" s="768">
        <v>3.4556495E-2</v>
      </c>
      <c r="O40" s="768">
        <v>1.8824297E-2</v>
      </c>
      <c r="P40" s="768">
        <v>2.8558534E-2</v>
      </c>
      <c r="Q40" s="768">
        <v>4.5283184999999997E-2</v>
      </c>
      <c r="R40" s="768">
        <v>4.9533315000000001E-2</v>
      </c>
      <c r="S40" s="768">
        <v>5.7269553000000001E-2</v>
      </c>
      <c r="T40" s="768">
        <v>6.5733499000000001E-2</v>
      </c>
      <c r="U40" s="768">
        <v>6.3339472999999993E-2</v>
      </c>
      <c r="V40" s="768">
        <v>5.9913955999999997E-2</v>
      </c>
      <c r="W40" s="768">
        <v>5.6091096E-2</v>
      </c>
      <c r="X40" s="768">
        <v>5.0369650000000002E-2</v>
      </c>
      <c r="Y40" s="768">
        <v>3.6728143999999997E-2</v>
      </c>
      <c r="Z40" s="768">
        <v>3.1667795999999998E-2</v>
      </c>
      <c r="AA40" s="768">
        <v>3.1133594000000001E-2</v>
      </c>
      <c r="AB40" s="768">
        <v>3.3704204000000001E-2</v>
      </c>
      <c r="AC40" s="768">
        <v>4.7124691000000003E-2</v>
      </c>
      <c r="AD40" s="768">
        <v>5.4327579000000001E-2</v>
      </c>
      <c r="AE40" s="768">
        <v>6.1288771999999998E-2</v>
      </c>
      <c r="AF40" s="768">
        <v>6.7181648999999996E-2</v>
      </c>
      <c r="AG40" s="768">
        <v>6.3569146000000007E-2</v>
      </c>
      <c r="AH40" s="768">
        <v>6.1856726000000001E-2</v>
      </c>
      <c r="AI40" s="768">
        <v>4.9999039000000002E-2</v>
      </c>
      <c r="AJ40" s="768">
        <v>4.3423979000000001E-2</v>
      </c>
      <c r="AK40" s="768">
        <v>3.1761566999999997E-2</v>
      </c>
      <c r="AL40" s="768">
        <v>2.7116772000000001E-2</v>
      </c>
      <c r="AM40" s="768">
        <v>3.6308079E-2</v>
      </c>
      <c r="AN40" s="768">
        <v>3.5662177000000003E-2</v>
      </c>
      <c r="AO40" s="768">
        <v>5.7615008000000002E-2</v>
      </c>
      <c r="AP40" s="768">
        <v>6.4517516999999996E-2</v>
      </c>
      <c r="AQ40" s="768">
        <v>6.8660587999999995E-2</v>
      </c>
      <c r="AR40" s="768">
        <v>7.5208111999999994E-2</v>
      </c>
      <c r="AS40" s="768">
        <v>7.9273858000000003E-2</v>
      </c>
      <c r="AT40" s="768">
        <v>7.5881312000000006E-2</v>
      </c>
      <c r="AU40" s="768">
        <v>6.4125728000000007E-2</v>
      </c>
      <c r="AV40" s="768">
        <v>5.4575524E-2</v>
      </c>
      <c r="AW40" s="768">
        <v>4.1981884999999997E-2</v>
      </c>
      <c r="AX40" s="768">
        <v>3.3767501999999998E-2</v>
      </c>
      <c r="AY40" s="768">
        <v>3.8612643000000002E-2</v>
      </c>
      <c r="AZ40" s="768">
        <v>4.6223548000000003E-2</v>
      </c>
      <c r="BA40" s="768">
        <v>5.5405256E-2</v>
      </c>
      <c r="BB40" s="768">
        <v>7.1709904000000005E-2</v>
      </c>
      <c r="BC40" s="768">
        <v>8.5836407000000003E-2</v>
      </c>
      <c r="BD40" s="768">
        <v>7.9713511000000001E-2</v>
      </c>
      <c r="BE40" s="768">
        <v>7.8992900000000005E-2</v>
      </c>
      <c r="BF40" s="768">
        <v>7.7521900000000005E-2</v>
      </c>
      <c r="BG40" s="769">
        <v>6.99824E-2</v>
      </c>
      <c r="BH40" s="769">
        <v>6.6191100000000003E-2</v>
      </c>
      <c r="BI40" s="769">
        <v>5.7252699999999997E-2</v>
      </c>
      <c r="BJ40" s="769">
        <v>5.3623900000000002E-2</v>
      </c>
      <c r="BK40" s="769">
        <v>5.1482399999999998E-2</v>
      </c>
      <c r="BL40" s="769">
        <v>5.16386E-2</v>
      </c>
      <c r="BM40" s="769">
        <v>6.3481599999999999E-2</v>
      </c>
      <c r="BN40" s="769">
        <v>6.6157300000000002E-2</v>
      </c>
      <c r="BO40" s="769">
        <v>7.0341899999999999E-2</v>
      </c>
      <c r="BP40" s="769">
        <v>7.15195E-2</v>
      </c>
      <c r="BQ40" s="769">
        <v>7.1813699999999994E-2</v>
      </c>
      <c r="BR40" s="769">
        <v>7.1346599999999996E-2</v>
      </c>
      <c r="BS40" s="769">
        <v>6.4824900000000005E-2</v>
      </c>
      <c r="BT40" s="769">
        <v>6.13374E-2</v>
      </c>
      <c r="BU40" s="769">
        <v>5.3141800000000003E-2</v>
      </c>
      <c r="BV40" s="769">
        <v>4.98913E-2</v>
      </c>
    </row>
    <row r="41" spans="1:74" ht="12" customHeight="1" x14ac:dyDescent="0.3">
      <c r="A41" s="722" t="s">
        <v>1108</v>
      </c>
      <c r="B41" s="720" t="s">
        <v>1098</v>
      </c>
      <c r="C41" s="770" t="s">
        <v>1123</v>
      </c>
      <c r="D41" s="770" t="s">
        <v>1123</v>
      </c>
      <c r="E41" s="770" t="s">
        <v>1123</v>
      </c>
      <c r="F41" s="770" t="s">
        <v>1123</v>
      </c>
      <c r="G41" s="770" t="s">
        <v>1123</v>
      </c>
      <c r="H41" s="770" t="s">
        <v>1123</v>
      </c>
      <c r="I41" s="770" t="s">
        <v>1123</v>
      </c>
      <c r="J41" s="770" t="s">
        <v>1123</v>
      </c>
      <c r="K41" s="770" t="s">
        <v>1123</v>
      </c>
      <c r="L41" s="770" t="s">
        <v>1123</v>
      </c>
      <c r="M41" s="770" t="s">
        <v>1123</v>
      </c>
      <c r="N41" s="770" t="s">
        <v>1123</v>
      </c>
      <c r="O41" s="768">
        <v>1.2460310000000001</v>
      </c>
      <c r="P41" s="768">
        <v>1.384155</v>
      </c>
      <c r="Q41" s="768">
        <v>1.9724569999999999</v>
      </c>
      <c r="R41" s="768">
        <v>2.1951260000000001</v>
      </c>
      <c r="S41" s="768">
        <v>2.4231880000000001</v>
      </c>
      <c r="T41" s="768">
        <v>2.4867710000000001</v>
      </c>
      <c r="U41" s="768">
        <v>2.554646</v>
      </c>
      <c r="V41" s="768">
        <v>2.4796360000000002</v>
      </c>
      <c r="W41" s="768">
        <v>2.2253799999999999</v>
      </c>
      <c r="X41" s="768">
        <v>1.989935</v>
      </c>
      <c r="Y41" s="768">
        <v>1.5611060000000001</v>
      </c>
      <c r="Z41" s="768">
        <v>1.471854</v>
      </c>
      <c r="AA41" s="768">
        <v>1.6193599999999999</v>
      </c>
      <c r="AB41" s="768">
        <v>1.7663409999999999</v>
      </c>
      <c r="AC41" s="768">
        <v>2.4339580000000001</v>
      </c>
      <c r="AD41" s="768">
        <v>2.7397119999999999</v>
      </c>
      <c r="AE41" s="768">
        <v>3.0112100000000002</v>
      </c>
      <c r="AF41" s="768">
        <v>3.0591110000000001</v>
      </c>
      <c r="AG41" s="768">
        <v>3.14642</v>
      </c>
      <c r="AH41" s="768">
        <v>3.0169000000000001</v>
      </c>
      <c r="AI41" s="768">
        <v>2.6743329999999998</v>
      </c>
      <c r="AJ41" s="768">
        <v>2.391775</v>
      </c>
      <c r="AK41" s="768">
        <v>1.9052819999999999</v>
      </c>
      <c r="AL41" s="768">
        <v>1.7748729999999999</v>
      </c>
      <c r="AM41" s="768">
        <v>1.9058379999999999</v>
      </c>
      <c r="AN41" s="768">
        <v>2.0615290000000002</v>
      </c>
      <c r="AO41" s="768">
        <v>2.9184130000000001</v>
      </c>
      <c r="AP41" s="768">
        <v>3.2531539999999999</v>
      </c>
      <c r="AQ41" s="768">
        <v>3.5584530000000001</v>
      </c>
      <c r="AR41" s="768">
        <v>3.6146250000000002</v>
      </c>
      <c r="AS41" s="768">
        <v>3.7719580000000001</v>
      </c>
      <c r="AT41" s="768">
        <v>3.6226470000000002</v>
      </c>
      <c r="AU41" s="768">
        <v>3.2155860000000001</v>
      </c>
      <c r="AV41" s="768">
        <v>2.8404219999999998</v>
      </c>
      <c r="AW41" s="768">
        <v>2.2317179999999999</v>
      </c>
      <c r="AX41" s="768">
        <v>2.0463119999999999</v>
      </c>
      <c r="AY41" s="768">
        <v>2.2934450000000002</v>
      </c>
      <c r="AZ41" s="768">
        <v>2.6089150000000001</v>
      </c>
      <c r="BA41" s="768">
        <v>3.4092720000000001</v>
      </c>
      <c r="BB41" s="768">
        <v>3.8012109999999999</v>
      </c>
      <c r="BC41" s="768">
        <v>4.2452560000000004</v>
      </c>
      <c r="BD41" s="768">
        <v>4.257987</v>
      </c>
      <c r="BE41" s="768">
        <v>4.3676959999999996</v>
      </c>
      <c r="BF41" s="768">
        <v>4.1988760000000003</v>
      </c>
      <c r="BG41" s="769">
        <v>3.7379090000000001</v>
      </c>
      <c r="BH41" s="769">
        <v>3.3289119999999999</v>
      </c>
      <c r="BI41" s="769">
        <v>2.6505369999999999</v>
      </c>
      <c r="BJ41" s="769">
        <v>2.4413109999999998</v>
      </c>
      <c r="BK41" s="769">
        <v>2.5899049999999999</v>
      </c>
      <c r="BL41" s="769">
        <v>2.8620700000000001</v>
      </c>
      <c r="BM41" s="769">
        <v>3.9328989999999999</v>
      </c>
      <c r="BN41" s="769">
        <v>4.3679899999999998</v>
      </c>
      <c r="BO41" s="769">
        <v>4.8027860000000002</v>
      </c>
      <c r="BP41" s="769">
        <v>4.8547630000000002</v>
      </c>
      <c r="BQ41" s="769">
        <v>5.0206920000000004</v>
      </c>
      <c r="BR41" s="769">
        <v>4.8474449999999996</v>
      </c>
      <c r="BS41" s="769">
        <v>4.3334979999999996</v>
      </c>
      <c r="BT41" s="769">
        <v>3.874349</v>
      </c>
      <c r="BU41" s="769">
        <v>3.0988769999999999</v>
      </c>
      <c r="BV41" s="769">
        <v>2.8640810000000001</v>
      </c>
    </row>
    <row r="42" spans="1:74" ht="12" customHeight="1" x14ac:dyDescent="0.3">
      <c r="A42" s="722" t="s">
        <v>1109</v>
      </c>
      <c r="B42" s="720" t="s">
        <v>1110</v>
      </c>
      <c r="C42" s="770" t="s">
        <v>1123</v>
      </c>
      <c r="D42" s="770" t="s">
        <v>1123</v>
      </c>
      <c r="E42" s="770" t="s">
        <v>1123</v>
      </c>
      <c r="F42" s="770" t="s">
        <v>1123</v>
      </c>
      <c r="G42" s="770" t="s">
        <v>1123</v>
      </c>
      <c r="H42" s="770" t="s">
        <v>1123</v>
      </c>
      <c r="I42" s="770" t="s">
        <v>1123</v>
      </c>
      <c r="J42" s="770" t="s">
        <v>1123</v>
      </c>
      <c r="K42" s="770" t="s">
        <v>1123</v>
      </c>
      <c r="L42" s="770" t="s">
        <v>1123</v>
      </c>
      <c r="M42" s="770" t="s">
        <v>1123</v>
      </c>
      <c r="N42" s="770" t="s">
        <v>1123</v>
      </c>
      <c r="O42" s="768">
        <v>0.70291289999999995</v>
      </c>
      <c r="P42" s="768">
        <v>0.78945419999999999</v>
      </c>
      <c r="Q42" s="768">
        <v>1.146679</v>
      </c>
      <c r="R42" s="768">
        <v>1.2831440000000001</v>
      </c>
      <c r="S42" s="768">
        <v>1.414857</v>
      </c>
      <c r="T42" s="768">
        <v>1.4687779999999999</v>
      </c>
      <c r="U42" s="768">
        <v>1.494756</v>
      </c>
      <c r="V42" s="768">
        <v>1.4458660000000001</v>
      </c>
      <c r="W42" s="768">
        <v>1.293315</v>
      </c>
      <c r="X42" s="768">
        <v>1.1567320000000001</v>
      </c>
      <c r="Y42" s="768">
        <v>0.90373829999999999</v>
      </c>
      <c r="Z42" s="768">
        <v>0.84138029999999997</v>
      </c>
      <c r="AA42" s="768">
        <v>0.92057120000000003</v>
      </c>
      <c r="AB42" s="768">
        <v>1.006591</v>
      </c>
      <c r="AC42" s="768">
        <v>1.3933279999999999</v>
      </c>
      <c r="AD42" s="768">
        <v>1.5921460000000001</v>
      </c>
      <c r="AE42" s="768">
        <v>1.752683</v>
      </c>
      <c r="AF42" s="768">
        <v>1.7880149999999999</v>
      </c>
      <c r="AG42" s="768">
        <v>1.83369</v>
      </c>
      <c r="AH42" s="768">
        <v>1.7563960000000001</v>
      </c>
      <c r="AI42" s="768">
        <v>1.539126</v>
      </c>
      <c r="AJ42" s="768">
        <v>1.3854610000000001</v>
      </c>
      <c r="AK42" s="768">
        <v>1.107985</v>
      </c>
      <c r="AL42" s="768">
        <v>1.028886</v>
      </c>
      <c r="AM42" s="768">
        <v>1.105715</v>
      </c>
      <c r="AN42" s="768">
        <v>1.2040040000000001</v>
      </c>
      <c r="AO42" s="768">
        <v>1.7258309999999999</v>
      </c>
      <c r="AP42" s="768">
        <v>1.9339740000000001</v>
      </c>
      <c r="AQ42" s="768">
        <v>2.128628</v>
      </c>
      <c r="AR42" s="768">
        <v>2.1743220000000001</v>
      </c>
      <c r="AS42" s="768">
        <v>2.2670560000000002</v>
      </c>
      <c r="AT42" s="768">
        <v>2.1834959999999999</v>
      </c>
      <c r="AU42" s="768">
        <v>1.928523</v>
      </c>
      <c r="AV42" s="768">
        <v>1.6962759999999999</v>
      </c>
      <c r="AW42" s="768">
        <v>1.3456790000000001</v>
      </c>
      <c r="AX42" s="768">
        <v>1.2087920000000001</v>
      </c>
      <c r="AY42" s="768">
        <v>1.369254</v>
      </c>
      <c r="AZ42" s="768">
        <v>1.5660829999999999</v>
      </c>
      <c r="BA42" s="768">
        <v>2.033731</v>
      </c>
      <c r="BB42" s="768">
        <v>2.2934549999999998</v>
      </c>
      <c r="BC42" s="768">
        <v>2.592632</v>
      </c>
      <c r="BD42" s="768">
        <v>2.591666</v>
      </c>
      <c r="BE42" s="768">
        <v>2.6675469999999999</v>
      </c>
      <c r="BF42" s="768">
        <v>2.5720559999999999</v>
      </c>
      <c r="BG42" s="769">
        <v>2.279585</v>
      </c>
      <c r="BH42" s="769">
        <v>2.0313400000000001</v>
      </c>
      <c r="BI42" s="769">
        <v>1.625656</v>
      </c>
      <c r="BJ42" s="769">
        <v>1.478467</v>
      </c>
      <c r="BK42" s="769">
        <v>1.556487</v>
      </c>
      <c r="BL42" s="769">
        <v>1.725595</v>
      </c>
      <c r="BM42" s="769">
        <v>2.3922789999999998</v>
      </c>
      <c r="BN42" s="769">
        <v>2.6788660000000002</v>
      </c>
      <c r="BO42" s="769">
        <v>2.953554</v>
      </c>
      <c r="BP42" s="769">
        <v>2.9971369999999999</v>
      </c>
      <c r="BQ42" s="769">
        <v>3.0933999999999999</v>
      </c>
      <c r="BR42" s="769">
        <v>2.9913949999999998</v>
      </c>
      <c r="BS42" s="769">
        <v>2.6600670000000002</v>
      </c>
      <c r="BT42" s="769">
        <v>2.3783609999999999</v>
      </c>
      <c r="BU42" s="769">
        <v>1.912444</v>
      </c>
      <c r="BV42" s="769">
        <v>1.7458290000000001</v>
      </c>
    </row>
    <row r="43" spans="1:74" ht="12" customHeight="1" x14ac:dyDescent="0.3">
      <c r="A43" s="722" t="s">
        <v>1111</v>
      </c>
      <c r="B43" s="720" t="s">
        <v>1112</v>
      </c>
      <c r="C43" s="770" t="s">
        <v>1123</v>
      </c>
      <c r="D43" s="770" t="s">
        <v>1123</v>
      </c>
      <c r="E43" s="770" t="s">
        <v>1123</v>
      </c>
      <c r="F43" s="770" t="s">
        <v>1123</v>
      </c>
      <c r="G43" s="770" t="s">
        <v>1123</v>
      </c>
      <c r="H43" s="770" t="s">
        <v>1123</v>
      </c>
      <c r="I43" s="770" t="s">
        <v>1123</v>
      </c>
      <c r="J43" s="770" t="s">
        <v>1123</v>
      </c>
      <c r="K43" s="770" t="s">
        <v>1123</v>
      </c>
      <c r="L43" s="770" t="s">
        <v>1123</v>
      </c>
      <c r="M43" s="770" t="s">
        <v>1123</v>
      </c>
      <c r="N43" s="770" t="s">
        <v>1123</v>
      </c>
      <c r="O43" s="768">
        <v>0.42040230000000001</v>
      </c>
      <c r="P43" s="768">
        <v>0.45801829999999999</v>
      </c>
      <c r="Q43" s="768">
        <v>0.62904020000000005</v>
      </c>
      <c r="R43" s="768">
        <v>0.69866640000000002</v>
      </c>
      <c r="S43" s="768">
        <v>0.76976489999999997</v>
      </c>
      <c r="T43" s="768">
        <v>0.77729939999999997</v>
      </c>
      <c r="U43" s="768">
        <v>0.80770189999999997</v>
      </c>
      <c r="V43" s="768">
        <v>0.78782940000000001</v>
      </c>
      <c r="W43" s="768">
        <v>0.70937629999999996</v>
      </c>
      <c r="X43" s="768">
        <v>0.63244069999999997</v>
      </c>
      <c r="Y43" s="768">
        <v>0.50179770000000001</v>
      </c>
      <c r="Z43" s="768">
        <v>0.49223479999999997</v>
      </c>
      <c r="AA43" s="768">
        <v>0.55241600000000002</v>
      </c>
      <c r="AB43" s="768">
        <v>0.60466540000000002</v>
      </c>
      <c r="AC43" s="768">
        <v>0.81957259999999998</v>
      </c>
      <c r="AD43" s="768">
        <v>0.90681849999999997</v>
      </c>
      <c r="AE43" s="768">
        <v>0.99179779999999995</v>
      </c>
      <c r="AF43" s="768">
        <v>1.003017</v>
      </c>
      <c r="AG43" s="768">
        <v>1.035973</v>
      </c>
      <c r="AH43" s="768">
        <v>0.99261509999999997</v>
      </c>
      <c r="AI43" s="768">
        <v>0.89281999999999995</v>
      </c>
      <c r="AJ43" s="768">
        <v>0.78632239999999998</v>
      </c>
      <c r="AK43" s="768">
        <v>0.62342390000000003</v>
      </c>
      <c r="AL43" s="768">
        <v>0.58892520000000004</v>
      </c>
      <c r="AM43" s="768">
        <v>0.63229610000000003</v>
      </c>
      <c r="AN43" s="768">
        <v>0.67970489999999995</v>
      </c>
      <c r="AO43" s="768">
        <v>0.93844890000000003</v>
      </c>
      <c r="AP43" s="768">
        <v>1.04155</v>
      </c>
      <c r="AQ43" s="768">
        <v>1.121218</v>
      </c>
      <c r="AR43" s="768">
        <v>1.129802</v>
      </c>
      <c r="AS43" s="768">
        <v>1.1842360000000001</v>
      </c>
      <c r="AT43" s="768">
        <v>1.1282749999999999</v>
      </c>
      <c r="AU43" s="768">
        <v>1.005863</v>
      </c>
      <c r="AV43" s="768">
        <v>0.88951559999999996</v>
      </c>
      <c r="AW43" s="768">
        <v>0.68777290000000002</v>
      </c>
      <c r="AX43" s="768">
        <v>0.65830920000000004</v>
      </c>
      <c r="AY43" s="768">
        <v>0.73246449999999996</v>
      </c>
      <c r="AZ43" s="768">
        <v>0.83021940000000005</v>
      </c>
      <c r="BA43" s="768">
        <v>1.082541</v>
      </c>
      <c r="BB43" s="768">
        <v>1.191892</v>
      </c>
      <c r="BC43" s="768">
        <v>1.3033220000000001</v>
      </c>
      <c r="BD43" s="768">
        <v>1.3114459999999999</v>
      </c>
      <c r="BE43" s="768">
        <v>1.3353470000000001</v>
      </c>
      <c r="BF43" s="768">
        <v>1.272915</v>
      </c>
      <c r="BG43" s="769">
        <v>1.1381049999999999</v>
      </c>
      <c r="BH43" s="769">
        <v>1.0051300000000001</v>
      </c>
      <c r="BI43" s="769">
        <v>0.79482770000000003</v>
      </c>
      <c r="BJ43" s="769">
        <v>0.75515390000000004</v>
      </c>
      <c r="BK43" s="769">
        <v>0.81390799999999996</v>
      </c>
      <c r="BL43" s="769">
        <v>0.90145589999999998</v>
      </c>
      <c r="BM43" s="769">
        <v>1.2100660000000001</v>
      </c>
      <c r="BN43" s="769">
        <v>1.331037</v>
      </c>
      <c r="BO43" s="769">
        <v>1.454053</v>
      </c>
      <c r="BP43" s="769">
        <v>1.461314</v>
      </c>
      <c r="BQ43" s="769">
        <v>1.5175670000000001</v>
      </c>
      <c r="BR43" s="769">
        <v>1.4578720000000001</v>
      </c>
      <c r="BS43" s="769">
        <v>1.3125309999999999</v>
      </c>
      <c r="BT43" s="769">
        <v>1.165959</v>
      </c>
      <c r="BU43" s="769">
        <v>0.92643370000000003</v>
      </c>
      <c r="BV43" s="769">
        <v>0.88338539999999999</v>
      </c>
    </row>
    <row r="44" spans="1:74" ht="12" customHeight="1" x14ac:dyDescent="0.3">
      <c r="A44" s="722" t="s">
        <v>1113</v>
      </c>
      <c r="B44" s="720" t="s">
        <v>1114</v>
      </c>
      <c r="C44" s="770" t="s">
        <v>1123</v>
      </c>
      <c r="D44" s="770" t="s">
        <v>1123</v>
      </c>
      <c r="E44" s="770" t="s">
        <v>1123</v>
      </c>
      <c r="F44" s="770" t="s">
        <v>1123</v>
      </c>
      <c r="G44" s="770" t="s">
        <v>1123</v>
      </c>
      <c r="H44" s="770" t="s">
        <v>1123</v>
      </c>
      <c r="I44" s="770" t="s">
        <v>1123</v>
      </c>
      <c r="J44" s="770" t="s">
        <v>1123</v>
      </c>
      <c r="K44" s="770" t="s">
        <v>1123</v>
      </c>
      <c r="L44" s="770" t="s">
        <v>1123</v>
      </c>
      <c r="M44" s="770" t="s">
        <v>1123</v>
      </c>
      <c r="N44" s="770" t="s">
        <v>1123</v>
      </c>
      <c r="O44" s="768">
        <v>0.1227153</v>
      </c>
      <c r="P44" s="768">
        <v>0.13668230000000001</v>
      </c>
      <c r="Q44" s="768">
        <v>0.19673860000000001</v>
      </c>
      <c r="R44" s="768">
        <v>0.2133149</v>
      </c>
      <c r="S44" s="768">
        <v>0.23856620000000001</v>
      </c>
      <c r="T44" s="768">
        <v>0.24069399999999999</v>
      </c>
      <c r="U44" s="768">
        <v>0.25218810000000003</v>
      </c>
      <c r="V44" s="768">
        <v>0.24594079999999999</v>
      </c>
      <c r="W44" s="768">
        <v>0.22268789999999999</v>
      </c>
      <c r="X44" s="768">
        <v>0.20076179999999999</v>
      </c>
      <c r="Y44" s="768">
        <v>0.15556980000000001</v>
      </c>
      <c r="Z44" s="768">
        <v>0.13823859999999999</v>
      </c>
      <c r="AA44" s="768">
        <v>0.14637259999999999</v>
      </c>
      <c r="AB44" s="768">
        <v>0.15508440000000001</v>
      </c>
      <c r="AC44" s="768">
        <v>0.22105710000000001</v>
      </c>
      <c r="AD44" s="768">
        <v>0.24074670000000001</v>
      </c>
      <c r="AE44" s="768">
        <v>0.26672879999999999</v>
      </c>
      <c r="AF44" s="768">
        <v>0.26807880000000001</v>
      </c>
      <c r="AG44" s="768">
        <v>0.27675689999999997</v>
      </c>
      <c r="AH44" s="768">
        <v>0.26788869999999998</v>
      </c>
      <c r="AI44" s="768">
        <v>0.24238750000000001</v>
      </c>
      <c r="AJ44" s="768">
        <v>0.21999179999999999</v>
      </c>
      <c r="AK44" s="768">
        <v>0.1738731</v>
      </c>
      <c r="AL44" s="768">
        <v>0.1570618</v>
      </c>
      <c r="AM44" s="768">
        <v>0.16782710000000001</v>
      </c>
      <c r="AN44" s="768">
        <v>0.1778199</v>
      </c>
      <c r="AO44" s="768">
        <v>0.25413259999999999</v>
      </c>
      <c r="AP44" s="768">
        <v>0.27762979999999998</v>
      </c>
      <c r="AQ44" s="768">
        <v>0.30860799999999999</v>
      </c>
      <c r="AR44" s="768">
        <v>0.31050129999999998</v>
      </c>
      <c r="AS44" s="768">
        <v>0.32066600000000001</v>
      </c>
      <c r="AT44" s="768">
        <v>0.31087559999999997</v>
      </c>
      <c r="AU44" s="768">
        <v>0.28119909999999998</v>
      </c>
      <c r="AV44" s="768">
        <v>0.25463079999999999</v>
      </c>
      <c r="AW44" s="768">
        <v>0.19826569999999999</v>
      </c>
      <c r="AX44" s="768">
        <v>0.17921129999999999</v>
      </c>
      <c r="AY44" s="768">
        <v>0.1917267</v>
      </c>
      <c r="AZ44" s="768">
        <v>0.2126132</v>
      </c>
      <c r="BA44" s="768">
        <v>0.29299950000000002</v>
      </c>
      <c r="BB44" s="768">
        <v>0.31586370000000003</v>
      </c>
      <c r="BC44" s="768">
        <v>0.3493018</v>
      </c>
      <c r="BD44" s="768">
        <v>0.35487610000000003</v>
      </c>
      <c r="BE44" s="768">
        <v>0.3648016</v>
      </c>
      <c r="BF44" s="768">
        <v>0.35390450000000001</v>
      </c>
      <c r="BG44" s="769">
        <v>0.32021880000000003</v>
      </c>
      <c r="BH44" s="769">
        <v>0.29244239999999999</v>
      </c>
      <c r="BI44" s="769">
        <v>0.2300528</v>
      </c>
      <c r="BJ44" s="769">
        <v>0.2076906</v>
      </c>
      <c r="BK44" s="769">
        <v>0.2195098</v>
      </c>
      <c r="BL44" s="769">
        <v>0.23501949999999999</v>
      </c>
      <c r="BM44" s="769">
        <v>0.33055380000000001</v>
      </c>
      <c r="BN44" s="769">
        <v>0.35808679999999998</v>
      </c>
      <c r="BO44" s="769">
        <v>0.39517839999999999</v>
      </c>
      <c r="BP44" s="769">
        <v>0.39631260000000001</v>
      </c>
      <c r="BQ44" s="769">
        <v>0.4097249</v>
      </c>
      <c r="BR44" s="769">
        <v>0.39817839999999999</v>
      </c>
      <c r="BS44" s="769">
        <v>0.3609002</v>
      </c>
      <c r="BT44" s="769">
        <v>0.3300284</v>
      </c>
      <c r="BU44" s="769">
        <v>0.2599996</v>
      </c>
      <c r="BV44" s="769">
        <v>0.23486609999999999</v>
      </c>
    </row>
    <row r="45" spans="1:74" ht="12" customHeight="1" x14ac:dyDescent="0.3">
      <c r="A45" s="726" t="s">
        <v>1356</v>
      </c>
      <c r="B45" s="727" t="s">
        <v>1107</v>
      </c>
      <c r="C45" s="771">
        <v>1.9517471000000002E-2</v>
      </c>
      <c r="D45" s="771">
        <v>1.9793116999999999E-2</v>
      </c>
      <c r="E45" s="771">
        <v>1.9617084E-2</v>
      </c>
      <c r="F45" s="771">
        <v>1.8342290000000001E-2</v>
      </c>
      <c r="G45" s="771">
        <v>1.5909138999999999E-2</v>
      </c>
      <c r="H45" s="771">
        <v>1.3609936E-2</v>
      </c>
      <c r="I45" s="771">
        <v>1.3247063E-2</v>
      </c>
      <c r="J45" s="771">
        <v>1.0496735E-2</v>
      </c>
      <c r="K45" s="771">
        <v>1.2960380000000001E-2</v>
      </c>
      <c r="L45" s="771">
        <v>1.7448852000000001E-2</v>
      </c>
      <c r="M45" s="771">
        <v>1.7821809000000001E-2</v>
      </c>
      <c r="N45" s="771">
        <v>2.3505194E-2</v>
      </c>
      <c r="O45" s="771">
        <v>1.8728827999999999E-2</v>
      </c>
      <c r="P45" s="771">
        <v>1.9014376999999999E-2</v>
      </c>
      <c r="Q45" s="771">
        <v>2.5070169999999999E-2</v>
      </c>
      <c r="R45" s="771">
        <v>2.2301062999999999E-2</v>
      </c>
      <c r="S45" s="771">
        <v>2.0590589999999999E-2</v>
      </c>
      <c r="T45" s="771">
        <v>1.7642636E-2</v>
      </c>
      <c r="U45" s="771">
        <v>1.2293243000000001E-2</v>
      </c>
      <c r="V45" s="771">
        <v>9.5840270000000002E-3</v>
      </c>
      <c r="W45" s="771">
        <v>1.5368834E-2</v>
      </c>
      <c r="X45" s="771">
        <v>2.2710237000000001E-2</v>
      </c>
      <c r="Y45" s="771">
        <v>2.2600076E-2</v>
      </c>
      <c r="Z45" s="771">
        <v>2.2772737000000001E-2</v>
      </c>
      <c r="AA45" s="771">
        <v>2.8769092E-2</v>
      </c>
      <c r="AB45" s="771">
        <v>2.4469085000000002E-2</v>
      </c>
      <c r="AC45" s="771">
        <v>2.8684975000000001E-2</v>
      </c>
      <c r="AD45" s="771">
        <v>2.4666243000000001E-2</v>
      </c>
      <c r="AE45" s="771">
        <v>2.1552110999999999E-2</v>
      </c>
      <c r="AF45" s="771">
        <v>2.0091444E-2</v>
      </c>
      <c r="AG45" s="771">
        <v>1.4932254000000001E-2</v>
      </c>
      <c r="AH45" s="771">
        <v>1.6232923999999999E-2</v>
      </c>
      <c r="AI45" s="771">
        <v>1.7875326E-2</v>
      </c>
      <c r="AJ45" s="771">
        <v>2.4262622000000001E-2</v>
      </c>
      <c r="AK45" s="771">
        <v>2.4714403999999999E-2</v>
      </c>
      <c r="AL45" s="771">
        <v>2.4774449E-2</v>
      </c>
      <c r="AM45" s="771">
        <v>2.5189129000000001E-2</v>
      </c>
      <c r="AN45" s="771">
        <v>2.3718517000000001E-2</v>
      </c>
      <c r="AO45" s="771">
        <v>2.5919057999999998E-2</v>
      </c>
      <c r="AP45" s="771">
        <v>2.9930890000000002E-2</v>
      </c>
      <c r="AQ45" s="771">
        <v>2.5475147E-2</v>
      </c>
      <c r="AR45" s="771">
        <v>2.3144643999999999E-2</v>
      </c>
      <c r="AS45" s="771">
        <v>2.0338077999999999E-2</v>
      </c>
      <c r="AT45" s="771">
        <v>1.7618169999999999E-2</v>
      </c>
      <c r="AU45" s="771">
        <v>2.122305E-2</v>
      </c>
      <c r="AV45" s="771">
        <v>2.5551015E-2</v>
      </c>
      <c r="AW45" s="771">
        <v>2.3547019999999998E-2</v>
      </c>
      <c r="AX45" s="771">
        <v>2.4770411999999999E-2</v>
      </c>
      <c r="AY45" s="771">
        <v>2.5467228000000001E-2</v>
      </c>
      <c r="AZ45" s="771">
        <v>2.6754644000000001E-2</v>
      </c>
      <c r="BA45" s="771">
        <v>2.7255397000000001E-2</v>
      </c>
      <c r="BB45" s="771">
        <v>2.8265202999999999E-2</v>
      </c>
      <c r="BC45" s="771">
        <v>2.5044905999999999E-2</v>
      </c>
      <c r="BD45" s="771">
        <v>7.7162495999999997E-2</v>
      </c>
      <c r="BE45" s="771">
        <v>8.0575800000000003E-2</v>
      </c>
      <c r="BF45" s="771">
        <v>7.7580399999999994E-2</v>
      </c>
      <c r="BG45" s="772">
        <v>7.4762300000000004E-2</v>
      </c>
      <c r="BH45" s="772">
        <v>7.8992499999999993E-2</v>
      </c>
      <c r="BI45" s="772">
        <v>7.6278200000000004E-2</v>
      </c>
      <c r="BJ45" s="772">
        <v>7.7157699999999996E-2</v>
      </c>
      <c r="BK45" s="772">
        <v>7.6712199999999994E-2</v>
      </c>
      <c r="BL45" s="772">
        <v>6.86663E-2</v>
      </c>
      <c r="BM45" s="772">
        <v>7.5992500000000004E-2</v>
      </c>
      <c r="BN45" s="772">
        <v>7.3724499999999998E-2</v>
      </c>
      <c r="BO45" s="772">
        <v>7.3681099999999999E-2</v>
      </c>
      <c r="BP45" s="772">
        <v>6.9895700000000005E-2</v>
      </c>
      <c r="BQ45" s="772">
        <v>6.9399000000000002E-2</v>
      </c>
      <c r="BR45" s="772">
        <v>6.8287500000000001E-2</v>
      </c>
      <c r="BS45" s="772">
        <v>6.8165100000000006E-2</v>
      </c>
      <c r="BT45" s="772">
        <v>7.4288199999999999E-2</v>
      </c>
      <c r="BU45" s="772">
        <v>7.3242699999999994E-2</v>
      </c>
      <c r="BV45" s="772">
        <v>7.5109200000000001E-2</v>
      </c>
    </row>
    <row r="46" spans="1:74" ht="12" customHeight="1" x14ac:dyDescent="0.3">
      <c r="A46" s="728"/>
      <c r="B46" s="731" t="s">
        <v>1122</v>
      </c>
      <c r="C46" s="729"/>
      <c r="D46" s="729"/>
      <c r="E46" s="729"/>
      <c r="F46" s="729"/>
      <c r="G46" s="729"/>
      <c r="H46" s="729"/>
      <c r="I46" s="729"/>
      <c r="J46" s="729"/>
      <c r="K46" s="729"/>
      <c r="L46" s="729"/>
      <c r="M46" s="729"/>
      <c r="N46" s="729"/>
      <c r="O46" s="729"/>
      <c r="P46" s="729"/>
      <c r="Q46" s="729"/>
      <c r="R46" s="730"/>
      <c r="S46" s="730"/>
      <c r="T46" s="730"/>
      <c r="U46" s="730"/>
      <c r="V46" s="730"/>
      <c r="W46" s="730"/>
      <c r="X46" s="730"/>
      <c r="Y46" s="730"/>
      <c r="Z46" s="730"/>
      <c r="AA46" s="730"/>
      <c r="AB46" s="730"/>
      <c r="AC46" s="730"/>
      <c r="AD46" s="730"/>
      <c r="AE46" s="730"/>
      <c r="AF46" s="730"/>
      <c r="AG46" s="730"/>
      <c r="AH46" s="730"/>
      <c r="AI46" s="730"/>
      <c r="AJ46" s="730"/>
      <c r="AK46" s="730"/>
      <c r="AL46" s="730"/>
      <c r="AM46" s="730"/>
      <c r="AN46" s="730"/>
      <c r="AO46" s="730"/>
      <c r="AP46" s="730"/>
      <c r="AQ46" s="730"/>
      <c r="AR46" s="730"/>
      <c r="AS46" s="730"/>
      <c r="AT46" s="730"/>
      <c r="AU46" s="730"/>
      <c r="AV46" s="730"/>
      <c r="AW46" s="730"/>
      <c r="AX46" s="730"/>
      <c r="AY46" s="730"/>
      <c r="AZ46" s="730"/>
      <c r="BA46" s="730"/>
      <c r="BB46" s="730"/>
      <c r="BC46" s="730"/>
      <c r="BD46" s="743"/>
      <c r="BE46" s="743"/>
      <c r="BF46" s="743"/>
      <c r="BG46" s="730"/>
      <c r="BH46" s="730"/>
      <c r="BI46" s="730"/>
      <c r="BJ46" s="730"/>
      <c r="BK46" s="730"/>
      <c r="BL46" s="730"/>
      <c r="BM46" s="730"/>
      <c r="BN46" s="730"/>
      <c r="BO46" s="730"/>
      <c r="BP46" s="730"/>
      <c r="BQ46" s="730"/>
      <c r="BR46" s="730"/>
      <c r="BS46" s="730"/>
      <c r="BT46" s="730"/>
      <c r="BU46" s="730"/>
      <c r="BV46" s="730"/>
    </row>
    <row r="47" spans="1:74" ht="12" customHeight="1" x14ac:dyDescent="0.3">
      <c r="A47" s="722"/>
      <c r="B47" s="717" t="s">
        <v>1119</v>
      </c>
      <c r="C47" s="717"/>
      <c r="D47" s="717"/>
      <c r="E47" s="717"/>
      <c r="F47" s="717"/>
      <c r="G47" s="717"/>
      <c r="H47" s="717"/>
      <c r="I47" s="717"/>
      <c r="J47" s="717"/>
      <c r="K47" s="717"/>
      <c r="L47" s="717"/>
      <c r="M47" s="717"/>
      <c r="N47" s="717"/>
      <c r="O47" s="717"/>
      <c r="P47" s="717"/>
      <c r="Q47" s="717"/>
    </row>
    <row r="48" spans="1:74" ht="12" customHeight="1" x14ac:dyDescent="0.3">
      <c r="A48" s="722"/>
      <c r="B48" s="717" t="s">
        <v>1115</v>
      </c>
      <c r="C48" s="717"/>
      <c r="D48" s="717"/>
      <c r="E48" s="717"/>
      <c r="F48" s="717"/>
      <c r="G48" s="717"/>
      <c r="H48" s="717"/>
      <c r="I48" s="717"/>
      <c r="J48" s="717"/>
      <c r="K48" s="717"/>
      <c r="L48" s="717"/>
      <c r="M48" s="717"/>
      <c r="N48" s="717"/>
      <c r="O48" s="717"/>
      <c r="P48" s="717"/>
      <c r="Q48" s="717"/>
    </row>
    <row r="49" spans="1:17" ht="12" customHeight="1" x14ac:dyDescent="0.3">
      <c r="A49" s="722"/>
      <c r="B49" s="717" t="s">
        <v>1116</v>
      </c>
      <c r="C49" s="717"/>
      <c r="D49" s="717"/>
      <c r="E49" s="717"/>
      <c r="F49" s="717"/>
      <c r="G49" s="717"/>
      <c r="H49" s="717"/>
      <c r="I49" s="717"/>
      <c r="J49" s="717"/>
      <c r="K49" s="717"/>
      <c r="L49" s="717"/>
      <c r="M49" s="717"/>
      <c r="N49" s="717"/>
      <c r="O49" s="717"/>
      <c r="P49" s="717"/>
      <c r="Q49" s="717"/>
    </row>
    <row r="50" spans="1:17" ht="12" customHeight="1" x14ac:dyDescent="0.3">
      <c r="A50" s="722"/>
      <c r="B50" s="717" t="s">
        <v>1117</v>
      </c>
      <c r="C50" s="717"/>
      <c r="D50" s="717"/>
      <c r="E50" s="717"/>
      <c r="F50" s="717"/>
      <c r="G50" s="717"/>
      <c r="H50" s="717"/>
      <c r="I50" s="717"/>
      <c r="J50" s="717"/>
      <c r="K50" s="717"/>
      <c r="L50" s="717"/>
      <c r="M50" s="717"/>
      <c r="N50" s="717"/>
      <c r="O50" s="717"/>
      <c r="P50" s="717"/>
      <c r="Q50" s="717"/>
    </row>
    <row r="51" spans="1:17" ht="12" customHeight="1" x14ac:dyDescent="0.3">
      <c r="A51" s="722"/>
      <c r="B51" s="717" t="s">
        <v>1118</v>
      </c>
      <c r="C51" s="717"/>
      <c r="D51" s="717"/>
      <c r="E51" s="717"/>
      <c r="F51" s="717"/>
      <c r="G51" s="717"/>
      <c r="H51" s="717"/>
      <c r="I51" s="717"/>
      <c r="J51" s="717"/>
      <c r="K51" s="717"/>
      <c r="L51" s="717"/>
      <c r="M51" s="717"/>
      <c r="N51" s="717"/>
      <c r="O51" s="717"/>
      <c r="P51" s="717"/>
      <c r="Q51" s="717"/>
    </row>
    <row r="52" spans="1:17" ht="12" customHeight="1" x14ac:dyDescent="0.3">
      <c r="A52" s="722"/>
      <c r="B52" s="717" t="s">
        <v>1120</v>
      </c>
      <c r="C52" s="717"/>
      <c r="D52" s="717"/>
      <c r="E52" s="717"/>
      <c r="F52" s="717"/>
      <c r="G52" s="717"/>
      <c r="H52" s="717"/>
      <c r="I52" s="717"/>
      <c r="J52" s="717"/>
      <c r="K52" s="717"/>
      <c r="L52" s="717"/>
      <c r="M52" s="717"/>
      <c r="N52" s="717"/>
      <c r="O52" s="717"/>
      <c r="P52" s="717"/>
      <c r="Q52" s="717"/>
    </row>
    <row r="53" spans="1:17" ht="12" customHeight="1" x14ac:dyDescent="0.3">
      <c r="A53" s="722"/>
      <c r="B53" s="717" t="s">
        <v>855</v>
      </c>
      <c r="C53" s="717"/>
      <c r="D53" s="717"/>
      <c r="E53" s="717"/>
      <c r="F53" s="717"/>
      <c r="G53" s="717"/>
      <c r="H53" s="717"/>
      <c r="I53" s="717"/>
      <c r="J53" s="717"/>
      <c r="K53" s="717"/>
      <c r="L53" s="717"/>
      <c r="M53" s="717"/>
      <c r="N53" s="717"/>
      <c r="O53" s="717"/>
      <c r="P53" s="717"/>
      <c r="Q53" s="717"/>
    </row>
    <row r="54" spans="1:17" ht="12" customHeight="1" x14ac:dyDescent="0.3">
      <c r="A54" s="722"/>
      <c r="B54" s="717" t="s">
        <v>1121</v>
      </c>
      <c r="C54" s="717"/>
      <c r="D54" s="717"/>
      <c r="E54" s="717"/>
      <c r="F54" s="717"/>
      <c r="G54" s="717"/>
      <c r="H54" s="717"/>
      <c r="I54" s="717"/>
      <c r="J54" s="717"/>
      <c r="K54" s="717"/>
      <c r="L54" s="717"/>
      <c r="M54" s="717"/>
      <c r="N54" s="717"/>
      <c r="O54" s="717"/>
      <c r="P54" s="717"/>
      <c r="Q54" s="717"/>
    </row>
  </sheetData>
  <mergeCells count="7">
    <mergeCell ref="A1:A2"/>
    <mergeCell ref="BK3:BV3"/>
    <mergeCell ref="C3:N3"/>
    <mergeCell ref="O3:Z3"/>
    <mergeCell ref="AA3:AL3"/>
    <mergeCell ref="AM3:AX3"/>
    <mergeCell ref="AY3:BJ3"/>
  </mergeCells>
  <hyperlinks>
    <hyperlink ref="A1:A2" location="Contents!A1" display="Table of Contents"/>
  </hyperlinks>
  <pageMargins left="0.7" right="0.7" top="0.75" bottom="0.75" header="0.3" footer="0.3"/>
  <pageSetup orientation="portrait" verticalDpi="599"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Vertical="1" syncRef="BD5" transitionEvaluation="1" transitionEntry="1" codeName="Sheet6">
    <pageSetUpPr fitToPage="1"/>
  </sheetPr>
  <dimension ref="A1:BV160"/>
  <sheetViews>
    <sheetView showGridLines="0" workbookViewId="0">
      <pane xSplit="2" ySplit="4" topLeftCell="BD5" activePane="bottomRight" state="frozen"/>
      <selection activeCell="BF63" sqref="BF63"/>
      <selection pane="topRight" activeCell="BF63" sqref="BF63"/>
      <selection pane="bottomLeft" activeCell="BF63" sqref="BF63"/>
      <selection pane="bottomRight" activeCell="B1" sqref="B1:AL1"/>
    </sheetView>
  </sheetViews>
  <sheetFormatPr defaultColWidth="9.5546875" defaultRowHeight="10.199999999999999" x14ac:dyDescent="0.2"/>
  <cols>
    <col min="1" max="1" width="8.44140625" style="135" customWidth="1"/>
    <col min="2" max="2" width="42.5546875" style="135" customWidth="1"/>
    <col min="3" max="50" width="7.44140625" style="135" customWidth="1"/>
    <col min="51" max="55" width="7.44140625" style="355" customWidth="1"/>
    <col min="56" max="58" width="7.44140625" style="691" customWidth="1"/>
    <col min="59" max="62" width="7.44140625" style="355" customWidth="1"/>
    <col min="63" max="74" width="7.44140625" style="135" customWidth="1"/>
    <col min="75" max="16384" width="9.5546875" style="135"/>
  </cols>
  <sheetData>
    <row r="1" spans="1:74" ht="13.35" customHeight="1" x14ac:dyDescent="0.25">
      <c r="A1" s="797" t="s">
        <v>809</v>
      </c>
      <c r="B1" s="870" t="s">
        <v>1151</v>
      </c>
      <c r="C1" s="871"/>
      <c r="D1" s="871"/>
      <c r="E1" s="871"/>
      <c r="F1" s="871"/>
      <c r="G1" s="871"/>
      <c r="H1" s="871"/>
      <c r="I1" s="871"/>
      <c r="J1" s="871"/>
      <c r="K1" s="871"/>
      <c r="L1" s="871"/>
      <c r="M1" s="871"/>
      <c r="N1" s="871"/>
      <c r="O1" s="871"/>
      <c r="P1" s="871"/>
      <c r="Q1" s="871"/>
      <c r="R1" s="871"/>
      <c r="S1" s="871"/>
      <c r="T1" s="871"/>
      <c r="U1" s="871"/>
      <c r="V1" s="871"/>
      <c r="W1" s="871"/>
      <c r="X1" s="871"/>
      <c r="Y1" s="871"/>
      <c r="Z1" s="871"/>
      <c r="AA1" s="871"/>
      <c r="AB1" s="871"/>
      <c r="AC1" s="871"/>
      <c r="AD1" s="871"/>
      <c r="AE1" s="871"/>
      <c r="AF1" s="871"/>
      <c r="AG1" s="871"/>
      <c r="AH1" s="871"/>
      <c r="AI1" s="871"/>
      <c r="AJ1" s="871"/>
      <c r="AK1" s="871"/>
      <c r="AL1" s="871"/>
      <c r="AM1" s="258"/>
    </row>
    <row r="2" spans="1:74" s="47" customFormat="1" ht="13.2" x14ac:dyDescent="0.25">
      <c r="A2" s="798"/>
      <c r="B2" s="532" t="str">
        <f>"U.S. Energy Information Administration  |  Short-Term Energy Outlook  - "&amp;Dates!D1</f>
        <v>U.S. Energy Information Administration  |  Short-Term Energy Outlook  - September 2020</v>
      </c>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c r="AK2" s="533"/>
      <c r="AL2" s="533"/>
      <c r="AM2" s="298"/>
      <c r="AY2" s="402"/>
      <c r="AZ2" s="402"/>
      <c r="BA2" s="402"/>
      <c r="BB2" s="402"/>
      <c r="BC2" s="402"/>
      <c r="BD2" s="636"/>
      <c r="BE2" s="636"/>
      <c r="BF2" s="636"/>
      <c r="BG2" s="402"/>
      <c r="BH2" s="402"/>
      <c r="BI2" s="402"/>
      <c r="BJ2" s="402"/>
    </row>
    <row r="3" spans="1:74" s="12" customFormat="1" ht="13.2" x14ac:dyDescent="0.25">
      <c r="A3" s="14"/>
      <c r="B3" s="15"/>
      <c r="C3" s="806">
        <f>Dates!D3</f>
        <v>2016</v>
      </c>
      <c r="D3" s="802"/>
      <c r="E3" s="802"/>
      <c r="F3" s="802"/>
      <c r="G3" s="802"/>
      <c r="H3" s="802"/>
      <c r="I3" s="802"/>
      <c r="J3" s="802"/>
      <c r="K3" s="802"/>
      <c r="L3" s="802"/>
      <c r="M3" s="802"/>
      <c r="N3" s="803"/>
      <c r="O3" s="806">
        <f>C3+1</f>
        <v>2017</v>
      </c>
      <c r="P3" s="807"/>
      <c r="Q3" s="807"/>
      <c r="R3" s="807"/>
      <c r="S3" s="807"/>
      <c r="T3" s="807"/>
      <c r="U3" s="807"/>
      <c r="V3" s="807"/>
      <c r="W3" s="807"/>
      <c r="X3" s="802"/>
      <c r="Y3" s="802"/>
      <c r="Z3" s="803"/>
      <c r="AA3" s="799">
        <f>O3+1</f>
        <v>2018</v>
      </c>
      <c r="AB3" s="802"/>
      <c r="AC3" s="802"/>
      <c r="AD3" s="802"/>
      <c r="AE3" s="802"/>
      <c r="AF3" s="802"/>
      <c r="AG3" s="802"/>
      <c r="AH3" s="802"/>
      <c r="AI3" s="802"/>
      <c r="AJ3" s="802"/>
      <c r="AK3" s="802"/>
      <c r="AL3" s="803"/>
      <c r="AM3" s="799">
        <f>AA3+1</f>
        <v>2019</v>
      </c>
      <c r="AN3" s="802"/>
      <c r="AO3" s="802"/>
      <c r="AP3" s="802"/>
      <c r="AQ3" s="802"/>
      <c r="AR3" s="802"/>
      <c r="AS3" s="802"/>
      <c r="AT3" s="802"/>
      <c r="AU3" s="802"/>
      <c r="AV3" s="802"/>
      <c r="AW3" s="802"/>
      <c r="AX3" s="803"/>
      <c r="AY3" s="799">
        <f>AM3+1</f>
        <v>2020</v>
      </c>
      <c r="AZ3" s="800"/>
      <c r="BA3" s="800"/>
      <c r="BB3" s="800"/>
      <c r="BC3" s="800"/>
      <c r="BD3" s="800"/>
      <c r="BE3" s="800"/>
      <c r="BF3" s="800"/>
      <c r="BG3" s="800"/>
      <c r="BH3" s="800"/>
      <c r="BI3" s="800"/>
      <c r="BJ3" s="801"/>
      <c r="BK3" s="799">
        <f>AY3+1</f>
        <v>2021</v>
      </c>
      <c r="BL3" s="802"/>
      <c r="BM3" s="802"/>
      <c r="BN3" s="802"/>
      <c r="BO3" s="802"/>
      <c r="BP3" s="802"/>
      <c r="BQ3" s="802"/>
      <c r="BR3" s="802"/>
      <c r="BS3" s="802"/>
      <c r="BT3" s="802"/>
      <c r="BU3" s="802"/>
      <c r="BV3" s="803"/>
    </row>
    <row r="4" spans="1:74" s="12" customFormat="1" x14ac:dyDescent="0.2">
      <c r="A4" s="16"/>
      <c r="B4" s="17"/>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A5" s="140"/>
      <c r="B5" s="136" t="s">
        <v>805</v>
      </c>
      <c r="C5" s="137"/>
      <c r="D5" s="137"/>
      <c r="E5" s="137"/>
      <c r="F5" s="137"/>
      <c r="G5" s="137"/>
      <c r="H5" s="137"/>
      <c r="I5" s="137"/>
      <c r="J5" s="137"/>
      <c r="K5" s="137"/>
      <c r="L5" s="137"/>
      <c r="M5" s="137"/>
      <c r="N5" s="137"/>
      <c r="O5" s="137"/>
      <c r="P5" s="137"/>
      <c r="Q5" s="137"/>
      <c r="R5" s="137"/>
      <c r="S5" s="137"/>
      <c r="T5" s="137"/>
      <c r="U5" s="137"/>
      <c r="V5" s="137"/>
      <c r="W5" s="137"/>
      <c r="X5" s="137"/>
      <c r="Y5" s="137"/>
      <c r="Z5" s="137"/>
      <c r="AA5" s="137"/>
      <c r="AB5" s="137"/>
      <c r="AC5" s="137"/>
      <c r="AD5" s="137"/>
      <c r="AE5" s="137"/>
      <c r="AF5" s="137"/>
      <c r="AG5" s="137"/>
      <c r="AH5" s="137"/>
      <c r="AI5" s="137"/>
      <c r="AJ5" s="137"/>
      <c r="AK5" s="137"/>
      <c r="AL5" s="137"/>
      <c r="AM5" s="137"/>
      <c r="AN5" s="137"/>
      <c r="AO5" s="137"/>
      <c r="AP5" s="137"/>
      <c r="AQ5" s="137"/>
      <c r="AR5" s="137"/>
      <c r="AS5" s="137"/>
      <c r="AT5" s="137"/>
      <c r="AU5" s="137"/>
      <c r="AV5" s="137"/>
      <c r="AW5" s="137"/>
      <c r="AX5" s="137"/>
      <c r="AY5" s="413"/>
      <c r="AZ5" s="413"/>
      <c r="BA5" s="413"/>
      <c r="BB5" s="413"/>
      <c r="BC5" s="413"/>
      <c r="BD5" s="692"/>
      <c r="BE5" s="692"/>
      <c r="BF5" s="692"/>
      <c r="BG5" s="692"/>
      <c r="BH5" s="692"/>
      <c r="BI5" s="692"/>
      <c r="BJ5" s="413"/>
      <c r="BK5" s="413"/>
      <c r="BL5" s="413"/>
      <c r="BM5" s="413"/>
      <c r="BN5" s="413"/>
      <c r="BO5" s="413"/>
      <c r="BP5" s="413"/>
      <c r="BQ5" s="413"/>
      <c r="BR5" s="413"/>
      <c r="BS5" s="413"/>
      <c r="BT5" s="413"/>
      <c r="BU5" s="413"/>
      <c r="BV5" s="413"/>
    </row>
    <row r="6" spans="1:74" ht="11.1" customHeight="1" x14ac:dyDescent="0.2">
      <c r="A6" s="140"/>
      <c r="B6" s="36" t="s">
        <v>567</v>
      </c>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8"/>
      <c r="AV6" s="138"/>
      <c r="AW6" s="138"/>
      <c r="AX6" s="138"/>
      <c r="AY6" s="414"/>
      <c r="AZ6" s="414"/>
      <c r="BA6" s="414"/>
      <c r="BB6" s="414"/>
      <c r="BC6" s="414"/>
      <c r="BD6" s="414"/>
      <c r="BE6" s="414"/>
      <c r="BF6" s="414"/>
      <c r="BG6" s="414"/>
      <c r="BH6" s="414"/>
      <c r="BI6" s="414"/>
      <c r="BJ6" s="414"/>
      <c r="BK6" s="414"/>
      <c r="BL6" s="414"/>
      <c r="BM6" s="414"/>
      <c r="BN6" s="414"/>
      <c r="BO6" s="414"/>
      <c r="BP6" s="414"/>
      <c r="BQ6" s="414"/>
      <c r="BR6" s="414"/>
      <c r="BS6" s="414"/>
      <c r="BT6" s="414"/>
      <c r="BU6" s="414"/>
      <c r="BV6" s="414"/>
    </row>
    <row r="7" spans="1:74" ht="11.1" customHeight="1" x14ac:dyDescent="0.2">
      <c r="A7" s="140" t="s">
        <v>568</v>
      </c>
      <c r="B7" s="39" t="s">
        <v>1147</v>
      </c>
      <c r="C7" s="238">
        <v>17586.754148</v>
      </c>
      <c r="D7" s="238">
        <v>17614.90337</v>
      </c>
      <c r="E7" s="238">
        <v>17638.134481000001</v>
      </c>
      <c r="F7" s="238">
        <v>17643.779481000001</v>
      </c>
      <c r="G7" s="238">
        <v>17666.675370000001</v>
      </c>
      <c r="H7" s="238">
        <v>17694.154148000001</v>
      </c>
      <c r="I7" s="238">
        <v>17730.014332999999</v>
      </c>
      <c r="J7" s="238">
        <v>17763.810000000001</v>
      </c>
      <c r="K7" s="238">
        <v>17799.339667</v>
      </c>
      <c r="L7" s="238">
        <v>17840.496222000002</v>
      </c>
      <c r="M7" s="238">
        <v>17876.574221999999</v>
      </c>
      <c r="N7" s="238">
        <v>17911.466555999999</v>
      </c>
      <c r="O7" s="238">
        <v>17947.202259000002</v>
      </c>
      <c r="P7" s="238">
        <v>17978.201481</v>
      </c>
      <c r="Q7" s="238">
        <v>18006.493258999999</v>
      </c>
      <c r="R7" s="238">
        <v>18020.344556</v>
      </c>
      <c r="S7" s="238">
        <v>18052.021221999999</v>
      </c>
      <c r="T7" s="238">
        <v>18089.790222</v>
      </c>
      <c r="U7" s="238">
        <v>18135.521036999999</v>
      </c>
      <c r="V7" s="238">
        <v>18184.072593000001</v>
      </c>
      <c r="W7" s="238">
        <v>18237.31437</v>
      </c>
      <c r="X7" s="238">
        <v>18301.906666999999</v>
      </c>
      <c r="Y7" s="238">
        <v>18359.533667</v>
      </c>
      <c r="Z7" s="238">
        <v>18416.855667</v>
      </c>
      <c r="AA7" s="238">
        <v>18480.451333000001</v>
      </c>
      <c r="AB7" s="238">
        <v>18532.229332999999</v>
      </c>
      <c r="AC7" s="238">
        <v>18578.768333</v>
      </c>
      <c r="AD7" s="238">
        <v>18616.924185</v>
      </c>
      <c r="AE7" s="238">
        <v>18655.343295999999</v>
      </c>
      <c r="AF7" s="238">
        <v>18690.881518999999</v>
      </c>
      <c r="AG7" s="238">
        <v>18725.090852000001</v>
      </c>
      <c r="AH7" s="238">
        <v>18753.703296</v>
      </c>
      <c r="AI7" s="238">
        <v>18778.270852000001</v>
      </c>
      <c r="AJ7" s="238">
        <v>18782.310556</v>
      </c>
      <c r="AK7" s="238">
        <v>18811.150556000001</v>
      </c>
      <c r="AL7" s="238">
        <v>18848.307889</v>
      </c>
      <c r="AM7" s="238">
        <v>18914.675593</v>
      </c>
      <c r="AN7" s="238">
        <v>18952.797815000002</v>
      </c>
      <c r="AO7" s="238">
        <v>18983.567593</v>
      </c>
      <c r="AP7" s="238">
        <v>18989.641962999998</v>
      </c>
      <c r="AQ7" s="238">
        <v>19018.714074</v>
      </c>
      <c r="AR7" s="238">
        <v>19053.440963000001</v>
      </c>
      <c r="AS7" s="238">
        <v>19102.685296</v>
      </c>
      <c r="AT7" s="238">
        <v>19142.074741</v>
      </c>
      <c r="AU7" s="238">
        <v>19180.471963</v>
      </c>
      <c r="AV7" s="238">
        <v>19269.194888999999</v>
      </c>
      <c r="AW7" s="238">
        <v>19267.119222000001</v>
      </c>
      <c r="AX7" s="238">
        <v>19225.562889000001</v>
      </c>
      <c r="AY7" s="238">
        <v>19323.279815000002</v>
      </c>
      <c r="AZ7" s="238">
        <v>19068.696704000002</v>
      </c>
      <c r="BA7" s="238">
        <v>18640.567480999998</v>
      </c>
      <c r="BB7" s="238">
        <v>18038.892147999999</v>
      </c>
      <c r="BC7" s="238">
        <v>17263.670704</v>
      </c>
      <c r="BD7" s="238">
        <v>16314.903147999999</v>
      </c>
      <c r="BE7" s="238">
        <v>17932.212221999998</v>
      </c>
      <c r="BF7" s="238">
        <v>18159.242889000001</v>
      </c>
      <c r="BG7" s="329">
        <v>18304.57</v>
      </c>
      <c r="BH7" s="329">
        <v>18274.95</v>
      </c>
      <c r="BI7" s="329">
        <v>18326.830000000002</v>
      </c>
      <c r="BJ7" s="329">
        <v>18366.96</v>
      </c>
      <c r="BK7" s="329">
        <v>18356.990000000002</v>
      </c>
      <c r="BL7" s="329">
        <v>18402.37</v>
      </c>
      <c r="BM7" s="329">
        <v>18464.759999999998</v>
      </c>
      <c r="BN7" s="329">
        <v>18575.05</v>
      </c>
      <c r="BO7" s="329">
        <v>18648.27</v>
      </c>
      <c r="BP7" s="329">
        <v>18715.310000000001</v>
      </c>
      <c r="BQ7" s="329">
        <v>18766.55</v>
      </c>
      <c r="BR7" s="329">
        <v>18828.48</v>
      </c>
      <c r="BS7" s="329">
        <v>18891.47</v>
      </c>
      <c r="BT7" s="329">
        <v>18954.32</v>
      </c>
      <c r="BU7" s="329">
        <v>19020.32</v>
      </c>
      <c r="BV7" s="329">
        <v>19088.259999999998</v>
      </c>
    </row>
    <row r="8" spans="1:74" ht="11.1" customHeight="1" x14ac:dyDescent="0.2">
      <c r="A8" s="140"/>
      <c r="B8" s="36" t="s">
        <v>831</v>
      </c>
      <c r="C8" s="238"/>
      <c r="D8" s="238"/>
      <c r="E8" s="238"/>
      <c r="F8" s="238"/>
      <c r="G8" s="238"/>
      <c r="H8" s="238"/>
      <c r="I8" s="238"/>
      <c r="J8" s="238"/>
      <c r="K8" s="238"/>
      <c r="L8" s="238"/>
      <c r="M8" s="238"/>
      <c r="N8" s="238"/>
      <c r="O8" s="238"/>
      <c r="P8" s="238"/>
      <c r="Q8" s="238"/>
      <c r="R8" s="238"/>
      <c r="S8" s="238"/>
      <c r="T8" s="238"/>
      <c r="U8" s="238"/>
      <c r="V8" s="238"/>
      <c r="W8" s="238"/>
      <c r="X8" s="238"/>
      <c r="Y8" s="238"/>
      <c r="Z8" s="238"/>
      <c r="AA8" s="238"/>
      <c r="AB8" s="238"/>
      <c r="AC8" s="238"/>
      <c r="AD8" s="238"/>
      <c r="AE8" s="238"/>
      <c r="AF8" s="238"/>
      <c r="AG8" s="238"/>
      <c r="AH8" s="238"/>
      <c r="AI8" s="238"/>
      <c r="AJ8" s="238"/>
      <c r="AK8" s="238"/>
      <c r="AL8" s="238"/>
      <c r="AM8" s="238"/>
      <c r="AN8" s="238"/>
      <c r="AO8" s="238"/>
      <c r="AP8" s="238"/>
      <c r="AQ8" s="238"/>
      <c r="AR8" s="238"/>
      <c r="AS8" s="238"/>
      <c r="AT8" s="238"/>
      <c r="AU8" s="238"/>
      <c r="AV8" s="238"/>
      <c r="AW8" s="238"/>
      <c r="AX8" s="238"/>
      <c r="AY8" s="238"/>
      <c r="AZ8" s="238"/>
      <c r="BA8" s="238"/>
      <c r="BB8" s="238"/>
      <c r="BC8" s="238"/>
      <c r="BD8" s="329"/>
      <c r="BE8" s="329"/>
      <c r="BF8" s="329"/>
      <c r="BG8" s="329"/>
      <c r="BH8" s="329"/>
      <c r="BI8" s="329"/>
      <c r="BJ8" s="329"/>
      <c r="BK8" s="329"/>
      <c r="BL8" s="329"/>
      <c r="BM8" s="329"/>
      <c r="BN8" s="329"/>
      <c r="BO8" s="329"/>
      <c r="BP8" s="329"/>
      <c r="BQ8" s="329"/>
      <c r="BR8" s="329"/>
      <c r="BS8" s="329"/>
      <c r="BT8" s="329"/>
      <c r="BU8" s="329"/>
      <c r="BV8" s="329"/>
    </row>
    <row r="9" spans="1:74" ht="11.1" customHeight="1" x14ac:dyDescent="0.2">
      <c r="A9" s="140" t="s">
        <v>832</v>
      </c>
      <c r="B9" s="39" t="s">
        <v>1147</v>
      </c>
      <c r="C9" s="238">
        <v>12105.3</v>
      </c>
      <c r="D9" s="238">
        <v>12184.1</v>
      </c>
      <c r="E9" s="238">
        <v>12154.9</v>
      </c>
      <c r="F9" s="238">
        <v>12191.2</v>
      </c>
      <c r="G9" s="238">
        <v>12216.5</v>
      </c>
      <c r="H9" s="238">
        <v>12269.7</v>
      </c>
      <c r="I9" s="238">
        <v>12278.9</v>
      </c>
      <c r="J9" s="238">
        <v>12297.9</v>
      </c>
      <c r="K9" s="238">
        <v>12336.7</v>
      </c>
      <c r="L9" s="238">
        <v>12338</v>
      </c>
      <c r="M9" s="238">
        <v>12365.8</v>
      </c>
      <c r="N9" s="238">
        <v>12436.2</v>
      </c>
      <c r="O9" s="238">
        <v>12451.3</v>
      </c>
      <c r="P9" s="238">
        <v>12456.4</v>
      </c>
      <c r="Q9" s="238">
        <v>12524</v>
      </c>
      <c r="R9" s="238">
        <v>12519.5</v>
      </c>
      <c r="S9" s="238">
        <v>12523.9</v>
      </c>
      <c r="T9" s="238">
        <v>12555.9</v>
      </c>
      <c r="U9" s="238">
        <v>12574.6</v>
      </c>
      <c r="V9" s="238">
        <v>12585</v>
      </c>
      <c r="W9" s="238">
        <v>12654</v>
      </c>
      <c r="X9" s="238">
        <v>12668.5</v>
      </c>
      <c r="Y9" s="238">
        <v>12730.1</v>
      </c>
      <c r="Z9" s="238">
        <v>12802.6</v>
      </c>
      <c r="AA9" s="238">
        <v>12784.9</v>
      </c>
      <c r="AB9" s="238">
        <v>12777.1</v>
      </c>
      <c r="AC9" s="238">
        <v>12832.3</v>
      </c>
      <c r="AD9" s="238">
        <v>12864.5</v>
      </c>
      <c r="AE9" s="238">
        <v>12908.2</v>
      </c>
      <c r="AF9" s="238">
        <v>12921.6</v>
      </c>
      <c r="AG9" s="238">
        <v>12962.7</v>
      </c>
      <c r="AH9" s="238">
        <v>13002.1</v>
      </c>
      <c r="AI9" s="238">
        <v>12984.2</v>
      </c>
      <c r="AJ9" s="238">
        <v>13044.3</v>
      </c>
      <c r="AK9" s="238">
        <v>13086.4</v>
      </c>
      <c r="AL9" s="238">
        <v>12969.4</v>
      </c>
      <c r="AM9" s="238">
        <v>13065</v>
      </c>
      <c r="AN9" s="238">
        <v>13060.9</v>
      </c>
      <c r="AO9" s="238">
        <v>13153.6</v>
      </c>
      <c r="AP9" s="238">
        <v>13177.5</v>
      </c>
      <c r="AQ9" s="238">
        <v>13209.6</v>
      </c>
      <c r="AR9" s="238">
        <v>13251.3</v>
      </c>
      <c r="AS9" s="238">
        <v>13279</v>
      </c>
      <c r="AT9" s="238">
        <v>13305.5</v>
      </c>
      <c r="AU9" s="238">
        <v>13319.5</v>
      </c>
      <c r="AV9" s="238">
        <v>13344.3</v>
      </c>
      <c r="AW9" s="238">
        <v>13356.2</v>
      </c>
      <c r="AX9" s="238">
        <v>13360.6</v>
      </c>
      <c r="AY9" s="238">
        <v>13416.7</v>
      </c>
      <c r="AZ9" s="238">
        <v>13402.4</v>
      </c>
      <c r="BA9" s="238">
        <v>12536.1</v>
      </c>
      <c r="BB9" s="238">
        <v>10977.9</v>
      </c>
      <c r="BC9" s="238">
        <v>11894.5</v>
      </c>
      <c r="BD9" s="238">
        <v>12517.5</v>
      </c>
      <c r="BE9" s="238">
        <v>12437.681111</v>
      </c>
      <c r="BF9" s="238">
        <v>12627.791111</v>
      </c>
      <c r="BG9" s="329">
        <v>12739.65</v>
      </c>
      <c r="BH9" s="329">
        <v>12686.3</v>
      </c>
      <c r="BI9" s="329">
        <v>12706.89</v>
      </c>
      <c r="BJ9" s="329">
        <v>12714.46</v>
      </c>
      <c r="BK9" s="329">
        <v>12666.24</v>
      </c>
      <c r="BL9" s="329">
        <v>12679.86</v>
      </c>
      <c r="BM9" s="329">
        <v>12712.53</v>
      </c>
      <c r="BN9" s="329">
        <v>12796.07</v>
      </c>
      <c r="BO9" s="329">
        <v>12843.01</v>
      </c>
      <c r="BP9" s="329">
        <v>12885.15</v>
      </c>
      <c r="BQ9" s="329">
        <v>12912.55</v>
      </c>
      <c r="BR9" s="329">
        <v>12952.58</v>
      </c>
      <c r="BS9" s="329">
        <v>12995.27</v>
      </c>
      <c r="BT9" s="329">
        <v>13044.43</v>
      </c>
      <c r="BU9" s="329">
        <v>13089.62</v>
      </c>
      <c r="BV9" s="329">
        <v>13134.63</v>
      </c>
    </row>
    <row r="10" spans="1:74" ht="11.1" customHeight="1" x14ac:dyDescent="0.2">
      <c r="A10" s="140"/>
      <c r="B10" s="750" t="s">
        <v>1152</v>
      </c>
      <c r="C10" s="240"/>
      <c r="D10" s="240"/>
      <c r="E10" s="240"/>
      <c r="F10" s="240"/>
      <c r="G10" s="240"/>
      <c r="H10" s="240"/>
      <c r="I10" s="240"/>
      <c r="J10" s="240"/>
      <c r="K10" s="240"/>
      <c r="L10" s="240"/>
      <c r="M10" s="240"/>
      <c r="N10" s="240"/>
      <c r="O10" s="240"/>
      <c r="P10" s="240"/>
      <c r="Q10" s="240"/>
      <c r="R10" s="240"/>
      <c r="S10" s="240"/>
      <c r="T10" s="240"/>
      <c r="U10" s="240"/>
      <c r="V10" s="240"/>
      <c r="W10" s="240"/>
      <c r="X10" s="240"/>
      <c r="Y10" s="240"/>
      <c r="Z10" s="240"/>
      <c r="AA10" s="240"/>
      <c r="AB10" s="240"/>
      <c r="AC10" s="240"/>
      <c r="AD10" s="240"/>
      <c r="AE10" s="240"/>
      <c r="AF10" s="240"/>
      <c r="AG10" s="240"/>
      <c r="AH10" s="240"/>
      <c r="AI10" s="240"/>
      <c r="AJ10" s="240"/>
      <c r="AK10" s="240"/>
      <c r="AL10" s="240"/>
      <c r="AM10" s="240"/>
      <c r="AN10" s="240"/>
      <c r="AO10" s="240"/>
      <c r="AP10" s="240"/>
      <c r="AQ10" s="240"/>
      <c r="AR10" s="240"/>
      <c r="AS10" s="240"/>
      <c r="AT10" s="240"/>
      <c r="AU10" s="240"/>
      <c r="AV10" s="240"/>
      <c r="AW10" s="240"/>
      <c r="AX10" s="240"/>
      <c r="AY10" s="240"/>
      <c r="AZ10" s="240"/>
      <c r="BA10" s="240"/>
      <c r="BB10" s="240"/>
      <c r="BC10" s="240"/>
      <c r="BD10" s="240"/>
      <c r="BE10" s="240"/>
      <c r="BF10" s="240"/>
      <c r="BG10" s="350"/>
      <c r="BH10" s="350"/>
      <c r="BI10" s="350"/>
      <c r="BJ10" s="350"/>
      <c r="BK10" s="350"/>
      <c r="BL10" s="350"/>
      <c r="BM10" s="350"/>
      <c r="BN10" s="350"/>
      <c r="BO10" s="350"/>
      <c r="BP10" s="350"/>
      <c r="BQ10" s="350"/>
      <c r="BR10" s="350"/>
      <c r="BS10" s="350"/>
      <c r="BT10" s="350"/>
      <c r="BU10" s="350"/>
      <c r="BV10" s="350"/>
    </row>
    <row r="11" spans="1:74" ht="11.1" customHeight="1" x14ac:dyDescent="0.2">
      <c r="A11" s="140" t="s">
        <v>582</v>
      </c>
      <c r="B11" s="39" t="s">
        <v>1147</v>
      </c>
      <c r="C11" s="238">
        <v>3002.3290000000002</v>
      </c>
      <c r="D11" s="238">
        <v>3006.9113333</v>
      </c>
      <c r="E11" s="238">
        <v>3011.0786667000002</v>
      </c>
      <c r="F11" s="238">
        <v>3012.4207778</v>
      </c>
      <c r="G11" s="238">
        <v>3017.5657778</v>
      </c>
      <c r="H11" s="238">
        <v>3024.1034444000002</v>
      </c>
      <c r="I11" s="238">
        <v>3034.3891852000002</v>
      </c>
      <c r="J11" s="238">
        <v>3041.9456295999998</v>
      </c>
      <c r="K11" s="238">
        <v>3049.1281852000002</v>
      </c>
      <c r="L11" s="238">
        <v>3050.5713704</v>
      </c>
      <c r="M11" s="238">
        <v>3061.0302593000001</v>
      </c>
      <c r="N11" s="238">
        <v>3075.1393704000002</v>
      </c>
      <c r="O11" s="238">
        <v>3103.8484815000002</v>
      </c>
      <c r="P11" s="238">
        <v>3117.0457037000001</v>
      </c>
      <c r="Q11" s="238">
        <v>3125.6808148</v>
      </c>
      <c r="R11" s="238">
        <v>3124.088037</v>
      </c>
      <c r="S11" s="238">
        <v>3127.8482592999999</v>
      </c>
      <c r="T11" s="238">
        <v>3131.2957037000001</v>
      </c>
      <c r="U11" s="238">
        <v>3124.7250370000002</v>
      </c>
      <c r="V11" s="238">
        <v>3134.8259259000001</v>
      </c>
      <c r="W11" s="238">
        <v>3151.8930369999998</v>
      </c>
      <c r="X11" s="238">
        <v>3186.1254815000002</v>
      </c>
      <c r="Y11" s="238">
        <v>3209.4757036999999</v>
      </c>
      <c r="Z11" s="238">
        <v>3232.1428148</v>
      </c>
      <c r="AA11" s="238">
        <v>3257.7475555999999</v>
      </c>
      <c r="AB11" s="238">
        <v>3276.3328888999999</v>
      </c>
      <c r="AC11" s="238">
        <v>3291.5195555999999</v>
      </c>
      <c r="AD11" s="238">
        <v>3303.0551111</v>
      </c>
      <c r="AE11" s="238">
        <v>3311.6337778000002</v>
      </c>
      <c r="AF11" s="238">
        <v>3317.0031110999998</v>
      </c>
      <c r="AG11" s="238">
        <v>3312.6361480999999</v>
      </c>
      <c r="AH11" s="238">
        <v>3316.4820370000002</v>
      </c>
      <c r="AI11" s="238">
        <v>3322.0138148000001</v>
      </c>
      <c r="AJ11" s="238">
        <v>3331.1977037000001</v>
      </c>
      <c r="AK11" s="238">
        <v>3338.6265926000001</v>
      </c>
      <c r="AL11" s="238">
        <v>3346.2667037000001</v>
      </c>
      <c r="AM11" s="238">
        <v>3358.4325555999999</v>
      </c>
      <c r="AN11" s="238">
        <v>3363.2592221999998</v>
      </c>
      <c r="AO11" s="238">
        <v>3365.0612222</v>
      </c>
      <c r="AP11" s="238">
        <v>3356.2450740999998</v>
      </c>
      <c r="AQ11" s="238">
        <v>3357.6928518999998</v>
      </c>
      <c r="AR11" s="238">
        <v>3361.8110741</v>
      </c>
      <c r="AS11" s="238">
        <v>3373.9579629999998</v>
      </c>
      <c r="AT11" s="238">
        <v>3379.3984074</v>
      </c>
      <c r="AU11" s="238">
        <v>3383.4906295999999</v>
      </c>
      <c r="AV11" s="238">
        <v>3387.4008518999999</v>
      </c>
      <c r="AW11" s="238">
        <v>3387.9219629999998</v>
      </c>
      <c r="AX11" s="238">
        <v>3386.2201851999998</v>
      </c>
      <c r="AY11" s="238">
        <v>3420.0818889000002</v>
      </c>
      <c r="AZ11" s="238">
        <v>3385.5945556000001</v>
      </c>
      <c r="BA11" s="238">
        <v>3320.5445556</v>
      </c>
      <c r="BB11" s="238">
        <v>3224.9318889000001</v>
      </c>
      <c r="BC11" s="238">
        <v>3098.7565556</v>
      </c>
      <c r="BD11" s="238">
        <v>2942.0185556000001</v>
      </c>
      <c r="BE11" s="238">
        <v>3100.6835185</v>
      </c>
      <c r="BF11" s="238">
        <v>3108.2592963000002</v>
      </c>
      <c r="BG11" s="329">
        <v>3116.7460000000001</v>
      </c>
      <c r="BH11" s="329">
        <v>3130.7829999999999</v>
      </c>
      <c r="BI11" s="329">
        <v>3137.6129999999998</v>
      </c>
      <c r="BJ11" s="329">
        <v>3141.8760000000002</v>
      </c>
      <c r="BK11" s="329">
        <v>3137.8139999999999</v>
      </c>
      <c r="BL11" s="329">
        <v>3141.259</v>
      </c>
      <c r="BM11" s="329">
        <v>3146.453</v>
      </c>
      <c r="BN11" s="329">
        <v>3155.1869999999999</v>
      </c>
      <c r="BO11" s="329">
        <v>3162.5390000000002</v>
      </c>
      <c r="BP11" s="329">
        <v>3170.299</v>
      </c>
      <c r="BQ11" s="329">
        <v>3178.4650000000001</v>
      </c>
      <c r="BR11" s="329">
        <v>3187.0410000000002</v>
      </c>
      <c r="BS11" s="329">
        <v>3196.0250000000001</v>
      </c>
      <c r="BT11" s="329">
        <v>3205.1779999999999</v>
      </c>
      <c r="BU11" s="329">
        <v>3215.1579999999999</v>
      </c>
      <c r="BV11" s="329">
        <v>3225.7260000000001</v>
      </c>
    </row>
    <row r="12" spans="1:74" ht="11.1" customHeight="1" x14ac:dyDescent="0.2">
      <c r="A12" s="140"/>
      <c r="B12" s="141" t="s">
        <v>587</v>
      </c>
      <c r="C12" s="218"/>
      <c r="D12" s="218"/>
      <c r="E12" s="218"/>
      <c r="F12" s="218"/>
      <c r="G12" s="218"/>
      <c r="H12" s="218"/>
      <c r="I12" s="218"/>
      <c r="J12" s="218"/>
      <c r="K12" s="218"/>
      <c r="L12" s="218"/>
      <c r="M12" s="218"/>
      <c r="N12" s="218"/>
      <c r="O12" s="218"/>
      <c r="P12" s="218"/>
      <c r="Q12" s="218"/>
      <c r="R12" s="218"/>
      <c r="S12" s="218"/>
      <c r="T12" s="218"/>
      <c r="U12" s="218"/>
      <c r="V12" s="218"/>
      <c r="W12" s="218"/>
      <c r="X12" s="218"/>
      <c r="Y12" s="218"/>
      <c r="Z12" s="218"/>
      <c r="AA12" s="218"/>
      <c r="AB12" s="218"/>
      <c r="AC12" s="218"/>
      <c r="AD12" s="218"/>
      <c r="AE12" s="218"/>
      <c r="AF12" s="218"/>
      <c r="AG12" s="218"/>
      <c r="AH12" s="218"/>
      <c r="AI12" s="218"/>
      <c r="AJ12" s="218"/>
      <c r="AK12" s="218"/>
      <c r="AL12" s="218"/>
      <c r="AM12" s="218"/>
      <c r="AN12" s="218"/>
      <c r="AO12" s="218"/>
      <c r="AP12" s="218"/>
      <c r="AQ12" s="218"/>
      <c r="AR12" s="218"/>
      <c r="AS12" s="218"/>
      <c r="AT12" s="218"/>
      <c r="AU12" s="218"/>
      <c r="AV12" s="218"/>
      <c r="AW12" s="218"/>
      <c r="AX12" s="218"/>
      <c r="AY12" s="218"/>
      <c r="AZ12" s="218"/>
      <c r="BA12" s="218"/>
      <c r="BB12" s="218"/>
      <c r="BC12" s="218"/>
      <c r="BD12" s="218"/>
      <c r="BE12" s="218"/>
      <c r="BF12" s="218"/>
      <c r="BG12" s="328"/>
      <c r="BH12" s="328"/>
      <c r="BI12" s="328"/>
      <c r="BJ12" s="328"/>
      <c r="BK12" s="328"/>
      <c r="BL12" s="328"/>
      <c r="BM12" s="328"/>
      <c r="BN12" s="328"/>
      <c r="BO12" s="328"/>
      <c r="BP12" s="328"/>
      <c r="BQ12" s="328"/>
      <c r="BR12" s="328"/>
      <c r="BS12" s="328"/>
      <c r="BT12" s="328"/>
      <c r="BU12" s="328"/>
      <c r="BV12" s="328"/>
    </row>
    <row r="13" spans="1:74" ht="11.1" customHeight="1" x14ac:dyDescent="0.2">
      <c r="A13" s="140" t="s">
        <v>588</v>
      </c>
      <c r="B13" s="39" t="s">
        <v>1147</v>
      </c>
      <c r="C13" s="611">
        <v>62.634999999999998</v>
      </c>
      <c r="D13" s="611">
        <v>48.956333333000003</v>
      </c>
      <c r="E13" s="611">
        <v>36.686666666999997</v>
      </c>
      <c r="F13" s="611">
        <v>26.093555555999998</v>
      </c>
      <c r="G13" s="611">
        <v>16.441222222</v>
      </c>
      <c r="H13" s="611">
        <v>7.9972222221999996</v>
      </c>
      <c r="I13" s="611">
        <v>-9.2671851852000007</v>
      </c>
      <c r="J13" s="611">
        <v>-7.7729629630000003</v>
      </c>
      <c r="K13" s="611">
        <v>2.4511481481000001</v>
      </c>
      <c r="L13" s="611">
        <v>50.987814815</v>
      </c>
      <c r="M13" s="611">
        <v>56.484703703999998</v>
      </c>
      <c r="N13" s="611">
        <v>48.524481481000002</v>
      </c>
      <c r="O13" s="611">
        <v>-2.7667777777999998</v>
      </c>
      <c r="P13" s="611">
        <v>-15.235777777999999</v>
      </c>
      <c r="Q13" s="611">
        <v>-18.756444444</v>
      </c>
      <c r="R13" s="611">
        <v>-5.0643333332999996</v>
      </c>
      <c r="S13" s="611">
        <v>3.1133333332999999</v>
      </c>
      <c r="T13" s="611">
        <v>14.041</v>
      </c>
      <c r="U13" s="611">
        <v>39.924888889000002</v>
      </c>
      <c r="V13" s="611">
        <v>47.197888888999998</v>
      </c>
      <c r="W13" s="611">
        <v>48.066222222</v>
      </c>
      <c r="X13" s="611">
        <v>29.145444443999999</v>
      </c>
      <c r="Y13" s="611">
        <v>27.242777778000001</v>
      </c>
      <c r="Z13" s="611">
        <v>28.973777777999999</v>
      </c>
      <c r="AA13" s="611">
        <v>46.580518519000002</v>
      </c>
      <c r="AB13" s="611">
        <v>46.397296296</v>
      </c>
      <c r="AC13" s="611">
        <v>40.666185185000003</v>
      </c>
      <c r="AD13" s="611">
        <v>6.9531111111000001</v>
      </c>
      <c r="AE13" s="611">
        <v>6.9517777778000003</v>
      </c>
      <c r="AF13" s="611">
        <v>18.228111111</v>
      </c>
      <c r="AG13" s="611">
        <v>63.037074074000003</v>
      </c>
      <c r="AH13" s="611">
        <v>80.177518519000003</v>
      </c>
      <c r="AI13" s="611">
        <v>91.904407406999994</v>
      </c>
      <c r="AJ13" s="611">
        <v>93.612259258999998</v>
      </c>
      <c r="AK13" s="611">
        <v>97.966148148000002</v>
      </c>
      <c r="AL13" s="611">
        <v>100.36059259</v>
      </c>
      <c r="AM13" s="611">
        <v>105.12566667</v>
      </c>
      <c r="AN13" s="611">
        <v>100.35366667</v>
      </c>
      <c r="AO13" s="611">
        <v>90.374666667</v>
      </c>
      <c r="AP13" s="611">
        <v>63.236518519000001</v>
      </c>
      <c r="AQ13" s="611">
        <v>51.807629630000001</v>
      </c>
      <c r="AR13" s="611">
        <v>44.135851852000002</v>
      </c>
      <c r="AS13" s="611">
        <v>49.107111111000002</v>
      </c>
      <c r="AT13" s="611">
        <v>42.285111110999999</v>
      </c>
      <c r="AU13" s="611">
        <v>32.555777778</v>
      </c>
      <c r="AV13" s="611">
        <v>18.652000000000001</v>
      </c>
      <c r="AW13" s="611">
        <v>4.0583333333000002</v>
      </c>
      <c r="AX13" s="611">
        <v>-12.492333332999999</v>
      </c>
      <c r="AY13" s="611">
        <v>-1.8805925926</v>
      </c>
      <c r="AZ13" s="611">
        <v>-44.184814815000003</v>
      </c>
      <c r="BA13" s="611">
        <v>-110.28559258999999</v>
      </c>
      <c r="BB13" s="611">
        <v>-200.18292593000001</v>
      </c>
      <c r="BC13" s="611">
        <v>-313.87681480999998</v>
      </c>
      <c r="BD13" s="611">
        <v>-451.36725926000003</v>
      </c>
      <c r="BE13" s="611">
        <v>-273.06585185</v>
      </c>
      <c r="BF13" s="611">
        <v>-244.5137963</v>
      </c>
      <c r="BG13" s="612">
        <v>-213.45345184999999</v>
      </c>
      <c r="BH13" s="612">
        <v>-172.10186296000001</v>
      </c>
      <c r="BI13" s="612">
        <v>-141.86215741000001</v>
      </c>
      <c r="BJ13" s="612">
        <v>-114.95137963000001</v>
      </c>
      <c r="BK13" s="612">
        <v>-96.356052000000005</v>
      </c>
      <c r="BL13" s="612">
        <v>-72.363237999999996</v>
      </c>
      <c r="BM13" s="612">
        <v>-47.95946</v>
      </c>
      <c r="BN13" s="612">
        <v>-20.390672370000001</v>
      </c>
      <c r="BO13" s="612">
        <v>2.7694994074000001</v>
      </c>
      <c r="BP13" s="612">
        <v>24.275100963</v>
      </c>
      <c r="BQ13" s="612">
        <v>43.268537037000002</v>
      </c>
      <c r="BR13" s="612">
        <v>62.108194593</v>
      </c>
      <c r="BS13" s="612">
        <v>79.936478370000003</v>
      </c>
      <c r="BT13" s="612">
        <v>99.709620369999996</v>
      </c>
      <c r="BU13" s="612">
        <v>113.29798259</v>
      </c>
      <c r="BV13" s="612">
        <v>123.65779704000001</v>
      </c>
    </row>
    <row r="14" spans="1:74" ht="11.1" customHeight="1" x14ac:dyDescent="0.2">
      <c r="A14" s="140"/>
      <c r="B14" s="141" t="s">
        <v>940</v>
      </c>
      <c r="C14" s="213"/>
      <c r="D14" s="213"/>
      <c r="E14" s="213"/>
      <c r="F14" s="213"/>
      <c r="G14" s="213"/>
      <c r="H14" s="213"/>
      <c r="I14" s="213"/>
      <c r="J14" s="213"/>
      <c r="K14" s="213"/>
      <c r="L14" s="213"/>
      <c r="M14" s="213"/>
      <c r="N14" s="213"/>
      <c r="O14" s="213"/>
      <c r="P14" s="213"/>
      <c r="Q14" s="213"/>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c r="AV14" s="213"/>
      <c r="AW14" s="213"/>
      <c r="AX14" s="213"/>
      <c r="AY14" s="213"/>
      <c r="AZ14" s="213"/>
      <c r="BA14" s="213"/>
      <c r="BB14" s="213"/>
      <c r="BC14" s="213"/>
      <c r="BD14" s="213"/>
      <c r="BE14" s="213"/>
      <c r="BF14" s="213"/>
      <c r="BG14" s="351"/>
      <c r="BH14" s="351"/>
      <c r="BI14" s="351"/>
      <c r="BJ14" s="351"/>
      <c r="BK14" s="351"/>
      <c r="BL14" s="351"/>
      <c r="BM14" s="351"/>
      <c r="BN14" s="351"/>
      <c r="BO14" s="351"/>
      <c r="BP14" s="351"/>
      <c r="BQ14" s="351"/>
      <c r="BR14" s="351"/>
      <c r="BS14" s="351"/>
      <c r="BT14" s="351"/>
      <c r="BU14" s="351"/>
      <c r="BV14" s="351"/>
    </row>
    <row r="15" spans="1:74" ht="11.1" customHeight="1" x14ac:dyDescent="0.2">
      <c r="A15" s="140" t="s">
        <v>942</v>
      </c>
      <c r="B15" s="39" t="s">
        <v>1147</v>
      </c>
      <c r="C15" s="238">
        <v>3134.210963</v>
      </c>
      <c r="D15" s="238">
        <v>3140.0427407000002</v>
      </c>
      <c r="E15" s="238">
        <v>3142.1222963</v>
      </c>
      <c r="F15" s="238">
        <v>3132.5398519</v>
      </c>
      <c r="G15" s="238">
        <v>3133.0472963000002</v>
      </c>
      <c r="H15" s="238">
        <v>3135.7348519000002</v>
      </c>
      <c r="I15" s="238">
        <v>3144.4552592999999</v>
      </c>
      <c r="J15" s="238">
        <v>3148.6134815</v>
      </c>
      <c r="K15" s="238">
        <v>3152.0622592999998</v>
      </c>
      <c r="L15" s="238">
        <v>3155.0298889000001</v>
      </c>
      <c r="M15" s="238">
        <v>3156.8885556</v>
      </c>
      <c r="N15" s="238">
        <v>3157.8665556000001</v>
      </c>
      <c r="O15" s="238">
        <v>3155.0358888999999</v>
      </c>
      <c r="P15" s="238">
        <v>3156.4485556</v>
      </c>
      <c r="Q15" s="238">
        <v>3159.1765556</v>
      </c>
      <c r="R15" s="238">
        <v>3166.5361852000001</v>
      </c>
      <c r="S15" s="238">
        <v>3169.4076295999998</v>
      </c>
      <c r="T15" s="238">
        <v>3171.1071852</v>
      </c>
      <c r="U15" s="238">
        <v>3167.0169258999999</v>
      </c>
      <c r="V15" s="238">
        <v>3169.8361481000002</v>
      </c>
      <c r="W15" s="238">
        <v>3174.9469259000002</v>
      </c>
      <c r="X15" s="238">
        <v>3186.9864444</v>
      </c>
      <c r="Y15" s="238">
        <v>3193.2024443999999</v>
      </c>
      <c r="Z15" s="238">
        <v>3198.2321111000001</v>
      </c>
      <c r="AA15" s="238">
        <v>3198.8062593</v>
      </c>
      <c r="AB15" s="238">
        <v>3203.9151480999999</v>
      </c>
      <c r="AC15" s="238">
        <v>3210.2895926000001</v>
      </c>
      <c r="AD15" s="238">
        <v>3220.0235185000001</v>
      </c>
      <c r="AE15" s="238">
        <v>3227.3586295999999</v>
      </c>
      <c r="AF15" s="238">
        <v>3234.3888519000002</v>
      </c>
      <c r="AG15" s="238">
        <v>3244.7722592999999</v>
      </c>
      <c r="AH15" s="238">
        <v>3248.4491481</v>
      </c>
      <c r="AI15" s="238">
        <v>3249.0775926000001</v>
      </c>
      <c r="AJ15" s="238">
        <v>3238.5746296000002</v>
      </c>
      <c r="AK15" s="238">
        <v>3239.1684074</v>
      </c>
      <c r="AL15" s="238">
        <v>3242.775963</v>
      </c>
      <c r="AM15" s="238">
        <v>3250.3993704</v>
      </c>
      <c r="AN15" s="238">
        <v>3259.2829259</v>
      </c>
      <c r="AO15" s="238">
        <v>3270.4287036999999</v>
      </c>
      <c r="AP15" s="238">
        <v>3290.2263333000001</v>
      </c>
      <c r="AQ15" s="238">
        <v>3301.1043332999998</v>
      </c>
      <c r="AR15" s="238">
        <v>3309.4523333000002</v>
      </c>
      <c r="AS15" s="238">
        <v>3311.5575926000001</v>
      </c>
      <c r="AT15" s="238">
        <v>3317.6301481</v>
      </c>
      <c r="AU15" s="238">
        <v>3323.9572592999998</v>
      </c>
      <c r="AV15" s="238">
        <v>3332.2632222000002</v>
      </c>
      <c r="AW15" s="238">
        <v>3337.8062221999999</v>
      </c>
      <c r="AX15" s="238">
        <v>3342.3105556</v>
      </c>
      <c r="AY15" s="238">
        <v>3342.6677777999998</v>
      </c>
      <c r="AZ15" s="238">
        <v>3347.4261111000001</v>
      </c>
      <c r="BA15" s="238">
        <v>3353.4771111</v>
      </c>
      <c r="BB15" s="238">
        <v>3360.8207778000001</v>
      </c>
      <c r="BC15" s="238">
        <v>3369.4571111</v>
      </c>
      <c r="BD15" s="238">
        <v>3379.3861111000001</v>
      </c>
      <c r="BE15" s="238">
        <v>3386.5662963</v>
      </c>
      <c r="BF15" s="238">
        <v>3387.8650741000001</v>
      </c>
      <c r="BG15" s="329">
        <v>3384.94</v>
      </c>
      <c r="BH15" s="329">
        <v>3368.35</v>
      </c>
      <c r="BI15" s="329">
        <v>3364.056</v>
      </c>
      <c r="BJ15" s="329">
        <v>3362.6179999999999</v>
      </c>
      <c r="BK15" s="329">
        <v>3367.489</v>
      </c>
      <c r="BL15" s="329">
        <v>3369.172</v>
      </c>
      <c r="BM15" s="329">
        <v>3371.12</v>
      </c>
      <c r="BN15" s="329">
        <v>3373.7240000000002</v>
      </c>
      <c r="BO15" s="329">
        <v>3375.9090000000001</v>
      </c>
      <c r="BP15" s="329">
        <v>3378.067</v>
      </c>
      <c r="BQ15" s="329">
        <v>3380.8879999999999</v>
      </c>
      <c r="BR15" s="329">
        <v>3382.471</v>
      </c>
      <c r="BS15" s="329">
        <v>3383.5079999999998</v>
      </c>
      <c r="BT15" s="329">
        <v>3383.3429999999998</v>
      </c>
      <c r="BU15" s="329">
        <v>3383.777</v>
      </c>
      <c r="BV15" s="329">
        <v>3384.154</v>
      </c>
    </row>
    <row r="16" spans="1:74" ht="11.1" customHeight="1" x14ac:dyDescent="0.2">
      <c r="A16" s="140"/>
      <c r="B16" s="141" t="s">
        <v>941</v>
      </c>
      <c r="C16" s="213"/>
      <c r="D16" s="213"/>
      <c r="E16" s="213"/>
      <c r="F16" s="213"/>
      <c r="G16" s="213"/>
      <c r="H16" s="213"/>
      <c r="I16" s="213"/>
      <c r="J16" s="213"/>
      <c r="K16" s="213"/>
      <c r="L16" s="213"/>
      <c r="M16" s="213"/>
      <c r="N16" s="213"/>
      <c r="O16" s="213"/>
      <c r="P16" s="213"/>
      <c r="Q16" s="213"/>
      <c r="R16" s="213"/>
      <c r="S16" s="213"/>
      <c r="T16" s="213"/>
      <c r="U16" s="213"/>
      <c r="V16" s="213"/>
      <c r="W16" s="213"/>
      <c r="X16" s="213"/>
      <c r="Y16" s="213"/>
      <c r="Z16" s="213"/>
      <c r="AA16" s="213"/>
      <c r="AB16" s="213"/>
      <c r="AC16" s="213"/>
      <c r="AD16" s="213"/>
      <c r="AE16" s="213"/>
      <c r="AF16" s="213"/>
      <c r="AG16" s="213"/>
      <c r="AH16" s="213"/>
      <c r="AI16" s="213"/>
      <c r="AJ16" s="213"/>
      <c r="AK16" s="213"/>
      <c r="AL16" s="213"/>
      <c r="AM16" s="213"/>
      <c r="AN16" s="213"/>
      <c r="AO16" s="213"/>
      <c r="AP16" s="213"/>
      <c r="AQ16" s="213"/>
      <c r="AR16" s="213"/>
      <c r="AS16" s="213"/>
      <c r="AT16" s="213"/>
      <c r="AU16" s="213"/>
      <c r="AV16" s="213"/>
      <c r="AW16" s="213"/>
      <c r="AX16" s="213"/>
      <c r="AY16" s="213"/>
      <c r="AZ16" s="213"/>
      <c r="BA16" s="213"/>
      <c r="BB16" s="213"/>
      <c r="BC16" s="213"/>
      <c r="BD16" s="213"/>
      <c r="BE16" s="213"/>
      <c r="BF16" s="213"/>
      <c r="BG16" s="351"/>
      <c r="BH16" s="351"/>
      <c r="BI16" s="351"/>
      <c r="BJ16" s="351"/>
      <c r="BK16" s="351"/>
      <c r="BL16" s="351"/>
      <c r="BM16" s="351"/>
      <c r="BN16" s="351"/>
      <c r="BO16" s="351"/>
      <c r="BP16" s="351"/>
      <c r="BQ16" s="351"/>
      <c r="BR16" s="351"/>
      <c r="BS16" s="351"/>
      <c r="BT16" s="351"/>
      <c r="BU16" s="351"/>
      <c r="BV16" s="351"/>
    </row>
    <row r="17" spans="1:74" ht="11.1" customHeight="1" x14ac:dyDescent="0.2">
      <c r="A17" s="140" t="s">
        <v>943</v>
      </c>
      <c r="B17" s="39" t="s">
        <v>1147</v>
      </c>
      <c r="C17" s="238">
        <v>2357.6485555999998</v>
      </c>
      <c r="D17" s="238">
        <v>2357.3632222000001</v>
      </c>
      <c r="E17" s="238">
        <v>2358.6732222000001</v>
      </c>
      <c r="F17" s="238">
        <v>2359.065963</v>
      </c>
      <c r="G17" s="238">
        <v>2365.4510740999999</v>
      </c>
      <c r="H17" s="238">
        <v>2375.315963</v>
      </c>
      <c r="I17" s="238">
        <v>2400.529963</v>
      </c>
      <c r="J17" s="238">
        <v>2408.4524074000001</v>
      </c>
      <c r="K17" s="238">
        <v>2410.9526295999999</v>
      </c>
      <c r="L17" s="238">
        <v>2392.3704815000001</v>
      </c>
      <c r="M17" s="238">
        <v>2395.7713703999998</v>
      </c>
      <c r="N17" s="238">
        <v>2405.4951480999998</v>
      </c>
      <c r="O17" s="238">
        <v>2436.2324815000002</v>
      </c>
      <c r="P17" s="238">
        <v>2447.5840370000001</v>
      </c>
      <c r="Q17" s="238">
        <v>2454.2404815</v>
      </c>
      <c r="R17" s="238">
        <v>2448.4342593000001</v>
      </c>
      <c r="S17" s="238">
        <v>2451.5261480999998</v>
      </c>
      <c r="T17" s="238">
        <v>2455.7485925999999</v>
      </c>
      <c r="U17" s="238">
        <v>2454.8731481</v>
      </c>
      <c r="V17" s="238">
        <v>2466.028037</v>
      </c>
      <c r="W17" s="238">
        <v>2482.9848148000001</v>
      </c>
      <c r="X17" s="238">
        <v>2521.0857037000001</v>
      </c>
      <c r="Y17" s="238">
        <v>2538.1395926</v>
      </c>
      <c r="Z17" s="238">
        <v>2549.4887036999999</v>
      </c>
      <c r="AA17" s="238">
        <v>2548.2462221999999</v>
      </c>
      <c r="AB17" s="238">
        <v>2553.3508889</v>
      </c>
      <c r="AC17" s="238">
        <v>2557.9158889</v>
      </c>
      <c r="AD17" s="238">
        <v>2568.0917407000002</v>
      </c>
      <c r="AE17" s="238">
        <v>2566.9645184999999</v>
      </c>
      <c r="AF17" s="238">
        <v>2560.6847407</v>
      </c>
      <c r="AG17" s="238">
        <v>2534.6587777999998</v>
      </c>
      <c r="AH17" s="238">
        <v>2529.0191110999999</v>
      </c>
      <c r="AI17" s="238">
        <v>2529.1721111000002</v>
      </c>
      <c r="AJ17" s="238">
        <v>2543.7614815000002</v>
      </c>
      <c r="AK17" s="238">
        <v>2549.0170370000001</v>
      </c>
      <c r="AL17" s="238">
        <v>2553.5824815000001</v>
      </c>
      <c r="AM17" s="238">
        <v>2562.5549999999998</v>
      </c>
      <c r="AN17" s="238">
        <v>2561.9173332999999</v>
      </c>
      <c r="AO17" s="238">
        <v>2556.7666666999999</v>
      </c>
      <c r="AP17" s="238">
        <v>2536.0292221999998</v>
      </c>
      <c r="AQ17" s="238">
        <v>2530.1578889000002</v>
      </c>
      <c r="AR17" s="238">
        <v>2528.0788889</v>
      </c>
      <c r="AS17" s="238">
        <v>2532.4569630000001</v>
      </c>
      <c r="AT17" s="238">
        <v>2535.9640740999998</v>
      </c>
      <c r="AU17" s="238">
        <v>2541.2649630000001</v>
      </c>
      <c r="AV17" s="238">
        <v>2563.2003703999999</v>
      </c>
      <c r="AW17" s="238">
        <v>2560.9582593</v>
      </c>
      <c r="AX17" s="238">
        <v>2549.3793704</v>
      </c>
      <c r="AY17" s="238">
        <v>2590.1939259000001</v>
      </c>
      <c r="AZ17" s="238">
        <v>2513.6438148000002</v>
      </c>
      <c r="BA17" s="238">
        <v>2381.4592593000002</v>
      </c>
      <c r="BB17" s="238">
        <v>2193.6402592999998</v>
      </c>
      <c r="BC17" s="238">
        <v>1950.1868148000001</v>
      </c>
      <c r="BD17" s="238">
        <v>1651.0989259</v>
      </c>
      <c r="BE17" s="238">
        <v>2083.9825925999999</v>
      </c>
      <c r="BF17" s="238">
        <v>2139.5304815</v>
      </c>
      <c r="BG17" s="329">
        <v>2182.7049999999999</v>
      </c>
      <c r="BH17" s="329">
        <v>2195.7779999999998</v>
      </c>
      <c r="BI17" s="329">
        <v>2227.5010000000002</v>
      </c>
      <c r="BJ17" s="329">
        <v>2260.1480000000001</v>
      </c>
      <c r="BK17" s="329">
        <v>2304.0079999999998</v>
      </c>
      <c r="BL17" s="329">
        <v>2330.7800000000002</v>
      </c>
      <c r="BM17" s="329">
        <v>2350.7559999999999</v>
      </c>
      <c r="BN17" s="329">
        <v>2351.7710000000002</v>
      </c>
      <c r="BO17" s="329">
        <v>2367.277</v>
      </c>
      <c r="BP17" s="329">
        <v>2385.1109999999999</v>
      </c>
      <c r="BQ17" s="329">
        <v>2408.0819999999999</v>
      </c>
      <c r="BR17" s="329">
        <v>2428.462</v>
      </c>
      <c r="BS17" s="329">
        <v>2449.0610000000001</v>
      </c>
      <c r="BT17" s="329">
        <v>2468.7040000000002</v>
      </c>
      <c r="BU17" s="329">
        <v>2490.6219999999998</v>
      </c>
      <c r="BV17" s="329">
        <v>2513.6410000000001</v>
      </c>
    </row>
    <row r="18" spans="1:74" ht="11.1" customHeight="1" x14ac:dyDescent="0.2">
      <c r="A18" s="140"/>
      <c r="B18" s="141" t="s">
        <v>945</v>
      </c>
      <c r="C18" s="213"/>
      <c r="D18" s="213"/>
      <c r="E18" s="213"/>
      <c r="F18" s="213"/>
      <c r="G18" s="213"/>
      <c r="H18" s="213"/>
      <c r="I18" s="213"/>
      <c r="J18" s="213"/>
      <c r="K18" s="213"/>
      <c r="L18" s="213"/>
      <c r="M18" s="213"/>
      <c r="N18" s="213"/>
      <c r="O18" s="213"/>
      <c r="P18" s="213"/>
      <c r="Q18" s="213"/>
      <c r="R18" s="213"/>
      <c r="S18" s="213"/>
      <c r="T18" s="213"/>
      <c r="U18" s="213"/>
      <c r="V18" s="213"/>
      <c r="W18" s="213"/>
      <c r="X18" s="213"/>
      <c r="Y18" s="213"/>
      <c r="Z18" s="213"/>
      <c r="AA18" s="213"/>
      <c r="AB18" s="213"/>
      <c r="AC18" s="213"/>
      <c r="AD18" s="213"/>
      <c r="AE18" s="213"/>
      <c r="AF18" s="213"/>
      <c r="AG18" s="213"/>
      <c r="AH18" s="213"/>
      <c r="AI18" s="213"/>
      <c r="AJ18" s="213"/>
      <c r="AK18" s="213"/>
      <c r="AL18" s="213"/>
      <c r="AM18" s="213"/>
      <c r="AN18" s="213"/>
      <c r="AO18" s="213"/>
      <c r="AP18" s="213"/>
      <c r="AQ18" s="213"/>
      <c r="AR18" s="213"/>
      <c r="AS18" s="213"/>
      <c r="AT18" s="213"/>
      <c r="AU18" s="213"/>
      <c r="AV18" s="213"/>
      <c r="AW18" s="213"/>
      <c r="AX18" s="213"/>
      <c r="AY18" s="213"/>
      <c r="AZ18" s="213"/>
      <c r="BA18" s="213"/>
      <c r="BB18" s="213"/>
      <c r="BC18" s="213"/>
      <c r="BD18" s="213"/>
      <c r="BE18" s="213"/>
      <c r="BF18" s="213"/>
      <c r="BG18" s="351"/>
      <c r="BH18" s="351"/>
      <c r="BI18" s="351"/>
      <c r="BJ18" s="351"/>
      <c r="BK18" s="351"/>
      <c r="BL18" s="351"/>
      <c r="BM18" s="351"/>
      <c r="BN18" s="351"/>
      <c r="BO18" s="351"/>
      <c r="BP18" s="351"/>
      <c r="BQ18" s="351"/>
      <c r="BR18" s="351"/>
      <c r="BS18" s="351"/>
      <c r="BT18" s="351"/>
      <c r="BU18" s="351"/>
      <c r="BV18" s="351"/>
    </row>
    <row r="19" spans="1:74" ht="11.1" customHeight="1" x14ac:dyDescent="0.2">
      <c r="A19" s="606" t="s">
        <v>944</v>
      </c>
      <c r="B19" s="39" t="s">
        <v>1147</v>
      </c>
      <c r="C19" s="238">
        <v>3115.8179258999999</v>
      </c>
      <c r="D19" s="238">
        <v>3114.8598148000001</v>
      </c>
      <c r="E19" s="238">
        <v>3113.9952592999998</v>
      </c>
      <c r="F19" s="238">
        <v>3107.1919630000002</v>
      </c>
      <c r="G19" s="238">
        <v>3111.0387406999998</v>
      </c>
      <c r="H19" s="238">
        <v>3119.5032962999999</v>
      </c>
      <c r="I19" s="238">
        <v>3136.7934814999999</v>
      </c>
      <c r="J19" s="238">
        <v>3151.3377037</v>
      </c>
      <c r="K19" s="238">
        <v>3167.3438148</v>
      </c>
      <c r="L19" s="238">
        <v>3189.4701851999998</v>
      </c>
      <c r="M19" s="238">
        <v>3204.9062963000001</v>
      </c>
      <c r="N19" s="238">
        <v>3218.3105184999999</v>
      </c>
      <c r="O19" s="238">
        <v>3227.7975185</v>
      </c>
      <c r="P19" s="238">
        <v>3238.5519629999999</v>
      </c>
      <c r="Q19" s="238">
        <v>3248.6885185000001</v>
      </c>
      <c r="R19" s="238">
        <v>3259.5251110999998</v>
      </c>
      <c r="S19" s="238">
        <v>3267.4374444</v>
      </c>
      <c r="T19" s="238">
        <v>3273.7434444</v>
      </c>
      <c r="U19" s="238">
        <v>3263.2488889000001</v>
      </c>
      <c r="V19" s="238">
        <v>3277.7378889000001</v>
      </c>
      <c r="W19" s="238">
        <v>3302.0162221999999</v>
      </c>
      <c r="X19" s="238">
        <v>3363.8452222000001</v>
      </c>
      <c r="Y19" s="238">
        <v>3386.8812222000001</v>
      </c>
      <c r="Z19" s="238">
        <v>3398.8855555999999</v>
      </c>
      <c r="AA19" s="238">
        <v>3385.6890370000001</v>
      </c>
      <c r="AB19" s="238">
        <v>3386.2569259000002</v>
      </c>
      <c r="AC19" s="238">
        <v>3386.4200369999999</v>
      </c>
      <c r="AD19" s="238">
        <v>3375.7702221999998</v>
      </c>
      <c r="AE19" s="238">
        <v>3382.9298889000002</v>
      </c>
      <c r="AF19" s="238">
        <v>3397.4908888999998</v>
      </c>
      <c r="AG19" s="238">
        <v>3433.9332221999998</v>
      </c>
      <c r="AH19" s="238">
        <v>3452.4368889000002</v>
      </c>
      <c r="AI19" s="238">
        <v>3467.4818888999998</v>
      </c>
      <c r="AJ19" s="238">
        <v>3482.3107407000002</v>
      </c>
      <c r="AK19" s="238">
        <v>3488.0065184999999</v>
      </c>
      <c r="AL19" s="238">
        <v>3487.8117407</v>
      </c>
      <c r="AM19" s="238">
        <v>3468.9361852000002</v>
      </c>
      <c r="AN19" s="238">
        <v>3466.5529630000001</v>
      </c>
      <c r="AO19" s="238">
        <v>3467.8718518999999</v>
      </c>
      <c r="AP19" s="238">
        <v>3479.4772963</v>
      </c>
      <c r="AQ19" s="238">
        <v>3483.2620741000001</v>
      </c>
      <c r="AR19" s="238">
        <v>3485.8106296000001</v>
      </c>
      <c r="AS19" s="238">
        <v>3496.0512592999999</v>
      </c>
      <c r="AT19" s="238">
        <v>3489.4311481</v>
      </c>
      <c r="AU19" s="238">
        <v>3474.8785926</v>
      </c>
      <c r="AV19" s="238">
        <v>3452.0047036999999</v>
      </c>
      <c r="AW19" s="238">
        <v>3421.8789259</v>
      </c>
      <c r="AX19" s="238">
        <v>3384.1123704000001</v>
      </c>
      <c r="AY19" s="238">
        <v>3392.8961481000001</v>
      </c>
      <c r="AZ19" s="238">
        <v>3299.2047037000002</v>
      </c>
      <c r="BA19" s="238">
        <v>3157.2291481000002</v>
      </c>
      <c r="BB19" s="238">
        <v>2966.9694814999998</v>
      </c>
      <c r="BC19" s="238">
        <v>2728.4257037000002</v>
      </c>
      <c r="BD19" s="238">
        <v>2441.5978147999999</v>
      </c>
      <c r="BE19" s="238">
        <v>2831.7669999999998</v>
      </c>
      <c r="BF19" s="238">
        <v>2880.7583332999998</v>
      </c>
      <c r="BG19" s="329">
        <v>2923.3139999999999</v>
      </c>
      <c r="BH19" s="329">
        <v>2956.3139999999999</v>
      </c>
      <c r="BI19" s="329">
        <v>2988.337</v>
      </c>
      <c r="BJ19" s="329">
        <v>3016.2620000000002</v>
      </c>
      <c r="BK19" s="329">
        <v>3037.6219999999998</v>
      </c>
      <c r="BL19" s="329">
        <v>3059.2060000000001</v>
      </c>
      <c r="BM19" s="329">
        <v>3078.5459999999998</v>
      </c>
      <c r="BN19" s="329">
        <v>3089.0419999999999</v>
      </c>
      <c r="BO19" s="329">
        <v>3108.8420000000001</v>
      </c>
      <c r="BP19" s="329">
        <v>3131.348</v>
      </c>
      <c r="BQ19" s="329">
        <v>3159.1379999999999</v>
      </c>
      <c r="BR19" s="329">
        <v>3185.12</v>
      </c>
      <c r="BS19" s="329">
        <v>3211.8719999999998</v>
      </c>
      <c r="BT19" s="329">
        <v>3246.2539999999999</v>
      </c>
      <c r="BU19" s="329">
        <v>3269.404</v>
      </c>
      <c r="BV19" s="329">
        <v>3288.18</v>
      </c>
    </row>
    <row r="20" spans="1:74" ht="11.1" customHeight="1" x14ac:dyDescent="0.2">
      <c r="A20" s="140"/>
      <c r="B20" s="36" t="s">
        <v>571</v>
      </c>
      <c r="C20" s="239"/>
      <c r="D20" s="239"/>
      <c r="E20" s="239"/>
      <c r="F20" s="239"/>
      <c r="G20" s="239"/>
      <c r="H20" s="239"/>
      <c r="I20" s="239"/>
      <c r="J20" s="239"/>
      <c r="K20" s="239"/>
      <c r="L20" s="239"/>
      <c r="M20" s="239"/>
      <c r="N20" s="239"/>
      <c r="O20" s="239"/>
      <c r="P20" s="239"/>
      <c r="Q20" s="239"/>
      <c r="R20" s="239"/>
      <c r="S20" s="239"/>
      <c r="T20" s="239"/>
      <c r="U20" s="239"/>
      <c r="V20" s="239"/>
      <c r="W20" s="239"/>
      <c r="X20" s="239"/>
      <c r="Y20" s="239"/>
      <c r="Z20" s="239"/>
      <c r="AA20" s="239"/>
      <c r="AB20" s="239"/>
      <c r="AC20" s="239"/>
      <c r="AD20" s="239"/>
      <c r="AE20" s="239"/>
      <c r="AF20" s="239"/>
      <c r="AG20" s="239"/>
      <c r="AH20" s="239"/>
      <c r="AI20" s="239"/>
      <c r="AJ20" s="239"/>
      <c r="AK20" s="239"/>
      <c r="AL20" s="239"/>
      <c r="AM20" s="239"/>
      <c r="AN20" s="239"/>
      <c r="AO20" s="239"/>
      <c r="AP20" s="239"/>
      <c r="AQ20" s="239"/>
      <c r="AR20" s="239"/>
      <c r="AS20" s="239"/>
      <c r="AT20" s="239"/>
      <c r="AU20" s="239"/>
      <c r="AV20" s="239"/>
      <c r="AW20" s="239"/>
      <c r="AX20" s="239"/>
      <c r="AY20" s="239"/>
      <c r="AZ20" s="239"/>
      <c r="BA20" s="239"/>
      <c r="BB20" s="239"/>
      <c r="BC20" s="239"/>
      <c r="BD20" s="239"/>
      <c r="BE20" s="239"/>
      <c r="BF20" s="239"/>
      <c r="BG20" s="349"/>
      <c r="BH20" s="349"/>
      <c r="BI20" s="349"/>
      <c r="BJ20" s="349"/>
      <c r="BK20" s="349"/>
      <c r="BL20" s="349"/>
      <c r="BM20" s="349"/>
      <c r="BN20" s="349"/>
      <c r="BO20" s="349"/>
      <c r="BP20" s="349"/>
      <c r="BQ20" s="349"/>
      <c r="BR20" s="349"/>
      <c r="BS20" s="349"/>
      <c r="BT20" s="349"/>
      <c r="BU20" s="349"/>
      <c r="BV20" s="349"/>
    </row>
    <row r="21" spans="1:74" ht="11.1" customHeight="1" x14ac:dyDescent="0.2">
      <c r="A21" s="140" t="s">
        <v>572</v>
      </c>
      <c r="B21" s="39" t="s">
        <v>1147</v>
      </c>
      <c r="C21" s="238">
        <v>13580.2</v>
      </c>
      <c r="D21" s="238">
        <v>13595.7</v>
      </c>
      <c r="E21" s="238">
        <v>13606.6</v>
      </c>
      <c r="F21" s="238">
        <v>13587.4</v>
      </c>
      <c r="G21" s="238">
        <v>13581</v>
      </c>
      <c r="H21" s="238">
        <v>13587.3</v>
      </c>
      <c r="I21" s="238">
        <v>13630</v>
      </c>
      <c r="J21" s="238">
        <v>13639.6</v>
      </c>
      <c r="K21" s="238">
        <v>13679.8</v>
      </c>
      <c r="L21" s="238">
        <v>13708.5</v>
      </c>
      <c r="M21" s="238">
        <v>13736.1</v>
      </c>
      <c r="N21" s="238">
        <v>13759.9</v>
      </c>
      <c r="O21" s="238">
        <v>13824.9</v>
      </c>
      <c r="P21" s="238">
        <v>13875.1</v>
      </c>
      <c r="Q21" s="238">
        <v>13942.1</v>
      </c>
      <c r="R21" s="238">
        <v>13967</v>
      </c>
      <c r="S21" s="238">
        <v>14059.6</v>
      </c>
      <c r="T21" s="238">
        <v>14063.7</v>
      </c>
      <c r="U21" s="238">
        <v>14103.1</v>
      </c>
      <c r="V21" s="238">
        <v>14122.8</v>
      </c>
      <c r="W21" s="238">
        <v>14150.3</v>
      </c>
      <c r="X21" s="238">
        <v>14187.8</v>
      </c>
      <c r="Y21" s="238">
        <v>14202.8</v>
      </c>
      <c r="Z21" s="238">
        <v>14227</v>
      </c>
      <c r="AA21" s="238">
        <v>14342.7</v>
      </c>
      <c r="AB21" s="238">
        <v>14379.4</v>
      </c>
      <c r="AC21" s="238">
        <v>14437.8</v>
      </c>
      <c r="AD21" s="238">
        <v>14471.5</v>
      </c>
      <c r="AE21" s="238">
        <v>14512.2</v>
      </c>
      <c r="AF21" s="238">
        <v>14557.1</v>
      </c>
      <c r="AG21" s="238">
        <v>14609.9</v>
      </c>
      <c r="AH21" s="238">
        <v>14649.7</v>
      </c>
      <c r="AI21" s="238">
        <v>14638.2</v>
      </c>
      <c r="AJ21" s="238">
        <v>14670.6</v>
      </c>
      <c r="AK21" s="238">
        <v>14688.9</v>
      </c>
      <c r="AL21" s="238">
        <v>14837.3</v>
      </c>
      <c r="AM21" s="238">
        <v>14840.9</v>
      </c>
      <c r="AN21" s="238">
        <v>14864.1</v>
      </c>
      <c r="AO21" s="238">
        <v>14855.7</v>
      </c>
      <c r="AP21" s="238">
        <v>14817.2</v>
      </c>
      <c r="AQ21" s="238">
        <v>14809.6</v>
      </c>
      <c r="AR21" s="238">
        <v>14826.8</v>
      </c>
      <c r="AS21" s="238">
        <v>14840.3</v>
      </c>
      <c r="AT21" s="238">
        <v>14912.4</v>
      </c>
      <c r="AU21" s="238">
        <v>14933.6</v>
      </c>
      <c r="AV21" s="238">
        <v>14936.2</v>
      </c>
      <c r="AW21" s="238">
        <v>14997.2</v>
      </c>
      <c r="AX21" s="238">
        <v>14960.2</v>
      </c>
      <c r="AY21" s="238">
        <v>15072.6</v>
      </c>
      <c r="AZ21" s="238">
        <v>15166</v>
      </c>
      <c r="BA21" s="238">
        <v>14940.3</v>
      </c>
      <c r="BB21" s="238">
        <v>17220.599999999999</v>
      </c>
      <c r="BC21" s="238">
        <v>16321.1</v>
      </c>
      <c r="BD21" s="238">
        <v>16030.5</v>
      </c>
      <c r="BE21" s="238">
        <v>16231.493037</v>
      </c>
      <c r="BF21" s="238">
        <v>16158.203259</v>
      </c>
      <c r="BG21" s="329">
        <v>16128.71</v>
      </c>
      <c r="BH21" s="329">
        <v>16417.48</v>
      </c>
      <c r="BI21" s="329">
        <v>16269.74</v>
      </c>
      <c r="BJ21" s="329">
        <v>15959.96</v>
      </c>
      <c r="BK21" s="329">
        <v>15041.09</v>
      </c>
      <c r="BL21" s="329">
        <v>14742.5</v>
      </c>
      <c r="BM21" s="329">
        <v>14617.15</v>
      </c>
      <c r="BN21" s="329">
        <v>14900.56</v>
      </c>
      <c r="BO21" s="329">
        <v>14945.04</v>
      </c>
      <c r="BP21" s="329">
        <v>14986.11</v>
      </c>
      <c r="BQ21" s="329">
        <v>15025.94</v>
      </c>
      <c r="BR21" s="329">
        <v>15058.56</v>
      </c>
      <c r="BS21" s="329">
        <v>15086.15</v>
      </c>
      <c r="BT21" s="329">
        <v>15090.53</v>
      </c>
      <c r="BU21" s="329">
        <v>15121.67</v>
      </c>
      <c r="BV21" s="329">
        <v>15161.4</v>
      </c>
    </row>
    <row r="22" spans="1:74" ht="11.1" customHeight="1" x14ac:dyDescent="0.2">
      <c r="A22" s="140"/>
      <c r="B22" s="139" t="s">
        <v>592</v>
      </c>
      <c r="C22" s="218"/>
      <c r="D22" s="218"/>
      <c r="E22" s="218"/>
      <c r="F22" s="218"/>
      <c r="G22" s="218"/>
      <c r="H22" s="218"/>
      <c r="I22" s="218"/>
      <c r="J22" s="218"/>
      <c r="K22" s="218"/>
      <c r="L22" s="218"/>
      <c r="M22" s="218"/>
      <c r="N22" s="218"/>
      <c r="O22" s="218"/>
      <c r="P22" s="218"/>
      <c r="Q22" s="218"/>
      <c r="R22" s="218"/>
      <c r="S22" s="218"/>
      <c r="T22" s="218"/>
      <c r="U22" s="218"/>
      <c r="V22" s="218"/>
      <c r="W22" s="218"/>
      <c r="X22" s="218"/>
      <c r="Y22" s="218"/>
      <c r="Z22" s="218"/>
      <c r="AA22" s="218"/>
      <c r="AB22" s="218"/>
      <c r="AC22" s="218"/>
      <c r="AD22" s="218"/>
      <c r="AE22" s="218"/>
      <c r="AF22" s="218"/>
      <c r="AG22" s="218"/>
      <c r="AH22" s="218"/>
      <c r="AI22" s="218"/>
      <c r="AJ22" s="218"/>
      <c r="AK22" s="218"/>
      <c r="AL22" s="218"/>
      <c r="AM22" s="218"/>
      <c r="AN22" s="218"/>
      <c r="AO22" s="218"/>
      <c r="AP22" s="218"/>
      <c r="AQ22" s="218"/>
      <c r="AR22" s="218"/>
      <c r="AS22" s="218"/>
      <c r="AT22" s="218"/>
      <c r="AU22" s="218"/>
      <c r="AV22" s="218"/>
      <c r="AW22" s="218"/>
      <c r="AX22" s="218"/>
      <c r="AY22" s="218"/>
      <c r="AZ22" s="218"/>
      <c r="BA22" s="218"/>
      <c r="BB22" s="218"/>
      <c r="BC22" s="218"/>
      <c r="BD22" s="218"/>
      <c r="BE22" s="218"/>
      <c r="BF22" s="218"/>
      <c r="BG22" s="328"/>
      <c r="BH22" s="328"/>
      <c r="BI22" s="328"/>
      <c r="BJ22" s="328"/>
      <c r="BK22" s="328"/>
      <c r="BL22" s="328"/>
      <c r="BM22" s="328"/>
      <c r="BN22" s="328"/>
      <c r="BO22" s="328"/>
      <c r="BP22" s="328"/>
      <c r="BQ22" s="328"/>
      <c r="BR22" s="328"/>
      <c r="BS22" s="328"/>
      <c r="BT22" s="328"/>
      <c r="BU22" s="328"/>
      <c r="BV22" s="328"/>
    </row>
    <row r="23" spans="1:74" ht="11.1" customHeight="1" x14ac:dyDescent="0.2">
      <c r="A23" s="140" t="s">
        <v>593</v>
      </c>
      <c r="B23" s="208" t="s">
        <v>471</v>
      </c>
      <c r="C23" s="256">
        <v>143.16999999999999</v>
      </c>
      <c r="D23" s="256">
        <v>143.43299999999999</v>
      </c>
      <c r="E23" s="256">
        <v>143.66200000000001</v>
      </c>
      <c r="F23" s="256">
        <v>143.84899999999999</v>
      </c>
      <c r="G23" s="256">
        <v>143.89099999999999</v>
      </c>
      <c r="H23" s="256">
        <v>144.15799999999999</v>
      </c>
      <c r="I23" s="256">
        <v>144.512</v>
      </c>
      <c r="J23" s="256">
        <v>144.64699999999999</v>
      </c>
      <c r="K23" s="256">
        <v>144.916</v>
      </c>
      <c r="L23" s="256">
        <v>145.06100000000001</v>
      </c>
      <c r="M23" s="256">
        <v>145.21199999999999</v>
      </c>
      <c r="N23" s="256">
        <v>145.44200000000001</v>
      </c>
      <c r="O23" s="256">
        <v>145.62700000000001</v>
      </c>
      <c r="P23" s="256">
        <v>145.815</v>
      </c>
      <c r="Q23" s="256">
        <v>145.94399999999999</v>
      </c>
      <c r="R23" s="256">
        <v>146.14099999999999</v>
      </c>
      <c r="S23" s="256">
        <v>146.29599999999999</v>
      </c>
      <c r="T23" s="256">
        <v>146.512</v>
      </c>
      <c r="U23" s="256">
        <v>146.727</v>
      </c>
      <c r="V23" s="256">
        <v>146.911</v>
      </c>
      <c r="W23" s="256">
        <v>146.929</v>
      </c>
      <c r="X23" s="256">
        <v>147.196</v>
      </c>
      <c r="Y23" s="256">
        <v>147.42099999999999</v>
      </c>
      <c r="Z23" s="256">
        <v>147.55099999999999</v>
      </c>
      <c r="AA23" s="256">
        <v>147.672</v>
      </c>
      <c r="AB23" s="256">
        <v>148.078</v>
      </c>
      <c r="AC23" s="256">
        <v>148.25399999999999</v>
      </c>
      <c r="AD23" s="256">
        <v>148.39099999999999</v>
      </c>
      <c r="AE23" s="256">
        <v>148.66900000000001</v>
      </c>
      <c r="AF23" s="256">
        <v>148.88800000000001</v>
      </c>
      <c r="AG23" s="256">
        <v>149.024</v>
      </c>
      <c r="AH23" s="256">
        <v>149.268</v>
      </c>
      <c r="AI23" s="256">
        <v>149.34800000000001</v>
      </c>
      <c r="AJ23" s="256">
        <v>149.54900000000001</v>
      </c>
      <c r="AK23" s="256">
        <v>149.68299999999999</v>
      </c>
      <c r="AL23" s="256">
        <v>149.86500000000001</v>
      </c>
      <c r="AM23" s="256">
        <v>150.13399999999999</v>
      </c>
      <c r="AN23" s="256">
        <v>150.13499999999999</v>
      </c>
      <c r="AO23" s="256">
        <v>150.28200000000001</v>
      </c>
      <c r="AP23" s="256">
        <v>150.49199999999999</v>
      </c>
      <c r="AQ23" s="256">
        <v>150.577</v>
      </c>
      <c r="AR23" s="256">
        <v>150.75899999999999</v>
      </c>
      <c r="AS23" s="256">
        <v>150.953</v>
      </c>
      <c r="AT23" s="256">
        <v>151.16</v>
      </c>
      <c r="AU23" s="256">
        <v>151.36799999999999</v>
      </c>
      <c r="AV23" s="256">
        <v>151.553</v>
      </c>
      <c r="AW23" s="256">
        <v>151.81399999999999</v>
      </c>
      <c r="AX23" s="256">
        <v>151.99799999999999</v>
      </c>
      <c r="AY23" s="256">
        <v>152.21199999999999</v>
      </c>
      <c r="AZ23" s="256">
        <v>152.46299999999999</v>
      </c>
      <c r="BA23" s="256">
        <v>151.09</v>
      </c>
      <c r="BB23" s="256">
        <v>130.303</v>
      </c>
      <c r="BC23" s="256">
        <v>133.02799999999999</v>
      </c>
      <c r="BD23" s="256">
        <v>137.81899999999999</v>
      </c>
      <c r="BE23" s="256">
        <v>139.58199999999999</v>
      </c>
      <c r="BF23" s="256">
        <v>140.95708024999999</v>
      </c>
      <c r="BG23" s="342">
        <v>142.4393</v>
      </c>
      <c r="BH23" s="342">
        <v>143.22569999999999</v>
      </c>
      <c r="BI23" s="342">
        <v>144.01650000000001</v>
      </c>
      <c r="BJ23" s="342">
        <v>144.55709999999999</v>
      </c>
      <c r="BK23" s="342">
        <v>144.50399999999999</v>
      </c>
      <c r="BL23" s="342">
        <v>144.80189999999999</v>
      </c>
      <c r="BM23" s="342">
        <v>145.1071</v>
      </c>
      <c r="BN23" s="342">
        <v>145.46260000000001</v>
      </c>
      <c r="BO23" s="342">
        <v>145.75069999999999</v>
      </c>
      <c r="BP23" s="342">
        <v>146.01400000000001</v>
      </c>
      <c r="BQ23" s="342">
        <v>146.196</v>
      </c>
      <c r="BR23" s="342">
        <v>146.45259999999999</v>
      </c>
      <c r="BS23" s="342">
        <v>146.727</v>
      </c>
      <c r="BT23" s="342">
        <v>147.00290000000001</v>
      </c>
      <c r="BU23" s="342">
        <v>147.3252</v>
      </c>
      <c r="BV23" s="342">
        <v>147.67760000000001</v>
      </c>
    </row>
    <row r="24" spans="1:74" s="143" customFormat="1" ht="11.1" customHeight="1" x14ac:dyDescent="0.2">
      <c r="A24" s="140"/>
      <c r="B24" s="139" t="s">
        <v>833</v>
      </c>
      <c r="C24" s="256"/>
      <c r="D24" s="256"/>
      <c r="E24" s="256"/>
      <c r="F24" s="256"/>
      <c r="G24" s="256"/>
      <c r="H24" s="256"/>
      <c r="I24" s="256"/>
      <c r="J24" s="256"/>
      <c r="K24" s="256"/>
      <c r="L24" s="256"/>
      <c r="M24" s="256"/>
      <c r="N24" s="256"/>
      <c r="O24" s="256"/>
      <c r="P24" s="256"/>
      <c r="Q24" s="256"/>
      <c r="R24" s="256"/>
      <c r="S24" s="256"/>
      <c r="T24" s="256"/>
      <c r="U24" s="256"/>
      <c r="V24" s="256"/>
      <c r="W24" s="256"/>
      <c r="X24" s="256"/>
      <c r="Y24" s="256"/>
      <c r="Z24" s="256"/>
      <c r="AA24" s="256"/>
      <c r="AB24" s="256"/>
      <c r="AC24" s="256"/>
      <c r="AD24" s="256"/>
      <c r="AE24" s="256"/>
      <c r="AF24" s="256"/>
      <c r="AG24" s="256"/>
      <c r="AH24" s="256"/>
      <c r="AI24" s="256"/>
      <c r="AJ24" s="256"/>
      <c r="AK24" s="256"/>
      <c r="AL24" s="256"/>
      <c r="AM24" s="256"/>
      <c r="AN24" s="256"/>
      <c r="AO24" s="256"/>
      <c r="AP24" s="256"/>
      <c r="AQ24" s="256"/>
      <c r="AR24" s="256"/>
      <c r="AS24" s="256"/>
      <c r="AT24" s="256"/>
      <c r="AU24" s="256"/>
      <c r="AV24" s="256"/>
      <c r="AW24" s="256"/>
      <c r="AX24" s="256"/>
      <c r="AY24" s="256"/>
      <c r="AZ24" s="256"/>
      <c r="BA24" s="256"/>
      <c r="BB24" s="256"/>
      <c r="BC24" s="256"/>
      <c r="BD24" s="256"/>
      <c r="BE24" s="256"/>
      <c r="BF24" s="256"/>
      <c r="BG24" s="342"/>
      <c r="BH24" s="342"/>
      <c r="BI24" s="342"/>
      <c r="BJ24" s="342"/>
      <c r="BK24" s="342"/>
      <c r="BL24" s="342"/>
      <c r="BM24" s="342"/>
      <c r="BN24" s="342"/>
      <c r="BO24" s="342"/>
      <c r="BP24" s="342"/>
      <c r="BQ24" s="342"/>
      <c r="BR24" s="342"/>
      <c r="BS24" s="342"/>
      <c r="BT24" s="342"/>
      <c r="BU24" s="342"/>
      <c r="BV24" s="342"/>
    </row>
    <row r="25" spans="1:74" s="143" customFormat="1" ht="11.1" customHeight="1" x14ac:dyDescent="0.2">
      <c r="A25" s="140" t="s">
        <v>835</v>
      </c>
      <c r="B25" s="208" t="s">
        <v>834</v>
      </c>
      <c r="C25" s="256">
        <v>4.9000000000000004</v>
      </c>
      <c r="D25" s="256">
        <v>4.9000000000000004</v>
      </c>
      <c r="E25" s="256">
        <v>5</v>
      </c>
      <c r="F25" s="256">
        <v>5</v>
      </c>
      <c r="G25" s="256">
        <v>4.8</v>
      </c>
      <c r="H25" s="256">
        <v>4.9000000000000004</v>
      </c>
      <c r="I25" s="256">
        <v>4.8</v>
      </c>
      <c r="J25" s="256">
        <v>4.9000000000000004</v>
      </c>
      <c r="K25" s="256">
        <v>5</v>
      </c>
      <c r="L25" s="256">
        <v>4.9000000000000004</v>
      </c>
      <c r="M25" s="256">
        <v>4.7</v>
      </c>
      <c r="N25" s="256">
        <v>4.7</v>
      </c>
      <c r="O25" s="256">
        <v>4.7</v>
      </c>
      <c r="P25" s="256">
        <v>4.5999999999999996</v>
      </c>
      <c r="Q25" s="256">
        <v>4.4000000000000004</v>
      </c>
      <c r="R25" s="256">
        <v>4.4000000000000004</v>
      </c>
      <c r="S25" s="256">
        <v>4.4000000000000004</v>
      </c>
      <c r="T25" s="256">
        <v>4.3</v>
      </c>
      <c r="U25" s="256">
        <v>4.3</v>
      </c>
      <c r="V25" s="256">
        <v>4.4000000000000004</v>
      </c>
      <c r="W25" s="256">
        <v>4.2</v>
      </c>
      <c r="X25" s="256">
        <v>4.0999999999999996</v>
      </c>
      <c r="Y25" s="256">
        <v>4.2</v>
      </c>
      <c r="Z25" s="256">
        <v>4.0999999999999996</v>
      </c>
      <c r="AA25" s="256">
        <v>4.0999999999999996</v>
      </c>
      <c r="AB25" s="256">
        <v>4.0999999999999996</v>
      </c>
      <c r="AC25" s="256">
        <v>4</v>
      </c>
      <c r="AD25" s="256">
        <v>4</v>
      </c>
      <c r="AE25" s="256">
        <v>3.8</v>
      </c>
      <c r="AF25" s="256">
        <v>4</v>
      </c>
      <c r="AG25" s="256">
        <v>3.8</v>
      </c>
      <c r="AH25" s="256">
        <v>3.8</v>
      </c>
      <c r="AI25" s="256">
        <v>3.7</v>
      </c>
      <c r="AJ25" s="256">
        <v>3.8</v>
      </c>
      <c r="AK25" s="256">
        <v>3.7</v>
      </c>
      <c r="AL25" s="256">
        <v>3.9</v>
      </c>
      <c r="AM25" s="256">
        <v>4</v>
      </c>
      <c r="AN25" s="256">
        <v>3.8</v>
      </c>
      <c r="AO25" s="256">
        <v>3.8</v>
      </c>
      <c r="AP25" s="256">
        <v>3.6</v>
      </c>
      <c r="AQ25" s="256">
        <v>3.6</v>
      </c>
      <c r="AR25" s="256">
        <v>3.7</v>
      </c>
      <c r="AS25" s="256">
        <v>3.7</v>
      </c>
      <c r="AT25" s="256">
        <v>3.7</v>
      </c>
      <c r="AU25" s="256">
        <v>3.5</v>
      </c>
      <c r="AV25" s="256">
        <v>3.6</v>
      </c>
      <c r="AW25" s="256">
        <v>3.5</v>
      </c>
      <c r="AX25" s="256">
        <v>3.5</v>
      </c>
      <c r="AY25" s="256">
        <v>3.6</v>
      </c>
      <c r="AZ25" s="256">
        <v>3.5</v>
      </c>
      <c r="BA25" s="256">
        <v>4.4000000000000004</v>
      </c>
      <c r="BB25" s="256">
        <v>14.7</v>
      </c>
      <c r="BC25" s="256">
        <v>13.3</v>
      </c>
      <c r="BD25" s="256">
        <v>11.1</v>
      </c>
      <c r="BE25" s="256">
        <v>10.199999999999999</v>
      </c>
      <c r="BF25" s="256">
        <v>9.4211169251999998</v>
      </c>
      <c r="BG25" s="342">
        <v>8.7546309999999998</v>
      </c>
      <c r="BH25" s="342">
        <v>8.5241000000000007</v>
      </c>
      <c r="BI25" s="342">
        <v>8.2309260000000002</v>
      </c>
      <c r="BJ25" s="342">
        <v>8.0564160000000005</v>
      </c>
      <c r="BK25" s="342">
        <v>8.1900680000000001</v>
      </c>
      <c r="BL25" s="342">
        <v>8.1107659999999999</v>
      </c>
      <c r="BM25" s="342">
        <v>8.0080069999999992</v>
      </c>
      <c r="BN25" s="342">
        <v>7.8326580000000003</v>
      </c>
      <c r="BO25" s="342">
        <v>7.7198320000000002</v>
      </c>
      <c r="BP25" s="342">
        <v>7.6203979999999998</v>
      </c>
      <c r="BQ25" s="342">
        <v>7.5709059999999999</v>
      </c>
      <c r="BR25" s="342">
        <v>7.4708410000000001</v>
      </c>
      <c r="BS25" s="342">
        <v>7.3567539999999996</v>
      </c>
      <c r="BT25" s="342">
        <v>7.230912</v>
      </c>
      <c r="BU25" s="342">
        <v>7.0870819999999997</v>
      </c>
      <c r="BV25" s="342">
        <v>6.9275320000000002</v>
      </c>
    </row>
    <row r="26" spans="1:74" ht="11.1" customHeight="1" x14ac:dyDescent="0.2">
      <c r="A26" s="140"/>
      <c r="B26" s="139" t="s">
        <v>836</v>
      </c>
      <c r="C26" s="241"/>
      <c r="D26" s="241"/>
      <c r="E26" s="241"/>
      <c r="F26" s="241"/>
      <c r="G26" s="241"/>
      <c r="H26" s="241"/>
      <c r="I26" s="241"/>
      <c r="J26" s="241"/>
      <c r="K26" s="241"/>
      <c r="L26" s="241"/>
      <c r="M26" s="241"/>
      <c r="N26" s="241"/>
      <c r="O26" s="241"/>
      <c r="P26" s="241"/>
      <c r="Q26" s="241"/>
      <c r="R26" s="241"/>
      <c r="S26" s="241"/>
      <c r="T26" s="241"/>
      <c r="U26" s="241"/>
      <c r="V26" s="241"/>
      <c r="W26" s="241"/>
      <c r="X26" s="241"/>
      <c r="Y26" s="241"/>
      <c r="Z26" s="241"/>
      <c r="AA26" s="241"/>
      <c r="AB26" s="241"/>
      <c r="AC26" s="241"/>
      <c r="AD26" s="241"/>
      <c r="AE26" s="241"/>
      <c r="AF26" s="241"/>
      <c r="AG26" s="241"/>
      <c r="AH26" s="241"/>
      <c r="AI26" s="241"/>
      <c r="AJ26" s="241"/>
      <c r="AK26" s="241"/>
      <c r="AL26" s="241"/>
      <c r="AM26" s="241"/>
      <c r="AN26" s="241"/>
      <c r="AO26" s="241"/>
      <c r="AP26" s="241"/>
      <c r="AQ26" s="241"/>
      <c r="AR26" s="241"/>
      <c r="AS26" s="241"/>
      <c r="AT26" s="241"/>
      <c r="AU26" s="241"/>
      <c r="AV26" s="241"/>
      <c r="AW26" s="241"/>
      <c r="AX26" s="241"/>
      <c r="AY26" s="241"/>
      <c r="AZ26" s="241"/>
      <c r="BA26" s="241"/>
      <c r="BB26" s="241"/>
      <c r="BC26" s="241"/>
      <c r="BD26" s="241"/>
      <c r="BE26" s="241"/>
      <c r="BF26" s="241"/>
      <c r="BG26" s="352"/>
      <c r="BH26" s="352"/>
      <c r="BI26" s="352"/>
      <c r="BJ26" s="352"/>
      <c r="BK26" s="352"/>
      <c r="BL26" s="352"/>
      <c r="BM26" s="352"/>
      <c r="BN26" s="352"/>
      <c r="BO26" s="352"/>
      <c r="BP26" s="352"/>
      <c r="BQ26" s="352"/>
      <c r="BR26" s="352"/>
      <c r="BS26" s="352"/>
      <c r="BT26" s="352"/>
      <c r="BU26" s="352"/>
      <c r="BV26" s="352"/>
    </row>
    <row r="27" spans="1:74" ht="11.1" customHeight="1" x14ac:dyDescent="0.2">
      <c r="A27" s="140" t="s">
        <v>837</v>
      </c>
      <c r="B27" s="208" t="s">
        <v>838</v>
      </c>
      <c r="C27" s="479">
        <v>1.103</v>
      </c>
      <c r="D27" s="479">
        <v>1.2030000000000001</v>
      </c>
      <c r="E27" s="479">
        <v>1.1140000000000001</v>
      </c>
      <c r="F27" s="479">
        <v>1.1579999999999999</v>
      </c>
      <c r="G27" s="479">
        <v>1.131</v>
      </c>
      <c r="H27" s="479">
        <v>1.2</v>
      </c>
      <c r="I27" s="479">
        <v>1.2450000000000001</v>
      </c>
      <c r="J27" s="479">
        <v>1.155</v>
      </c>
      <c r="K27" s="479">
        <v>1.0720000000000001</v>
      </c>
      <c r="L27" s="479">
        <v>1.321</v>
      </c>
      <c r="M27" s="479">
        <v>1.1499999999999999</v>
      </c>
      <c r="N27" s="479">
        <v>1.2669999999999999</v>
      </c>
      <c r="O27" s="479">
        <v>1.206</v>
      </c>
      <c r="P27" s="479">
        <v>1.282</v>
      </c>
      <c r="Q27" s="479">
        <v>1.1859999999999999</v>
      </c>
      <c r="R27" s="479">
        <v>1.1499999999999999</v>
      </c>
      <c r="S27" s="479">
        <v>1.123</v>
      </c>
      <c r="T27" s="479">
        <v>1.2430000000000001</v>
      </c>
      <c r="U27" s="479">
        <v>1.2070000000000001</v>
      </c>
      <c r="V27" s="479">
        <v>1.163</v>
      </c>
      <c r="W27" s="479">
        <v>1.1739999999999999</v>
      </c>
      <c r="X27" s="479">
        <v>1.256</v>
      </c>
      <c r="Y27" s="479">
        <v>1.3</v>
      </c>
      <c r="Z27" s="479">
        <v>1.1990000000000001</v>
      </c>
      <c r="AA27" s="479">
        <v>1.3140000000000001</v>
      </c>
      <c r="AB27" s="479">
        <v>1.288</v>
      </c>
      <c r="AC27" s="479">
        <v>1.335</v>
      </c>
      <c r="AD27" s="479">
        <v>1.2689999999999999</v>
      </c>
      <c r="AE27" s="479">
        <v>1.3340000000000001</v>
      </c>
      <c r="AF27" s="479">
        <v>1.19</v>
      </c>
      <c r="AG27" s="479">
        <v>1.1950000000000001</v>
      </c>
      <c r="AH27" s="479">
        <v>1.28</v>
      </c>
      <c r="AI27" s="479">
        <v>1.246</v>
      </c>
      <c r="AJ27" s="479">
        <v>1.2070000000000001</v>
      </c>
      <c r="AK27" s="479">
        <v>1.204</v>
      </c>
      <c r="AL27" s="479">
        <v>1.117</v>
      </c>
      <c r="AM27" s="479">
        <v>1.272</v>
      </c>
      <c r="AN27" s="479">
        <v>1.137</v>
      </c>
      <c r="AO27" s="479">
        <v>1.2030000000000001</v>
      </c>
      <c r="AP27" s="479">
        <v>1.2669999999999999</v>
      </c>
      <c r="AQ27" s="479">
        <v>1.268</v>
      </c>
      <c r="AR27" s="479">
        <v>1.2350000000000001</v>
      </c>
      <c r="AS27" s="479">
        <v>1.212</v>
      </c>
      <c r="AT27" s="479">
        <v>1.377</v>
      </c>
      <c r="AU27" s="479">
        <v>1.274</v>
      </c>
      <c r="AV27" s="479">
        <v>1.34</v>
      </c>
      <c r="AW27" s="479">
        <v>1.371</v>
      </c>
      <c r="AX27" s="479">
        <v>1.587</v>
      </c>
      <c r="AY27" s="479">
        <v>1.617</v>
      </c>
      <c r="AZ27" s="479">
        <v>1.5669999999999999</v>
      </c>
      <c r="BA27" s="479">
        <v>1.2689999999999999</v>
      </c>
      <c r="BB27" s="479">
        <v>0.93400000000000005</v>
      </c>
      <c r="BC27" s="479">
        <v>1.038</v>
      </c>
      <c r="BD27" s="479">
        <v>1.22</v>
      </c>
      <c r="BE27" s="479">
        <v>1.496</v>
      </c>
      <c r="BF27" s="479">
        <v>1.2880670863999999</v>
      </c>
      <c r="BG27" s="480">
        <v>1.314441</v>
      </c>
      <c r="BH27" s="480">
        <v>1.287738</v>
      </c>
      <c r="BI27" s="480">
        <v>1.2909820000000001</v>
      </c>
      <c r="BJ27" s="480">
        <v>1.293981</v>
      </c>
      <c r="BK27" s="480">
        <v>1.296262</v>
      </c>
      <c r="BL27" s="480">
        <v>1.2991280000000001</v>
      </c>
      <c r="BM27" s="480">
        <v>1.302106</v>
      </c>
      <c r="BN27" s="480">
        <v>1.3066310000000001</v>
      </c>
      <c r="BO27" s="480">
        <v>1.308754</v>
      </c>
      <c r="BP27" s="480">
        <v>1.309911</v>
      </c>
      <c r="BQ27" s="480">
        <v>1.308165</v>
      </c>
      <c r="BR27" s="480">
        <v>1.308843</v>
      </c>
      <c r="BS27" s="480">
        <v>1.310009</v>
      </c>
      <c r="BT27" s="480">
        <v>1.3116859999999999</v>
      </c>
      <c r="BU27" s="480">
        <v>1.3138080000000001</v>
      </c>
      <c r="BV27" s="480">
        <v>1.3164</v>
      </c>
    </row>
    <row r="28" spans="1:74" s="143" customFormat="1" ht="11.1" customHeight="1" x14ac:dyDescent="0.2">
      <c r="A28" s="142"/>
      <c r="B28" s="208"/>
      <c r="C28" s="256"/>
      <c r="D28" s="256"/>
      <c r="E28" s="256"/>
      <c r="F28" s="256"/>
      <c r="G28" s="256"/>
      <c r="H28" s="256"/>
      <c r="I28" s="256"/>
      <c r="J28" s="256"/>
      <c r="K28" s="256"/>
      <c r="L28" s="256"/>
      <c r="M28" s="256"/>
      <c r="N28" s="256"/>
      <c r="O28" s="256"/>
      <c r="P28" s="256"/>
      <c r="Q28" s="256"/>
      <c r="R28" s="256"/>
      <c r="S28" s="256"/>
      <c r="T28" s="256"/>
      <c r="U28" s="256"/>
      <c r="V28" s="256"/>
      <c r="W28" s="256"/>
      <c r="X28" s="256"/>
      <c r="Y28" s="256"/>
      <c r="Z28" s="256"/>
      <c r="AA28" s="256"/>
      <c r="AB28" s="256"/>
      <c r="AC28" s="256"/>
      <c r="AD28" s="256"/>
      <c r="AE28" s="256"/>
      <c r="AF28" s="256"/>
      <c r="AG28" s="256"/>
      <c r="AH28" s="256"/>
      <c r="AI28" s="256"/>
      <c r="AJ28" s="256"/>
      <c r="AK28" s="256"/>
      <c r="AL28" s="256"/>
      <c r="AM28" s="256"/>
      <c r="AN28" s="256"/>
      <c r="AO28" s="256"/>
      <c r="AP28" s="256"/>
      <c r="AQ28" s="256"/>
      <c r="AR28" s="256"/>
      <c r="AS28" s="256"/>
      <c r="AT28" s="256"/>
      <c r="AU28" s="256"/>
      <c r="AV28" s="256"/>
      <c r="AW28" s="256"/>
      <c r="AX28" s="256"/>
      <c r="AY28" s="256"/>
      <c r="AZ28" s="256"/>
      <c r="BA28" s="256"/>
      <c r="BB28" s="256"/>
      <c r="BC28" s="256"/>
      <c r="BD28" s="256"/>
      <c r="BE28" s="256"/>
      <c r="BF28" s="256"/>
      <c r="BG28" s="342"/>
      <c r="BH28" s="342"/>
      <c r="BI28" s="342"/>
      <c r="BJ28" s="342"/>
      <c r="BK28" s="342"/>
      <c r="BL28" s="342"/>
      <c r="BM28" s="342"/>
      <c r="BN28" s="342"/>
      <c r="BO28" s="342"/>
      <c r="BP28" s="342"/>
      <c r="BQ28" s="342"/>
      <c r="BR28" s="342"/>
      <c r="BS28" s="342"/>
      <c r="BT28" s="342"/>
      <c r="BU28" s="342"/>
      <c r="BV28" s="342"/>
    </row>
    <row r="29" spans="1:74" ht="11.1" customHeight="1" x14ac:dyDescent="0.2">
      <c r="A29" s="134"/>
      <c r="B29" s="320" t="s">
        <v>1021</v>
      </c>
      <c r="C29" s="219"/>
      <c r="D29" s="219"/>
      <c r="E29" s="219"/>
      <c r="F29" s="219"/>
      <c r="G29" s="219"/>
      <c r="H29" s="219"/>
      <c r="I29" s="219"/>
      <c r="J29" s="219"/>
      <c r="K29" s="219"/>
      <c r="L29" s="219"/>
      <c r="M29" s="219"/>
      <c r="N29" s="219"/>
      <c r="O29" s="219"/>
      <c r="P29" s="219"/>
      <c r="Q29" s="219"/>
      <c r="R29" s="219"/>
      <c r="S29" s="219"/>
      <c r="T29" s="219"/>
      <c r="U29" s="219"/>
      <c r="V29" s="219"/>
      <c r="W29" s="219"/>
      <c r="X29" s="219"/>
      <c r="Y29" s="219"/>
      <c r="Z29" s="219"/>
      <c r="AA29" s="219"/>
      <c r="AB29" s="219"/>
      <c r="AC29" s="219"/>
      <c r="AD29" s="219"/>
      <c r="AE29" s="219"/>
      <c r="AF29" s="219"/>
      <c r="AG29" s="219"/>
      <c r="AH29" s="219"/>
      <c r="AI29" s="219"/>
      <c r="AJ29" s="219"/>
      <c r="AK29" s="219"/>
      <c r="AL29" s="219"/>
      <c r="AM29" s="219"/>
      <c r="AN29" s="219"/>
      <c r="AO29" s="219"/>
      <c r="AP29" s="219"/>
      <c r="AQ29" s="219"/>
      <c r="AR29" s="219"/>
      <c r="AS29" s="219"/>
      <c r="AT29" s="219"/>
      <c r="AU29" s="219"/>
      <c r="AV29" s="219"/>
      <c r="AW29" s="219"/>
      <c r="AX29" s="219"/>
      <c r="AY29" s="219"/>
      <c r="AZ29" s="219"/>
      <c r="BA29" s="219"/>
      <c r="BB29" s="219"/>
      <c r="BC29" s="219"/>
      <c r="BD29" s="219"/>
      <c r="BE29" s="219"/>
      <c r="BF29" s="219"/>
      <c r="BG29" s="330"/>
      <c r="BH29" s="330"/>
      <c r="BI29" s="330"/>
      <c r="BJ29" s="330"/>
      <c r="BK29" s="330"/>
      <c r="BL29" s="330"/>
      <c r="BM29" s="330"/>
      <c r="BN29" s="330"/>
      <c r="BO29" s="330"/>
      <c r="BP29" s="330"/>
      <c r="BQ29" s="330"/>
      <c r="BR29" s="330"/>
      <c r="BS29" s="330"/>
      <c r="BT29" s="330"/>
      <c r="BU29" s="330"/>
      <c r="BV29" s="330"/>
    </row>
    <row r="30" spans="1:74" ht="11.1" customHeight="1" x14ac:dyDescent="0.2">
      <c r="A30" s="606" t="s">
        <v>595</v>
      </c>
      <c r="B30" s="607" t="s">
        <v>594</v>
      </c>
      <c r="C30" s="256">
        <v>102.9525</v>
      </c>
      <c r="D30" s="256">
        <v>102.2225</v>
      </c>
      <c r="E30" s="256">
        <v>101.41549999999999</v>
      </c>
      <c r="F30" s="256">
        <v>101.5167</v>
      </c>
      <c r="G30" s="256">
        <v>101.4298</v>
      </c>
      <c r="H30" s="256">
        <v>101.8747</v>
      </c>
      <c r="I30" s="256">
        <v>102.13249999999999</v>
      </c>
      <c r="J30" s="256">
        <v>102.0407</v>
      </c>
      <c r="K30" s="256">
        <v>102.04770000000001</v>
      </c>
      <c r="L30" s="256">
        <v>102.24850000000001</v>
      </c>
      <c r="M30" s="256">
        <v>102.05070000000001</v>
      </c>
      <c r="N30" s="256">
        <v>102.9281</v>
      </c>
      <c r="O30" s="256">
        <v>103.03660000000001</v>
      </c>
      <c r="P30" s="256">
        <v>102.64790000000001</v>
      </c>
      <c r="Q30" s="256">
        <v>103.343</v>
      </c>
      <c r="R30" s="256">
        <v>104.27209999999999</v>
      </c>
      <c r="S30" s="256">
        <v>104.41289999999999</v>
      </c>
      <c r="T30" s="256">
        <v>104.5849</v>
      </c>
      <c r="U30" s="256">
        <v>104.5427</v>
      </c>
      <c r="V30" s="256">
        <v>104.0475</v>
      </c>
      <c r="W30" s="256">
        <v>104.0502</v>
      </c>
      <c r="X30" s="256">
        <v>105.62869999999999</v>
      </c>
      <c r="Y30" s="256">
        <v>106.193</v>
      </c>
      <c r="Z30" s="256">
        <v>106.536</v>
      </c>
      <c r="AA30" s="256">
        <v>106.2655</v>
      </c>
      <c r="AB30" s="256">
        <v>106.64190000000001</v>
      </c>
      <c r="AC30" s="256">
        <v>107.25190000000001</v>
      </c>
      <c r="AD30" s="256">
        <v>108.2223</v>
      </c>
      <c r="AE30" s="256">
        <v>107.3639</v>
      </c>
      <c r="AF30" s="256">
        <v>108.1707</v>
      </c>
      <c r="AG30" s="256">
        <v>108.652</v>
      </c>
      <c r="AH30" s="256">
        <v>109.52460000000001</v>
      </c>
      <c r="AI30" s="256">
        <v>109.67489999999999</v>
      </c>
      <c r="AJ30" s="256">
        <v>109.9165</v>
      </c>
      <c r="AK30" s="256">
        <v>110.5067</v>
      </c>
      <c r="AL30" s="256">
        <v>110.55159999999999</v>
      </c>
      <c r="AM30" s="256">
        <v>110.1185</v>
      </c>
      <c r="AN30" s="256">
        <v>109.56310000000001</v>
      </c>
      <c r="AO30" s="256">
        <v>109.6811</v>
      </c>
      <c r="AP30" s="256">
        <v>108.9888</v>
      </c>
      <c r="AQ30" s="256">
        <v>109.2264</v>
      </c>
      <c r="AR30" s="256">
        <v>109.2774</v>
      </c>
      <c r="AS30" s="256">
        <v>109.0852</v>
      </c>
      <c r="AT30" s="256">
        <v>109.85429999999999</v>
      </c>
      <c r="AU30" s="256">
        <v>109.4725</v>
      </c>
      <c r="AV30" s="256">
        <v>109.027</v>
      </c>
      <c r="AW30" s="256">
        <v>110.03879999999999</v>
      </c>
      <c r="AX30" s="256">
        <v>109.6527</v>
      </c>
      <c r="AY30" s="256">
        <v>109.1845</v>
      </c>
      <c r="AZ30" s="256">
        <v>109.2966</v>
      </c>
      <c r="BA30" s="256">
        <v>104.60129999999999</v>
      </c>
      <c r="BB30" s="256">
        <v>91.207099999999997</v>
      </c>
      <c r="BC30" s="256">
        <v>92.014700000000005</v>
      </c>
      <c r="BD30" s="256">
        <v>97.222499999999997</v>
      </c>
      <c r="BE30" s="256">
        <v>100.1665</v>
      </c>
      <c r="BF30" s="256">
        <v>99.570542098999994</v>
      </c>
      <c r="BG30" s="342">
        <v>100.1353</v>
      </c>
      <c r="BH30" s="342">
        <v>98.912300000000002</v>
      </c>
      <c r="BI30" s="342">
        <v>98.909469999999999</v>
      </c>
      <c r="BJ30" s="342">
        <v>99.033019999999993</v>
      </c>
      <c r="BK30" s="342">
        <v>99.363</v>
      </c>
      <c r="BL30" s="342">
        <v>99.679270000000002</v>
      </c>
      <c r="BM30" s="342">
        <v>100.06189999999999</v>
      </c>
      <c r="BN30" s="342">
        <v>100.613</v>
      </c>
      <c r="BO30" s="342">
        <v>101.05159999999999</v>
      </c>
      <c r="BP30" s="342">
        <v>101.48</v>
      </c>
      <c r="BQ30" s="342">
        <v>101.84529999999999</v>
      </c>
      <c r="BR30" s="342">
        <v>102.2927</v>
      </c>
      <c r="BS30" s="342">
        <v>102.7694</v>
      </c>
      <c r="BT30" s="342">
        <v>103.2659</v>
      </c>
      <c r="BU30" s="342">
        <v>103.80840000000001</v>
      </c>
      <c r="BV30" s="342">
        <v>104.38720000000001</v>
      </c>
    </row>
    <row r="31" spans="1:74" ht="11.1" customHeight="1" x14ac:dyDescent="0.2">
      <c r="A31" s="321" t="s">
        <v>573</v>
      </c>
      <c r="B31" s="41" t="s">
        <v>929</v>
      </c>
      <c r="C31" s="256">
        <v>101.706</v>
      </c>
      <c r="D31" s="256">
        <v>101.11060000000001</v>
      </c>
      <c r="E31" s="256">
        <v>100.95950000000001</v>
      </c>
      <c r="F31" s="256">
        <v>100.5583</v>
      </c>
      <c r="G31" s="256">
        <v>100.5821</v>
      </c>
      <c r="H31" s="256">
        <v>100.8661</v>
      </c>
      <c r="I31" s="256">
        <v>101.1049</v>
      </c>
      <c r="J31" s="256">
        <v>100.73390000000001</v>
      </c>
      <c r="K31" s="256">
        <v>101.12690000000001</v>
      </c>
      <c r="L31" s="256">
        <v>101.43470000000001</v>
      </c>
      <c r="M31" s="256">
        <v>101.51779999999999</v>
      </c>
      <c r="N31" s="256">
        <v>101.88079999999999</v>
      </c>
      <c r="O31" s="256">
        <v>102.4892</v>
      </c>
      <c r="P31" s="256">
        <v>102.4152</v>
      </c>
      <c r="Q31" s="256">
        <v>102.1635</v>
      </c>
      <c r="R31" s="256">
        <v>103.3416</v>
      </c>
      <c r="S31" s="256">
        <v>103.1555</v>
      </c>
      <c r="T31" s="256">
        <v>103.27930000000001</v>
      </c>
      <c r="U31" s="256">
        <v>103.1101</v>
      </c>
      <c r="V31" s="256">
        <v>102.8276</v>
      </c>
      <c r="W31" s="256">
        <v>102.7012</v>
      </c>
      <c r="X31" s="256">
        <v>104.09310000000001</v>
      </c>
      <c r="Y31" s="256">
        <v>104.4259</v>
      </c>
      <c r="Z31" s="256">
        <v>104.4342</v>
      </c>
      <c r="AA31" s="256">
        <v>104.0461</v>
      </c>
      <c r="AB31" s="256">
        <v>105.16670000000001</v>
      </c>
      <c r="AC31" s="256">
        <v>105.22620000000001</v>
      </c>
      <c r="AD31" s="256">
        <v>105.7471</v>
      </c>
      <c r="AE31" s="256">
        <v>104.965</v>
      </c>
      <c r="AF31" s="256">
        <v>105.79130000000001</v>
      </c>
      <c r="AG31" s="256">
        <v>106.24120000000001</v>
      </c>
      <c r="AH31" s="256">
        <v>106.7033</v>
      </c>
      <c r="AI31" s="256">
        <v>106.71</v>
      </c>
      <c r="AJ31" s="256">
        <v>106.6054</v>
      </c>
      <c r="AK31" s="256">
        <v>106.81010000000001</v>
      </c>
      <c r="AL31" s="256">
        <v>107.49630000000001</v>
      </c>
      <c r="AM31" s="256">
        <v>106.879</v>
      </c>
      <c r="AN31" s="256">
        <v>106.32040000000001</v>
      </c>
      <c r="AO31" s="256">
        <v>106.3014</v>
      </c>
      <c r="AP31" s="256">
        <v>105.3737</v>
      </c>
      <c r="AQ31" s="256">
        <v>105.5026</v>
      </c>
      <c r="AR31" s="256">
        <v>106.0976</v>
      </c>
      <c r="AS31" s="256">
        <v>105.6872</v>
      </c>
      <c r="AT31" s="256">
        <v>106.35039999999999</v>
      </c>
      <c r="AU31" s="256">
        <v>105.65560000000001</v>
      </c>
      <c r="AV31" s="256">
        <v>105.059</v>
      </c>
      <c r="AW31" s="256">
        <v>106.1088</v>
      </c>
      <c r="AX31" s="256">
        <v>106.35939999999999</v>
      </c>
      <c r="AY31" s="256">
        <v>106.17529999999999</v>
      </c>
      <c r="AZ31" s="256">
        <v>106.1033</v>
      </c>
      <c r="BA31" s="256">
        <v>100.8546</v>
      </c>
      <c r="BB31" s="256">
        <v>84.659400000000005</v>
      </c>
      <c r="BC31" s="256">
        <v>87.944400000000002</v>
      </c>
      <c r="BD31" s="256">
        <v>94.555000000000007</v>
      </c>
      <c r="BE31" s="256">
        <v>97.782200000000003</v>
      </c>
      <c r="BF31" s="256">
        <v>97.607681235000001</v>
      </c>
      <c r="BG31" s="342">
        <v>98.582729999999998</v>
      </c>
      <c r="BH31" s="342">
        <v>97.439409999999995</v>
      </c>
      <c r="BI31" s="342">
        <v>97.558809999999994</v>
      </c>
      <c r="BJ31" s="342">
        <v>97.711439999999996</v>
      </c>
      <c r="BK31" s="342">
        <v>97.868210000000005</v>
      </c>
      <c r="BL31" s="342">
        <v>98.109110000000001</v>
      </c>
      <c r="BM31" s="342">
        <v>98.40504</v>
      </c>
      <c r="BN31" s="342">
        <v>98.854330000000004</v>
      </c>
      <c r="BO31" s="342">
        <v>99.186610000000002</v>
      </c>
      <c r="BP31" s="342">
        <v>99.500200000000007</v>
      </c>
      <c r="BQ31" s="342">
        <v>99.716729999999998</v>
      </c>
      <c r="BR31" s="342">
        <v>100.0517</v>
      </c>
      <c r="BS31" s="342">
        <v>100.4268</v>
      </c>
      <c r="BT31" s="342">
        <v>100.8369</v>
      </c>
      <c r="BU31" s="342">
        <v>101.2959</v>
      </c>
      <c r="BV31" s="342">
        <v>101.79859999999999</v>
      </c>
    </row>
    <row r="32" spans="1:74" ht="11.1" customHeight="1" x14ac:dyDescent="0.2">
      <c r="A32" s="608" t="s">
        <v>914</v>
      </c>
      <c r="B32" s="609" t="s">
        <v>930</v>
      </c>
      <c r="C32" s="256">
        <v>106.47069999999999</v>
      </c>
      <c r="D32" s="256">
        <v>105.6724</v>
      </c>
      <c r="E32" s="256">
        <v>106.09820000000001</v>
      </c>
      <c r="F32" s="256">
        <v>105.497</v>
      </c>
      <c r="G32" s="256">
        <v>106.5814</v>
      </c>
      <c r="H32" s="256">
        <v>107.3146</v>
      </c>
      <c r="I32" s="256">
        <v>106.8462</v>
      </c>
      <c r="J32" s="256">
        <v>106.7675</v>
      </c>
      <c r="K32" s="256">
        <v>106.9282</v>
      </c>
      <c r="L32" s="256">
        <v>106.8729</v>
      </c>
      <c r="M32" s="256">
        <v>106.7595</v>
      </c>
      <c r="N32" s="256">
        <v>107.40049999999999</v>
      </c>
      <c r="O32" s="256">
        <v>108.8837</v>
      </c>
      <c r="P32" s="256">
        <v>109.727</v>
      </c>
      <c r="Q32" s="256">
        <v>108.86750000000001</v>
      </c>
      <c r="R32" s="256">
        <v>110.19929999999999</v>
      </c>
      <c r="S32" s="256">
        <v>110.0459</v>
      </c>
      <c r="T32" s="256">
        <v>110.3601</v>
      </c>
      <c r="U32" s="256">
        <v>110.9692</v>
      </c>
      <c r="V32" s="256">
        <v>111.68980000000001</v>
      </c>
      <c r="W32" s="256">
        <v>112.3128</v>
      </c>
      <c r="X32" s="256">
        <v>112.0453</v>
      </c>
      <c r="Y32" s="256">
        <v>112.0046</v>
      </c>
      <c r="Z32" s="256">
        <v>112.8344</v>
      </c>
      <c r="AA32" s="256">
        <v>112.163</v>
      </c>
      <c r="AB32" s="256">
        <v>114.6503</v>
      </c>
      <c r="AC32" s="256">
        <v>113.1915</v>
      </c>
      <c r="AD32" s="256">
        <v>114.4568</v>
      </c>
      <c r="AE32" s="256">
        <v>114.28019999999999</v>
      </c>
      <c r="AF32" s="256">
        <v>114.2701</v>
      </c>
      <c r="AG32" s="256">
        <v>115.66849999999999</v>
      </c>
      <c r="AH32" s="256">
        <v>114.6728</v>
      </c>
      <c r="AI32" s="256">
        <v>114.2295</v>
      </c>
      <c r="AJ32" s="256">
        <v>113.43049999999999</v>
      </c>
      <c r="AK32" s="256">
        <v>112.8746</v>
      </c>
      <c r="AL32" s="256">
        <v>113.2689</v>
      </c>
      <c r="AM32" s="256">
        <v>114.6324</v>
      </c>
      <c r="AN32" s="256">
        <v>115.2551</v>
      </c>
      <c r="AO32" s="256">
        <v>115.5181</v>
      </c>
      <c r="AP32" s="256">
        <v>115.2064</v>
      </c>
      <c r="AQ32" s="256">
        <v>114.2901</v>
      </c>
      <c r="AR32" s="256">
        <v>116.4723</v>
      </c>
      <c r="AS32" s="256">
        <v>115.1041</v>
      </c>
      <c r="AT32" s="256">
        <v>114.3921</v>
      </c>
      <c r="AU32" s="256">
        <v>114.38849999999999</v>
      </c>
      <c r="AV32" s="256">
        <v>115.7004</v>
      </c>
      <c r="AW32" s="256">
        <v>115.61</v>
      </c>
      <c r="AX32" s="256">
        <v>117.0655</v>
      </c>
      <c r="AY32" s="256">
        <v>116.7255</v>
      </c>
      <c r="AZ32" s="256">
        <v>116.9832</v>
      </c>
      <c r="BA32" s="256">
        <v>115.92319999999999</v>
      </c>
      <c r="BB32" s="256">
        <v>104.6602</v>
      </c>
      <c r="BC32" s="256">
        <v>106.8817</v>
      </c>
      <c r="BD32" s="256">
        <v>112.17700000000001</v>
      </c>
      <c r="BE32" s="256">
        <v>113.2137</v>
      </c>
      <c r="BF32" s="256">
        <v>112.48281728000001</v>
      </c>
      <c r="BG32" s="342">
        <v>113.6609</v>
      </c>
      <c r="BH32" s="342">
        <v>114.5492</v>
      </c>
      <c r="BI32" s="342">
        <v>115.4922</v>
      </c>
      <c r="BJ32" s="342">
        <v>116.3646</v>
      </c>
      <c r="BK32" s="342">
        <v>117.1211</v>
      </c>
      <c r="BL32" s="342">
        <v>117.8865</v>
      </c>
      <c r="BM32" s="342">
        <v>118.6152</v>
      </c>
      <c r="BN32" s="342">
        <v>119.30970000000001</v>
      </c>
      <c r="BO32" s="342">
        <v>119.9636</v>
      </c>
      <c r="BP32" s="342">
        <v>120.5793</v>
      </c>
      <c r="BQ32" s="342">
        <v>121.2272</v>
      </c>
      <c r="BR32" s="342">
        <v>121.7136</v>
      </c>
      <c r="BS32" s="342">
        <v>122.10899999999999</v>
      </c>
      <c r="BT32" s="342">
        <v>122.3295</v>
      </c>
      <c r="BU32" s="342">
        <v>122.60550000000001</v>
      </c>
      <c r="BV32" s="342">
        <v>122.8532</v>
      </c>
    </row>
    <row r="33" spans="1:74" ht="11.1" customHeight="1" x14ac:dyDescent="0.2">
      <c r="A33" s="608" t="s">
        <v>915</v>
      </c>
      <c r="B33" s="609" t="s">
        <v>931</v>
      </c>
      <c r="C33" s="256">
        <v>97.833500000000001</v>
      </c>
      <c r="D33" s="256">
        <v>97.679100000000005</v>
      </c>
      <c r="E33" s="256">
        <v>97.133499999999998</v>
      </c>
      <c r="F33" s="256">
        <v>96.494</v>
      </c>
      <c r="G33" s="256">
        <v>97.584999999999994</v>
      </c>
      <c r="H33" s="256">
        <v>97.753200000000007</v>
      </c>
      <c r="I33" s="256">
        <v>97.357500000000002</v>
      </c>
      <c r="J33" s="256">
        <v>96.911500000000004</v>
      </c>
      <c r="K33" s="256">
        <v>97.882999999999996</v>
      </c>
      <c r="L33" s="256">
        <v>98.473200000000006</v>
      </c>
      <c r="M33" s="256">
        <v>99.215100000000007</v>
      </c>
      <c r="N33" s="256">
        <v>97.916399999999996</v>
      </c>
      <c r="O33" s="256">
        <v>97.806600000000003</v>
      </c>
      <c r="P33" s="256">
        <v>99.083299999999994</v>
      </c>
      <c r="Q33" s="256">
        <v>97.078900000000004</v>
      </c>
      <c r="R33" s="256">
        <v>98.152199999999993</v>
      </c>
      <c r="S33" s="256">
        <v>96.476799999999997</v>
      </c>
      <c r="T33" s="256">
        <v>96.921199999999999</v>
      </c>
      <c r="U33" s="256">
        <v>95.666399999999996</v>
      </c>
      <c r="V33" s="256">
        <v>97.986599999999996</v>
      </c>
      <c r="W33" s="256">
        <v>96.364000000000004</v>
      </c>
      <c r="X33" s="256">
        <v>95.190799999999996</v>
      </c>
      <c r="Y33" s="256">
        <v>95.799300000000002</v>
      </c>
      <c r="Z33" s="256">
        <v>97.0137</v>
      </c>
      <c r="AA33" s="256">
        <v>96.750600000000006</v>
      </c>
      <c r="AB33" s="256">
        <v>95.224100000000007</v>
      </c>
      <c r="AC33" s="256">
        <v>95.896699999999996</v>
      </c>
      <c r="AD33" s="256">
        <v>96.648200000000003</v>
      </c>
      <c r="AE33" s="256">
        <v>95.9131</v>
      </c>
      <c r="AF33" s="256">
        <v>95.191900000000004</v>
      </c>
      <c r="AG33" s="256">
        <v>96.561999999999998</v>
      </c>
      <c r="AH33" s="256">
        <v>95.775999999999996</v>
      </c>
      <c r="AI33" s="256">
        <v>95.707300000000004</v>
      </c>
      <c r="AJ33" s="256">
        <v>95.992800000000003</v>
      </c>
      <c r="AK33" s="256">
        <v>95.789299999999997</v>
      </c>
      <c r="AL33" s="256">
        <v>96.325000000000003</v>
      </c>
      <c r="AM33" s="256">
        <v>96.131699999999995</v>
      </c>
      <c r="AN33" s="256">
        <v>94.203299999999999</v>
      </c>
      <c r="AO33" s="256">
        <v>92.211500000000001</v>
      </c>
      <c r="AP33" s="256">
        <v>93.019300000000001</v>
      </c>
      <c r="AQ33" s="256">
        <v>92.031099999999995</v>
      </c>
      <c r="AR33" s="256">
        <v>90.480099999999993</v>
      </c>
      <c r="AS33" s="256">
        <v>91.608500000000006</v>
      </c>
      <c r="AT33" s="256">
        <v>93.1691</v>
      </c>
      <c r="AU33" s="256">
        <v>93.031599999999997</v>
      </c>
      <c r="AV33" s="256">
        <v>93.649600000000007</v>
      </c>
      <c r="AW33" s="256">
        <v>92.969399999999993</v>
      </c>
      <c r="AX33" s="256">
        <v>94.037000000000006</v>
      </c>
      <c r="AY33" s="256">
        <v>95.732100000000003</v>
      </c>
      <c r="AZ33" s="256">
        <v>94.212400000000002</v>
      </c>
      <c r="BA33" s="256">
        <v>94.097800000000007</v>
      </c>
      <c r="BB33" s="256">
        <v>90.74</v>
      </c>
      <c r="BC33" s="256">
        <v>85.987499999999997</v>
      </c>
      <c r="BD33" s="256">
        <v>86.104500000000002</v>
      </c>
      <c r="BE33" s="256">
        <v>85.114900000000006</v>
      </c>
      <c r="BF33" s="256">
        <v>90.244917407000003</v>
      </c>
      <c r="BG33" s="342">
        <v>90.533619999999999</v>
      </c>
      <c r="BH33" s="342">
        <v>90.137680000000003</v>
      </c>
      <c r="BI33" s="342">
        <v>90.1721</v>
      </c>
      <c r="BJ33" s="342">
        <v>90.231440000000006</v>
      </c>
      <c r="BK33" s="342">
        <v>90.257210000000001</v>
      </c>
      <c r="BL33" s="342">
        <v>90.410210000000006</v>
      </c>
      <c r="BM33" s="342">
        <v>90.631969999999995</v>
      </c>
      <c r="BN33" s="342">
        <v>91.00403</v>
      </c>
      <c r="BO33" s="342">
        <v>91.302149999999997</v>
      </c>
      <c r="BP33" s="342">
        <v>91.607879999999994</v>
      </c>
      <c r="BQ33" s="342">
        <v>91.937200000000004</v>
      </c>
      <c r="BR33" s="342">
        <v>92.246120000000005</v>
      </c>
      <c r="BS33" s="342">
        <v>92.550650000000005</v>
      </c>
      <c r="BT33" s="342">
        <v>92.866209999999995</v>
      </c>
      <c r="BU33" s="342">
        <v>93.150350000000003</v>
      </c>
      <c r="BV33" s="342">
        <v>93.418520000000001</v>
      </c>
    </row>
    <row r="34" spans="1:74" ht="11.1" customHeight="1" x14ac:dyDescent="0.2">
      <c r="A34" s="608" t="s">
        <v>916</v>
      </c>
      <c r="B34" s="609" t="s">
        <v>932</v>
      </c>
      <c r="C34" s="256">
        <v>101.0521</v>
      </c>
      <c r="D34" s="256">
        <v>103.5406</v>
      </c>
      <c r="E34" s="256">
        <v>104.9417</v>
      </c>
      <c r="F34" s="256">
        <v>103.2092</v>
      </c>
      <c r="G34" s="256">
        <v>103.22929999999999</v>
      </c>
      <c r="H34" s="256">
        <v>104.8466</v>
      </c>
      <c r="I34" s="256">
        <v>105.46420000000001</v>
      </c>
      <c r="J34" s="256">
        <v>105.4194</v>
      </c>
      <c r="K34" s="256">
        <v>106.03660000000001</v>
      </c>
      <c r="L34" s="256">
        <v>104.98560000000001</v>
      </c>
      <c r="M34" s="256">
        <v>105.6285</v>
      </c>
      <c r="N34" s="256">
        <v>104.78919999999999</v>
      </c>
      <c r="O34" s="256">
        <v>105.8647</v>
      </c>
      <c r="P34" s="256">
        <v>105.4635</v>
      </c>
      <c r="Q34" s="256">
        <v>106.0368</v>
      </c>
      <c r="R34" s="256">
        <v>108.50109999999999</v>
      </c>
      <c r="S34" s="256">
        <v>109.4516</v>
      </c>
      <c r="T34" s="256">
        <v>109.4208</v>
      </c>
      <c r="U34" s="256">
        <v>107.14749999999999</v>
      </c>
      <c r="V34" s="256">
        <v>106.43089999999999</v>
      </c>
      <c r="W34" s="256">
        <v>102.8052</v>
      </c>
      <c r="X34" s="256">
        <v>107.9393</v>
      </c>
      <c r="Y34" s="256">
        <v>107.6507</v>
      </c>
      <c r="Z34" s="256">
        <v>108.17610000000001</v>
      </c>
      <c r="AA34" s="256">
        <v>107.2363</v>
      </c>
      <c r="AB34" s="256">
        <v>106.252</v>
      </c>
      <c r="AC34" s="256">
        <v>106.5622</v>
      </c>
      <c r="AD34" s="256">
        <v>106.52630000000001</v>
      </c>
      <c r="AE34" s="256">
        <v>106.7556</v>
      </c>
      <c r="AF34" s="256">
        <v>107.1983</v>
      </c>
      <c r="AG34" s="256">
        <v>107.0641</v>
      </c>
      <c r="AH34" s="256">
        <v>107.88760000000001</v>
      </c>
      <c r="AI34" s="256">
        <v>107.5078</v>
      </c>
      <c r="AJ34" s="256">
        <v>106.94970000000001</v>
      </c>
      <c r="AK34" s="256">
        <v>105.9093</v>
      </c>
      <c r="AL34" s="256">
        <v>107.1302</v>
      </c>
      <c r="AM34" s="256">
        <v>109.1386</v>
      </c>
      <c r="AN34" s="256">
        <v>104.35509999999999</v>
      </c>
      <c r="AO34" s="256">
        <v>105.3154</v>
      </c>
      <c r="AP34" s="256">
        <v>104.2242</v>
      </c>
      <c r="AQ34" s="256">
        <v>104.9248</v>
      </c>
      <c r="AR34" s="256">
        <v>105.4777</v>
      </c>
      <c r="AS34" s="256">
        <v>106.6683</v>
      </c>
      <c r="AT34" s="256">
        <v>107.2914</v>
      </c>
      <c r="AU34" s="256">
        <v>106.11960000000001</v>
      </c>
      <c r="AV34" s="256">
        <v>104.7955</v>
      </c>
      <c r="AW34" s="256">
        <v>104.26009999999999</v>
      </c>
      <c r="AX34" s="256">
        <v>105.71810000000001</v>
      </c>
      <c r="AY34" s="256">
        <v>108.616</v>
      </c>
      <c r="AZ34" s="256">
        <v>106.669</v>
      </c>
      <c r="BA34" s="256">
        <v>99.316900000000004</v>
      </c>
      <c r="BB34" s="256">
        <v>82.054400000000001</v>
      </c>
      <c r="BC34" s="256">
        <v>82.972399999999993</v>
      </c>
      <c r="BD34" s="256">
        <v>87.121099999999998</v>
      </c>
      <c r="BE34" s="256">
        <v>91.483199999999997</v>
      </c>
      <c r="BF34" s="256">
        <v>88.405636790000003</v>
      </c>
      <c r="BG34" s="342">
        <v>90.085920000000002</v>
      </c>
      <c r="BH34" s="342">
        <v>92.187129999999996</v>
      </c>
      <c r="BI34" s="342">
        <v>93.848929999999996</v>
      </c>
      <c r="BJ34" s="342">
        <v>95.384169999999997</v>
      </c>
      <c r="BK34" s="342">
        <v>96.767539999999997</v>
      </c>
      <c r="BL34" s="342">
        <v>98.068640000000002</v>
      </c>
      <c r="BM34" s="342">
        <v>99.262140000000002</v>
      </c>
      <c r="BN34" s="342">
        <v>100.4027</v>
      </c>
      <c r="BO34" s="342">
        <v>101.34</v>
      </c>
      <c r="BP34" s="342">
        <v>102.1289</v>
      </c>
      <c r="BQ34" s="342">
        <v>102.6583</v>
      </c>
      <c r="BR34" s="342">
        <v>103.2333</v>
      </c>
      <c r="BS34" s="342">
        <v>103.74299999999999</v>
      </c>
      <c r="BT34" s="342">
        <v>104.129</v>
      </c>
      <c r="BU34" s="342">
        <v>104.5517</v>
      </c>
      <c r="BV34" s="342">
        <v>104.9529</v>
      </c>
    </row>
    <row r="35" spans="1:74" ht="11.1" customHeight="1" x14ac:dyDescent="0.2">
      <c r="A35" s="608" t="s">
        <v>917</v>
      </c>
      <c r="B35" s="609" t="s">
        <v>933</v>
      </c>
      <c r="C35" s="256">
        <v>96.016400000000004</v>
      </c>
      <c r="D35" s="256">
        <v>94.982299999999995</v>
      </c>
      <c r="E35" s="256">
        <v>95.883300000000006</v>
      </c>
      <c r="F35" s="256">
        <v>95.027199999999993</v>
      </c>
      <c r="G35" s="256">
        <v>94.894499999999994</v>
      </c>
      <c r="H35" s="256">
        <v>93.830299999999994</v>
      </c>
      <c r="I35" s="256">
        <v>93.580600000000004</v>
      </c>
      <c r="J35" s="256">
        <v>93.442099999999996</v>
      </c>
      <c r="K35" s="256">
        <v>94.266300000000001</v>
      </c>
      <c r="L35" s="256">
        <v>94.346699999999998</v>
      </c>
      <c r="M35" s="256">
        <v>94.836200000000005</v>
      </c>
      <c r="N35" s="256">
        <v>95.4255</v>
      </c>
      <c r="O35" s="256">
        <v>95.234399999999994</v>
      </c>
      <c r="P35" s="256">
        <v>94.359300000000005</v>
      </c>
      <c r="Q35" s="256">
        <v>95.170299999999997</v>
      </c>
      <c r="R35" s="256">
        <v>95.873999999999995</v>
      </c>
      <c r="S35" s="256">
        <v>96.961799999999997</v>
      </c>
      <c r="T35" s="256">
        <v>97.426000000000002</v>
      </c>
      <c r="U35" s="256">
        <v>98.163200000000003</v>
      </c>
      <c r="V35" s="256">
        <v>95.593500000000006</v>
      </c>
      <c r="W35" s="256">
        <v>93.387900000000002</v>
      </c>
      <c r="X35" s="256">
        <v>98.616</v>
      </c>
      <c r="Y35" s="256">
        <v>99.141499999999994</v>
      </c>
      <c r="Z35" s="256">
        <v>99.058199999999999</v>
      </c>
      <c r="AA35" s="256">
        <v>97.766300000000001</v>
      </c>
      <c r="AB35" s="256">
        <v>98.409499999999994</v>
      </c>
      <c r="AC35" s="256">
        <v>99.010099999999994</v>
      </c>
      <c r="AD35" s="256">
        <v>99.775400000000005</v>
      </c>
      <c r="AE35" s="256">
        <v>100.2773</v>
      </c>
      <c r="AF35" s="256">
        <v>100.6931</v>
      </c>
      <c r="AG35" s="256">
        <v>101.4915</v>
      </c>
      <c r="AH35" s="256">
        <v>101.4871</v>
      </c>
      <c r="AI35" s="256">
        <v>100.84439999999999</v>
      </c>
      <c r="AJ35" s="256">
        <v>101.2015</v>
      </c>
      <c r="AK35" s="256">
        <v>102.1735</v>
      </c>
      <c r="AL35" s="256">
        <v>102.12090000000001</v>
      </c>
      <c r="AM35" s="256">
        <v>101.3659</v>
      </c>
      <c r="AN35" s="256">
        <v>101.5478</v>
      </c>
      <c r="AO35" s="256">
        <v>101.3061</v>
      </c>
      <c r="AP35" s="256">
        <v>100.422</v>
      </c>
      <c r="AQ35" s="256">
        <v>99.812799999999996</v>
      </c>
      <c r="AR35" s="256">
        <v>99.460700000000003</v>
      </c>
      <c r="AS35" s="256">
        <v>99.864800000000002</v>
      </c>
      <c r="AT35" s="256">
        <v>101.2848</v>
      </c>
      <c r="AU35" s="256">
        <v>100.6537</v>
      </c>
      <c r="AV35" s="256">
        <v>100.5669</v>
      </c>
      <c r="AW35" s="256">
        <v>100.2666</v>
      </c>
      <c r="AX35" s="256">
        <v>100.0057</v>
      </c>
      <c r="AY35" s="256">
        <v>100.16849999999999</v>
      </c>
      <c r="AZ35" s="256">
        <v>99.469200000000001</v>
      </c>
      <c r="BA35" s="256">
        <v>99.793499999999995</v>
      </c>
      <c r="BB35" s="256">
        <v>93.423699999999997</v>
      </c>
      <c r="BC35" s="256">
        <v>93.448499999999996</v>
      </c>
      <c r="BD35" s="256">
        <v>94.165099999999995</v>
      </c>
      <c r="BE35" s="256">
        <v>95.457899999999995</v>
      </c>
      <c r="BF35" s="256">
        <v>94.733578272000003</v>
      </c>
      <c r="BG35" s="342">
        <v>95.053250000000006</v>
      </c>
      <c r="BH35" s="342">
        <v>95.280720000000002</v>
      </c>
      <c r="BI35" s="342">
        <v>95.628079999999997</v>
      </c>
      <c r="BJ35" s="342">
        <v>96.018199999999993</v>
      </c>
      <c r="BK35" s="342">
        <v>96.405280000000005</v>
      </c>
      <c r="BL35" s="342">
        <v>96.915289999999999</v>
      </c>
      <c r="BM35" s="342">
        <v>97.502409999999998</v>
      </c>
      <c r="BN35" s="342">
        <v>98.239149999999995</v>
      </c>
      <c r="BO35" s="342">
        <v>98.926130000000001</v>
      </c>
      <c r="BP35" s="342">
        <v>99.635859999999994</v>
      </c>
      <c r="BQ35" s="342">
        <v>100.4221</v>
      </c>
      <c r="BR35" s="342">
        <v>101.137</v>
      </c>
      <c r="BS35" s="342">
        <v>101.8343</v>
      </c>
      <c r="BT35" s="342">
        <v>102.5424</v>
      </c>
      <c r="BU35" s="342">
        <v>103.1835</v>
      </c>
      <c r="BV35" s="342">
        <v>103.78570000000001</v>
      </c>
    </row>
    <row r="36" spans="1:74" ht="11.1" customHeight="1" x14ac:dyDescent="0.2">
      <c r="A36" s="608" t="s">
        <v>918</v>
      </c>
      <c r="B36" s="609" t="s">
        <v>934</v>
      </c>
      <c r="C36" s="256">
        <v>112.40470000000001</v>
      </c>
      <c r="D36" s="256">
        <v>112.0886</v>
      </c>
      <c r="E36" s="256">
        <v>111.6585</v>
      </c>
      <c r="F36" s="256">
        <v>111.3613</v>
      </c>
      <c r="G36" s="256">
        <v>110.8058</v>
      </c>
      <c r="H36" s="256">
        <v>110.95399999999999</v>
      </c>
      <c r="I36" s="256">
        <v>110.8163</v>
      </c>
      <c r="J36" s="256">
        <v>109.9542</v>
      </c>
      <c r="K36" s="256">
        <v>110.72709999999999</v>
      </c>
      <c r="L36" s="256">
        <v>111.20440000000001</v>
      </c>
      <c r="M36" s="256">
        <v>111.7761</v>
      </c>
      <c r="N36" s="256">
        <v>112.12050000000001</v>
      </c>
      <c r="O36" s="256">
        <v>113.27679999999999</v>
      </c>
      <c r="P36" s="256">
        <v>115.36320000000001</v>
      </c>
      <c r="Q36" s="256">
        <v>115.6533</v>
      </c>
      <c r="R36" s="256">
        <v>114.4383</v>
      </c>
      <c r="S36" s="256">
        <v>113.62220000000001</v>
      </c>
      <c r="T36" s="256">
        <v>114.3557</v>
      </c>
      <c r="U36" s="256">
        <v>114.6716</v>
      </c>
      <c r="V36" s="256">
        <v>113.03100000000001</v>
      </c>
      <c r="W36" s="256">
        <v>116.76260000000001</v>
      </c>
      <c r="X36" s="256">
        <v>116.6551</v>
      </c>
      <c r="Y36" s="256">
        <v>117.73090000000001</v>
      </c>
      <c r="Z36" s="256">
        <v>118.62909999999999</v>
      </c>
      <c r="AA36" s="256">
        <v>116.08459999999999</v>
      </c>
      <c r="AB36" s="256">
        <v>121.3304</v>
      </c>
      <c r="AC36" s="256">
        <v>119.95059999999999</v>
      </c>
      <c r="AD36" s="256">
        <v>120.7516</v>
      </c>
      <c r="AE36" s="256">
        <v>120.6904</v>
      </c>
      <c r="AF36" s="256">
        <v>119.6343</v>
      </c>
      <c r="AG36" s="256">
        <v>119.90130000000001</v>
      </c>
      <c r="AH36" s="256">
        <v>119.59010000000001</v>
      </c>
      <c r="AI36" s="256">
        <v>117.62869999999999</v>
      </c>
      <c r="AJ36" s="256">
        <v>119.6138</v>
      </c>
      <c r="AK36" s="256">
        <v>118.158</v>
      </c>
      <c r="AL36" s="256">
        <v>121.8296</v>
      </c>
      <c r="AM36" s="256">
        <v>122.6846</v>
      </c>
      <c r="AN36" s="256">
        <v>117.96550000000001</v>
      </c>
      <c r="AO36" s="256">
        <v>118.4584</v>
      </c>
      <c r="AP36" s="256">
        <v>118.95740000000001</v>
      </c>
      <c r="AQ36" s="256">
        <v>118.75369999999999</v>
      </c>
      <c r="AR36" s="256">
        <v>119.3668</v>
      </c>
      <c r="AS36" s="256">
        <v>118.5479</v>
      </c>
      <c r="AT36" s="256">
        <v>119.9081</v>
      </c>
      <c r="AU36" s="256">
        <v>120.7037</v>
      </c>
      <c r="AV36" s="256">
        <v>119.5205</v>
      </c>
      <c r="AW36" s="256">
        <v>118.0175</v>
      </c>
      <c r="AX36" s="256">
        <v>120.4097</v>
      </c>
      <c r="AY36" s="256">
        <v>124.881</v>
      </c>
      <c r="AZ36" s="256">
        <v>124.02630000000001</v>
      </c>
      <c r="BA36" s="256">
        <v>117.6165</v>
      </c>
      <c r="BB36" s="256">
        <v>99.457599999999999</v>
      </c>
      <c r="BC36" s="256">
        <v>107.2367</v>
      </c>
      <c r="BD36" s="256">
        <v>111.8989</v>
      </c>
      <c r="BE36" s="256">
        <v>112.99979999999999</v>
      </c>
      <c r="BF36" s="256">
        <v>109.64702468999999</v>
      </c>
      <c r="BG36" s="342">
        <v>109.97199999999999</v>
      </c>
      <c r="BH36" s="342">
        <v>109.2997</v>
      </c>
      <c r="BI36" s="342">
        <v>109.2984</v>
      </c>
      <c r="BJ36" s="342">
        <v>109.3614</v>
      </c>
      <c r="BK36" s="342">
        <v>109.41670000000001</v>
      </c>
      <c r="BL36" s="342">
        <v>109.66240000000001</v>
      </c>
      <c r="BM36" s="342">
        <v>110.02630000000001</v>
      </c>
      <c r="BN36" s="342">
        <v>110.6447</v>
      </c>
      <c r="BO36" s="342">
        <v>111.14319999999999</v>
      </c>
      <c r="BP36" s="342">
        <v>111.6579</v>
      </c>
      <c r="BQ36" s="342">
        <v>112.1767</v>
      </c>
      <c r="BR36" s="342">
        <v>112.7329</v>
      </c>
      <c r="BS36" s="342">
        <v>113.31440000000001</v>
      </c>
      <c r="BT36" s="342">
        <v>113.9682</v>
      </c>
      <c r="BU36" s="342">
        <v>114.5651</v>
      </c>
      <c r="BV36" s="342">
        <v>115.1521</v>
      </c>
    </row>
    <row r="37" spans="1:74" ht="11.1" customHeight="1" x14ac:dyDescent="0.2">
      <c r="A37" s="608" t="s">
        <v>919</v>
      </c>
      <c r="B37" s="609" t="s">
        <v>935</v>
      </c>
      <c r="C37" s="256">
        <v>94.5535</v>
      </c>
      <c r="D37" s="256">
        <v>94.371600000000001</v>
      </c>
      <c r="E37" s="256">
        <v>94.250299999999996</v>
      </c>
      <c r="F37" s="256">
        <v>93.536299999999997</v>
      </c>
      <c r="G37" s="256">
        <v>94.4422</v>
      </c>
      <c r="H37" s="256">
        <v>93.487399999999994</v>
      </c>
      <c r="I37" s="256">
        <v>91.832999999999998</v>
      </c>
      <c r="J37" s="256">
        <v>91.265000000000001</v>
      </c>
      <c r="K37" s="256">
        <v>90.244100000000003</v>
      </c>
      <c r="L37" s="256">
        <v>89.244</v>
      </c>
      <c r="M37" s="256">
        <v>90.837699999999998</v>
      </c>
      <c r="N37" s="256">
        <v>92.515900000000002</v>
      </c>
      <c r="O37" s="256">
        <v>93.852900000000005</v>
      </c>
      <c r="P37" s="256">
        <v>93.9803</v>
      </c>
      <c r="Q37" s="256">
        <v>93.083699999999993</v>
      </c>
      <c r="R37" s="256">
        <v>93.464500000000001</v>
      </c>
      <c r="S37" s="256">
        <v>91.506600000000006</v>
      </c>
      <c r="T37" s="256">
        <v>92.799499999999995</v>
      </c>
      <c r="U37" s="256">
        <v>92.783500000000004</v>
      </c>
      <c r="V37" s="256">
        <v>93.820999999999998</v>
      </c>
      <c r="W37" s="256">
        <v>95.151399999999995</v>
      </c>
      <c r="X37" s="256">
        <v>94.802199999999999</v>
      </c>
      <c r="Y37" s="256">
        <v>95.456000000000003</v>
      </c>
      <c r="Z37" s="256">
        <v>94.293599999999998</v>
      </c>
      <c r="AA37" s="256">
        <v>94.992900000000006</v>
      </c>
      <c r="AB37" s="256">
        <v>95.691299999999998</v>
      </c>
      <c r="AC37" s="256">
        <v>96.596299999999999</v>
      </c>
      <c r="AD37" s="256">
        <v>96.482399999999998</v>
      </c>
      <c r="AE37" s="256">
        <v>96.194900000000004</v>
      </c>
      <c r="AF37" s="256">
        <v>96.067099999999996</v>
      </c>
      <c r="AG37" s="256">
        <v>96.099699999999999</v>
      </c>
      <c r="AH37" s="256">
        <v>97.666399999999996</v>
      </c>
      <c r="AI37" s="256">
        <v>98.802199999999999</v>
      </c>
      <c r="AJ37" s="256">
        <v>99.479399999999998</v>
      </c>
      <c r="AK37" s="256">
        <v>101.4905</v>
      </c>
      <c r="AL37" s="256">
        <v>101.1238</v>
      </c>
      <c r="AM37" s="256">
        <v>98.5334</v>
      </c>
      <c r="AN37" s="256">
        <v>97.478300000000004</v>
      </c>
      <c r="AO37" s="256">
        <v>97.837199999999996</v>
      </c>
      <c r="AP37" s="256">
        <v>98.887100000000004</v>
      </c>
      <c r="AQ37" s="256">
        <v>96.564599999999999</v>
      </c>
      <c r="AR37" s="256">
        <v>94.543400000000005</v>
      </c>
      <c r="AS37" s="256">
        <v>95.432000000000002</v>
      </c>
      <c r="AT37" s="256">
        <v>97.059100000000001</v>
      </c>
      <c r="AU37" s="256">
        <v>96.799800000000005</v>
      </c>
      <c r="AV37" s="256">
        <v>94.945099999999996</v>
      </c>
      <c r="AW37" s="256">
        <v>96.372500000000002</v>
      </c>
      <c r="AX37" s="256">
        <v>98.406000000000006</v>
      </c>
      <c r="AY37" s="256">
        <v>97.984499999999997</v>
      </c>
      <c r="AZ37" s="256">
        <v>94.491600000000005</v>
      </c>
      <c r="BA37" s="256">
        <v>90.682199999999995</v>
      </c>
      <c r="BB37" s="256">
        <v>70.430199999999999</v>
      </c>
      <c r="BC37" s="256">
        <v>66.856499999999997</v>
      </c>
      <c r="BD37" s="256">
        <v>70.712599999999995</v>
      </c>
      <c r="BE37" s="256">
        <v>71.218500000000006</v>
      </c>
      <c r="BF37" s="256">
        <v>69.957869630000005</v>
      </c>
      <c r="BG37" s="342">
        <v>70.069419999999994</v>
      </c>
      <c r="BH37" s="342">
        <v>69.917349999999999</v>
      </c>
      <c r="BI37" s="342">
        <v>70.100639999999999</v>
      </c>
      <c r="BJ37" s="342">
        <v>70.401470000000003</v>
      </c>
      <c r="BK37" s="342">
        <v>70.868579999999994</v>
      </c>
      <c r="BL37" s="342">
        <v>71.367980000000003</v>
      </c>
      <c r="BM37" s="342">
        <v>71.94838</v>
      </c>
      <c r="BN37" s="342">
        <v>72.760270000000006</v>
      </c>
      <c r="BO37" s="342">
        <v>73.389840000000007</v>
      </c>
      <c r="BP37" s="342">
        <v>73.987579999999994</v>
      </c>
      <c r="BQ37" s="342">
        <v>74.511189999999999</v>
      </c>
      <c r="BR37" s="342">
        <v>75.076970000000003</v>
      </c>
      <c r="BS37" s="342">
        <v>75.642629999999997</v>
      </c>
      <c r="BT37" s="342">
        <v>76.245639999999995</v>
      </c>
      <c r="BU37" s="342">
        <v>76.78295</v>
      </c>
      <c r="BV37" s="342">
        <v>77.292029999999997</v>
      </c>
    </row>
    <row r="38" spans="1:74" ht="11.1" customHeight="1" x14ac:dyDescent="0.2">
      <c r="A38" s="321" t="s">
        <v>909</v>
      </c>
      <c r="B38" s="41" t="s">
        <v>936</v>
      </c>
      <c r="C38" s="256">
        <v>102.34790789</v>
      </c>
      <c r="D38" s="256">
        <v>101.90984225</v>
      </c>
      <c r="E38" s="256">
        <v>101.96894403</v>
      </c>
      <c r="F38" s="256">
        <v>101.35066899</v>
      </c>
      <c r="G38" s="256">
        <v>101.40262942</v>
      </c>
      <c r="H38" s="256">
        <v>101.15999886</v>
      </c>
      <c r="I38" s="256">
        <v>101.21287119</v>
      </c>
      <c r="J38" s="256">
        <v>100.9108347</v>
      </c>
      <c r="K38" s="256">
        <v>101.5675961</v>
      </c>
      <c r="L38" s="256">
        <v>101.85298432</v>
      </c>
      <c r="M38" s="256">
        <v>102.53241195</v>
      </c>
      <c r="N38" s="256">
        <v>102.44566875</v>
      </c>
      <c r="O38" s="256">
        <v>103.30301483</v>
      </c>
      <c r="P38" s="256">
        <v>103.4920087</v>
      </c>
      <c r="Q38" s="256">
        <v>103.46935926</v>
      </c>
      <c r="R38" s="256">
        <v>104.31581137000001</v>
      </c>
      <c r="S38" s="256">
        <v>103.9189846</v>
      </c>
      <c r="T38" s="256">
        <v>104.32274073000001</v>
      </c>
      <c r="U38" s="256">
        <v>104.23714087</v>
      </c>
      <c r="V38" s="256">
        <v>102.81218588999999</v>
      </c>
      <c r="W38" s="256">
        <v>101.41355507</v>
      </c>
      <c r="X38" s="256">
        <v>104.45114355</v>
      </c>
      <c r="Y38" s="256">
        <v>105.31672113</v>
      </c>
      <c r="Z38" s="256">
        <v>105.50311892000001</v>
      </c>
      <c r="AA38" s="256">
        <v>104.02604435000001</v>
      </c>
      <c r="AB38" s="256">
        <v>105.59302067</v>
      </c>
      <c r="AC38" s="256">
        <v>105.88669965</v>
      </c>
      <c r="AD38" s="256">
        <v>106.39725602</v>
      </c>
      <c r="AE38" s="256">
        <v>106.54658194</v>
      </c>
      <c r="AF38" s="256">
        <v>106.77775372000001</v>
      </c>
      <c r="AG38" s="256">
        <v>107.26611337</v>
      </c>
      <c r="AH38" s="256">
        <v>107.54641753</v>
      </c>
      <c r="AI38" s="256">
        <v>106.89606727</v>
      </c>
      <c r="AJ38" s="256">
        <v>107.06993249999999</v>
      </c>
      <c r="AK38" s="256">
        <v>107.00066448</v>
      </c>
      <c r="AL38" s="256">
        <v>108.39224401</v>
      </c>
      <c r="AM38" s="256">
        <v>108.15700909</v>
      </c>
      <c r="AN38" s="256">
        <v>106.52210847000001</v>
      </c>
      <c r="AO38" s="256">
        <v>105.94376508000001</v>
      </c>
      <c r="AP38" s="256">
        <v>105.77284286</v>
      </c>
      <c r="AQ38" s="256">
        <v>105.39710336</v>
      </c>
      <c r="AR38" s="256">
        <v>105.51948987</v>
      </c>
      <c r="AS38" s="256">
        <v>105.30992763</v>
      </c>
      <c r="AT38" s="256">
        <v>106.47188628000001</v>
      </c>
      <c r="AU38" s="256">
        <v>106.3417252</v>
      </c>
      <c r="AV38" s="256">
        <v>106.08771950000001</v>
      </c>
      <c r="AW38" s="256">
        <v>106.02929699000001</v>
      </c>
      <c r="AX38" s="256">
        <v>107.02503672</v>
      </c>
      <c r="AY38" s="256">
        <v>108.09702998</v>
      </c>
      <c r="AZ38" s="256">
        <v>107.35045761000001</v>
      </c>
      <c r="BA38" s="256">
        <v>104.02841069</v>
      </c>
      <c r="BB38" s="256">
        <v>91.033736750000003</v>
      </c>
      <c r="BC38" s="256">
        <v>93.73703356</v>
      </c>
      <c r="BD38" s="256">
        <v>98.169287490000002</v>
      </c>
      <c r="BE38" s="256">
        <v>99.699851659999993</v>
      </c>
      <c r="BF38" s="256">
        <v>99.005032741999997</v>
      </c>
      <c r="BG38" s="342">
        <v>99.571839999999995</v>
      </c>
      <c r="BH38" s="342">
        <v>98.963610000000003</v>
      </c>
      <c r="BI38" s="342">
        <v>99.112859999999998</v>
      </c>
      <c r="BJ38" s="342">
        <v>99.316860000000005</v>
      </c>
      <c r="BK38" s="342">
        <v>99.536810000000003</v>
      </c>
      <c r="BL38" s="342">
        <v>99.879419999999996</v>
      </c>
      <c r="BM38" s="342">
        <v>100.30589999999999</v>
      </c>
      <c r="BN38" s="342">
        <v>100.9547</v>
      </c>
      <c r="BO38" s="342">
        <v>101.44499999999999</v>
      </c>
      <c r="BP38" s="342">
        <v>101.9152</v>
      </c>
      <c r="BQ38" s="342">
        <v>102.3395</v>
      </c>
      <c r="BR38" s="342">
        <v>102.78919999999999</v>
      </c>
      <c r="BS38" s="342">
        <v>103.2384</v>
      </c>
      <c r="BT38" s="342">
        <v>103.66419999999999</v>
      </c>
      <c r="BU38" s="342">
        <v>104.12949999999999</v>
      </c>
      <c r="BV38" s="342">
        <v>104.6114</v>
      </c>
    </row>
    <row r="39" spans="1:74" ht="11.1" customHeight="1" x14ac:dyDescent="0.2">
      <c r="A39" s="321" t="s">
        <v>910</v>
      </c>
      <c r="B39" s="41" t="s">
        <v>937</v>
      </c>
      <c r="C39" s="256">
        <v>92.881750030000006</v>
      </c>
      <c r="D39" s="256">
        <v>92.665999119999995</v>
      </c>
      <c r="E39" s="256">
        <v>92.790511839999994</v>
      </c>
      <c r="F39" s="256">
        <v>92.321165250000007</v>
      </c>
      <c r="G39" s="256">
        <v>92.455349319999996</v>
      </c>
      <c r="H39" s="256">
        <v>92.995076040000001</v>
      </c>
      <c r="I39" s="256">
        <v>92.886174060000002</v>
      </c>
      <c r="J39" s="256">
        <v>92.571325329999993</v>
      </c>
      <c r="K39" s="256">
        <v>92.848050619999995</v>
      </c>
      <c r="L39" s="256">
        <v>93.064246870000005</v>
      </c>
      <c r="M39" s="256">
        <v>93.708017470000001</v>
      </c>
      <c r="N39" s="256">
        <v>93.907785000000004</v>
      </c>
      <c r="O39" s="256">
        <v>94.830123799999996</v>
      </c>
      <c r="P39" s="256">
        <v>95.412916769999995</v>
      </c>
      <c r="Q39" s="256">
        <v>95.253197920000005</v>
      </c>
      <c r="R39" s="256">
        <v>95.898874739999997</v>
      </c>
      <c r="S39" s="256">
        <v>95.628938829999996</v>
      </c>
      <c r="T39" s="256">
        <v>95.849592830000006</v>
      </c>
      <c r="U39" s="256">
        <v>95.779299129999998</v>
      </c>
      <c r="V39" s="256">
        <v>95.694452749999996</v>
      </c>
      <c r="W39" s="256">
        <v>96.303750679999993</v>
      </c>
      <c r="X39" s="256">
        <v>96.987460690000006</v>
      </c>
      <c r="Y39" s="256">
        <v>97.47645962</v>
      </c>
      <c r="Z39" s="256">
        <v>97.807909760000001</v>
      </c>
      <c r="AA39" s="256">
        <v>97.023332260000004</v>
      </c>
      <c r="AB39" s="256">
        <v>98.60000015</v>
      </c>
      <c r="AC39" s="256">
        <v>98.238367760000003</v>
      </c>
      <c r="AD39" s="256">
        <v>98.695314530000005</v>
      </c>
      <c r="AE39" s="256">
        <v>98.373837559999998</v>
      </c>
      <c r="AF39" s="256">
        <v>98.394144929999996</v>
      </c>
      <c r="AG39" s="256">
        <v>98.790244779999995</v>
      </c>
      <c r="AH39" s="256">
        <v>99.057579930000003</v>
      </c>
      <c r="AI39" s="256">
        <v>98.693372019999998</v>
      </c>
      <c r="AJ39" s="256">
        <v>98.703658559999994</v>
      </c>
      <c r="AK39" s="256">
        <v>98.334755369999996</v>
      </c>
      <c r="AL39" s="256">
        <v>99.144292390000004</v>
      </c>
      <c r="AM39" s="256">
        <v>99.667436339999995</v>
      </c>
      <c r="AN39" s="256">
        <v>97.907488580000006</v>
      </c>
      <c r="AO39" s="256">
        <v>97.918789669999995</v>
      </c>
      <c r="AP39" s="256">
        <v>97.726358629999993</v>
      </c>
      <c r="AQ39" s="256">
        <v>97.709901590000001</v>
      </c>
      <c r="AR39" s="256">
        <v>98.164663910000002</v>
      </c>
      <c r="AS39" s="256">
        <v>97.97219948</v>
      </c>
      <c r="AT39" s="256">
        <v>98.552562829999999</v>
      </c>
      <c r="AU39" s="256">
        <v>98.395979769999997</v>
      </c>
      <c r="AV39" s="256">
        <v>98.332712069999999</v>
      </c>
      <c r="AW39" s="256">
        <v>98.131589099999999</v>
      </c>
      <c r="AX39" s="256">
        <v>99.287087810000003</v>
      </c>
      <c r="AY39" s="256">
        <v>100.57168527</v>
      </c>
      <c r="AZ39" s="256">
        <v>99.858501050000001</v>
      </c>
      <c r="BA39" s="256">
        <v>96.089434819999994</v>
      </c>
      <c r="BB39" s="256">
        <v>82.550056440000006</v>
      </c>
      <c r="BC39" s="256">
        <v>85.052766770000005</v>
      </c>
      <c r="BD39" s="256">
        <v>89.196741450000005</v>
      </c>
      <c r="BE39" s="256">
        <v>90.947483840000004</v>
      </c>
      <c r="BF39" s="256">
        <v>88.801750948000006</v>
      </c>
      <c r="BG39" s="342">
        <v>89.455269999999999</v>
      </c>
      <c r="BH39" s="342">
        <v>89.640249999999995</v>
      </c>
      <c r="BI39" s="342">
        <v>90.106189999999998</v>
      </c>
      <c r="BJ39" s="342">
        <v>90.580529999999996</v>
      </c>
      <c r="BK39" s="342">
        <v>91.032749999999993</v>
      </c>
      <c r="BL39" s="342">
        <v>91.546800000000005</v>
      </c>
      <c r="BM39" s="342">
        <v>92.092169999999996</v>
      </c>
      <c r="BN39" s="342">
        <v>92.748450000000005</v>
      </c>
      <c r="BO39" s="342">
        <v>93.296710000000004</v>
      </c>
      <c r="BP39" s="342">
        <v>93.816559999999996</v>
      </c>
      <c r="BQ39" s="342">
        <v>94.30489</v>
      </c>
      <c r="BR39" s="342">
        <v>94.770269999999996</v>
      </c>
      <c r="BS39" s="342">
        <v>95.209580000000003</v>
      </c>
      <c r="BT39" s="342">
        <v>95.601709999999997</v>
      </c>
      <c r="BU39" s="342">
        <v>96.004710000000003</v>
      </c>
      <c r="BV39" s="342">
        <v>96.397490000000005</v>
      </c>
    </row>
    <row r="40" spans="1:74" ht="11.1" customHeight="1" x14ac:dyDescent="0.2">
      <c r="A40" s="321" t="s">
        <v>911</v>
      </c>
      <c r="B40" s="41" t="s">
        <v>938</v>
      </c>
      <c r="C40" s="256">
        <v>101.217191</v>
      </c>
      <c r="D40" s="256">
        <v>100.92430376</v>
      </c>
      <c r="E40" s="256">
        <v>101.03533437</v>
      </c>
      <c r="F40" s="256">
        <v>100.44082181</v>
      </c>
      <c r="G40" s="256">
        <v>100.68341278</v>
      </c>
      <c r="H40" s="256">
        <v>100.57039613000001</v>
      </c>
      <c r="I40" s="256">
        <v>100.63356331999999</v>
      </c>
      <c r="J40" s="256">
        <v>100.3681421</v>
      </c>
      <c r="K40" s="256">
        <v>100.72070431</v>
      </c>
      <c r="L40" s="256">
        <v>100.80634379</v>
      </c>
      <c r="M40" s="256">
        <v>101.49790175</v>
      </c>
      <c r="N40" s="256">
        <v>101.62413567</v>
      </c>
      <c r="O40" s="256">
        <v>102.57713274</v>
      </c>
      <c r="P40" s="256">
        <v>102.64610885</v>
      </c>
      <c r="Q40" s="256">
        <v>102.37541555999999</v>
      </c>
      <c r="R40" s="256">
        <v>103.53313609</v>
      </c>
      <c r="S40" s="256">
        <v>103.08332255000001</v>
      </c>
      <c r="T40" s="256">
        <v>103.53504972</v>
      </c>
      <c r="U40" s="256">
        <v>103.30907802</v>
      </c>
      <c r="V40" s="256">
        <v>102.532993</v>
      </c>
      <c r="W40" s="256">
        <v>101.42536717999999</v>
      </c>
      <c r="X40" s="256">
        <v>103.97295493999999</v>
      </c>
      <c r="Y40" s="256">
        <v>104.8278358</v>
      </c>
      <c r="Z40" s="256">
        <v>104.63706379</v>
      </c>
      <c r="AA40" s="256">
        <v>103.74666958</v>
      </c>
      <c r="AB40" s="256">
        <v>104.77053244</v>
      </c>
      <c r="AC40" s="256">
        <v>105.32141333</v>
      </c>
      <c r="AD40" s="256">
        <v>105.63061456</v>
      </c>
      <c r="AE40" s="256">
        <v>105.32646108</v>
      </c>
      <c r="AF40" s="256">
        <v>105.86129355999999</v>
      </c>
      <c r="AG40" s="256">
        <v>106.27377504</v>
      </c>
      <c r="AH40" s="256">
        <v>106.92153075</v>
      </c>
      <c r="AI40" s="256">
        <v>106.85858758000001</v>
      </c>
      <c r="AJ40" s="256">
        <v>106.79962517</v>
      </c>
      <c r="AK40" s="256">
        <v>107.15242932</v>
      </c>
      <c r="AL40" s="256">
        <v>107.9970943</v>
      </c>
      <c r="AM40" s="256">
        <v>107.40025976</v>
      </c>
      <c r="AN40" s="256">
        <v>106.1985918</v>
      </c>
      <c r="AO40" s="256">
        <v>105.76951662</v>
      </c>
      <c r="AP40" s="256">
        <v>105.52143021000001</v>
      </c>
      <c r="AQ40" s="256">
        <v>105.14444745</v>
      </c>
      <c r="AR40" s="256">
        <v>105.21567045</v>
      </c>
      <c r="AS40" s="256">
        <v>105.04292655</v>
      </c>
      <c r="AT40" s="256">
        <v>106.11659714</v>
      </c>
      <c r="AU40" s="256">
        <v>105.73745468</v>
      </c>
      <c r="AV40" s="256">
        <v>105.21294001</v>
      </c>
      <c r="AW40" s="256">
        <v>105.82106400000001</v>
      </c>
      <c r="AX40" s="256">
        <v>106.63443965</v>
      </c>
      <c r="AY40" s="256">
        <v>107.10163753</v>
      </c>
      <c r="AZ40" s="256">
        <v>106.20287596999999</v>
      </c>
      <c r="BA40" s="256">
        <v>101.89704184</v>
      </c>
      <c r="BB40" s="256">
        <v>86.378416349999995</v>
      </c>
      <c r="BC40" s="256">
        <v>88.200479220000005</v>
      </c>
      <c r="BD40" s="256">
        <v>93.937885870000002</v>
      </c>
      <c r="BE40" s="256">
        <v>96.045698950000002</v>
      </c>
      <c r="BF40" s="256">
        <v>92.743541918999995</v>
      </c>
      <c r="BG40" s="342">
        <v>93.350980000000007</v>
      </c>
      <c r="BH40" s="342">
        <v>93.385800000000003</v>
      </c>
      <c r="BI40" s="342">
        <v>93.808030000000002</v>
      </c>
      <c r="BJ40" s="342">
        <v>94.26858</v>
      </c>
      <c r="BK40" s="342">
        <v>94.744010000000003</v>
      </c>
      <c r="BL40" s="342">
        <v>95.298760000000001</v>
      </c>
      <c r="BM40" s="342">
        <v>95.909400000000005</v>
      </c>
      <c r="BN40" s="342">
        <v>96.685190000000006</v>
      </c>
      <c r="BO40" s="342">
        <v>97.325649999999996</v>
      </c>
      <c r="BP40" s="342">
        <v>97.940049999999999</v>
      </c>
      <c r="BQ40" s="342">
        <v>98.52055</v>
      </c>
      <c r="BR40" s="342">
        <v>99.088710000000006</v>
      </c>
      <c r="BS40" s="342">
        <v>99.636679999999998</v>
      </c>
      <c r="BT40" s="342">
        <v>100.1537</v>
      </c>
      <c r="BU40" s="342">
        <v>100.6694</v>
      </c>
      <c r="BV40" s="342">
        <v>101.173</v>
      </c>
    </row>
    <row r="41" spans="1:74" ht="11.1" customHeight="1" x14ac:dyDescent="0.2">
      <c r="A41" s="321" t="s">
        <v>912</v>
      </c>
      <c r="B41" s="41" t="s">
        <v>939</v>
      </c>
      <c r="C41" s="256">
        <v>102.23332327999999</v>
      </c>
      <c r="D41" s="256">
        <v>102.20323974999999</v>
      </c>
      <c r="E41" s="256">
        <v>102.91813739</v>
      </c>
      <c r="F41" s="256">
        <v>101.83669519</v>
      </c>
      <c r="G41" s="256">
        <v>102.12953408</v>
      </c>
      <c r="H41" s="256">
        <v>101.94788232000001</v>
      </c>
      <c r="I41" s="256">
        <v>102.23077019</v>
      </c>
      <c r="J41" s="256">
        <v>102.11970728</v>
      </c>
      <c r="K41" s="256">
        <v>102.92891722</v>
      </c>
      <c r="L41" s="256">
        <v>102.54011985</v>
      </c>
      <c r="M41" s="256">
        <v>103.66926243</v>
      </c>
      <c r="N41" s="256">
        <v>103.72043239</v>
      </c>
      <c r="O41" s="256">
        <v>104.88045901</v>
      </c>
      <c r="P41" s="256">
        <v>104.50736218</v>
      </c>
      <c r="Q41" s="256">
        <v>104.79997494</v>
      </c>
      <c r="R41" s="256">
        <v>106.37305338</v>
      </c>
      <c r="S41" s="256">
        <v>106.42637155</v>
      </c>
      <c r="T41" s="256">
        <v>106.89023635</v>
      </c>
      <c r="U41" s="256">
        <v>106.58903890000001</v>
      </c>
      <c r="V41" s="256">
        <v>104.78635213</v>
      </c>
      <c r="W41" s="256">
        <v>101.80484715</v>
      </c>
      <c r="X41" s="256">
        <v>106.84023261</v>
      </c>
      <c r="Y41" s="256">
        <v>107.89327566</v>
      </c>
      <c r="Z41" s="256">
        <v>107.66934148</v>
      </c>
      <c r="AA41" s="256">
        <v>105.7277177</v>
      </c>
      <c r="AB41" s="256">
        <v>106.81990777999999</v>
      </c>
      <c r="AC41" s="256">
        <v>107.60982829</v>
      </c>
      <c r="AD41" s="256">
        <v>108.13380447999999</v>
      </c>
      <c r="AE41" s="256">
        <v>108.3397085</v>
      </c>
      <c r="AF41" s="256">
        <v>108.7120974</v>
      </c>
      <c r="AG41" s="256">
        <v>109.18908621</v>
      </c>
      <c r="AH41" s="256">
        <v>109.75352423</v>
      </c>
      <c r="AI41" s="256">
        <v>109.51415836</v>
      </c>
      <c r="AJ41" s="256">
        <v>109.35347306</v>
      </c>
      <c r="AK41" s="256">
        <v>109.41119436</v>
      </c>
      <c r="AL41" s="256">
        <v>110.30078494</v>
      </c>
      <c r="AM41" s="256">
        <v>110.01766026</v>
      </c>
      <c r="AN41" s="256">
        <v>108.29525821999999</v>
      </c>
      <c r="AO41" s="256">
        <v>107.75323189</v>
      </c>
      <c r="AP41" s="256">
        <v>107.79385129000001</v>
      </c>
      <c r="AQ41" s="256">
        <v>107.64546129999999</v>
      </c>
      <c r="AR41" s="256">
        <v>107.60421649</v>
      </c>
      <c r="AS41" s="256">
        <v>107.24628631</v>
      </c>
      <c r="AT41" s="256">
        <v>108.50090133</v>
      </c>
      <c r="AU41" s="256">
        <v>108.32451817</v>
      </c>
      <c r="AV41" s="256">
        <v>107.80528907999999</v>
      </c>
      <c r="AW41" s="256">
        <v>107.90765816</v>
      </c>
      <c r="AX41" s="256">
        <v>108.87883234</v>
      </c>
      <c r="AY41" s="256">
        <v>109.77032228</v>
      </c>
      <c r="AZ41" s="256">
        <v>108.67383001</v>
      </c>
      <c r="BA41" s="256">
        <v>104.90392945000001</v>
      </c>
      <c r="BB41" s="256">
        <v>91.612759139999994</v>
      </c>
      <c r="BC41" s="256">
        <v>93.254913950000002</v>
      </c>
      <c r="BD41" s="256">
        <v>97.1860906</v>
      </c>
      <c r="BE41" s="256">
        <v>99.218770030000002</v>
      </c>
      <c r="BF41" s="256">
        <v>97.047995361000005</v>
      </c>
      <c r="BG41" s="342">
        <v>97.680710000000005</v>
      </c>
      <c r="BH41" s="342">
        <v>97.846429999999998</v>
      </c>
      <c r="BI41" s="342">
        <v>98.337890000000002</v>
      </c>
      <c r="BJ41" s="342">
        <v>98.866820000000004</v>
      </c>
      <c r="BK41" s="342">
        <v>99.407629999999997</v>
      </c>
      <c r="BL41" s="342">
        <v>100.0307</v>
      </c>
      <c r="BM41" s="342">
        <v>100.7105</v>
      </c>
      <c r="BN41" s="342">
        <v>101.58920000000001</v>
      </c>
      <c r="BO41" s="342">
        <v>102.27549999999999</v>
      </c>
      <c r="BP41" s="342">
        <v>102.9119</v>
      </c>
      <c r="BQ41" s="342">
        <v>103.4721</v>
      </c>
      <c r="BR41" s="342">
        <v>104.0279</v>
      </c>
      <c r="BS41" s="342">
        <v>104.5531</v>
      </c>
      <c r="BT41" s="342">
        <v>105.0089</v>
      </c>
      <c r="BU41" s="342">
        <v>105.50230000000001</v>
      </c>
      <c r="BV41" s="342">
        <v>105.9944</v>
      </c>
    </row>
    <row r="42" spans="1:74" ht="11.1" customHeight="1" x14ac:dyDescent="0.2">
      <c r="A42" s="37"/>
      <c r="B42" s="41"/>
      <c r="C42" s="256"/>
      <c r="D42" s="256"/>
      <c r="E42" s="256"/>
      <c r="F42" s="256"/>
      <c r="G42" s="256"/>
      <c r="H42" s="256"/>
      <c r="I42" s="256"/>
      <c r="J42" s="256"/>
      <c r="K42" s="256"/>
      <c r="L42" s="256"/>
      <c r="M42" s="256"/>
      <c r="N42" s="256"/>
      <c r="O42" s="256"/>
      <c r="P42" s="256"/>
      <c r="Q42" s="256"/>
      <c r="R42" s="256"/>
      <c r="S42" s="256"/>
      <c r="T42" s="256"/>
      <c r="U42" s="256"/>
      <c r="V42" s="256"/>
      <c r="W42" s="256"/>
      <c r="X42" s="256"/>
      <c r="Y42" s="256"/>
      <c r="Z42" s="256"/>
      <c r="AA42" s="256"/>
      <c r="AB42" s="256"/>
      <c r="AC42" s="256"/>
      <c r="AD42" s="256"/>
      <c r="AE42" s="256"/>
      <c r="AF42" s="256"/>
      <c r="AG42" s="256"/>
      <c r="AH42" s="256"/>
      <c r="AI42" s="256"/>
      <c r="AJ42" s="256"/>
      <c r="AK42" s="256"/>
      <c r="AL42" s="256"/>
      <c r="AM42" s="256"/>
      <c r="AN42" s="256"/>
      <c r="AO42" s="256"/>
      <c r="AP42" s="256"/>
      <c r="AQ42" s="256"/>
      <c r="AR42" s="256"/>
      <c r="AS42" s="256"/>
      <c r="AT42" s="256"/>
      <c r="AU42" s="256"/>
      <c r="AV42" s="256"/>
      <c r="AW42" s="256"/>
      <c r="AX42" s="256"/>
      <c r="AY42" s="256"/>
      <c r="AZ42" s="256"/>
      <c r="BA42" s="256"/>
      <c r="BB42" s="256"/>
      <c r="BC42" s="256"/>
      <c r="BD42" s="256"/>
      <c r="BE42" s="256"/>
      <c r="BF42" s="256"/>
      <c r="BG42" s="342"/>
      <c r="BH42" s="342"/>
      <c r="BI42" s="342"/>
      <c r="BJ42" s="342"/>
      <c r="BK42" s="342"/>
      <c r="BL42" s="342"/>
      <c r="BM42" s="342"/>
      <c r="BN42" s="342"/>
      <c r="BO42" s="342"/>
      <c r="BP42" s="342"/>
      <c r="BQ42" s="342"/>
      <c r="BR42" s="342"/>
      <c r="BS42" s="342"/>
      <c r="BT42" s="342"/>
      <c r="BU42" s="342"/>
      <c r="BV42" s="342"/>
    </row>
    <row r="43" spans="1:74" ht="11.1" customHeight="1" x14ac:dyDescent="0.2">
      <c r="A43" s="140"/>
      <c r="B43" s="144" t="s">
        <v>19</v>
      </c>
      <c r="C43" s="68"/>
      <c r="D43" s="68"/>
      <c r="E43" s="68"/>
      <c r="F43" s="68"/>
      <c r="G43" s="68"/>
      <c r="H43" s="68"/>
      <c r="I43" s="68"/>
      <c r="J43" s="68"/>
      <c r="K43" s="68"/>
      <c r="L43" s="68"/>
      <c r="M43" s="68"/>
      <c r="N43" s="68"/>
      <c r="O43" s="68"/>
      <c r="P43" s="68"/>
      <c r="Q43" s="68"/>
      <c r="R43" s="68"/>
      <c r="S43" s="68"/>
      <c r="T43" s="68"/>
      <c r="U43" s="68"/>
      <c r="V43" s="68"/>
      <c r="W43" s="68"/>
      <c r="X43" s="68"/>
      <c r="Y43" s="68"/>
      <c r="Z43" s="68"/>
      <c r="AA43" s="68"/>
      <c r="AB43" s="68"/>
      <c r="AC43" s="68"/>
      <c r="AD43" s="68"/>
      <c r="AE43" s="68"/>
      <c r="AF43" s="68"/>
      <c r="AG43" s="68"/>
      <c r="AH43" s="68"/>
      <c r="AI43" s="68"/>
      <c r="AJ43" s="68"/>
      <c r="AK43" s="68"/>
      <c r="AL43" s="68"/>
      <c r="AM43" s="68"/>
      <c r="AN43" s="68"/>
      <c r="AO43" s="68"/>
      <c r="AP43" s="68"/>
      <c r="AQ43" s="68"/>
      <c r="AR43" s="68"/>
      <c r="AS43" s="68"/>
      <c r="AT43" s="68"/>
      <c r="AU43" s="68"/>
      <c r="AV43" s="68"/>
      <c r="AW43" s="68"/>
      <c r="AX43" s="68"/>
      <c r="AY43" s="68"/>
      <c r="AZ43" s="68"/>
      <c r="BA43" s="68"/>
      <c r="BB43" s="68"/>
      <c r="BC43" s="68"/>
      <c r="BD43" s="68"/>
      <c r="BE43" s="68"/>
      <c r="BF43" s="68"/>
      <c r="BG43" s="325"/>
      <c r="BH43" s="325"/>
      <c r="BI43" s="325"/>
      <c r="BJ43" s="325"/>
      <c r="BK43" s="325"/>
      <c r="BL43" s="325"/>
      <c r="BM43" s="325"/>
      <c r="BN43" s="325"/>
      <c r="BO43" s="325"/>
      <c r="BP43" s="325"/>
      <c r="BQ43" s="325"/>
      <c r="BR43" s="325"/>
      <c r="BS43" s="325"/>
      <c r="BT43" s="325"/>
      <c r="BU43" s="325"/>
      <c r="BV43" s="325"/>
    </row>
    <row r="44" spans="1:74" ht="11.1" customHeight="1" x14ac:dyDescent="0.2">
      <c r="A44" s="134"/>
      <c r="B44" s="139" t="s">
        <v>907</v>
      </c>
      <c r="C44" s="242"/>
      <c r="D44" s="242"/>
      <c r="E44" s="242"/>
      <c r="F44" s="242"/>
      <c r="G44" s="242"/>
      <c r="H44" s="242"/>
      <c r="I44" s="242"/>
      <c r="J44" s="242"/>
      <c r="K44" s="242"/>
      <c r="L44" s="242"/>
      <c r="M44" s="242"/>
      <c r="N44" s="242"/>
      <c r="O44" s="242"/>
      <c r="P44" s="242"/>
      <c r="Q44" s="242"/>
      <c r="R44" s="242"/>
      <c r="S44" s="242"/>
      <c r="T44" s="242"/>
      <c r="U44" s="242"/>
      <c r="V44" s="242"/>
      <c r="W44" s="242"/>
      <c r="X44" s="242"/>
      <c r="Y44" s="242"/>
      <c r="Z44" s="242"/>
      <c r="AA44" s="242"/>
      <c r="AB44" s="242"/>
      <c r="AC44" s="242"/>
      <c r="AD44" s="242"/>
      <c r="AE44" s="242"/>
      <c r="AF44" s="242"/>
      <c r="AG44" s="242"/>
      <c r="AH44" s="242"/>
      <c r="AI44" s="242"/>
      <c r="AJ44" s="242"/>
      <c r="AK44" s="242"/>
      <c r="AL44" s="242"/>
      <c r="AM44" s="242"/>
      <c r="AN44" s="242"/>
      <c r="AO44" s="242"/>
      <c r="AP44" s="242"/>
      <c r="AQ44" s="242"/>
      <c r="AR44" s="242"/>
      <c r="AS44" s="242"/>
      <c r="AT44" s="242"/>
      <c r="AU44" s="242"/>
      <c r="AV44" s="242"/>
      <c r="AW44" s="242"/>
      <c r="AX44" s="242"/>
      <c r="AY44" s="242"/>
      <c r="AZ44" s="242"/>
      <c r="BA44" s="242"/>
      <c r="BB44" s="242"/>
      <c r="BC44" s="242"/>
      <c r="BD44" s="242"/>
      <c r="BE44" s="242"/>
      <c r="BF44" s="242"/>
      <c r="BG44" s="353"/>
      <c r="BH44" s="353"/>
      <c r="BI44" s="353"/>
      <c r="BJ44" s="353"/>
      <c r="BK44" s="353"/>
      <c r="BL44" s="353"/>
      <c r="BM44" s="353"/>
      <c r="BN44" s="353"/>
      <c r="BO44" s="353"/>
      <c r="BP44" s="353"/>
      <c r="BQ44" s="353"/>
      <c r="BR44" s="353"/>
      <c r="BS44" s="353"/>
      <c r="BT44" s="353"/>
      <c r="BU44" s="353"/>
      <c r="BV44" s="353"/>
    </row>
    <row r="45" spans="1:74" ht="11.1" customHeight="1" x14ac:dyDescent="0.2">
      <c r="A45" s="140" t="s">
        <v>590</v>
      </c>
      <c r="B45" s="208" t="s">
        <v>472</v>
      </c>
      <c r="C45" s="213">
        <v>2.3782700000000001</v>
      </c>
      <c r="D45" s="213">
        <v>2.37514</v>
      </c>
      <c r="E45" s="213">
        <v>2.3799000000000001</v>
      </c>
      <c r="F45" s="213">
        <v>2.38835</v>
      </c>
      <c r="G45" s="213">
        <v>2.3944000000000001</v>
      </c>
      <c r="H45" s="213">
        <v>2.40144</v>
      </c>
      <c r="I45" s="213">
        <v>2.4011100000000001</v>
      </c>
      <c r="J45" s="213">
        <v>2.4059499999999998</v>
      </c>
      <c r="K45" s="213">
        <v>2.4106800000000002</v>
      </c>
      <c r="L45" s="213">
        <v>2.4164099999999999</v>
      </c>
      <c r="M45" s="213">
        <v>2.4199299999999999</v>
      </c>
      <c r="N45" s="213">
        <v>2.4271199999999999</v>
      </c>
      <c r="O45" s="213">
        <v>2.4371700000000001</v>
      </c>
      <c r="P45" s="213">
        <v>2.44028</v>
      </c>
      <c r="Q45" s="213">
        <v>2.4372099999999999</v>
      </c>
      <c r="R45" s="213">
        <v>2.4405800000000002</v>
      </c>
      <c r="S45" s="213">
        <v>2.43926</v>
      </c>
      <c r="T45" s="213">
        <v>2.4417900000000001</v>
      </c>
      <c r="U45" s="213">
        <v>2.4432800000000001</v>
      </c>
      <c r="V45" s="213">
        <v>2.4530400000000001</v>
      </c>
      <c r="W45" s="213">
        <v>2.4644499999999998</v>
      </c>
      <c r="X45" s="213">
        <v>2.4657</v>
      </c>
      <c r="Y45" s="213">
        <v>2.4733299999999998</v>
      </c>
      <c r="Z45" s="213">
        <v>2.4784700000000002</v>
      </c>
      <c r="AA45" s="213">
        <v>2.4881600000000001</v>
      </c>
      <c r="AB45" s="213">
        <v>2.4947499999999998</v>
      </c>
      <c r="AC45" s="213">
        <v>2.4941300000000002</v>
      </c>
      <c r="AD45" s="213">
        <v>2.4995699999999998</v>
      </c>
      <c r="AE45" s="213">
        <v>2.5064000000000002</v>
      </c>
      <c r="AF45" s="213">
        <v>2.5117600000000002</v>
      </c>
      <c r="AG45" s="213">
        <v>2.5148199999999998</v>
      </c>
      <c r="AH45" s="213">
        <v>2.51905</v>
      </c>
      <c r="AI45" s="213">
        <v>2.5226099999999998</v>
      </c>
      <c r="AJ45" s="213">
        <v>2.5277699999999999</v>
      </c>
      <c r="AK45" s="213">
        <v>2.5266199999999999</v>
      </c>
      <c r="AL45" s="213">
        <v>2.5265300000000002</v>
      </c>
      <c r="AM45" s="213">
        <v>2.5255000000000001</v>
      </c>
      <c r="AN45" s="213">
        <v>2.5318100000000001</v>
      </c>
      <c r="AO45" s="213">
        <v>2.54095</v>
      </c>
      <c r="AP45" s="213">
        <v>2.5494300000000001</v>
      </c>
      <c r="AQ45" s="213">
        <v>2.5516700000000001</v>
      </c>
      <c r="AR45" s="213">
        <v>2.55402</v>
      </c>
      <c r="AS45" s="213">
        <v>2.56087</v>
      </c>
      <c r="AT45" s="213">
        <v>2.5629400000000002</v>
      </c>
      <c r="AU45" s="213">
        <v>2.5659299999999998</v>
      </c>
      <c r="AV45" s="213">
        <v>2.5722900000000002</v>
      </c>
      <c r="AW45" s="213">
        <v>2.5782400000000001</v>
      </c>
      <c r="AX45" s="213">
        <v>2.5844399999999998</v>
      </c>
      <c r="AY45" s="213">
        <v>2.5882000000000001</v>
      </c>
      <c r="AZ45" s="213">
        <v>2.5905</v>
      </c>
      <c r="BA45" s="213">
        <v>2.5795300000000001</v>
      </c>
      <c r="BB45" s="213">
        <v>2.5590199999999999</v>
      </c>
      <c r="BC45" s="213">
        <v>2.55768</v>
      </c>
      <c r="BD45" s="213">
        <v>2.5721400000000001</v>
      </c>
      <c r="BE45" s="213">
        <v>2.5872299999999999</v>
      </c>
      <c r="BF45" s="213">
        <v>2.5846337159999999</v>
      </c>
      <c r="BG45" s="351">
        <v>2.5892550000000001</v>
      </c>
      <c r="BH45" s="351">
        <v>2.5895419999999998</v>
      </c>
      <c r="BI45" s="351">
        <v>2.5940180000000002</v>
      </c>
      <c r="BJ45" s="351">
        <v>2.5995840000000001</v>
      </c>
      <c r="BK45" s="351">
        <v>2.6077680000000001</v>
      </c>
      <c r="BL45" s="351">
        <v>2.6143670000000001</v>
      </c>
      <c r="BM45" s="351">
        <v>2.6209099999999999</v>
      </c>
      <c r="BN45" s="351">
        <v>2.628269</v>
      </c>
      <c r="BO45" s="351">
        <v>2.6340439999999998</v>
      </c>
      <c r="BP45" s="351">
        <v>2.6391079999999998</v>
      </c>
      <c r="BQ45" s="351">
        <v>2.6429049999999998</v>
      </c>
      <c r="BR45" s="351">
        <v>2.6469610000000001</v>
      </c>
      <c r="BS45" s="351">
        <v>2.6507230000000002</v>
      </c>
      <c r="BT45" s="351">
        <v>2.6541480000000002</v>
      </c>
      <c r="BU45" s="351">
        <v>2.6573500000000001</v>
      </c>
      <c r="BV45" s="351">
        <v>2.660288</v>
      </c>
    </row>
    <row r="46" spans="1:74" ht="11.1" customHeight="1" x14ac:dyDescent="0.2">
      <c r="A46" s="145"/>
      <c r="B46" s="139" t="s">
        <v>20</v>
      </c>
      <c r="C46" s="218"/>
      <c r="D46" s="218"/>
      <c r="E46" s="218"/>
      <c r="F46" s="218"/>
      <c r="G46" s="218"/>
      <c r="H46" s="218"/>
      <c r="I46" s="218"/>
      <c r="J46" s="218"/>
      <c r="K46" s="218"/>
      <c r="L46" s="218"/>
      <c r="M46" s="218"/>
      <c r="N46" s="218"/>
      <c r="O46" s="218"/>
      <c r="P46" s="218"/>
      <c r="Q46" s="218"/>
      <c r="R46" s="218"/>
      <c r="S46" s="218"/>
      <c r="T46" s="218"/>
      <c r="U46" s="218"/>
      <c r="V46" s="218"/>
      <c r="W46" s="218"/>
      <c r="X46" s="218"/>
      <c r="Y46" s="218"/>
      <c r="Z46" s="218"/>
      <c r="AA46" s="218"/>
      <c r="AB46" s="218"/>
      <c r="AC46" s="218"/>
      <c r="AD46" s="218"/>
      <c r="AE46" s="218"/>
      <c r="AF46" s="218"/>
      <c r="AG46" s="218"/>
      <c r="AH46" s="218"/>
      <c r="AI46" s="218"/>
      <c r="AJ46" s="218"/>
      <c r="AK46" s="218"/>
      <c r="AL46" s="218"/>
      <c r="AM46" s="218"/>
      <c r="AN46" s="218"/>
      <c r="AO46" s="218"/>
      <c r="AP46" s="218"/>
      <c r="AQ46" s="218"/>
      <c r="AR46" s="218"/>
      <c r="AS46" s="218"/>
      <c r="AT46" s="218"/>
      <c r="AU46" s="218"/>
      <c r="AV46" s="218"/>
      <c r="AW46" s="218"/>
      <c r="AX46" s="218"/>
      <c r="AY46" s="218"/>
      <c r="AZ46" s="218"/>
      <c r="BA46" s="218"/>
      <c r="BB46" s="218"/>
      <c r="BC46" s="218"/>
      <c r="BD46" s="218"/>
      <c r="BE46" s="218"/>
      <c r="BF46" s="218"/>
      <c r="BG46" s="328"/>
      <c r="BH46" s="328"/>
      <c r="BI46" s="328"/>
      <c r="BJ46" s="328"/>
      <c r="BK46" s="328"/>
      <c r="BL46" s="328"/>
      <c r="BM46" s="328"/>
      <c r="BN46" s="328"/>
      <c r="BO46" s="328"/>
      <c r="BP46" s="328"/>
      <c r="BQ46" s="328"/>
      <c r="BR46" s="328"/>
      <c r="BS46" s="328"/>
      <c r="BT46" s="328"/>
      <c r="BU46" s="328"/>
      <c r="BV46" s="328"/>
    </row>
    <row r="47" spans="1:74" ht="11.1" customHeight="1" x14ac:dyDescent="0.2">
      <c r="A47" s="140" t="s">
        <v>589</v>
      </c>
      <c r="B47" s="208" t="s">
        <v>473</v>
      </c>
      <c r="C47" s="213">
        <v>1.8360816511</v>
      </c>
      <c r="D47" s="213">
        <v>1.8299208896000001</v>
      </c>
      <c r="E47" s="213">
        <v>1.8288524196</v>
      </c>
      <c r="F47" s="213">
        <v>1.8390037426000001</v>
      </c>
      <c r="G47" s="213">
        <v>1.8435242297000001</v>
      </c>
      <c r="H47" s="213">
        <v>1.8485413824000001</v>
      </c>
      <c r="I47" s="213">
        <v>1.8543308004000001</v>
      </c>
      <c r="J47" s="213">
        <v>1.8601345841000001</v>
      </c>
      <c r="K47" s="213">
        <v>1.8662283334000001</v>
      </c>
      <c r="L47" s="213">
        <v>1.8691849681999999</v>
      </c>
      <c r="M47" s="213">
        <v>1.8784289586</v>
      </c>
      <c r="N47" s="213">
        <v>1.8905332246</v>
      </c>
      <c r="O47" s="213">
        <v>1.9164604029000001</v>
      </c>
      <c r="P47" s="213">
        <v>1.9260632424999999</v>
      </c>
      <c r="Q47" s="213">
        <v>1.9303043803</v>
      </c>
      <c r="R47" s="213">
        <v>1.9199623183000001</v>
      </c>
      <c r="S47" s="213">
        <v>1.9203961754000001</v>
      </c>
      <c r="T47" s="213">
        <v>1.9223844538999999</v>
      </c>
      <c r="U47" s="213">
        <v>1.9246036820000001</v>
      </c>
      <c r="V47" s="213">
        <v>1.9306934070999999</v>
      </c>
      <c r="W47" s="213">
        <v>1.9393301573999999</v>
      </c>
      <c r="X47" s="213">
        <v>1.9538153421</v>
      </c>
      <c r="Y47" s="213">
        <v>1.9650700858000001</v>
      </c>
      <c r="Z47" s="213">
        <v>1.9763957977</v>
      </c>
      <c r="AA47" s="213">
        <v>1.9906598994</v>
      </c>
      <c r="AB47" s="213">
        <v>1.9999769815999999</v>
      </c>
      <c r="AC47" s="213">
        <v>2.0072144657000002</v>
      </c>
      <c r="AD47" s="213">
        <v>2.0095983140999998</v>
      </c>
      <c r="AE47" s="213">
        <v>2.0147571306000001</v>
      </c>
      <c r="AF47" s="213">
        <v>2.0199168775</v>
      </c>
      <c r="AG47" s="213">
        <v>2.0268215063000001</v>
      </c>
      <c r="AH47" s="213">
        <v>2.0306751505</v>
      </c>
      <c r="AI47" s="213">
        <v>2.0332217614000001</v>
      </c>
      <c r="AJ47" s="213">
        <v>2.0372710383000001</v>
      </c>
      <c r="AK47" s="213">
        <v>2.0350963086</v>
      </c>
      <c r="AL47" s="213">
        <v>2.0295072714</v>
      </c>
      <c r="AM47" s="213">
        <v>2.0125090710000002</v>
      </c>
      <c r="AN47" s="213">
        <v>2.0060875607000002</v>
      </c>
      <c r="AO47" s="213">
        <v>2.0022478846</v>
      </c>
      <c r="AP47" s="213">
        <v>2.0061329453000001</v>
      </c>
      <c r="AQ47" s="213">
        <v>2.0035997611999998</v>
      </c>
      <c r="AR47" s="213">
        <v>1.9997912346</v>
      </c>
      <c r="AS47" s="213">
        <v>1.989611161</v>
      </c>
      <c r="AT47" s="213">
        <v>1.9870741030000001</v>
      </c>
      <c r="AU47" s="213">
        <v>1.9870838560999999</v>
      </c>
      <c r="AV47" s="213">
        <v>1.9971772431000001</v>
      </c>
      <c r="AW47" s="213">
        <v>1.9966280011999999</v>
      </c>
      <c r="AX47" s="213">
        <v>1.9929729534</v>
      </c>
      <c r="AY47" s="213">
        <v>1.9934033273</v>
      </c>
      <c r="AZ47" s="213">
        <v>1.9781432466</v>
      </c>
      <c r="BA47" s="213">
        <v>1.9543839392</v>
      </c>
      <c r="BB47" s="213">
        <v>1.8880599122999999</v>
      </c>
      <c r="BC47" s="213">
        <v>1.8728512708</v>
      </c>
      <c r="BD47" s="213">
        <v>1.8746925219999999</v>
      </c>
      <c r="BE47" s="213">
        <v>1.9208167719</v>
      </c>
      <c r="BF47" s="213">
        <v>1.9363329788999999</v>
      </c>
      <c r="BG47" s="351">
        <v>1.948474</v>
      </c>
      <c r="BH47" s="351">
        <v>1.9529860000000001</v>
      </c>
      <c r="BI47" s="351">
        <v>1.961568</v>
      </c>
      <c r="BJ47" s="351">
        <v>1.969967</v>
      </c>
      <c r="BK47" s="351">
        <v>1.978243</v>
      </c>
      <c r="BL47" s="351">
        <v>1.9862280000000001</v>
      </c>
      <c r="BM47" s="351">
        <v>1.9939830000000001</v>
      </c>
      <c r="BN47" s="351">
        <v>2.002948</v>
      </c>
      <c r="BO47" s="351">
        <v>2.0091640000000002</v>
      </c>
      <c r="BP47" s="351">
        <v>2.0140720000000001</v>
      </c>
      <c r="BQ47" s="351">
        <v>2.0163850000000001</v>
      </c>
      <c r="BR47" s="351">
        <v>2.0196390000000002</v>
      </c>
      <c r="BS47" s="351">
        <v>2.022548</v>
      </c>
      <c r="BT47" s="351">
        <v>2.0238360000000002</v>
      </c>
      <c r="BU47" s="351">
        <v>2.0270109999999999</v>
      </c>
      <c r="BV47" s="351">
        <v>2.0307979999999999</v>
      </c>
    </row>
    <row r="48" spans="1:74" ht="11.1" customHeight="1" x14ac:dyDescent="0.2">
      <c r="A48" s="134"/>
      <c r="B48" s="139" t="s">
        <v>695</v>
      </c>
      <c r="C48" s="242"/>
      <c r="D48" s="242"/>
      <c r="E48" s="242"/>
      <c r="F48" s="242"/>
      <c r="G48" s="242"/>
      <c r="H48" s="242"/>
      <c r="I48" s="242"/>
      <c r="J48" s="242"/>
      <c r="K48" s="242"/>
      <c r="L48" s="242"/>
      <c r="M48" s="242"/>
      <c r="N48" s="242"/>
      <c r="O48" s="242"/>
      <c r="P48" s="242"/>
      <c r="Q48" s="242"/>
      <c r="R48" s="242"/>
      <c r="S48" s="242"/>
      <c r="T48" s="242"/>
      <c r="U48" s="242"/>
      <c r="V48" s="242"/>
      <c r="W48" s="242"/>
      <c r="X48" s="242"/>
      <c r="Y48" s="242"/>
      <c r="Z48" s="242"/>
      <c r="AA48" s="242"/>
      <c r="AB48" s="242"/>
      <c r="AC48" s="242"/>
      <c r="AD48" s="242"/>
      <c r="AE48" s="242"/>
      <c r="AF48" s="242"/>
      <c r="AG48" s="242"/>
      <c r="AH48" s="242"/>
      <c r="AI48" s="242"/>
      <c r="AJ48" s="242"/>
      <c r="AK48" s="242"/>
      <c r="AL48" s="242"/>
      <c r="AM48" s="242"/>
      <c r="AN48" s="242"/>
      <c r="AO48" s="242"/>
      <c r="AP48" s="242"/>
      <c r="AQ48" s="242"/>
      <c r="AR48" s="242"/>
      <c r="AS48" s="242"/>
      <c r="AT48" s="242"/>
      <c r="AU48" s="242"/>
      <c r="AV48" s="242"/>
      <c r="AW48" s="242"/>
      <c r="AX48" s="242"/>
      <c r="AY48" s="242"/>
      <c r="AZ48" s="242"/>
      <c r="BA48" s="242"/>
      <c r="BB48" s="242"/>
      <c r="BC48" s="242"/>
      <c r="BD48" s="242"/>
      <c r="BE48" s="242"/>
      <c r="BF48" s="242"/>
      <c r="BG48" s="353"/>
      <c r="BH48" s="353"/>
      <c r="BI48" s="353"/>
      <c r="BJ48" s="353"/>
      <c r="BK48" s="353"/>
      <c r="BL48" s="353"/>
      <c r="BM48" s="353"/>
      <c r="BN48" s="353"/>
      <c r="BO48" s="353"/>
      <c r="BP48" s="353"/>
      <c r="BQ48" s="353"/>
      <c r="BR48" s="353"/>
      <c r="BS48" s="353"/>
      <c r="BT48" s="353"/>
      <c r="BU48" s="353"/>
      <c r="BV48" s="353"/>
    </row>
    <row r="49" spans="1:74" ht="11.1" customHeight="1" x14ac:dyDescent="0.2">
      <c r="A49" s="140" t="s">
        <v>591</v>
      </c>
      <c r="B49" s="208" t="s">
        <v>473</v>
      </c>
      <c r="C49" s="213">
        <v>1.254</v>
      </c>
      <c r="D49" s="213">
        <v>1.1459999999999999</v>
      </c>
      <c r="E49" s="213">
        <v>1.222</v>
      </c>
      <c r="F49" s="213">
        <v>1.3240000000000001</v>
      </c>
      <c r="G49" s="213">
        <v>1.4630000000000001</v>
      </c>
      <c r="H49" s="213">
        <v>1.5840000000000001</v>
      </c>
      <c r="I49" s="213">
        <v>1.5620000000000001</v>
      </c>
      <c r="J49" s="213">
        <v>1.4830000000000001</v>
      </c>
      <c r="K49" s="213">
        <v>1.542</v>
      </c>
      <c r="L49" s="213">
        <v>1.59</v>
      </c>
      <c r="M49" s="213">
        <v>1.5209999999999999</v>
      </c>
      <c r="N49" s="213">
        <v>1.5629999999999999</v>
      </c>
      <c r="O49" s="213">
        <v>1.653</v>
      </c>
      <c r="P49" s="213">
        <v>1.665</v>
      </c>
      <c r="Q49" s="213">
        <v>1.65</v>
      </c>
      <c r="R49" s="213">
        <v>1.706</v>
      </c>
      <c r="S49" s="213">
        <v>1.6559999999999999</v>
      </c>
      <c r="T49" s="213">
        <v>1.6379999999999999</v>
      </c>
      <c r="U49" s="213">
        <v>1.645</v>
      </c>
      <c r="V49" s="213">
        <v>1.7290000000000001</v>
      </c>
      <c r="W49" s="213">
        <v>1.883</v>
      </c>
      <c r="X49" s="213">
        <v>1.857</v>
      </c>
      <c r="Y49" s="213">
        <v>1.927</v>
      </c>
      <c r="Z49" s="213">
        <v>1.919</v>
      </c>
      <c r="AA49" s="213">
        <v>1.97</v>
      </c>
      <c r="AB49" s="213">
        <v>1.9970000000000001</v>
      </c>
      <c r="AC49" s="213">
        <v>1.9770000000000001</v>
      </c>
      <c r="AD49" s="213">
        <v>2.077</v>
      </c>
      <c r="AE49" s="213">
        <v>2.2829999999999999</v>
      </c>
      <c r="AF49" s="213">
        <v>2.294</v>
      </c>
      <c r="AG49" s="213">
        <v>2.282</v>
      </c>
      <c r="AH49" s="213">
        <v>2.2389999999999999</v>
      </c>
      <c r="AI49" s="213">
        <v>2.266</v>
      </c>
      <c r="AJ49" s="213">
        <v>2.331</v>
      </c>
      <c r="AK49" s="213">
        <v>2.1429999999999998</v>
      </c>
      <c r="AL49" s="213">
        <v>1.8380000000000001</v>
      </c>
      <c r="AM49" s="213">
        <v>1.6759999999999999</v>
      </c>
      <c r="AN49" s="213">
        <v>1.776</v>
      </c>
      <c r="AO49" s="213">
        <v>1.9710000000000001</v>
      </c>
      <c r="AP49" s="213">
        <v>2.117</v>
      </c>
      <c r="AQ49" s="213">
        <v>2.1509999999999998</v>
      </c>
      <c r="AR49" s="213">
        <v>1.972</v>
      </c>
      <c r="AS49" s="213">
        <v>2.0190000000000001</v>
      </c>
      <c r="AT49" s="213">
        <v>1.9419999999999999</v>
      </c>
      <c r="AU49" s="213">
        <v>1.903</v>
      </c>
      <c r="AV49" s="213">
        <v>1.956</v>
      </c>
      <c r="AW49" s="213">
        <v>1.921</v>
      </c>
      <c r="AX49" s="213">
        <v>1.913</v>
      </c>
      <c r="AY49" s="213">
        <v>1.911</v>
      </c>
      <c r="AZ49" s="213">
        <v>1.764</v>
      </c>
      <c r="BA49" s="213">
        <v>1.5549999999999999</v>
      </c>
      <c r="BB49" s="213">
        <v>0.94399999999999995</v>
      </c>
      <c r="BC49" s="213">
        <v>1.0549999999999999</v>
      </c>
      <c r="BD49" s="213">
        <v>1.272</v>
      </c>
      <c r="BE49" s="213">
        <v>1.462925</v>
      </c>
      <c r="BF49" s="213">
        <v>1.509649</v>
      </c>
      <c r="BG49" s="351">
        <v>1.528726</v>
      </c>
      <c r="BH49" s="351">
        <v>1.512745</v>
      </c>
      <c r="BI49" s="351">
        <v>1.5043530000000001</v>
      </c>
      <c r="BJ49" s="351">
        <v>1.4944980000000001</v>
      </c>
      <c r="BK49" s="351">
        <v>1.4102840000000001</v>
      </c>
      <c r="BL49" s="351">
        <v>1.447503</v>
      </c>
      <c r="BM49" s="351">
        <v>1.518256</v>
      </c>
      <c r="BN49" s="351">
        <v>1.5767359999999999</v>
      </c>
      <c r="BO49" s="351">
        <v>1.6169</v>
      </c>
      <c r="BP49" s="351">
        <v>1.642064</v>
      </c>
      <c r="BQ49" s="351">
        <v>1.6301920000000001</v>
      </c>
      <c r="BR49" s="351">
        <v>1.6535500000000001</v>
      </c>
      <c r="BS49" s="351">
        <v>1.6254740000000001</v>
      </c>
      <c r="BT49" s="351">
        <v>1.6178170000000001</v>
      </c>
      <c r="BU49" s="351">
        <v>1.602759</v>
      </c>
      <c r="BV49" s="351">
        <v>1.5802590000000001</v>
      </c>
    </row>
    <row r="50" spans="1:74" ht="11.1" customHeight="1" x14ac:dyDescent="0.2">
      <c r="A50" s="140"/>
      <c r="B50" s="139" t="s">
        <v>569</v>
      </c>
      <c r="C50" s="68"/>
      <c r="D50" s="68"/>
      <c r="E50" s="68"/>
      <c r="F50" s="68"/>
      <c r="G50" s="68"/>
      <c r="H50" s="68"/>
      <c r="I50" s="68"/>
      <c r="J50" s="68"/>
      <c r="K50" s="68"/>
      <c r="L50" s="68"/>
      <c r="M50" s="68"/>
      <c r="N50" s="68"/>
      <c r="O50" s="68"/>
      <c r="P50" s="68"/>
      <c r="Q50" s="68"/>
      <c r="R50" s="68"/>
      <c r="S50" s="68"/>
      <c r="T50" s="68"/>
      <c r="U50" s="68"/>
      <c r="V50" s="68"/>
      <c r="W50" s="68"/>
      <c r="X50" s="68"/>
      <c r="Y50" s="68"/>
      <c r="Z50" s="68"/>
      <c r="AA50" s="68"/>
      <c r="AB50" s="68"/>
      <c r="AC50" s="68"/>
      <c r="AD50" s="68"/>
      <c r="AE50" s="68"/>
      <c r="AF50" s="68"/>
      <c r="AG50" s="68"/>
      <c r="AH50" s="68"/>
      <c r="AI50" s="68"/>
      <c r="AJ50" s="68"/>
      <c r="AK50" s="68"/>
      <c r="AL50" s="68"/>
      <c r="AM50" s="68"/>
      <c r="AN50" s="68"/>
      <c r="AO50" s="68"/>
      <c r="AP50" s="68"/>
      <c r="AQ50" s="68"/>
      <c r="AR50" s="68"/>
      <c r="AS50" s="68"/>
      <c r="AT50" s="68"/>
      <c r="AU50" s="68"/>
      <c r="AV50" s="68"/>
      <c r="AW50" s="68"/>
      <c r="AX50" s="68"/>
      <c r="AY50" s="68"/>
      <c r="AZ50" s="68"/>
      <c r="BA50" s="68"/>
      <c r="BB50" s="68"/>
      <c r="BC50" s="68"/>
      <c r="BD50" s="68"/>
      <c r="BE50" s="68"/>
      <c r="BF50" s="68"/>
      <c r="BG50" s="325"/>
      <c r="BH50" s="325"/>
      <c r="BI50" s="325"/>
      <c r="BJ50" s="325"/>
      <c r="BK50" s="325"/>
      <c r="BL50" s="325"/>
      <c r="BM50" s="325"/>
      <c r="BN50" s="325"/>
      <c r="BO50" s="325"/>
      <c r="BP50" s="325"/>
      <c r="BQ50" s="325"/>
      <c r="BR50" s="325"/>
      <c r="BS50" s="325"/>
      <c r="BT50" s="325"/>
      <c r="BU50" s="325"/>
      <c r="BV50" s="325"/>
    </row>
    <row r="51" spans="1:74" ht="11.1" customHeight="1" x14ac:dyDescent="0.2">
      <c r="A51" s="37" t="s">
        <v>570</v>
      </c>
      <c r="B51" s="607" t="s">
        <v>1148</v>
      </c>
      <c r="C51" s="256">
        <v>104.80544444</v>
      </c>
      <c r="D51" s="256">
        <v>104.87511111000001</v>
      </c>
      <c r="E51" s="256">
        <v>105.02544444</v>
      </c>
      <c r="F51" s="256">
        <v>105.41540741</v>
      </c>
      <c r="G51" s="256">
        <v>105.60785185</v>
      </c>
      <c r="H51" s="256">
        <v>105.76174073999999</v>
      </c>
      <c r="I51" s="256">
        <v>105.79322222</v>
      </c>
      <c r="J51" s="256">
        <v>105.93288889</v>
      </c>
      <c r="K51" s="256">
        <v>106.09688889</v>
      </c>
      <c r="L51" s="256">
        <v>106.32359259</v>
      </c>
      <c r="M51" s="256">
        <v>106.50748148</v>
      </c>
      <c r="N51" s="256">
        <v>106.68692593</v>
      </c>
      <c r="O51" s="256">
        <v>106.88385185</v>
      </c>
      <c r="P51" s="256">
        <v>107.03796296</v>
      </c>
      <c r="Q51" s="256">
        <v>107.17118519</v>
      </c>
      <c r="R51" s="256">
        <v>107.2167037</v>
      </c>
      <c r="S51" s="256">
        <v>107.35825926</v>
      </c>
      <c r="T51" s="256">
        <v>107.52903704000001</v>
      </c>
      <c r="U51" s="256">
        <v>107.75777778</v>
      </c>
      <c r="V51" s="256">
        <v>107.96544444</v>
      </c>
      <c r="W51" s="256">
        <v>108.18077778</v>
      </c>
      <c r="X51" s="256">
        <v>108.41607406999999</v>
      </c>
      <c r="Y51" s="256">
        <v>108.63751852</v>
      </c>
      <c r="Z51" s="256">
        <v>108.85740740999999</v>
      </c>
      <c r="AA51" s="256">
        <v>109.04137037</v>
      </c>
      <c r="AB51" s="256">
        <v>109.28392593</v>
      </c>
      <c r="AC51" s="256">
        <v>109.5507037</v>
      </c>
      <c r="AD51" s="256">
        <v>109.92837037</v>
      </c>
      <c r="AE51" s="256">
        <v>110.17859258999999</v>
      </c>
      <c r="AF51" s="256">
        <v>110.38803704</v>
      </c>
      <c r="AG51" s="256">
        <v>110.505</v>
      </c>
      <c r="AH51" s="256">
        <v>110.67166666999999</v>
      </c>
      <c r="AI51" s="256">
        <v>110.83633333</v>
      </c>
      <c r="AJ51" s="256">
        <v>111.01855556</v>
      </c>
      <c r="AK51" s="256">
        <v>111.16455556</v>
      </c>
      <c r="AL51" s="256">
        <v>111.29388889000001</v>
      </c>
      <c r="AM51" s="256">
        <v>111.33307407</v>
      </c>
      <c r="AN51" s="256">
        <v>111.48418519000001</v>
      </c>
      <c r="AO51" s="256">
        <v>111.67374074</v>
      </c>
      <c r="AP51" s="256">
        <v>111.99196296</v>
      </c>
      <c r="AQ51" s="256">
        <v>112.19074074</v>
      </c>
      <c r="AR51" s="256">
        <v>112.3602963</v>
      </c>
      <c r="AS51" s="256">
        <v>112.4667037</v>
      </c>
      <c r="AT51" s="256">
        <v>112.60325926</v>
      </c>
      <c r="AU51" s="256">
        <v>112.73603704</v>
      </c>
      <c r="AV51" s="256">
        <v>112.85940741</v>
      </c>
      <c r="AW51" s="256">
        <v>112.98885185</v>
      </c>
      <c r="AX51" s="256">
        <v>113.11874074000001</v>
      </c>
      <c r="AY51" s="256">
        <v>113.38492592999999</v>
      </c>
      <c r="AZ51" s="256">
        <v>113.41381481000001</v>
      </c>
      <c r="BA51" s="256">
        <v>113.34125926</v>
      </c>
      <c r="BB51" s="256">
        <v>113.16725925999999</v>
      </c>
      <c r="BC51" s="256">
        <v>112.89181481</v>
      </c>
      <c r="BD51" s="256">
        <v>112.51492593</v>
      </c>
      <c r="BE51" s="256">
        <v>113.255</v>
      </c>
      <c r="BF51" s="256">
        <v>113.40433333</v>
      </c>
      <c r="BG51" s="342">
        <v>113.52419999999999</v>
      </c>
      <c r="BH51" s="342">
        <v>113.5575</v>
      </c>
      <c r="BI51" s="342">
        <v>113.6611</v>
      </c>
      <c r="BJ51" s="342">
        <v>113.7779</v>
      </c>
      <c r="BK51" s="342">
        <v>113.9417</v>
      </c>
      <c r="BL51" s="342">
        <v>114.0599</v>
      </c>
      <c r="BM51" s="342">
        <v>114.1661</v>
      </c>
      <c r="BN51" s="342">
        <v>114.2432</v>
      </c>
      <c r="BO51" s="342">
        <v>114.3383</v>
      </c>
      <c r="BP51" s="342">
        <v>114.43429999999999</v>
      </c>
      <c r="BQ51" s="342">
        <v>114.53100000000001</v>
      </c>
      <c r="BR51" s="342">
        <v>114.629</v>
      </c>
      <c r="BS51" s="342">
        <v>114.7281</v>
      </c>
      <c r="BT51" s="342">
        <v>114.8352</v>
      </c>
      <c r="BU51" s="342">
        <v>114.93129999999999</v>
      </c>
      <c r="BV51" s="342">
        <v>115.02330000000001</v>
      </c>
    </row>
    <row r="52" spans="1:74" ht="11.1" customHeight="1" x14ac:dyDescent="0.2">
      <c r="A52" s="134"/>
      <c r="B52" s="139" t="s">
        <v>515</v>
      </c>
      <c r="C52" s="218"/>
      <c r="D52" s="218"/>
      <c r="E52" s="218"/>
      <c r="F52" s="218"/>
      <c r="G52" s="218"/>
      <c r="H52" s="218"/>
      <c r="I52" s="218"/>
      <c r="J52" s="218"/>
      <c r="K52" s="218"/>
      <c r="L52" s="218"/>
      <c r="M52" s="218"/>
      <c r="N52" s="218"/>
      <c r="O52" s="218"/>
      <c r="P52" s="218"/>
      <c r="Q52" s="218"/>
      <c r="R52" s="218"/>
      <c r="S52" s="218"/>
      <c r="T52" s="218"/>
      <c r="U52" s="218"/>
      <c r="V52" s="218"/>
      <c r="W52" s="218"/>
      <c r="X52" s="218"/>
      <c r="Y52" s="218"/>
      <c r="Z52" s="218"/>
      <c r="AA52" s="218"/>
      <c r="AB52" s="218"/>
      <c r="AC52" s="218"/>
      <c r="AD52" s="218"/>
      <c r="AE52" s="218"/>
      <c r="AF52" s="218"/>
      <c r="AG52" s="218"/>
      <c r="AH52" s="218"/>
      <c r="AI52" s="218"/>
      <c r="AJ52" s="218"/>
      <c r="AK52" s="218"/>
      <c r="AL52" s="218"/>
      <c r="AM52" s="218"/>
      <c r="AN52" s="218"/>
      <c r="AO52" s="218"/>
      <c r="AP52" s="218"/>
      <c r="AQ52" s="218"/>
      <c r="AR52" s="218"/>
      <c r="AS52" s="218"/>
      <c r="AT52" s="218"/>
      <c r="AU52" s="218"/>
      <c r="AV52" s="218"/>
      <c r="AW52" s="218"/>
      <c r="AX52" s="218"/>
      <c r="AY52" s="218"/>
      <c r="AZ52" s="218"/>
      <c r="BA52" s="218"/>
      <c r="BB52" s="218"/>
      <c r="BC52" s="218"/>
      <c r="BD52" s="218"/>
      <c r="BE52" s="218"/>
      <c r="BF52" s="218"/>
      <c r="BG52" s="328"/>
      <c r="BH52" s="328"/>
      <c r="BI52" s="328"/>
      <c r="BJ52" s="328"/>
      <c r="BK52" s="328"/>
      <c r="BL52" s="328"/>
      <c r="BM52" s="328"/>
      <c r="BN52" s="328"/>
      <c r="BO52" s="328"/>
      <c r="BP52" s="328"/>
      <c r="BQ52" s="328"/>
      <c r="BR52" s="328"/>
      <c r="BS52" s="328"/>
      <c r="BT52" s="328"/>
      <c r="BU52" s="328"/>
      <c r="BV52" s="328"/>
    </row>
    <row r="53" spans="1:74" ht="11.1" customHeight="1" x14ac:dyDescent="0.2">
      <c r="A53" s="134"/>
      <c r="B53" s="144" t="s">
        <v>596</v>
      </c>
      <c r="C53" s="218"/>
      <c r="D53" s="218"/>
      <c r="E53" s="218"/>
      <c r="F53" s="218"/>
      <c r="G53" s="218"/>
      <c r="H53" s="218"/>
      <c r="I53" s="218"/>
      <c r="J53" s="218"/>
      <c r="K53" s="218"/>
      <c r="L53" s="218"/>
      <c r="M53" s="218"/>
      <c r="N53" s="218"/>
      <c r="O53" s="218"/>
      <c r="P53" s="218"/>
      <c r="Q53" s="218"/>
      <c r="R53" s="218"/>
      <c r="S53" s="218"/>
      <c r="T53" s="218"/>
      <c r="U53" s="218"/>
      <c r="V53" s="218"/>
      <c r="W53" s="218"/>
      <c r="X53" s="218"/>
      <c r="Y53" s="218"/>
      <c r="Z53" s="218"/>
      <c r="AA53" s="218"/>
      <c r="AB53" s="218"/>
      <c r="AC53" s="218"/>
      <c r="AD53" s="218"/>
      <c r="AE53" s="218"/>
      <c r="AF53" s="218"/>
      <c r="AG53" s="218"/>
      <c r="AH53" s="218"/>
      <c r="AI53" s="218"/>
      <c r="AJ53" s="218"/>
      <c r="AK53" s="218"/>
      <c r="AL53" s="218"/>
      <c r="AM53" s="218"/>
      <c r="AN53" s="218"/>
      <c r="AO53" s="218"/>
      <c r="AP53" s="218"/>
      <c r="AQ53" s="218"/>
      <c r="AR53" s="218"/>
      <c r="AS53" s="218"/>
      <c r="AT53" s="218"/>
      <c r="AU53" s="218"/>
      <c r="AV53" s="218"/>
      <c r="AW53" s="218"/>
      <c r="AX53" s="218"/>
      <c r="AY53" s="218"/>
      <c r="AZ53" s="218"/>
      <c r="BA53" s="218"/>
      <c r="BB53" s="218"/>
      <c r="BC53" s="218"/>
      <c r="BD53" s="218"/>
      <c r="BE53" s="218"/>
      <c r="BF53" s="218"/>
      <c r="BG53" s="328"/>
      <c r="BH53" s="328"/>
      <c r="BI53" s="328"/>
      <c r="BJ53" s="328"/>
      <c r="BK53" s="328"/>
      <c r="BL53" s="328"/>
      <c r="BM53" s="328"/>
      <c r="BN53" s="328"/>
      <c r="BO53" s="328"/>
      <c r="BP53" s="328"/>
      <c r="BQ53" s="328"/>
      <c r="BR53" s="328"/>
      <c r="BS53" s="328"/>
      <c r="BT53" s="328"/>
      <c r="BU53" s="328"/>
      <c r="BV53" s="328"/>
    </row>
    <row r="54" spans="1:74" ht="11.1" customHeight="1" x14ac:dyDescent="0.2">
      <c r="A54" s="134"/>
      <c r="B54" s="139" t="s">
        <v>53</v>
      </c>
      <c r="C54" s="218"/>
      <c r="D54" s="218"/>
      <c r="E54" s="218"/>
      <c r="F54" s="218"/>
      <c r="G54" s="218"/>
      <c r="H54" s="218"/>
      <c r="I54" s="218"/>
      <c r="J54" s="218"/>
      <c r="K54" s="218"/>
      <c r="L54" s="218"/>
      <c r="M54" s="218"/>
      <c r="N54" s="218"/>
      <c r="O54" s="218"/>
      <c r="P54" s="218"/>
      <c r="Q54" s="218"/>
      <c r="R54" s="218"/>
      <c r="S54" s="218"/>
      <c r="T54" s="218"/>
      <c r="U54" s="218"/>
      <c r="V54" s="218"/>
      <c r="W54" s="218"/>
      <c r="X54" s="218"/>
      <c r="Y54" s="218"/>
      <c r="Z54" s="218"/>
      <c r="AA54" s="218"/>
      <c r="AB54" s="218"/>
      <c r="AC54" s="218"/>
      <c r="AD54" s="218"/>
      <c r="AE54" s="218"/>
      <c r="AF54" s="218"/>
      <c r="AG54" s="218"/>
      <c r="AH54" s="218"/>
      <c r="AI54" s="218"/>
      <c r="AJ54" s="218"/>
      <c r="AK54" s="218"/>
      <c r="AL54" s="218"/>
      <c r="AM54" s="218"/>
      <c r="AN54" s="218"/>
      <c r="AO54" s="218"/>
      <c r="AP54" s="218"/>
      <c r="AQ54" s="218"/>
      <c r="AR54" s="218"/>
      <c r="AS54" s="218"/>
      <c r="AT54" s="218"/>
      <c r="AU54" s="218"/>
      <c r="AV54" s="218"/>
      <c r="AW54" s="218"/>
      <c r="AX54" s="218"/>
      <c r="AY54" s="218"/>
      <c r="AZ54" s="218"/>
      <c r="BA54" s="218"/>
      <c r="BB54" s="218"/>
      <c r="BC54" s="218"/>
      <c r="BD54" s="218"/>
      <c r="BE54" s="218"/>
      <c r="BF54" s="218"/>
      <c r="BG54" s="328"/>
      <c r="BH54" s="328"/>
      <c r="BI54" s="328"/>
      <c r="BJ54" s="328"/>
      <c r="BK54" s="328"/>
      <c r="BL54" s="328"/>
      <c r="BM54" s="328"/>
      <c r="BN54" s="328"/>
      <c r="BO54" s="328"/>
      <c r="BP54" s="328"/>
      <c r="BQ54" s="328"/>
      <c r="BR54" s="328"/>
      <c r="BS54" s="328"/>
      <c r="BT54" s="328"/>
      <c r="BU54" s="328"/>
      <c r="BV54" s="328"/>
    </row>
    <row r="55" spans="1:74" ht="11.1" customHeight="1" x14ac:dyDescent="0.2">
      <c r="A55" s="146" t="s">
        <v>597</v>
      </c>
      <c r="B55" s="208" t="s">
        <v>474</v>
      </c>
      <c r="C55" s="238">
        <v>7731.5806451999997</v>
      </c>
      <c r="D55" s="238">
        <v>7690.0344827999998</v>
      </c>
      <c r="E55" s="238">
        <v>8553.1290322999994</v>
      </c>
      <c r="F55" s="238">
        <v>8988.4333332999995</v>
      </c>
      <c r="G55" s="238">
        <v>8966.8387096999995</v>
      </c>
      <c r="H55" s="238">
        <v>9233.0333332999999</v>
      </c>
      <c r="I55" s="238">
        <v>9198.7096774000001</v>
      </c>
      <c r="J55" s="238">
        <v>9006.8709677000006</v>
      </c>
      <c r="K55" s="238">
        <v>8734.6333333000002</v>
      </c>
      <c r="L55" s="238">
        <v>8890.6451613000008</v>
      </c>
      <c r="M55" s="238">
        <v>8505.1333333000002</v>
      </c>
      <c r="N55" s="238">
        <v>8541.2258065000005</v>
      </c>
      <c r="O55" s="238">
        <v>7825.8064516000004</v>
      </c>
      <c r="P55" s="238">
        <v>8058.7142856999999</v>
      </c>
      <c r="Q55" s="238">
        <v>8656.2258065000005</v>
      </c>
      <c r="R55" s="238">
        <v>9095.4666667000001</v>
      </c>
      <c r="S55" s="238">
        <v>9073.0322581</v>
      </c>
      <c r="T55" s="238">
        <v>9343</v>
      </c>
      <c r="U55" s="238">
        <v>9308.5806451999997</v>
      </c>
      <c r="V55" s="238">
        <v>9114.7741934999995</v>
      </c>
      <c r="W55" s="238">
        <v>8840.4</v>
      </c>
      <c r="X55" s="238">
        <v>8996.3870967999992</v>
      </c>
      <c r="Y55" s="238">
        <v>8605.2999999999993</v>
      </c>
      <c r="Z55" s="238">
        <v>8643.8064515999995</v>
      </c>
      <c r="AA55" s="238">
        <v>7894.7096774000001</v>
      </c>
      <c r="AB55" s="238">
        <v>8134.25</v>
      </c>
      <c r="AC55" s="238">
        <v>8732.4193548000003</v>
      </c>
      <c r="AD55" s="238">
        <v>9170.9</v>
      </c>
      <c r="AE55" s="238">
        <v>9152.0322581</v>
      </c>
      <c r="AF55" s="238">
        <v>9421.6</v>
      </c>
      <c r="AG55" s="238">
        <v>9386.7419355000002</v>
      </c>
      <c r="AH55" s="238">
        <v>9193.1935484000005</v>
      </c>
      <c r="AI55" s="238">
        <v>8914.4666667000001</v>
      </c>
      <c r="AJ55" s="238">
        <v>9076.8387096999995</v>
      </c>
      <c r="AK55" s="238">
        <v>8682.4333332999995</v>
      </c>
      <c r="AL55" s="238">
        <v>8721.6129032000008</v>
      </c>
      <c r="AM55" s="238">
        <v>8008.5483870999997</v>
      </c>
      <c r="AN55" s="238">
        <v>8097.7142856999999</v>
      </c>
      <c r="AO55" s="238">
        <v>8758.2903225999999</v>
      </c>
      <c r="AP55" s="238">
        <v>9384.2000000000007</v>
      </c>
      <c r="AQ55" s="238">
        <v>9230.1612903000005</v>
      </c>
      <c r="AR55" s="238">
        <v>9373.4333332999995</v>
      </c>
      <c r="AS55" s="238">
        <v>9539.7741934999995</v>
      </c>
      <c r="AT55" s="238">
        <v>9257.4516129000003</v>
      </c>
      <c r="AU55" s="238">
        <v>9071.8333332999991</v>
      </c>
      <c r="AV55" s="238">
        <v>9165.1612903000005</v>
      </c>
      <c r="AW55" s="238">
        <v>8685.5333332999999</v>
      </c>
      <c r="AX55" s="238">
        <v>8846</v>
      </c>
      <c r="AY55" s="238">
        <v>8185.2580644999998</v>
      </c>
      <c r="AZ55" s="238">
        <v>7993.5862069000004</v>
      </c>
      <c r="BA55" s="238">
        <v>7099.1935483999996</v>
      </c>
      <c r="BB55" s="238">
        <v>5608.8</v>
      </c>
      <c r="BC55" s="238">
        <v>6858.8064516000004</v>
      </c>
      <c r="BD55" s="238">
        <v>8155.5666666999996</v>
      </c>
      <c r="BE55" s="238">
        <v>8428.3880000000008</v>
      </c>
      <c r="BF55" s="238">
        <v>8377.8040000000001</v>
      </c>
      <c r="BG55" s="329">
        <v>8468.7710000000006</v>
      </c>
      <c r="BH55" s="329">
        <v>8572.6389999999992</v>
      </c>
      <c r="BI55" s="329">
        <v>8306.83</v>
      </c>
      <c r="BJ55" s="329">
        <v>8408.7389999999996</v>
      </c>
      <c r="BK55" s="329">
        <v>7669.1930000000002</v>
      </c>
      <c r="BL55" s="329">
        <v>7908.777</v>
      </c>
      <c r="BM55" s="329">
        <v>8483.3130000000001</v>
      </c>
      <c r="BN55" s="329">
        <v>8957.8979999999992</v>
      </c>
      <c r="BO55" s="329">
        <v>8998.7980000000007</v>
      </c>
      <c r="BP55" s="329">
        <v>9064.6749999999993</v>
      </c>
      <c r="BQ55" s="329">
        <v>9306.9850000000006</v>
      </c>
      <c r="BR55" s="329">
        <v>8995.8919999999998</v>
      </c>
      <c r="BS55" s="329">
        <v>8900.7160000000003</v>
      </c>
      <c r="BT55" s="329">
        <v>9010.6710000000003</v>
      </c>
      <c r="BU55" s="329">
        <v>8627.0589999999993</v>
      </c>
      <c r="BV55" s="329">
        <v>8766.3220000000001</v>
      </c>
    </row>
    <row r="56" spans="1:74" ht="11.1" customHeight="1" x14ac:dyDescent="0.2">
      <c r="A56" s="134"/>
      <c r="B56" s="139" t="s">
        <v>598</v>
      </c>
      <c r="C56" s="218"/>
      <c r="D56" s="218"/>
      <c r="E56" s="218"/>
      <c r="F56" s="218"/>
      <c r="G56" s="218"/>
      <c r="H56" s="218"/>
      <c r="I56" s="218"/>
      <c r="J56" s="218"/>
      <c r="K56" s="218"/>
      <c r="L56" s="218"/>
      <c r="M56" s="218"/>
      <c r="N56" s="218"/>
      <c r="O56" s="218"/>
      <c r="P56" s="218"/>
      <c r="Q56" s="218"/>
      <c r="R56" s="218"/>
      <c r="S56" s="218"/>
      <c r="T56" s="218"/>
      <c r="U56" s="218"/>
      <c r="V56" s="218"/>
      <c r="W56" s="218"/>
      <c r="X56" s="218"/>
      <c r="Y56" s="218"/>
      <c r="Z56" s="218"/>
      <c r="AA56" s="218"/>
      <c r="AB56" s="218"/>
      <c r="AC56" s="218"/>
      <c r="AD56" s="218"/>
      <c r="AE56" s="218"/>
      <c r="AF56" s="218"/>
      <c r="AG56" s="218"/>
      <c r="AH56" s="218"/>
      <c r="AI56" s="218"/>
      <c r="AJ56" s="218"/>
      <c r="AK56" s="218"/>
      <c r="AL56" s="218"/>
      <c r="AM56" s="218"/>
      <c r="AN56" s="218"/>
      <c r="AO56" s="218"/>
      <c r="AP56" s="218"/>
      <c r="AQ56" s="218"/>
      <c r="AR56" s="218"/>
      <c r="AS56" s="218"/>
      <c r="AT56" s="218"/>
      <c r="AU56" s="218"/>
      <c r="AV56" s="218"/>
      <c r="AW56" s="218"/>
      <c r="AX56" s="218"/>
      <c r="AY56" s="218"/>
      <c r="AZ56" s="218"/>
      <c r="BA56" s="218"/>
      <c r="BB56" s="218"/>
      <c r="BC56" s="218"/>
      <c r="BD56" s="218"/>
      <c r="BE56" s="218"/>
      <c r="BF56" s="218"/>
      <c r="BG56" s="328"/>
      <c r="BH56" s="328"/>
      <c r="BI56" s="328"/>
      <c r="BJ56" s="328"/>
      <c r="BK56" s="328"/>
      <c r="BL56" s="328"/>
      <c r="BM56" s="328"/>
      <c r="BN56" s="328"/>
      <c r="BO56" s="328"/>
      <c r="BP56" s="328"/>
      <c r="BQ56" s="328"/>
      <c r="BR56" s="328"/>
      <c r="BS56" s="328"/>
      <c r="BT56" s="328"/>
      <c r="BU56" s="328"/>
      <c r="BV56" s="328"/>
    </row>
    <row r="57" spans="1:74" ht="11.1" customHeight="1" x14ac:dyDescent="0.2">
      <c r="A57" s="140" t="s">
        <v>599</v>
      </c>
      <c r="B57" s="208" t="s">
        <v>815</v>
      </c>
      <c r="C57" s="238">
        <v>530.59816903000001</v>
      </c>
      <c r="D57" s="238">
        <v>534.37558514</v>
      </c>
      <c r="E57" s="238">
        <v>585.64439700000003</v>
      </c>
      <c r="F57" s="238">
        <v>598.00254086999996</v>
      </c>
      <c r="G57" s="238">
        <v>591.56587777000004</v>
      </c>
      <c r="H57" s="238">
        <v>628.28403836999996</v>
      </c>
      <c r="I57" s="238">
        <v>629.03124400000002</v>
      </c>
      <c r="J57" s="238">
        <v>624.87888586999998</v>
      </c>
      <c r="K57" s="238">
        <v>577.22592463000001</v>
      </c>
      <c r="L57" s="238">
        <v>585.84686457999999</v>
      </c>
      <c r="M57" s="238">
        <v>580.59948967000003</v>
      </c>
      <c r="N57" s="238">
        <v>610.67033751999998</v>
      </c>
      <c r="O57" s="238">
        <v>550.05060432000005</v>
      </c>
      <c r="P57" s="238">
        <v>544.19978438999999</v>
      </c>
      <c r="Q57" s="238">
        <v>604.11275909999995</v>
      </c>
      <c r="R57" s="238">
        <v>608.65627386999995</v>
      </c>
      <c r="S57" s="238">
        <v>604.74247448000006</v>
      </c>
      <c r="T57" s="238">
        <v>644.91114357000004</v>
      </c>
      <c r="U57" s="238">
        <v>670.07142886999998</v>
      </c>
      <c r="V57" s="238">
        <v>680.66809919000002</v>
      </c>
      <c r="W57" s="238">
        <v>631.20073136999997</v>
      </c>
      <c r="X57" s="238">
        <v>612.91744529000005</v>
      </c>
      <c r="Y57" s="238">
        <v>638.94965907000005</v>
      </c>
      <c r="Z57" s="238">
        <v>641.04661668000006</v>
      </c>
      <c r="AA57" s="238">
        <v>582.11603709999997</v>
      </c>
      <c r="AB57" s="238">
        <v>602.28317554</v>
      </c>
      <c r="AC57" s="238">
        <v>623.31326096999999</v>
      </c>
      <c r="AD57" s="238">
        <v>630.81710120000002</v>
      </c>
      <c r="AE57" s="238">
        <v>666.70325661000004</v>
      </c>
      <c r="AF57" s="238">
        <v>694.44226222999998</v>
      </c>
      <c r="AG57" s="238">
        <v>692.10183689999997</v>
      </c>
      <c r="AH57" s="238">
        <v>665.63464032000002</v>
      </c>
      <c r="AI57" s="238">
        <v>640.97481983</v>
      </c>
      <c r="AJ57" s="238">
        <v>676.68536758000005</v>
      </c>
      <c r="AK57" s="238">
        <v>634.14949533000004</v>
      </c>
      <c r="AL57" s="238">
        <v>670.80145674000005</v>
      </c>
      <c r="AM57" s="238">
        <v>634.16665606000004</v>
      </c>
      <c r="AN57" s="238">
        <v>616.29988029000003</v>
      </c>
      <c r="AO57" s="238">
        <v>674.55900328999996</v>
      </c>
      <c r="AP57" s="238">
        <v>652.32828213000005</v>
      </c>
      <c r="AQ57" s="238">
        <v>692.70975019000002</v>
      </c>
      <c r="AR57" s="238">
        <v>709.35740983000005</v>
      </c>
      <c r="AS57" s="238">
        <v>725.07968452</v>
      </c>
      <c r="AT57" s="238">
        <v>732.88319767999997</v>
      </c>
      <c r="AU57" s="238">
        <v>675.58583942999996</v>
      </c>
      <c r="AV57" s="238">
        <v>690.57795581000005</v>
      </c>
      <c r="AW57" s="238">
        <v>679.16819137000005</v>
      </c>
      <c r="AX57" s="238">
        <v>693.56099210000002</v>
      </c>
      <c r="AY57" s="238">
        <v>660.96198805999995</v>
      </c>
      <c r="AZ57" s="238">
        <v>595.09791223000002</v>
      </c>
      <c r="BA57" s="238">
        <v>588.50366444999997</v>
      </c>
      <c r="BB57" s="238">
        <v>336.53362713000001</v>
      </c>
      <c r="BC57" s="238">
        <v>336.98057297000003</v>
      </c>
      <c r="BD57" s="238">
        <v>468.03280000000001</v>
      </c>
      <c r="BE57" s="238">
        <v>564.02949999999998</v>
      </c>
      <c r="BF57" s="238">
        <v>607.57550000000003</v>
      </c>
      <c r="BG57" s="329">
        <v>614.44839999999999</v>
      </c>
      <c r="BH57" s="329">
        <v>648.40830000000005</v>
      </c>
      <c r="BI57" s="329">
        <v>627.14149999999995</v>
      </c>
      <c r="BJ57" s="329">
        <v>668.70489999999995</v>
      </c>
      <c r="BK57" s="329">
        <v>595.8383</v>
      </c>
      <c r="BL57" s="329">
        <v>535.15160000000003</v>
      </c>
      <c r="BM57" s="329">
        <v>589.16390000000001</v>
      </c>
      <c r="BN57" s="329">
        <v>549.98850000000004</v>
      </c>
      <c r="BO57" s="329">
        <v>599.22929999999997</v>
      </c>
      <c r="BP57" s="329">
        <v>653.06389999999999</v>
      </c>
      <c r="BQ57" s="329">
        <v>693.39400000000001</v>
      </c>
      <c r="BR57" s="329">
        <v>677.99590000000001</v>
      </c>
      <c r="BS57" s="329">
        <v>639.64610000000005</v>
      </c>
      <c r="BT57" s="329">
        <v>676.19110000000001</v>
      </c>
      <c r="BU57" s="329">
        <v>648.07209999999998</v>
      </c>
      <c r="BV57" s="329">
        <v>697.98649999999998</v>
      </c>
    </row>
    <row r="58" spans="1:74" ht="11.1" customHeight="1" x14ac:dyDescent="0.2">
      <c r="A58" s="134"/>
      <c r="B58" s="139" t="s">
        <v>600</v>
      </c>
      <c r="C58" s="240"/>
      <c r="D58" s="240"/>
      <c r="E58" s="240"/>
      <c r="F58" s="240"/>
      <c r="G58" s="240"/>
      <c r="H58" s="240"/>
      <c r="I58" s="240"/>
      <c r="J58" s="240"/>
      <c r="K58" s="240"/>
      <c r="L58" s="240"/>
      <c r="M58" s="240"/>
      <c r="N58" s="240"/>
      <c r="O58" s="240"/>
      <c r="P58" s="240"/>
      <c r="Q58" s="240"/>
      <c r="R58" s="240"/>
      <c r="S58" s="240"/>
      <c r="T58" s="240"/>
      <c r="U58" s="240"/>
      <c r="V58" s="240"/>
      <c r="W58" s="240"/>
      <c r="X58" s="240"/>
      <c r="Y58" s="240"/>
      <c r="Z58" s="240"/>
      <c r="AA58" s="240"/>
      <c r="AB58" s="240"/>
      <c r="AC58" s="240"/>
      <c r="AD58" s="240"/>
      <c r="AE58" s="240"/>
      <c r="AF58" s="240"/>
      <c r="AG58" s="240"/>
      <c r="AH58" s="240"/>
      <c r="AI58" s="240"/>
      <c r="AJ58" s="240"/>
      <c r="AK58" s="240"/>
      <c r="AL58" s="240"/>
      <c r="AM58" s="240"/>
      <c r="AN58" s="240"/>
      <c r="AO58" s="240"/>
      <c r="AP58" s="240"/>
      <c r="AQ58" s="240"/>
      <c r="AR58" s="240"/>
      <c r="AS58" s="240"/>
      <c r="AT58" s="240"/>
      <c r="AU58" s="240"/>
      <c r="AV58" s="240"/>
      <c r="AW58" s="240"/>
      <c r="AX58" s="240"/>
      <c r="AY58" s="240"/>
      <c r="AZ58" s="240"/>
      <c r="BA58" s="240"/>
      <c r="BB58" s="240"/>
      <c r="BC58" s="240"/>
      <c r="BD58" s="240"/>
      <c r="BE58" s="240"/>
      <c r="BF58" s="240"/>
      <c r="BG58" s="350"/>
      <c r="BH58" s="350"/>
      <c r="BI58" s="350"/>
      <c r="BJ58" s="350"/>
      <c r="BK58" s="350"/>
      <c r="BL58" s="350"/>
      <c r="BM58" s="350"/>
      <c r="BN58" s="350"/>
      <c r="BO58" s="350"/>
      <c r="BP58" s="350"/>
      <c r="BQ58" s="350"/>
      <c r="BR58" s="350"/>
      <c r="BS58" s="350"/>
      <c r="BT58" s="350"/>
      <c r="BU58" s="350"/>
      <c r="BV58" s="350"/>
    </row>
    <row r="59" spans="1:74" ht="11.1" customHeight="1" x14ac:dyDescent="0.2">
      <c r="A59" s="140" t="s">
        <v>601</v>
      </c>
      <c r="B59" s="208" t="s">
        <v>816</v>
      </c>
      <c r="C59" s="238">
        <v>314.43157406</v>
      </c>
      <c r="D59" s="238">
        <v>310.64432127999999</v>
      </c>
      <c r="E59" s="238">
        <v>353.09685035000001</v>
      </c>
      <c r="F59" s="238">
        <v>351.59398802999999</v>
      </c>
      <c r="G59" s="238">
        <v>356.66105034999998</v>
      </c>
      <c r="H59" s="238">
        <v>390.56535657000001</v>
      </c>
      <c r="I59" s="238">
        <v>390.88783848000003</v>
      </c>
      <c r="J59" s="238">
        <v>377.87142815999999</v>
      </c>
      <c r="K59" s="238">
        <v>355.75970187000001</v>
      </c>
      <c r="L59" s="238">
        <v>357.64645196999999</v>
      </c>
      <c r="M59" s="238">
        <v>353.52267737</v>
      </c>
      <c r="N59" s="238">
        <v>359.64361535</v>
      </c>
      <c r="O59" s="238">
        <v>328.41003358</v>
      </c>
      <c r="P59" s="238">
        <v>327.75028386000002</v>
      </c>
      <c r="Q59" s="238">
        <v>373.13458684</v>
      </c>
      <c r="R59" s="238">
        <v>374.78471457000001</v>
      </c>
      <c r="S59" s="238">
        <v>380.31010386999998</v>
      </c>
      <c r="T59" s="238">
        <v>415.18907799999999</v>
      </c>
      <c r="U59" s="238">
        <v>416.62993968000001</v>
      </c>
      <c r="V59" s="238">
        <v>407.48685110000002</v>
      </c>
      <c r="W59" s="238">
        <v>367.4588521</v>
      </c>
      <c r="X59" s="238">
        <v>382.00988396999998</v>
      </c>
      <c r="Y59" s="238">
        <v>381.93076237000002</v>
      </c>
      <c r="Z59" s="238">
        <v>381.08100000000002</v>
      </c>
      <c r="AA59" s="238">
        <v>347.76202905999997</v>
      </c>
      <c r="AB59" s="238">
        <v>355.43747946000002</v>
      </c>
      <c r="AC59" s="238">
        <v>398.75601957999999</v>
      </c>
      <c r="AD59" s="238">
        <v>395.06800533000001</v>
      </c>
      <c r="AE59" s="238">
        <v>406.66937603000002</v>
      </c>
      <c r="AF59" s="238">
        <v>439.7450432</v>
      </c>
      <c r="AG59" s="238">
        <v>438.38909183999999</v>
      </c>
      <c r="AH59" s="238">
        <v>425.72941845000003</v>
      </c>
      <c r="AI59" s="238">
        <v>388.2077061</v>
      </c>
      <c r="AJ59" s="238">
        <v>401.11245100000002</v>
      </c>
      <c r="AK59" s="238">
        <v>389.57873262999999</v>
      </c>
      <c r="AL59" s="238">
        <v>391.86633029000001</v>
      </c>
      <c r="AM59" s="238">
        <v>362.39607932000001</v>
      </c>
      <c r="AN59" s="238">
        <v>361.71902963999997</v>
      </c>
      <c r="AO59" s="238">
        <v>413.84952364999998</v>
      </c>
      <c r="AP59" s="238">
        <v>409.53216657000002</v>
      </c>
      <c r="AQ59" s="238">
        <v>420.71072667999999</v>
      </c>
      <c r="AR59" s="238">
        <v>447.41991732999998</v>
      </c>
      <c r="AS59" s="238">
        <v>447.86679796999999</v>
      </c>
      <c r="AT59" s="238">
        <v>435.81634589999999</v>
      </c>
      <c r="AU59" s="238">
        <v>396.95625257</v>
      </c>
      <c r="AV59" s="238">
        <v>408.13371042</v>
      </c>
      <c r="AW59" s="238">
        <v>398.32528987000001</v>
      </c>
      <c r="AX59" s="238">
        <v>410.07996455</v>
      </c>
      <c r="AY59" s="238">
        <v>371.45506687</v>
      </c>
      <c r="AZ59" s="238">
        <v>335.32940260999999</v>
      </c>
      <c r="BA59" s="238">
        <v>255.58854231999999</v>
      </c>
      <c r="BB59" s="238">
        <v>121.93653252</v>
      </c>
      <c r="BC59" s="238">
        <v>147.78397745000001</v>
      </c>
      <c r="BD59" s="238">
        <v>198.2636</v>
      </c>
      <c r="BE59" s="238">
        <v>259.03919999999999</v>
      </c>
      <c r="BF59" s="238">
        <v>299.01400000000001</v>
      </c>
      <c r="BG59" s="329">
        <v>308.97840000000002</v>
      </c>
      <c r="BH59" s="329">
        <v>331.52449999999999</v>
      </c>
      <c r="BI59" s="329">
        <v>323.32639999999998</v>
      </c>
      <c r="BJ59" s="329">
        <v>346.79450000000003</v>
      </c>
      <c r="BK59" s="329">
        <v>314.83300000000003</v>
      </c>
      <c r="BL59" s="329">
        <v>287.5804</v>
      </c>
      <c r="BM59" s="329">
        <v>320.91210000000001</v>
      </c>
      <c r="BN59" s="329">
        <v>302.76799999999997</v>
      </c>
      <c r="BO59" s="329">
        <v>333.96890000000002</v>
      </c>
      <c r="BP59" s="329">
        <v>368.51729999999998</v>
      </c>
      <c r="BQ59" s="329">
        <v>396.06490000000002</v>
      </c>
      <c r="BR59" s="329">
        <v>384.45510000000002</v>
      </c>
      <c r="BS59" s="329">
        <v>382.5342</v>
      </c>
      <c r="BT59" s="329">
        <v>392.96159999999998</v>
      </c>
      <c r="BU59" s="329">
        <v>368.69099999999997</v>
      </c>
      <c r="BV59" s="329">
        <v>399.13159999999999</v>
      </c>
    </row>
    <row r="60" spans="1:74" ht="11.1" customHeight="1" x14ac:dyDescent="0.2">
      <c r="A60" s="134"/>
      <c r="B60" s="139" t="s">
        <v>602</v>
      </c>
      <c r="C60" s="218"/>
      <c r="D60" s="218"/>
      <c r="E60" s="218"/>
      <c r="F60" s="218"/>
      <c r="G60" s="218"/>
      <c r="H60" s="218"/>
      <c r="I60" s="218"/>
      <c r="J60" s="218"/>
      <c r="K60" s="218"/>
      <c r="L60" s="218"/>
      <c r="M60" s="218"/>
      <c r="N60" s="218"/>
      <c r="O60" s="218"/>
      <c r="P60" s="218"/>
      <c r="Q60" s="218"/>
      <c r="R60" s="218"/>
      <c r="S60" s="218"/>
      <c r="T60" s="218"/>
      <c r="U60" s="218"/>
      <c r="V60" s="218"/>
      <c r="W60" s="218"/>
      <c r="X60" s="218"/>
      <c r="Y60" s="218"/>
      <c r="Z60" s="218"/>
      <c r="AA60" s="218"/>
      <c r="AB60" s="218"/>
      <c r="AC60" s="218"/>
      <c r="AD60" s="218"/>
      <c r="AE60" s="218"/>
      <c r="AF60" s="218"/>
      <c r="AG60" s="218"/>
      <c r="AH60" s="218"/>
      <c r="AI60" s="218"/>
      <c r="AJ60" s="218"/>
      <c r="AK60" s="218"/>
      <c r="AL60" s="218"/>
      <c r="AM60" s="218"/>
      <c r="AN60" s="218"/>
      <c r="AO60" s="218"/>
      <c r="AP60" s="218"/>
      <c r="AQ60" s="218"/>
      <c r="AR60" s="218"/>
      <c r="AS60" s="218"/>
      <c r="AT60" s="218"/>
      <c r="AU60" s="218"/>
      <c r="AV60" s="218"/>
      <c r="AW60" s="218"/>
      <c r="AX60" s="218"/>
      <c r="AY60" s="218"/>
      <c r="AZ60" s="218"/>
      <c r="BA60" s="218"/>
      <c r="BB60" s="218"/>
      <c r="BC60" s="218"/>
      <c r="BD60" s="218"/>
      <c r="BE60" s="218"/>
      <c r="BF60" s="218"/>
      <c r="BG60" s="328"/>
      <c r="BH60" s="328"/>
      <c r="BI60" s="328"/>
      <c r="BJ60" s="328"/>
      <c r="BK60" s="328"/>
      <c r="BL60" s="328"/>
      <c r="BM60" s="328"/>
      <c r="BN60" s="328"/>
      <c r="BO60" s="328"/>
      <c r="BP60" s="328"/>
      <c r="BQ60" s="328"/>
      <c r="BR60" s="328"/>
      <c r="BS60" s="328"/>
      <c r="BT60" s="328"/>
      <c r="BU60" s="328"/>
      <c r="BV60" s="328"/>
    </row>
    <row r="61" spans="1:74" ht="11.1" customHeight="1" x14ac:dyDescent="0.2">
      <c r="A61" s="140" t="s">
        <v>603</v>
      </c>
      <c r="B61" s="208" t="s">
        <v>475</v>
      </c>
      <c r="C61" s="256">
        <v>278.334</v>
      </c>
      <c r="D61" s="256">
        <v>283.52</v>
      </c>
      <c r="E61" s="256">
        <v>283.584</v>
      </c>
      <c r="F61" s="256">
        <v>295.90899999999999</v>
      </c>
      <c r="G61" s="256">
        <v>309.54000000000002</v>
      </c>
      <c r="H61" s="256">
        <v>309.67899999999997</v>
      </c>
      <c r="I61" s="256">
        <v>283.50099999999998</v>
      </c>
      <c r="J61" s="256">
        <v>268.04000000000002</v>
      </c>
      <c r="K61" s="256">
        <v>267.45699999999999</v>
      </c>
      <c r="L61" s="256">
        <v>270.92200000000003</v>
      </c>
      <c r="M61" s="256">
        <v>274.76100000000002</v>
      </c>
      <c r="N61" s="256">
        <v>265.43599999999998</v>
      </c>
      <c r="O61" s="256">
        <v>269.24099999999999</v>
      </c>
      <c r="P61" s="256">
        <v>280.517</v>
      </c>
      <c r="Q61" s="256">
        <v>283.58300000000003</v>
      </c>
      <c r="R61" s="256">
        <v>294.03399999999999</v>
      </c>
      <c r="S61" s="256">
        <v>300.60899999999998</v>
      </c>
      <c r="T61" s="256">
        <v>296.38400000000001</v>
      </c>
      <c r="U61" s="256">
        <v>276.30799999999999</v>
      </c>
      <c r="V61" s="256">
        <v>259.35899999999998</v>
      </c>
      <c r="W61" s="256">
        <v>259.14299999999997</v>
      </c>
      <c r="X61" s="256">
        <v>267.29700000000003</v>
      </c>
      <c r="Y61" s="256">
        <v>267.97000000000003</v>
      </c>
      <c r="Z61" s="256">
        <v>254.947</v>
      </c>
      <c r="AA61" s="256">
        <v>255.49600000000001</v>
      </c>
      <c r="AB61" s="256">
        <v>265.27199999999999</v>
      </c>
      <c r="AC61" s="256">
        <v>267.48200000000003</v>
      </c>
      <c r="AD61" s="256">
        <v>273.81700000000001</v>
      </c>
      <c r="AE61" s="256">
        <v>280.80399999999997</v>
      </c>
      <c r="AF61" s="256">
        <v>278.93700000000001</v>
      </c>
      <c r="AG61" s="256">
        <v>264.99400000000003</v>
      </c>
      <c r="AH61" s="256">
        <v>255.87700000000001</v>
      </c>
      <c r="AI61" s="256">
        <v>258.19600000000003</v>
      </c>
      <c r="AJ61" s="256">
        <v>265.93</v>
      </c>
      <c r="AK61" s="256">
        <v>263.80900000000003</v>
      </c>
      <c r="AL61" s="256">
        <v>248.29</v>
      </c>
      <c r="AM61" s="256">
        <v>248.43299999999999</v>
      </c>
      <c r="AN61" s="256">
        <v>259.04899999999998</v>
      </c>
      <c r="AO61" s="256">
        <v>259.69799999999998</v>
      </c>
      <c r="AP61" s="256">
        <v>268.767</v>
      </c>
      <c r="AQ61" s="256">
        <v>283.27499999999998</v>
      </c>
      <c r="AR61" s="256">
        <v>283.00099999999998</v>
      </c>
      <c r="AS61" s="256">
        <v>268.31400000000002</v>
      </c>
      <c r="AT61" s="256">
        <v>259.84899999999999</v>
      </c>
      <c r="AU61" s="256">
        <v>263.149</v>
      </c>
      <c r="AV61" s="256">
        <v>269.87099999999998</v>
      </c>
      <c r="AW61" s="256">
        <v>268.99400000000003</v>
      </c>
      <c r="AX61" s="256">
        <v>252.411</v>
      </c>
      <c r="AY61" s="256">
        <v>255.2</v>
      </c>
      <c r="AZ61" s="256">
        <v>265.142</v>
      </c>
      <c r="BA61" s="256">
        <v>232.113</v>
      </c>
      <c r="BB61" s="256">
        <v>203.34200000000001</v>
      </c>
      <c r="BC61" s="256">
        <v>201.649</v>
      </c>
      <c r="BD61" s="256">
        <v>206.066</v>
      </c>
      <c r="BE61" s="256">
        <v>185.68629999999999</v>
      </c>
      <c r="BF61" s="256">
        <v>169.5547</v>
      </c>
      <c r="BG61" s="342">
        <v>165.59630000000001</v>
      </c>
      <c r="BH61" s="342">
        <v>164.9324</v>
      </c>
      <c r="BI61" s="342">
        <v>161.54239999999999</v>
      </c>
      <c r="BJ61" s="342">
        <v>150.82159999999999</v>
      </c>
      <c r="BK61" s="342">
        <v>152.8673</v>
      </c>
      <c r="BL61" s="342">
        <v>154.84440000000001</v>
      </c>
      <c r="BM61" s="342">
        <v>155.10980000000001</v>
      </c>
      <c r="BN61" s="342">
        <v>158.4358</v>
      </c>
      <c r="BO61" s="342">
        <v>163.5506</v>
      </c>
      <c r="BP61" s="342">
        <v>163.61609999999999</v>
      </c>
      <c r="BQ61" s="342">
        <v>155.16</v>
      </c>
      <c r="BR61" s="342">
        <v>148.5437</v>
      </c>
      <c r="BS61" s="342">
        <v>151.7911</v>
      </c>
      <c r="BT61" s="342">
        <v>157.59110000000001</v>
      </c>
      <c r="BU61" s="342">
        <v>159.60599999999999</v>
      </c>
      <c r="BV61" s="342">
        <v>153.19669999999999</v>
      </c>
    </row>
    <row r="62" spans="1:74" ht="11.1" customHeight="1" x14ac:dyDescent="0.2">
      <c r="A62" s="134"/>
      <c r="B62" s="139" t="s">
        <v>604</v>
      </c>
      <c r="C62" s="219"/>
      <c r="D62" s="219"/>
      <c r="E62" s="219"/>
      <c r="F62" s="219"/>
      <c r="G62" s="219"/>
      <c r="H62" s="219"/>
      <c r="I62" s="219"/>
      <c r="J62" s="219"/>
      <c r="K62" s="219"/>
      <c r="L62" s="219"/>
      <c r="M62" s="219"/>
      <c r="N62" s="219"/>
      <c r="O62" s="219"/>
      <c r="P62" s="219"/>
      <c r="Q62" s="219"/>
      <c r="R62" s="219"/>
      <c r="S62" s="219"/>
      <c r="T62" s="219"/>
      <c r="U62" s="219"/>
      <c r="V62" s="219"/>
      <c r="W62" s="219"/>
      <c r="X62" s="219"/>
      <c r="Y62" s="219"/>
      <c r="Z62" s="219"/>
      <c r="AA62" s="219"/>
      <c r="AB62" s="219"/>
      <c r="AC62" s="219"/>
      <c r="AD62" s="219"/>
      <c r="AE62" s="219"/>
      <c r="AF62" s="219"/>
      <c r="AG62" s="219"/>
      <c r="AH62" s="219"/>
      <c r="AI62" s="219"/>
      <c r="AJ62" s="219"/>
      <c r="AK62" s="219"/>
      <c r="AL62" s="219"/>
      <c r="AM62" s="219"/>
      <c r="AN62" s="219"/>
      <c r="AO62" s="219"/>
      <c r="AP62" s="219"/>
      <c r="AQ62" s="219"/>
      <c r="AR62" s="219"/>
      <c r="AS62" s="219"/>
      <c r="AT62" s="219"/>
      <c r="AU62" s="219"/>
      <c r="AV62" s="219"/>
      <c r="AW62" s="219"/>
      <c r="AX62" s="219"/>
      <c r="AY62" s="219"/>
      <c r="AZ62" s="219"/>
      <c r="BA62" s="219"/>
      <c r="BB62" s="219"/>
      <c r="BC62" s="219"/>
      <c r="BD62" s="219"/>
      <c r="BE62" s="219"/>
      <c r="BF62" s="219"/>
      <c r="BG62" s="330"/>
      <c r="BH62" s="330"/>
      <c r="BI62" s="330"/>
      <c r="BJ62" s="330"/>
      <c r="BK62" s="330"/>
      <c r="BL62" s="330"/>
      <c r="BM62" s="330"/>
      <c r="BN62" s="330"/>
      <c r="BO62" s="330"/>
      <c r="BP62" s="330"/>
      <c r="BQ62" s="330"/>
      <c r="BR62" s="330"/>
      <c r="BS62" s="330"/>
      <c r="BT62" s="330"/>
      <c r="BU62" s="330"/>
      <c r="BV62" s="330"/>
    </row>
    <row r="63" spans="1:74" ht="11.1" customHeight="1" x14ac:dyDescent="0.2">
      <c r="A63" s="474" t="s">
        <v>605</v>
      </c>
      <c r="B63" s="475" t="s">
        <v>476</v>
      </c>
      <c r="C63" s="269">
        <v>0.23306912442</v>
      </c>
      <c r="D63" s="269">
        <v>0.2419408867</v>
      </c>
      <c r="E63" s="269">
        <v>0.23995391704999999</v>
      </c>
      <c r="F63" s="269">
        <v>0.24051428571</v>
      </c>
      <c r="G63" s="269">
        <v>0.25033179723999999</v>
      </c>
      <c r="H63" s="269">
        <v>0.25108095238</v>
      </c>
      <c r="I63" s="269">
        <v>0.24453917050999999</v>
      </c>
      <c r="J63" s="269">
        <v>0.23815668203000001</v>
      </c>
      <c r="K63" s="269">
        <v>0.23178571429</v>
      </c>
      <c r="L63" s="269">
        <v>0.22693087558</v>
      </c>
      <c r="M63" s="269">
        <v>0.22875238095</v>
      </c>
      <c r="N63" s="269">
        <v>0.23537788018</v>
      </c>
      <c r="O63" s="269">
        <v>0.24443317972</v>
      </c>
      <c r="P63" s="269">
        <v>0.25045918366999997</v>
      </c>
      <c r="Q63" s="269">
        <v>0.249</v>
      </c>
      <c r="R63" s="269">
        <v>0.2465952381</v>
      </c>
      <c r="S63" s="269">
        <v>0.24871889401</v>
      </c>
      <c r="T63" s="269">
        <v>0.24690952381</v>
      </c>
      <c r="U63" s="269">
        <v>0.25118433179999999</v>
      </c>
      <c r="V63" s="269">
        <v>0.2512718894</v>
      </c>
      <c r="W63" s="269">
        <v>0.24677142857000001</v>
      </c>
      <c r="X63" s="269">
        <v>0.24806451613</v>
      </c>
      <c r="Y63" s="269">
        <v>0.24651904761999999</v>
      </c>
      <c r="Z63" s="269">
        <v>0.24038709677</v>
      </c>
      <c r="AA63" s="269">
        <v>0.24292626728</v>
      </c>
      <c r="AB63" s="269">
        <v>0.25241836735000001</v>
      </c>
      <c r="AC63" s="269">
        <v>0.25819354839000003</v>
      </c>
      <c r="AD63" s="269">
        <v>0.25464285714000001</v>
      </c>
      <c r="AE63" s="269">
        <v>0.25275115206999998</v>
      </c>
      <c r="AF63" s="269">
        <v>0.25158095238</v>
      </c>
      <c r="AG63" s="269">
        <v>0.25836866358999999</v>
      </c>
      <c r="AH63" s="269">
        <v>0.26530414746999997</v>
      </c>
      <c r="AI63" s="269">
        <v>0.26638571429000002</v>
      </c>
      <c r="AJ63" s="269">
        <v>0.26890322580999998</v>
      </c>
      <c r="AK63" s="269">
        <v>0.27294285713999999</v>
      </c>
      <c r="AL63" s="269">
        <v>0.26907373272000001</v>
      </c>
      <c r="AM63" s="269">
        <v>0.27165898618000001</v>
      </c>
      <c r="AN63" s="269">
        <v>0.27174999999999999</v>
      </c>
      <c r="AO63" s="269">
        <v>0.27561290322999998</v>
      </c>
      <c r="AP63" s="269">
        <v>0.27287619048</v>
      </c>
      <c r="AQ63" s="269">
        <v>0.27204147465</v>
      </c>
      <c r="AR63" s="269">
        <v>0.26721658986000002</v>
      </c>
      <c r="AS63" s="269">
        <v>0.26660952381000003</v>
      </c>
      <c r="AT63" s="269">
        <v>0.26590322580999998</v>
      </c>
      <c r="AU63" s="269">
        <v>0.25984761904999998</v>
      </c>
      <c r="AV63" s="269">
        <v>0.26339170506999998</v>
      </c>
      <c r="AW63" s="269">
        <v>0.26578095237999999</v>
      </c>
      <c r="AX63" s="269">
        <v>0.26488479262999998</v>
      </c>
      <c r="AY63" s="269">
        <v>0.27403686636000002</v>
      </c>
      <c r="AZ63" s="269">
        <v>0.27253201970000002</v>
      </c>
      <c r="BA63" s="269">
        <v>0.25678801842999999</v>
      </c>
      <c r="BB63" s="269">
        <v>0.18255714285999999</v>
      </c>
      <c r="BC63" s="269">
        <v>0.16480184332</v>
      </c>
      <c r="BD63" s="269">
        <v>0.17472380952</v>
      </c>
      <c r="BE63" s="269">
        <v>0.18638248848</v>
      </c>
      <c r="BF63" s="269">
        <v>0.19709359605999999</v>
      </c>
      <c r="BG63" s="361">
        <v>0.2017861</v>
      </c>
      <c r="BH63" s="361">
        <v>0.20621030000000001</v>
      </c>
      <c r="BI63" s="361">
        <v>0.21082680000000001</v>
      </c>
      <c r="BJ63" s="361">
        <v>0.2257025</v>
      </c>
      <c r="BK63" s="361">
        <v>0.25486490000000001</v>
      </c>
      <c r="BL63" s="361">
        <v>0.25981189999999998</v>
      </c>
      <c r="BM63" s="361">
        <v>0.25495590000000001</v>
      </c>
      <c r="BN63" s="361">
        <v>0.234571</v>
      </c>
      <c r="BO63" s="361">
        <v>0.2268164</v>
      </c>
      <c r="BP63" s="361">
        <v>0.22297600000000001</v>
      </c>
      <c r="BQ63" s="361">
        <v>0.22364629999999999</v>
      </c>
      <c r="BR63" s="361">
        <v>0.2335826</v>
      </c>
      <c r="BS63" s="361">
        <v>0.24466599999999999</v>
      </c>
      <c r="BT63" s="361">
        <v>0.2578781</v>
      </c>
      <c r="BU63" s="361">
        <v>0.27366970000000002</v>
      </c>
      <c r="BV63" s="361">
        <v>0.29228730000000003</v>
      </c>
    </row>
    <row r="64" spans="1:74" ht="11.1" customHeight="1" x14ac:dyDescent="0.2">
      <c r="A64" s="474"/>
      <c r="B64" s="475"/>
      <c r="C64" s="269"/>
      <c r="D64" s="269"/>
      <c r="E64" s="269"/>
      <c r="F64" s="269"/>
      <c r="G64" s="269"/>
      <c r="H64" s="269"/>
      <c r="I64" s="269"/>
      <c r="J64" s="269"/>
      <c r="K64" s="269"/>
      <c r="L64" s="269"/>
      <c r="M64" s="269"/>
      <c r="N64" s="269"/>
      <c r="O64" s="269"/>
      <c r="P64" s="269"/>
      <c r="Q64" s="269"/>
      <c r="R64" s="269"/>
      <c r="S64" s="269"/>
      <c r="T64" s="269"/>
      <c r="U64" s="269"/>
      <c r="V64" s="269"/>
      <c r="W64" s="269"/>
      <c r="X64" s="269"/>
      <c r="Y64" s="269"/>
      <c r="Z64" s="269"/>
      <c r="AA64" s="269"/>
      <c r="AB64" s="269"/>
      <c r="AC64" s="269"/>
      <c r="AD64" s="269"/>
      <c r="AE64" s="269"/>
      <c r="AF64" s="269"/>
      <c r="AG64" s="269"/>
      <c r="AH64" s="269"/>
      <c r="AI64" s="269"/>
      <c r="AJ64" s="269"/>
      <c r="AK64" s="269"/>
      <c r="AL64" s="269"/>
      <c r="AM64" s="269"/>
      <c r="AN64" s="269"/>
      <c r="AO64" s="269"/>
      <c r="AP64" s="269"/>
      <c r="AQ64" s="269"/>
      <c r="AR64" s="269"/>
      <c r="AS64" s="269"/>
      <c r="AT64" s="269"/>
      <c r="AU64" s="269"/>
      <c r="AV64" s="269"/>
      <c r="AW64" s="269"/>
      <c r="AX64" s="269"/>
      <c r="AY64" s="269"/>
      <c r="AZ64" s="269"/>
      <c r="BA64" s="269"/>
      <c r="BB64" s="269"/>
      <c r="BC64" s="269"/>
      <c r="BD64" s="269"/>
      <c r="BE64" s="269"/>
      <c r="BF64" s="269"/>
      <c r="BG64" s="361"/>
      <c r="BH64" s="361"/>
      <c r="BI64" s="361"/>
      <c r="BJ64" s="361"/>
      <c r="BK64" s="361"/>
      <c r="BL64" s="361"/>
      <c r="BM64" s="361"/>
      <c r="BN64" s="361"/>
      <c r="BO64" s="361"/>
      <c r="BP64" s="361"/>
      <c r="BQ64" s="361"/>
      <c r="BR64" s="361"/>
      <c r="BS64" s="361"/>
      <c r="BT64" s="361"/>
      <c r="BU64" s="361"/>
      <c r="BV64" s="361"/>
    </row>
    <row r="65" spans="1:74" ht="11.1" customHeight="1" x14ac:dyDescent="0.2">
      <c r="A65" s="474"/>
      <c r="B65" s="136" t="s">
        <v>1150</v>
      </c>
      <c r="C65" s="269"/>
      <c r="D65" s="269"/>
      <c r="E65" s="269"/>
      <c r="F65" s="269"/>
      <c r="G65" s="269"/>
      <c r="H65" s="269"/>
      <c r="I65" s="269"/>
      <c r="J65" s="269"/>
      <c r="K65" s="269"/>
      <c r="L65" s="269"/>
      <c r="M65" s="269"/>
      <c r="N65" s="269"/>
      <c r="O65" s="269"/>
      <c r="P65" s="269"/>
      <c r="Q65" s="269"/>
      <c r="R65" s="269"/>
      <c r="S65" s="269"/>
      <c r="T65" s="269"/>
      <c r="U65" s="269"/>
      <c r="V65" s="269"/>
      <c r="W65" s="269"/>
      <c r="X65" s="269"/>
      <c r="Y65" s="269"/>
      <c r="Z65" s="269"/>
      <c r="AA65" s="269"/>
      <c r="AB65" s="269"/>
      <c r="AC65" s="269"/>
      <c r="AD65" s="269"/>
      <c r="AE65" s="269"/>
      <c r="AF65" s="269"/>
      <c r="AG65" s="269"/>
      <c r="AH65" s="269"/>
      <c r="AI65" s="269"/>
      <c r="AJ65" s="269"/>
      <c r="AK65" s="269"/>
      <c r="AL65" s="269"/>
      <c r="AM65" s="269"/>
      <c r="AN65" s="269"/>
      <c r="AO65" s="269"/>
      <c r="AP65" s="269"/>
      <c r="AQ65" s="269"/>
      <c r="AR65" s="269"/>
      <c r="AS65" s="269"/>
      <c r="AT65" s="269"/>
      <c r="AU65" s="269"/>
      <c r="AV65" s="269"/>
      <c r="AW65" s="269"/>
      <c r="AX65" s="269"/>
      <c r="AY65" s="269"/>
      <c r="AZ65" s="269"/>
      <c r="BA65" s="269"/>
      <c r="BB65" s="269"/>
      <c r="BC65" s="269"/>
      <c r="BD65" s="269"/>
      <c r="BE65" s="269"/>
      <c r="BF65" s="269"/>
      <c r="BG65" s="361"/>
      <c r="BH65" s="361"/>
      <c r="BI65" s="361"/>
      <c r="BJ65" s="361"/>
      <c r="BK65" s="361"/>
      <c r="BL65" s="361"/>
      <c r="BM65" s="361"/>
      <c r="BN65" s="361"/>
      <c r="BO65" s="361"/>
      <c r="BP65" s="361"/>
      <c r="BQ65" s="361"/>
      <c r="BR65" s="361"/>
      <c r="BS65" s="361"/>
      <c r="BT65" s="361"/>
      <c r="BU65" s="361"/>
      <c r="BV65" s="361"/>
    </row>
    <row r="66" spans="1:74" ht="11.1" customHeight="1" x14ac:dyDescent="0.2">
      <c r="A66" s="140" t="s">
        <v>788</v>
      </c>
      <c r="B66" s="208" t="s">
        <v>621</v>
      </c>
      <c r="C66" s="256">
        <v>189.9731865</v>
      </c>
      <c r="D66" s="256">
        <v>185.64489130000001</v>
      </c>
      <c r="E66" s="256">
        <v>197.6194448</v>
      </c>
      <c r="F66" s="256">
        <v>187.68386580000001</v>
      </c>
      <c r="G66" s="256">
        <v>190.6450724</v>
      </c>
      <c r="H66" s="256">
        <v>189.95384010000001</v>
      </c>
      <c r="I66" s="256">
        <v>194.1105216</v>
      </c>
      <c r="J66" s="256">
        <v>201.3236033</v>
      </c>
      <c r="K66" s="256">
        <v>188.27584780000001</v>
      </c>
      <c r="L66" s="256">
        <v>194.3309261</v>
      </c>
      <c r="M66" s="256">
        <v>190.50393209999999</v>
      </c>
      <c r="N66" s="256">
        <v>200.5085201</v>
      </c>
      <c r="O66" s="256">
        <v>193.21266349999999</v>
      </c>
      <c r="P66" s="256">
        <v>172.1283449</v>
      </c>
      <c r="Q66" s="256">
        <v>199.24425220000001</v>
      </c>
      <c r="R66" s="256">
        <v>187.99765439999999</v>
      </c>
      <c r="S66" s="256">
        <v>199.0822417</v>
      </c>
      <c r="T66" s="256">
        <v>195.3906245</v>
      </c>
      <c r="U66" s="256">
        <v>197.87778420000001</v>
      </c>
      <c r="V66" s="256">
        <v>200.8608577</v>
      </c>
      <c r="W66" s="256">
        <v>189.18117219999999</v>
      </c>
      <c r="X66" s="256">
        <v>196.719247</v>
      </c>
      <c r="Y66" s="256">
        <v>195.0986699</v>
      </c>
      <c r="Z66" s="256">
        <v>201.7281121</v>
      </c>
      <c r="AA66" s="256">
        <v>203.3289442</v>
      </c>
      <c r="AB66" s="256">
        <v>175.16315539999999</v>
      </c>
      <c r="AC66" s="256">
        <v>204.67370750000001</v>
      </c>
      <c r="AD66" s="256">
        <v>192.538321</v>
      </c>
      <c r="AE66" s="256">
        <v>199.93798380000001</v>
      </c>
      <c r="AF66" s="256">
        <v>197.82929150000001</v>
      </c>
      <c r="AG66" s="256">
        <v>201.16632970000001</v>
      </c>
      <c r="AH66" s="256">
        <v>208.64835429999999</v>
      </c>
      <c r="AI66" s="256">
        <v>190.09690130000001</v>
      </c>
      <c r="AJ66" s="256">
        <v>204.3733168</v>
      </c>
      <c r="AK66" s="256">
        <v>197.08170229999999</v>
      </c>
      <c r="AL66" s="256">
        <v>199.03114049999999</v>
      </c>
      <c r="AM66" s="256">
        <v>199.84469480000001</v>
      </c>
      <c r="AN66" s="256">
        <v>176.07414180000001</v>
      </c>
      <c r="AO66" s="256">
        <v>198.7586771</v>
      </c>
      <c r="AP66" s="256">
        <v>190.31618710000001</v>
      </c>
      <c r="AQ66" s="256">
        <v>199.41987140000001</v>
      </c>
      <c r="AR66" s="256">
        <v>196.79472100000001</v>
      </c>
      <c r="AS66" s="256">
        <v>201.42243450000001</v>
      </c>
      <c r="AT66" s="256">
        <v>206.8115798</v>
      </c>
      <c r="AU66" s="256">
        <v>188.8523098</v>
      </c>
      <c r="AV66" s="256">
        <v>202.31144810000001</v>
      </c>
      <c r="AW66" s="256">
        <v>195.57438859999999</v>
      </c>
      <c r="AX66" s="256">
        <v>198.06923230000001</v>
      </c>
      <c r="AY66" s="256">
        <v>193.4461508</v>
      </c>
      <c r="AZ66" s="256">
        <v>182.05167539999999</v>
      </c>
      <c r="BA66" s="256">
        <v>176.1779219</v>
      </c>
      <c r="BB66" s="256">
        <v>132.99987160000001</v>
      </c>
      <c r="BC66" s="256">
        <v>150.44245849999999</v>
      </c>
      <c r="BD66" s="256">
        <v>158.53039999999999</v>
      </c>
      <c r="BE66" s="256">
        <v>174.44560000000001</v>
      </c>
      <c r="BF66" s="256">
        <v>177.56800000000001</v>
      </c>
      <c r="BG66" s="342">
        <v>176.40950000000001</v>
      </c>
      <c r="BH66" s="342">
        <v>187.9359</v>
      </c>
      <c r="BI66" s="342">
        <v>181.5051</v>
      </c>
      <c r="BJ66" s="342">
        <v>188.38839999999999</v>
      </c>
      <c r="BK66" s="342">
        <v>185.19759999999999</v>
      </c>
      <c r="BL66" s="342">
        <v>170.46250000000001</v>
      </c>
      <c r="BM66" s="342">
        <v>190.76820000000001</v>
      </c>
      <c r="BN66" s="342">
        <v>180.94059999999999</v>
      </c>
      <c r="BO66" s="342">
        <v>190.06659999999999</v>
      </c>
      <c r="BP66" s="342">
        <v>186.36199999999999</v>
      </c>
      <c r="BQ66" s="342">
        <v>193.3494</v>
      </c>
      <c r="BR66" s="342">
        <v>198.0386</v>
      </c>
      <c r="BS66" s="342">
        <v>186.2645</v>
      </c>
      <c r="BT66" s="342">
        <v>196.70869999999999</v>
      </c>
      <c r="BU66" s="342">
        <v>192.51730000000001</v>
      </c>
      <c r="BV66" s="342">
        <v>192.73150000000001</v>
      </c>
    </row>
    <row r="67" spans="1:74" ht="11.1" customHeight="1" x14ac:dyDescent="0.2">
      <c r="A67" s="140" t="s">
        <v>789</v>
      </c>
      <c r="B67" s="208" t="s">
        <v>622</v>
      </c>
      <c r="C67" s="256">
        <v>168.7148449</v>
      </c>
      <c r="D67" s="256">
        <v>144.6272013</v>
      </c>
      <c r="E67" s="256">
        <v>128.29112259999999</v>
      </c>
      <c r="F67" s="256">
        <v>113.3656302</v>
      </c>
      <c r="G67" s="256">
        <v>106.85008879999999</v>
      </c>
      <c r="H67" s="256">
        <v>108.7903522</v>
      </c>
      <c r="I67" s="256">
        <v>118.9458194</v>
      </c>
      <c r="J67" s="256">
        <v>120.12456659999999</v>
      </c>
      <c r="K67" s="256">
        <v>105.8631129</v>
      </c>
      <c r="L67" s="256">
        <v>104.6168021</v>
      </c>
      <c r="M67" s="256">
        <v>117.49269990000001</v>
      </c>
      <c r="N67" s="256">
        <v>156.29909180000001</v>
      </c>
      <c r="O67" s="256">
        <v>158.7201043</v>
      </c>
      <c r="P67" s="256">
        <v>127.3392956</v>
      </c>
      <c r="Q67" s="256">
        <v>137.28565610000001</v>
      </c>
      <c r="R67" s="256">
        <v>104.8785098</v>
      </c>
      <c r="S67" s="256">
        <v>102.6422405</v>
      </c>
      <c r="T67" s="256">
        <v>103.6561998</v>
      </c>
      <c r="U67" s="256">
        <v>116.3382752</v>
      </c>
      <c r="V67" s="256">
        <v>113.69350660000001</v>
      </c>
      <c r="W67" s="256">
        <v>104.1828751</v>
      </c>
      <c r="X67" s="256">
        <v>110.23332430000001</v>
      </c>
      <c r="Y67" s="256">
        <v>128.11588900000001</v>
      </c>
      <c r="Z67" s="256">
        <v>167.9562493</v>
      </c>
      <c r="AA67" s="256">
        <v>181.82891900000001</v>
      </c>
      <c r="AB67" s="256">
        <v>147.36959479999999</v>
      </c>
      <c r="AC67" s="256">
        <v>152.0219524</v>
      </c>
      <c r="AD67" s="256">
        <v>127.5418911</v>
      </c>
      <c r="AE67" s="256">
        <v>111.279371</v>
      </c>
      <c r="AF67" s="256">
        <v>111.7389447</v>
      </c>
      <c r="AG67" s="256">
        <v>127.3835862</v>
      </c>
      <c r="AH67" s="256">
        <v>125.35542100000001</v>
      </c>
      <c r="AI67" s="256">
        <v>116.8055385</v>
      </c>
      <c r="AJ67" s="256">
        <v>123.8036827</v>
      </c>
      <c r="AK67" s="256">
        <v>147.46867219999999</v>
      </c>
      <c r="AL67" s="256">
        <v>162.99545979999999</v>
      </c>
      <c r="AM67" s="256">
        <v>185.54962889999999</v>
      </c>
      <c r="AN67" s="256">
        <v>163.54602550000001</v>
      </c>
      <c r="AO67" s="256">
        <v>158.01065249999999</v>
      </c>
      <c r="AP67" s="256">
        <v>119.7041815</v>
      </c>
      <c r="AQ67" s="256">
        <v>115.3627644</v>
      </c>
      <c r="AR67" s="256">
        <v>114.9791855</v>
      </c>
      <c r="AS67" s="256">
        <v>131.0148265</v>
      </c>
      <c r="AT67" s="256">
        <v>132.60919129999999</v>
      </c>
      <c r="AU67" s="256">
        <v>120.5754637</v>
      </c>
      <c r="AV67" s="256">
        <v>126.64109550000001</v>
      </c>
      <c r="AW67" s="256">
        <v>150.0157629</v>
      </c>
      <c r="AX67" s="256">
        <v>171.1466763</v>
      </c>
      <c r="AY67" s="256">
        <v>179.39410720000001</v>
      </c>
      <c r="AZ67" s="256">
        <v>165.4936218</v>
      </c>
      <c r="BA67" s="256">
        <v>147.5375019</v>
      </c>
      <c r="BB67" s="256">
        <v>122.29661710000001</v>
      </c>
      <c r="BC67" s="256">
        <v>112.6054718</v>
      </c>
      <c r="BD67" s="256">
        <v>115.7817</v>
      </c>
      <c r="BE67" s="256">
        <v>135.65979999999999</v>
      </c>
      <c r="BF67" s="256">
        <v>127.9002</v>
      </c>
      <c r="BG67" s="342">
        <v>117.1815</v>
      </c>
      <c r="BH67" s="342">
        <v>121.0552</v>
      </c>
      <c r="BI67" s="342">
        <v>136.98990000000001</v>
      </c>
      <c r="BJ67" s="342">
        <v>165.77189999999999</v>
      </c>
      <c r="BK67" s="342">
        <v>173.31039999999999</v>
      </c>
      <c r="BL67" s="342">
        <v>146.11349999999999</v>
      </c>
      <c r="BM67" s="342">
        <v>142.9229</v>
      </c>
      <c r="BN67" s="342">
        <v>114.24460000000001</v>
      </c>
      <c r="BO67" s="342">
        <v>106.8109</v>
      </c>
      <c r="BP67" s="342">
        <v>109.9148</v>
      </c>
      <c r="BQ67" s="342">
        <v>124.11799999999999</v>
      </c>
      <c r="BR67" s="342">
        <v>122.97620000000001</v>
      </c>
      <c r="BS67" s="342">
        <v>111.8809</v>
      </c>
      <c r="BT67" s="342">
        <v>119.3472</v>
      </c>
      <c r="BU67" s="342">
        <v>138.96799999999999</v>
      </c>
      <c r="BV67" s="342">
        <v>163.01060000000001</v>
      </c>
    </row>
    <row r="68" spans="1:74" ht="11.1" customHeight="1" x14ac:dyDescent="0.2">
      <c r="A68" s="140" t="s">
        <v>271</v>
      </c>
      <c r="B68" s="208" t="s">
        <v>804</v>
      </c>
      <c r="C68" s="256">
        <v>123.4168605</v>
      </c>
      <c r="D68" s="256">
        <v>102.5686</v>
      </c>
      <c r="E68" s="256">
        <v>83.144702809999998</v>
      </c>
      <c r="F68" s="256">
        <v>80.762802199999996</v>
      </c>
      <c r="G68" s="256">
        <v>91.740999020000004</v>
      </c>
      <c r="H68" s="256">
        <v>125.1766871</v>
      </c>
      <c r="I68" s="256">
        <v>145.1999185</v>
      </c>
      <c r="J68" s="256">
        <v>144.30462420000001</v>
      </c>
      <c r="K68" s="256">
        <v>123.2260301</v>
      </c>
      <c r="L68" s="256">
        <v>109.0478408</v>
      </c>
      <c r="M68" s="256">
        <v>97.100472060000001</v>
      </c>
      <c r="N68" s="256">
        <v>128.52708419999999</v>
      </c>
      <c r="O68" s="256">
        <v>124.54984279999999</v>
      </c>
      <c r="P68" s="256">
        <v>96.401624760000004</v>
      </c>
      <c r="Q68" s="256">
        <v>98.130494990000003</v>
      </c>
      <c r="R68" s="256">
        <v>89.501463799999996</v>
      </c>
      <c r="S68" s="256">
        <v>101.584507</v>
      </c>
      <c r="T68" s="256">
        <v>115.6880803</v>
      </c>
      <c r="U68" s="256">
        <v>136.07440410000001</v>
      </c>
      <c r="V68" s="256">
        <v>128.61761559999999</v>
      </c>
      <c r="W68" s="256">
        <v>108.4325398</v>
      </c>
      <c r="X68" s="256">
        <v>99.852089430000007</v>
      </c>
      <c r="Y68" s="256">
        <v>101.6521597</v>
      </c>
      <c r="Z68" s="256">
        <v>115.5492959</v>
      </c>
      <c r="AA68" s="256">
        <v>126.30736709999999</v>
      </c>
      <c r="AB68" s="256">
        <v>91.715831480000006</v>
      </c>
      <c r="AC68" s="256">
        <v>89.674581340000003</v>
      </c>
      <c r="AD68" s="256">
        <v>82.32810877</v>
      </c>
      <c r="AE68" s="256">
        <v>94.70596132</v>
      </c>
      <c r="AF68" s="256">
        <v>110.28281010000001</v>
      </c>
      <c r="AG68" s="256">
        <v>124.4625551</v>
      </c>
      <c r="AH68" s="256">
        <v>124.3441186</v>
      </c>
      <c r="AI68" s="256">
        <v>106.6356304</v>
      </c>
      <c r="AJ68" s="256">
        <v>96.90461028</v>
      </c>
      <c r="AK68" s="256">
        <v>102.80972439999999</v>
      </c>
      <c r="AL68" s="256">
        <v>110.1207374</v>
      </c>
      <c r="AM68" s="256">
        <v>109.9156431</v>
      </c>
      <c r="AN68" s="256">
        <v>90.207467789999995</v>
      </c>
      <c r="AO68" s="256">
        <v>88.877595229999997</v>
      </c>
      <c r="AP68" s="256">
        <v>68.824104090000006</v>
      </c>
      <c r="AQ68" s="256">
        <v>81.088435700000005</v>
      </c>
      <c r="AR68" s="256">
        <v>88.646824469999999</v>
      </c>
      <c r="AS68" s="256">
        <v>109.5791621</v>
      </c>
      <c r="AT68" s="256">
        <v>103.2824626</v>
      </c>
      <c r="AU68" s="256">
        <v>93.844414790000002</v>
      </c>
      <c r="AV68" s="256">
        <v>76.00675536</v>
      </c>
      <c r="AW68" s="256">
        <v>84.043742760000001</v>
      </c>
      <c r="AX68" s="256">
        <v>81.623563799999999</v>
      </c>
      <c r="AY68" s="256">
        <v>74.628454980000001</v>
      </c>
      <c r="AZ68" s="256">
        <v>66.065472510000006</v>
      </c>
      <c r="BA68" s="256">
        <v>60.378349759999999</v>
      </c>
      <c r="BB68" s="256">
        <v>50.808731399999999</v>
      </c>
      <c r="BC68" s="256">
        <v>56.349065779999997</v>
      </c>
      <c r="BD68" s="256">
        <v>75.204669999999993</v>
      </c>
      <c r="BE68" s="256">
        <v>96.411320000000003</v>
      </c>
      <c r="BF68" s="256">
        <v>98.35951</v>
      </c>
      <c r="BG68" s="342">
        <v>79.564610000000002</v>
      </c>
      <c r="BH68" s="342">
        <v>69.104780000000005</v>
      </c>
      <c r="BI68" s="342">
        <v>70.86739</v>
      </c>
      <c r="BJ68" s="342">
        <v>81.697199999999995</v>
      </c>
      <c r="BK68" s="342">
        <v>95.349299999999999</v>
      </c>
      <c r="BL68" s="342">
        <v>76.036879999999996</v>
      </c>
      <c r="BM68" s="342">
        <v>74.303479999999993</v>
      </c>
      <c r="BN68" s="342">
        <v>66.824029999999993</v>
      </c>
      <c r="BO68" s="342">
        <v>77.295640000000006</v>
      </c>
      <c r="BP68" s="342">
        <v>89.476709999999997</v>
      </c>
      <c r="BQ68" s="342">
        <v>107.42910000000001</v>
      </c>
      <c r="BR68" s="342">
        <v>102.5222</v>
      </c>
      <c r="BS68" s="342">
        <v>81.225819999999999</v>
      </c>
      <c r="BT68" s="342">
        <v>74.431820000000002</v>
      </c>
      <c r="BU68" s="342">
        <v>65.175039999999996</v>
      </c>
      <c r="BV68" s="342">
        <v>83.066909999999993</v>
      </c>
    </row>
    <row r="69" spans="1:74" ht="11.1" customHeight="1" x14ac:dyDescent="0.2">
      <c r="A69" s="606" t="s">
        <v>1009</v>
      </c>
      <c r="B69" s="626" t="s">
        <v>1008</v>
      </c>
      <c r="C69" s="322">
        <v>483.0916259</v>
      </c>
      <c r="D69" s="322">
        <v>433.76376629999999</v>
      </c>
      <c r="E69" s="322">
        <v>410.04200409999999</v>
      </c>
      <c r="F69" s="322">
        <v>382.76720210000002</v>
      </c>
      <c r="G69" s="322">
        <v>390.22289419999998</v>
      </c>
      <c r="H69" s="322">
        <v>424.87578330000002</v>
      </c>
      <c r="I69" s="322">
        <v>459.24299350000001</v>
      </c>
      <c r="J69" s="322">
        <v>466.73952800000001</v>
      </c>
      <c r="K69" s="322">
        <v>418.3198946</v>
      </c>
      <c r="L69" s="322">
        <v>408.98230289999998</v>
      </c>
      <c r="M69" s="322">
        <v>406.05200789999998</v>
      </c>
      <c r="N69" s="322">
        <v>486.32143000000002</v>
      </c>
      <c r="O69" s="322">
        <v>477.42504000000002</v>
      </c>
      <c r="P69" s="322">
        <v>396.72049179999999</v>
      </c>
      <c r="Q69" s="322">
        <v>435.6028326</v>
      </c>
      <c r="R69" s="322">
        <v>383.28965640000001</v>
      </c>
      <c r="S69" s="322">
        <v>404.25141860000002</v>
      </c>
      <c r="T69" s="322">
        <v>415.64693310000001</v>
      </c>
      <c r="U69" s="322">
        <v>451.2328928</v>
      </c>
      <c r="V69" s="322">
        <v>444.11440929999998</v>
      </c>
      <c r="W69" s="322">
        <v>402.70861550000001</v>
      </c>
      <c r="X69" s="322">
        <v>407.74709009999998</v>
      </c>
      <c r="Y69" s="322">
        <v>425.77874709999998</v>
      </c>
      <c r="Z69" s="322">
        <v>486.17608669999998</v>
      </c>
      <c r="AA69" s="322">
        <v>512.40765959999999</v>
      </c>
      <c r="AB69" s="322">
        <v>415.09980810000002</v>
      </c>
      <c r="AC69" s="322">
        <v>447.31267059999999</v>
      </c>
      <c r="AD69" s="322">
        <v>403.32034929999998</v>
      </c>
      <c r="AE69" s="322">
        <v>406.8657455</v>
      </c>
      <c r="AF69" s="322">
        <v>420.76307480000003</v>
      </c>
      <c r="AG69" s="322">
        <v>453.95490039999999</v>
      </c>
      <c r="AH69" s="322">
        <v>459.29032339999998</v>
      </c>
      <c r="AI69" s="322">
        <v>414.45009870000001</v>
      </c>
      <c r="AJ69" s="322">
        <v>426.0240392</v>
      </c>
      <c r="AK69" s="322">
        <v>448.27212739999999</v>
      </c>
      <c r="AL69" s="322">
        <v>473.08976719999998</v>
      </c>
      <c r="AM69" s="322">
        <v>496.25239629999999</v>
      </c>
      <c r="AN69" s="322">
        <v>430.67886170000003</v>
      </c>
      <c r="AO69" s="322">
        <v>446.5893542</v>
      </c>
      <c r="AP69" s="322">
        <v>379.75650109999998</v>
      </c>
      <c r="AQ69" s="322">
        <v>396.81350079999999</v>
      </c>
      <c r="AR69" s="322">
        <v>401.33275939999999</v>
      </c>
      <c r="AS69" s="322">
        <v>442.95885249999998</v>
      </c>
      <c r="AT69" s="322">
        <v>443.64566309999998</v>
      </c>
      <c r="AU69" s="322">
        <v>404.18421669999998</v>
      </c>
      <c r="AV69" s="322">
        <v>405.9017283</v>
      </c>
      <c r="AW69" s="322">
        <v>430.54592270000001</v>
      </c>
      <c r="AX69" s="322">
        <v>451.78190180000001</v>
      </c>
      <c r="AY69" s="322">
        <v>448.40856739999998</v>
      </c>
      <c r="AZ69" s="322">
        <v>414.48998840000002</v>
      </c>
      <c r="BA69" s="322">
        <v>385.03362800000002</v>
      </c>
      <c r="BB69" s="322">
        <v>307.01475670000002</v>
      </c>
      <c r="BC69" s="322">
        <v>320.33685059999999</v>
      </c>
      <c r="BD69" s="322">
        <v>350.4289</v>
      </c>
      <c r="BE69" s="322">
        <v>407.45909999999998</v>
      </c>
      <c r="BF69" s="322">
        <v>404.77010000000001</v>
      </c>
      <c r="BG69" s="359">
        <v>374.0677</v>
      </c>
      <c r="BH69" s="359">
        <v>379.03829999999999</v>
      </c>
      <c r="BI69" s="359">
        <v>390.27449999999999</v>
      </c>
      <c r="BJ69" s="359">
        <v>436.79989999999998</v>
      </c>
      <c r="BK69" s="359">
        <v>454.79719999999998</v>
      </c>
      <c r="BL69" s="359">
        <v>393.49209999999999</v>
      </c>
      <c r="BM69" s="359">
        <v>408.93439999999998</v>
      </c>
      <c r="BN69" s="359">
        <v>362.91879999999998</v>
      </c>
      <c r="BO69" s="359">
        <v>375.113</v>
      </c>
      <c r="BP69" s="359">
        <v>386.66550000000001</v>
      </c>
      <c r="BQ69" s="359">
        <v>425.839</v>
      </c>
      <c r="BR69" s="359">
        <v>424.4794</v>
      </c>
      <c r="BS69" s="359">
        <v>380.2833</v>
      </c>
      <c r="BT69" s="359">
        <v>391.43020000000001</v>
      </c>
      <c r="BU69" s="359">
        <v>397.57229999999998</v>
      </c>
      <c r="BV69" s="359">
        <v>439.75150000000002</v>
      </c>
    </row>
    <row r="70" spans="1:74" ht="11.1" customHeight="1" x14ac:dyDescent="0.2">
      <c r="A70" s="474"/>
      <c r="B70" s="475"/>
      <c r="C70" s="269"/>
      <c r="D70" s="269"/>
      <c r="E70" s="269"/>
      <c r="F70" s="269"/>
      <c r="G70" s="269"/>
      <c r="H70" s="269"/>
      <c r="I70" s="269"/>
      <c r="J70" s="269"/>
      <c r="K70" s="269"/>
      <c r="L70" s="269"/>
      <c r="M70" s="269"/>
      <c r="N70" s="269"/>
      <c r="O70" s="269"/>
      <c r="P70" s="269"/>
      <c r="Q70" s="269"/>
      <c r="R70" s="269"/>
      <c r="S70" s="269"/>
      <c r="T70" s="269"/>
      <c r="U70" s="269"/>
      <c r="V70" s="269"/>
      <c r="W70" s="269"/>
      <c r="X70" s="269"/>
      <c r="Y70" s="269"/>
      <c r="Z70" s="269"/>
      <c r="AA70" s="269"/>
      <c r="AB70" s="269"/>
      <c r="AC70" s="269"/>
      <c r="AD70" s="269"/>
      <c r="AE70" s="269"/>
      <c r="AF70" s="269"/>
      <c r="AG70" s="269"/>
      <c r="AH70" s="269"/>
      <c r="AI70" s="269"/>
      <c r="AJ70" s="269"/>
      <c r="AK70" s="269"/>
      <c r="AL70" s="269"/>
      <c r="AM70" s="269"/>
      <c r="AN70" s="269"/>
      <c r="AO70" s="269"/>
      <c r="AP70" s="269"/>
      <c r="AQ70" s="269"/>
      <c r="AR70" s="269"/>
      <c r="AS70" s="269"/>
      <c r="AT70" s="269"/>
      <c r="AU70" s="269"/>
      <c r="AV70" s="269"/>
      <c r="AW70" s="269"/>
      <c r="AX70" s="269"/>
      <c r="AY70" s="361"/>
      <c r="AZ70" s="361"/>
      <c r="BA70" s="361"/>
      <c r="BB70" s="361"/>
      <c r="BC70" s="361"/>
      <c r="BD70" s="269"/>
      <c r="BE70" s="269"/>
      <c r="BF70" s="269"/>
      <c r="BG70" s="361"/>
      <c r="BH70" s="361"/>
      <c r="BI70" s="361"/>
      <c r="BJ70" s="361"/>
      <c r="BK70" s="361"/>
      <c r="BL70" s="361"/>
      <c r="BM70" s="361"/>
      <c r="BN70" s="361"/>
      <c r="BO70" s="361"/>
      <c r="BP70" s="361"/>
      <c r="BQ70" s="361"/>
      <c r="BR70" s="361"/>
      <c r="BS70" s="361"/>
      <c r="BT70" s="361"/>
      <c r="BU70" s="361"/>
      <c r="BV70" s="361"/>
    </row>
    <row r="71" spans="1:74" ht="12" customHeight="1" x14ac:dyDescent="0.25">
      <c r="A71" s="134"/>
      <c r="B71" s="808" t="s">
        <v>826</v>
      </c>
      <c r="C71" s="805"/>
      <c r="D71" s="805"/>
      <c r="E71" s="805"/>
      <c r="F71" s="805"/>
      <c r="G71" s="805"/>
      <c r="H71" s="805"/>
      <c r="I71" s="805"/>
      <c r="J71" s="805"/>
      <c r="K71" s="805"/>
      <c r="L71" s="805"/>
      <c r="M71" s="805"/>
      <c r="N71" s="805"/>
      <c r="O71" s="805"/>
      <c r="P71" s="805"/>
      <c r="Q71" s="805"/>
    </row>
    <row r="72" spans="1:74" ht="12" customHeight="1" x14ac:dyDescent="0.25">
      <c r="A72" s="134"/>
      <c r="B72" s="604" t="s">
        <v>839</v>
      </c>
      <c r="C72" s="603"/>
      <c r="D72" s="603"/>
      <c r="E72" s="603"/>
      <c r="F72" s="603"/>
      <c r="G72" s="603"/>
      <c r="H72" s="603"/>
      <c r="I72" s="603"/>
      <c r="J72" s="603"/>
      <c r="K72" s="603"/>
      <c r="L72" s="603"/>
      <c r="M72" s="603"/>
      <c r="N72" s="603"/>
      <c r="O72" s="603"/>
      <c r="P72" s="603"/>
      <c r="Q72" s="603"/>
    </row>
    <row r="73" spans="1:74" s="461" customFormat="1" ht="12" customHeight="1" x14ac:dyDescent="0.25">
      <c r="A73" s="460"/>
      <c r="B73" s="872" t="s">
        <v>913</v>
      </c>
      <c r="C73" s="791"/>
      <c r="D73" s="791"/>
      <c r="E73" s="791"/>
      <c r="F73" s="791"/>
      <c r="G73" s="791"/>
      <c r="H73" s="791"/>
      <c r="I73" s="791"/>
      <c r="J73" s="791"/>
      <c r="K73" s="791"/>
      <c r="L73" s="791"/>
      <c r="M73" s="791"/>
      <c r="N73" s="791"/>
      <c r="O73" s="791"/>
      <c r="P73" s="791"/>
      <c r="Q73" s="791"/>
      <c r="AY73" s="505"/>
      <c r="AZ73" s="505"/>
      <c r="BA73" s="505"/>
      <c r="BB73" s="505"/>
      <c r="BC73" s="505"/>
      <c r="BD73" s="693"/>
      <c r="BE73" s="693"/>
      <c r="BF73" s="693"/>
      <c r="BG73" s="505"/>
      <c r="BH73" s="505"/>
      <c r="BI73" s="505"/>
      <c r="BJ73" s="505"/>
    </row>
    <row r="74" spans="1:74" s="461" customFormat="1" ht="12" customHeight="1" x14ac:dyDescent="0.25">
      <c r="A74" s="460"/>
      <c r="B74" s="873" t="s">
        <v>1</v>
      </c>
      <c r="C74" s="791"/>
      <c r="D74" s="791"/>
      <c r="E74" s="791"/>
      <c r="F74" s="791"/>
      <c r="G74" s="791"/>
      <c r="H74" s="791"/>
      <c r="I74" s="791"/>
      <c r="J74" s="791"/>
      <c r="K74" s="791"/>
      <c r="L74" s="791"/>
      <c r="M74" s="791"/>
      <c r="N74" s="791"/>
      <c r="O74" s="791"/>
      <c r="P74" s="791"/>
      <c r="Q74" s="791"/>
      <c r="AY74" s="505"/>
      <c r="AZ74" s="505"/>
      <c r="BA74" s="505"/>
      <c r="BB74" s="505"/>
      <c r="BC74" s="505"/>
      <c r="BD74" s="693"/>
      <c r="BE74" s="693"/>
      <c r="BF74" s="693"/>
      <c r="BG74" s="505"/>
      <c r="BH74" s="505"/>
      <c r="BI74" s="505"/>
      <c r="BJ74" s="505"/>
    </row>
    <row r="75" spans="1:74" s="461" customFormat="1" ht="12" customHeight="1" x14ac:dyDescent="0.25">
      <c r="A75" s="460"/>
      <c r="B75" s="872" t="s">
        <v>1010</v>
      </c>
      <c r="C75" s="791"/>
      <c r="D75" s="791"/>
      <c r="E75" s="791"/>
      <c r="F75" s="791"/>
      <c r="G75" s="791"/>
      <c r="H75" s="791"/>
      <c r="I75" s="791"/>
      <c r="J75" s="791"/>
      <c r="K75" s="791"/>
      <c r="L75" s="791"/>
      <c r="M75" s="791"/>
      <c r="N75" s="791"/>
      <c r="O75" s="791"/>
      <c r="P75" s="791"/>
      <c r="Q75" s="791"/>
      <c r="AY75" s="505"/>
      <c r="AZ75" s="505"/>
      <c r="BA75" s="505"/>
      <c r="BB75" s="505"/>
      <c r="BC75" s="505"/>
      <c r="BD75" s="693"/>
      <c r="BE75" s="693"/>
      <c r="BF75" s="693"/>
      <c r="BG75" s="505"/>
      <c r="BH75" s="505"/>
      <c r="BI75" s="505"/>
      <c r="BJ75" s="505"/>
    </row>
    <row r="76" spans="1:74" s="461" customFormat="1" ht="12" customHeight="1" x14ac:dyDescent="0.25">
      <c r="A76" s="460"/>
      <c r="B76" s="794" t="s">
        <v>851</v>
      </c>
      <c r="C76" s="795"/>
      <c r="D76" s="795"/>
      <c r="E76" s="795"/>
      <c r="F76" s="795"/>
      <c r="G76" s="795"/>
      <c r="H76" s="795"/>
      <c r="I76" s="795"/>
      <c r="J76" s="795"/>
      <c r="K76" s="795"/>
      <c r="L76" s="795"/>
      <c r="M76" s="795"/>
      <c r="N76" s="795"/>
      <c r="O76" s="795"/>
      <c r="P76" s="795"/>
      <c r="Q76" s="791"/>
      <c r="AY76" s="505"/>
      <c r="AZ76" s="505"/>
      <c r="BA76" s="505"/>
      <c r="BB76" s="505"/>
      <c r="BC76" s="505"/>
      <c r="BD76" s="693"/>
      <c r="BE76" s="693"/>
      <c r="BF76" s="693"/>
      <c r="BG76" s="505"/>
      <c r="BH76" s="505"/>
      <c r="BI76" s="505"/>
      <c r="BJ76" s="505"/>
    </row>
    <row r="77" spans="1:74" s="461" customFormat="1" ht="12" customHeight="1" x14ac:dyDescent="0.25">
      <c r="A77" s="460"/>
      <c r="B77" s="794" t="s">
        <v>2</v>
      </c>
      <c r="C77" s="795"/>
      <c r="D77" s="795"/>
      <c r="E77" s="795"/>
      <c r="F77" s="795"/>
      <c r="G77" s="795"/>
      <c r="H77" s="795"/>
      <c r="I77" s="795"/>
      <c r="J77" s="795"/>
      <c r="K77" s="795"/>
      <c r="L77" s="795"/>
      <c r="M77" s="795"/>
      <c r="N77" s="795"/>
      <c r="O77" s="795"/>
      <c r="P77" s="795"/>
      <c r="Q77" s="791"/>
      <c r="AY77" s="505"/>
      <c r="AZ77" s="505"/>
      <c r="BA77" s="505"/>
      <c r="BB77" s="505"/>
      <c r="BC77" s="505"/>
      <c r="BD77" s="693"/>
      <c r="BE77" s="693"/>
      <c r="BF77" s="693"/>
      <c r="BG77" s="505"/>
      <c r="BH77" s="505"/>
      <c r="BI77" s="505"/>
      <c r="BJ77" s="505"/>
    </row>
    <row r="78" spans="1:74" s="461" customFormat="1" ht="12" customHeight="1" x14ac:dyDescent="0.25">
      <c r="A78" s="460"/>
      <c r="B78" s="789" t="s">
        <v>3</v>
      </c>
      <c r="C78" s="790"/>
      <c r="D78" s="790"/>
      <c r="E78" s="790"/>
      <c r="F78" s="790"/>
      <c r="G78" s="790"/>
      <c r="H78" s="790"/>
      <c r="I78" s="790"/>
      <c r="J78" s="790"/>
      <c r="K78" s="790"/>
      <c r="L78" s="790"/>
      <c r="M78" s="790"/>
      <c r="N78" s="790"/>
      <c r="O78" s="790"/>
      <c r="P78" s="790"/>
      <c r="Q78" s="791"/>
      <c r="AY78" s="505"/>
      <c r="AZ78" s="505"/>
      <c r="BA78" s="505"/>
      <c r="BB78" s="505"/>
      <c r="BC78" s="505"/>
      <c r="BD78" s="693"/>
      <c r="BE78" s="693"/>
      <c r="BF78" s="693"/>
      <c r="BG78" s="505"/>
      <c r="BH78" s="505"/>
      <c r="BI78" s="505"/>
      <c r="BJ78" s="505"/>
    </row>
    <row r="79" spans="1:74" s="461" customFormat="1" ht="12" customHeight="1" x14ac:dyDescent="0.25">
      <c r="A79" s="460"/>
      <c r="B79" s="789" t="s">
        <v>855</v>
      </c>
      <c r="C79" s="790"/>
      <c r="D79" s="790"/>
      <c r="E79" s="790"/>
      <c r="F79" s="790"/>
      <c r="G79" s="790"/>
      <c r="H79" s="790"/>
      <c r="I79" s="790"/>
      <c r="J79" s="790"/>
      <c r="K79" s="790"/>
      <c r="L79" s="790"/>
      <c r="M79" s="790"/>
      <c r="N79" s="790"/>
      <c r="O79" s="790"/>
      <c r="P79" s="790"/>
      <c r="Q79" s="791"/>
      <c r="AY79" s="505"/>
      <c r="AZ79" s="505"/>
      <c r="BA79" s="505"/>
      <c r="BB79" s="505"/>
      <c r="BC79" s="505"/>
      <c r="BD79" s="693"/>
      <c r="BE79" s="693"/>
      <c r="BF79" s="693"/>
      <c r="BG79" s="505"/>
      <c r="BH79" s="505"/>
      <c r="BI79" s="505"/>
      <c r="BJ79" s="505"/>
    </row>
    <row r="80" spans="1:74" s="461" customFormat="1" ht="12" customHeight="1" x14ac:dyDescent="0.25">
      <c r="A80" s="460"/>
      <c r="B80" s="792" t="s">
        <v>1137</v>
      </c>
      <c r="C80" s="791"/>
      <c r="D80" s="791"/>
      <c r="E80" s="791"/>
      <c r="F80" s="791"/>
      <c r="G80" s="791"/>
      <c r="H80" s="791"/>
      <c r="I80" s="791"/>
      <c r="J80" s="791"/>
      <c r="K80" s="791"/>
      <c r="L80" s="791"/>
      <c r="M80" s="791"/>
      <c r="N80" s="791"/>
      <c r="O80" s="791"/>
      <c r="P80" s="791"/>
      <c r="Q80" s="791"/>
      <c r="AY80" s="505"/>
      <c r="AZ80" s="505"/>
      <c r="BA80" s="505"/>
      <c r="BB80" s="505"/>
      <c r="BC80" s="505"/>
      <c r="BD80" s="693"/>
      <c r="BE80" s="693"/>
      <c r="BF80" s="693"/>
      <c r="BG80" s="505"/>
      <c r="BH80" s="505"/>
      <c r="BI80" s="505"/>
      <c r="BJ80" s="505"/>
    </row>
    <row r="81" spans="63:74" x14ac:dyDescent="0.2">
      <c r="BK81" s="355"/>
      <c r="BL81" s="355"/>
      <c r="BM81" s="355"/>
      <c r="BN81" s="355"/>
      <c r="BO81" s="355"/>
      <c r="BP81" s="355"/>
      <c r="BQ81" s="355"/>
      <c r="BR81" s="355"/>
      <c r="BS81" s="355"/>
      <c r="BT81" s="355"/>
      <c r="BU81" s="355"/>
      <c r="BV81" s="355"/>
    </row>
    <row r="82" spans="63:74" x14ac:dyDescent="0.2">
      <c r="BK82" s="355"/>
      <c r="BL82" s="355"/>
      <c r="BM82" s="355"/>
      <c r="BN82" s="355"/>
      <c r="BO82" s="355"/>
      <c r="BP82" s="355"/>
      <c r="BQ82" s="355"/>
      <c r="BR82" s="355"/>
      <c r="BS82" s="355"/>
      <c r="BT82" s="355"/>
      <c r="BU82" s="355"/>
      <c r="BV82" s="355"/>
    </row>
    <row r="83" spans="63:74" x14ac:dyDescent="0.2">
      <c r="BK83" s="355"/>
      <c r="BL83" s="355"/>
      <c r="BM83" s="355"/>
      <c r="BN83" s="355"/>
      <c r="BO83" s="355"/>
      <c r="BP83" s="355"/>
      <c r="BQ83" s="355"/>
      <c r="BR83" s="355"/>
      <c r="BS83" s="355"/>
      <c r="BT83" s="355"/>
      <c r="BU83" s="355"/>
      <c r="BV83" s="355"/>
    </row>
    <row r="84" spans="63:74" x14ac:dyDescent="0.2">
      <c r="BK84" s="355"/>
      <c r="BL84" s="355"/>
      <c r="BM84" s="355"/>
      <c r="BN84" s="355"/>
      <c r="BO84" s="355"/>
      <c r="BP84" s="355"/>
      <c r="BQ84" s="355"/>
      <c r="BR84" s="355"/>
      <c r="BS84" s="355"/>
      <c r="BT84" s="355"/>
      <c r="BU84" s="355"/>
      <c r="BV84" s="355"/>
    </row>
    <row r="85" spans="63:74" x14ac:dyDescent="0.2">
      <c r="BK85" s="355"/>
      <c r="BL85" s="355"/>
      <c r="BM85" s="355"/>
      <c r="BN85" s="355"/>
      <c r="BO85" s="355"/>
      <c r="BP85" s="355"/>
      <c r="BQ85" s="355"/>
      <c r="BR85" s="355"/>
      <c r="BS85" s="355"/>
      <c r="BT85" s="355"/>
      <c r="BU85" s="355"/>
      <c r="BV85" s="355"/>
    </row>
    <row r="86" spans="63:74" x14ac:dyDescent="0.2">
      <c r="BK86" s="355"/>
      <c r="BL86" s="355"/>
      <c r="BM86" s="355"/>
      <c r="BN86" s="355"/>
      <c r="BO86" s="355"/>
      <c r="BP86" s="355"/>
      <c r="BQ86" s="355"/>
      <c r="BR86" s="355"/>
      <c r="BS86" s="355"/>
      <c r="BT86" s="355"/>
      <c r="BU86" s="355"/>
      <c r="BV86" s="355"/>
    </row>
    <row r="87" spans="63:74" x14ac:dyDescent="0.2">
      <c r="BK87" s="355"/>
      <c r="BL87" s="355"/>
      <c r="BM87" s="355"/>
      <c r="BN87" s="355"/>
      <c r="BO87" s="355"/>
      <c r="BP87" s="355"/>
      <c r="BQ87" s="355"/>
      <c r="BR87" s="355"/>
      <c r="BS87" s="355"/>
      <c r="BT87" s="355"/>
      <c r="BU87" s="355"/>
      <c r="BV87" s="355"/>
    </row>
    <row r="88" spans="63:74" x14ac:dyDescent="0.2">
      <c r="BK88" s="355"/>
      <c r="BL88" s="355"/>
      <c r="BM88" s="355"/>
      <c r="BN88" s="355"/>
      <c r="BO88" s="355"/>
      <c r="BP88" s="355"/>
      <c r="BQ88" s="355"/>
      <c r="BR88" s="355"/>
      <c r="BS88" s="355"/>
      <c r="BT88" s="355"/>
      <c r="BU88" s="355"/>
      <c r="BV88" s="355"/>
    </row>
    <row r="89" spans="63:74" x14ac:dyDescent="0.2">
      <c r="BK89" s="355"/>
      <c r="BL89" s="355"/>
      <c r="BM89" s="355"/>
      <c r="BN89" s="355"/>
      <c r="BO89" s="355"/>
      <c r="BP89" s="355"/>
      <c r="BQ89" s="355"/>
      <c r="BR89" s="355"/>
      <c r="BS89" s="355"/>
      <c r="BT89" s="355"/>
      <c r="BU89" s="355"/>
      <c r="BV89" s="355"/>
    </row>
    <row r="90" spans="63:74" x14ac:dyDescent="0.2">
      <c r="BK90" s="355"/>
      <c r="BL90" s="355"/>
      <c r="BM90" s="355"/>
      <c r="BN90" s="355"/>
      <c r="BO90" s="355"/>
      <c r="BP90" s="355"/>
      <c r="BQ90" s="355"/>
      <c r="BR90" s="355"/>
      <c r="BS90" s="355"/>
      <c r="BT90" s="355"/>
      <c r="BU90" s="355"/>
      <c r="BV90" s="355"/>
    </row>
    <row r="91" spans="63:74" x14ac:dyDescent="0.2">
      <c r="BK91" s="355"/>
      <c r="BL91" s="355"/>
      <c r="BM91" s="355"/>
      <c r="BN91" s="355"/>
      <c r="BO91" s="355"/>
      <c r="BP91" s="355"/>
      <c r="BQ91" s="355"/>
      <c r="BR91" s="355"/>
      <c r="BS91" s="355"/>
      <c r="BT91" s="355"/>
      <c r="BU91" s="355"/>
      <c r="BV91" s="355"/>
    </row>
    <row r="92" spans="63:74" x14ac:dyDescent="0.2">
      <c r="BK92" s="355"/>
      <c r="BL92" s="355"/>
      <c r="BM92" s="355"/>
      <c r="BN92" s="355"/>
      <c r="BO92" s="355"/>
      <c r="BP92" s="355"/>
      <c r="BQ92" s="355"/>
      <c r="BR92" s="355"/>
      <c r="BS92" s="355"/>
      <c r="BT92" s="355"/>
      <c r="BU92" s="355"/>
      <c r="BV92" s="355"/>
    </row>
    <row r="93" spans="63:74" x14ac:dyDescent="0.2">
      <c r="BK93" s="355"/>
      <c r="BL93" s="355"/>
      <c r="BM93" s="355"/>
      <c r="BN93" s="355"/>
      <c r="BO93" s="355"/>
      <c r="BP93" s="355"/>
      <c r="BQ93" s="355"/>
      <c r="BR93" s="355"/>
      <c r="BS93" s="355"/>
      <c r="BT93" s="355"/>
      <c r="BU93" s="355"/>
      <c r="BV93" s="355"/>
    </row>
    <row r="94" spans="63:74" x14ac:dyDescent="0.2">
      <c r="BK94" s="355"/>
      <c r="BL94" s="355"/>
      <c r="BM94" s="355"/>
      <c r="BN94" s="355"/>
      <c r="BO94" s="355"/>
      <c r="BP94" s="355"/>
      <c r="BQ94" s="355"/>
      <c r="BR94" s="355"/>
      <c r="BS94" s="355"/>
      <c r="BT94" s="355"/>
      <c r="BU94" s="355"/>
      <c r="BV94" s="355"/>
    </row>
    <row r="95" spans="63:74" x14ac:dyDescent="0.2">
      <c r="BK95" s="355"/>
      <c r="BL95" s="355"/>
      <c r="BM95" s="355"/>
      <c r="BN95" s="355"/>
      <c r="BO95" s="355"/>
      <c r="BP95" s="355"/>
      <c r="BQ95" s="355"/>
      <c r="BR95" s="355"/>
      <c r="BS95" s="355"/>
      <c r="BT95" s="355"/>
      <c r="BU95" s="355"/>
      <c r="BV95" s="355"/>
    </row>
    <row r="96" spans="63:74" x14ac:dyDescent="0.2">
      <c r="BK96" s="355"/>
      <c r="BL96" s="355"/>
      <c r="BM96" s="355"/>
      <c r="BN96" s="355"/>
      <c r="BO96" s="355"/>
      <c r="BP96" s="355"/>
      <c r="BQ96" s="355"/>
      <c r="BR96" s="355"/>
      <c r="BS96" s="355"/>
      <c r="BT96" s="355"/>
      <c r="BU96" s="355"/>
      <c r="BV96" s="355"/>
    </row>
    <row r="97" spans="63:74" x14ac:dyDescent="0.2">
      <c r="BK97" s="355"/>
      <c r="BL97" s="355"/>
      <c r="BM97" s="355"/>
      <c r="BN97" s="355"/>
      <c r="BO97" s="355"/>
      <c r="BP97" s="355"/>
      <c r="BQ97" s="355"/>
      <c r="BR97" s="355"/>
      <c r="BS97" s="355"/>
      <c r="BT97" s="355"/>
      <c r="BU97" s="355"/>
      <c r="BV97" s="355"/>
    </row>
    <row r="98" spans="63:74" x14ac:dyDescent="0.2">
      <c r="BK98" s="355"/>
      <c r="BL98" s="355"/>
      <c r="BM98" s="355"/>
      <c r="BN98" s="355"/>
      <c r="BO98" s="355"/>
      <c r="BP98" s="355"/>
      <c r="BQ98" s="355"/>
      <c r="BR98" s="355"/>
      <c r="BS98" s="355"/>
      <c r="BT98" s="355"/>
      <c r="BU98" s="355"/>
      <c r="BV98" s="355"/>
    </row>
    <row r="99" spans="63:74" x14ac:dyDescent="0.2">
      <c r="BK99" s="355"/>
      <c r="BL99" s="355"/>
      <c r="BM99" s="355"/>
      <c r="BN99" s="355"/>
      <c r="BO99" s="355"/>
      <c r="BP99" s="355"/>
      <c r="BQ99" s="355"/>
      <c r="BR99" s="355"/>
      <c r="BS99" s="355"/>
      <c r="BT99" s="355"/>
      <c r="BU99" s="355"/>
      <c r="BV99" s="355"/>
    </row>
    <row r="100" spans="63:74" x14ac:dyDescent="0.2">
      <c r="BK100" s="355"/>
      <c r="BL100" s="355"/>
      <c r="BM100" s="355"/>
      <c r="BN100" s="355"/>
      <c r="BO100" s="355"/>
      <c r="BP100" s="355"/>
      <c r="BQ100" s="355"/>
      <c r="BR100" s="355"/>
      <c r="BS100" s="355"/>
      <c r="BT100" s="355"/>
      <c r="BU100" s="355"/>
      <c r="BV100" s="355"/>
    </row>
    <row r="101" spans="63:74" x14ac:dyDescent="0.2">
      <c r="BK101" s="355"/>
      <c r="BL101" s="355"/>
      <c r="BM101" s="355"/>
      <c r="BN101" s="355"/>
      <c r="BO101" s="355"/>
      <c r="BP101" s="355"/>
      <c r="BQ101" s="355"/>
      <c r="BR101" s="355"/>
      <c r="BS101" s="355"/>
      <c r="BT101" s="355"/>
      <c r="BU101" s="355"/>
      <c r="BV101" s="355"/>
    </row>
    <row r="102" spans="63:74" x14ac:dyDescent="0.2">
      <c r="BK102" s="355"/>
      <c r="BL102" s="355"/>
      <c r="BM102" s="355"/>
      <c r="BN102" s="355"/>
      <c r="BO102" s="355"/>
      <c r="BP102" s="355"/>
      <c r="BQ102" s="355"/>
      <c r="BR102" s="355"/>
      <c r="BS102" s="355"/>
      <c r="BT102" s="355"/>
      <c r="BU102" s="355"/>
      <c r="BV102" s="355"/>
    </row>
    <row r="103" spans="63:74" x14ac:dyDescent="0.2">
      <c r="BK103" s="355"/>
      <c r="BL103" s="355"/>
      <c r="BM103" s="355"/>
      <c r="BN103" s="355"/>
      <c r="BO103" s="355"/>
      <c r="BP103" s="355"/>
      <c r="BQ103" s="355"/>
      <c r="BR103" s="355"/>
      <c r="BS103" s="355"/>
      <c r="BT103" s="355"/>
      <c r="BU103" s="355"/>
      <c r="BV103" s="355"/>
    </row>
    <row r="104" spans="63:74" x14ac:dyDescent="0.2">
      <c r="BK104" s="355"/>
      <c r="BL104" s="355"/>
      <c r="BM104" s="355"/>
      <c r="BN104" s="355"/>
      <c r="BO104" s="355"/>
      <c r="BP104" s="355"/>
      <c r="BQ104" s="355"/>
      <c r="BR104" s="355"/>
      <c r="BS104" s="355"/>
      <c r="BT104" s="355"/>
      <c r="BU104" s="355"/>
      <c r="BV104" s="355"/>
    </row>
    <row r="105" spans="63:74" x14ac:dyDescent="0.2">
      <c r="BK105" s="355"/>
      <c r="BL105" s="355"/>
      <c r="BM105" s="355"/>
      <c r="BN105" s="355"/>
      <c r="BO105" s="355"/>
      <c r="BP105" s="355"/>
      <c r="BQ105" s="355"/>
      <c r="BR105" s="355"/>
      <c r="BS105" s="355"/>
      <c r="BT105" s="355"/>
      <c r="BU105" s="355"/>
      <c r="BV105" s="355"/>
    </row>
    <row r="106" spans="63:74" x14ac:dyDescent="0.2">
      <c r="BK106" s="355"/>
      <c r="BL106" s="355"/>
      <c r="BM106" s="355"/>
      <c r="BN106" s="355"/>
      <c r="BO106" s="355"/>
      <c r="BP106" s="355"/>
      <c r="BQ106" s="355"/>
      <c r="BR106" s="355"/>
      <c r="BS106" s="355"/>
      <c r="BT106" s="355"/>
      <c r="BU106" s="355"/>
      <c r="BV106" s="355"/>
    </row>
    <row r="107" spans="63:74" x14ac:dyDescent="0.2">
      <c r="BK107" s="355"/>
      <c r="BL107" s="355"/>
      <c r="BM107" s="355"/>
      <c r="BN107" s="355"/>
      <c r="BO107" s="355"/>
      <c r="BP107" s="355"/>
      <c r="BQ107" s="355"/>
      <c r="BR107" s="355"/>
      <c r="BS107" s="355"/>
      <c r="BT107" s="355"/>
      <c r="BU107" s="355"/>
      <c r="BV107" s="355"/>
    </row>
    <row r="108" spans="63:74" x14ac:dyDescent="0.2">
      <c r="BK108" s="355"/>
      <c r="BL108" s="355"/>
      <c r="BM108" s="355"/>
      <c r="BN108" s="355"/>
      <c r="BO108" s="355"/>
      <c r="BP108" s="355"/>
      <c r="BQ108" s="355"/>
      <c r="BR108" s="355"/>
      <c r="BS108" s="355"/>
      <c r="BT108" s="355"/>
      <c r="BU108" s="355"/>
      <c r="BV108" s="355"/>
    </row>
    <row r="109" spans="63:74" x14ac:dyDescent="0.2">
      <c r="BK109" s="355"/>
      <c r="BL109" s="355"/>
      <c r="BM109" s="355"/>
      <c r="BN109" s="355"/>
      <c r="BO109" s="355"/>
      <c r="BP109" s="355"/>
      <c r="BQ109" s="355"/>
      <c r="BR109" s="355"/>
      <c r="BS109" s="355"/>
      <c r="BT109" s="355"/>
      <c r="BU109" s="355"/>
      <c r="BV109" s="355"/>
    </row>
    <row r="110" spans="63:74" x14ac:dyDescent="0.2">
      <c r="BK110" s="355"/>
      <c r="BL110" s="355"/>
      <c r="BM110" s="355"/>
      <c r="BN110" s="355"/>
      <c r="BO110" s="355"/>
      <c r="BP110" s="355"/>
      <c r="BQ110" s="355"/>
      <c r="BR110" s="355"/>
      <c r="BS110" s="355"/>
      <c r="BT110" s="355"/>
      <c r="BU110" s="355"/>
      <c r="BV110" s="355"/>
    </row>
    <row r="111" spans="63:74" x14ac:dyDescent="0.2">
      <c r="BK111" s="355"/>
      <c r="BL111" s="355"/>
      <c r="BM111" s="355"/>
      <c r="BN111" s="355"/>
      <c r="BO111" s="355"/>
      <c r="BP111" s="355"/>
      <c r="BQ111" s="355"/>
      <c r="BR111" s="355"/>
      <c r="BS111" s="355"/>
      <c r="BT111" s="355"/>
      <c r="BU111" s="355"/>
      <c r="BV111" s="355"/>
    </row>
    <row r="112" spans="63:74" x14ac:dyDescent="0.2">
      <c r="BK112" s="355"/>
      <c r="BL112" s="355"/>
      <c r="BM112" s="355"/>
      <c r="BN112" s="355"/>
      <c r="BO112" s="355"/>
      <c r="BP112" s="355"/>
      <c r="BQ112" s="355"/>
      <c r="BR112" s="355"/>
      <c r="BS112" s="355"/>
      <c r="BT112" s="355"/>
      <c r="BU112" s="355"/>
      <c r="BV112" s="355"/>
    </row>
    <row r="113" spans="63:74" x14ac:dyDescent="0.2">
      <c r="BK113" s="355"/>
      <c r="BL113" s="355"/>
      <c r="BM113" s="355"/>
      <c r="BN113" s="355"/>
      <c r="BO113" s="355"/>
      <c r="BP113" s="355"/>
      <c r="BQ113" s="355"/>
      <c r="BR113" s="355"/>
      <c r="BS113" s="355"/>
      <c r="BT113" s="355"/>
      <c r="BU113" s="355"/>
      <c r="BV113" s="355"/>
    </row>
    <row r="114" spans="63:74" x14ac:dyDescent="0.2">
      <c r="BK114" s="355"/>
      <c r="BL114" s="355"/>
      <c r="BM114" s="355"/>
      <c r="BN114" s="355"/>
      <c r="BO114" s="355"/>
      <c r="BP114" s="355"/>
      <c r="BQ114" s="355"/>
      <c r="BR114" s="355"/>
      <c r="BS114" s="355"/>
      <c r="BT114" s="355"/>
      <c r="BU114" s="355"/>
      <c r="BV114" s="355"/>
    </row>
    <row r="115" spans="63:74" x14ac:dyDescent="0.2">
      <c r="BK115" s="355"/>
      <c r="BL115" s="355"/>
      <c r="BM115" s="355"/>
      <c r="BN115" s="355"/>
      <c r="BO115" s="355"/>
      <c r="BP115" s="355"/>
      <c r="BQ115" s="355"/>
      <c r="BR115" s="355"/>
      <c r="BS115" s="355"/>
      <c r="BT115" s="355"/>
      <c r="BU115" s="355"/>
      <c r="BV115" s="355"/>
    </row>
    <row r="116" spans="63:74" x14ac:dyDescent="0.2">
      <c r="BK116" s="355"/>
      <c r="BL116" s="355"/>
      <c r="BM116" s="355"/>
      <c r="BN116" s="355"/>
      <c r="BO116" s="355"/>
      <c r="BP116" s="355"/>
      <c r="BQ116" s="355"/>
      <c r="BR116" s="355"/>
      <c r="BS116" s="355"/>
      <c r="BT116" s="355"/>
      <c r="BU116" s="355"/>
      <c r="BV116" s="355"/>
    </row>
    <row r="117" spans="63:74" x14ac:dyDescent="0.2">
      <c r="BK117" s="355"/>
      <c r="BL117" s="355"/>
      <c r="BM117" s="355"/>
      <c r="BN117" s="355"/>
      <c r="BO117" s="355"/>
      <c r="BP117" s="355"/>
      <c r="BQ117" s="355"/>
      <c r="BR117" s="355"/>
      <c r="BS117" s="355"/>
      <c r="BT117" s="355"/>
      <c r="BU117" s="355"/>
      <c r="BV117" s="355"/>
    </row>
    <row r="118" spans="63:74" x14ac:dyDescent="0.2">
      <c r="BK118" s="355"/>
      <c r="BL118" s="355"/>
      <c r="BM118" s="355"/>
      <c r="BN118" s="355"/>
      <c r="BO118" s="355"/>
      <c r="BP118" s="355"/>
      <c r="BQ118" s="355"/>
      <c r="BR118" s="355"/>
      <c r="BS118" s="355"/>
      <c r="BT118" s="355"/>
      <c r="BU118" s="355"/>
      <c r="BV118" s="355"/>
    </row>
    <row r="119" spans="63:74" x14ac:dyDescent="0.2">
      <c r="BK119" s="355"/>
      <c r="BL119" s="355"/>
      <c r="BM119" s="355"/>
      <c r="BN119" s="355"/>
      <c r="BO119" s="355"/>
      <c r="BP119" s="355"/>
      <c r="BQ119" s="355"/>
      <c r="BR119" s="355"/>
      <c r="BS119" s="355"/>
      <c r="BT119" s="355"/>
      <c r="BU119" s="355"/>
      <c r="BV119" s="355"/>
    </row>
    <row r="120" spans="63:74" x14ac:dyDescent="0.2">
      <c r="BK120" s="355"/>
      <c r="BL120" s="355"/>
      <c r="BM120" s="355"/>
      <c r="BN120" s="355"/>
      <c r="BO120" s="355"/>
      <c r="BP120" s="355"/>
      <c r="BQ120" s="355"/>
      <c r="BR120" s="355"/>
      <c r="BS120" s="355"/>
      <c r="BT120" s="355"/>
      <c r="BU120" s="355"/>
      <c r="BV120" s="355"/>
    </row>
    <row r="121" spans="63:74" x14ac:dyDescent="0.2">
      <c r="BK121" s="355"/>
      <c r="BL121" s="355"/>
      <c r="BM121" s="355"/>
      <c r="BN121" s="355"/>
      <c r="BO121" s="355"/>
      <c r="BP121" s="355"/>
      <c r="BQ121" s="355"/>
      <c r="BR121" s="355"/>
      <c r="BS121" s="355"/>
      <c r="BT121" s="355"/>
      <c r="BU121" s="355"/>
      <c r="BV121" s="355"/>
    </row>
    <row r="122" spans="63:74" x14ac:dyDescent="0.2">
      <c r="BK122" s="355"/>
      <c r="BL122" s="355"/>
      <c r="BM122" s="355"/>
      <c r="BN122" s="355"/>
      <c r="BO122" s="355"/>
      <c r="BP122" s="355"/>
      <c r="BQ122" s="355"/>
      <c r="BR122" s="355"/>
      <c r="BS122" s="355"/>
      <c r="BT122" s="355"/>
      <c r="BU122" s="355"/>
      <c r="BV122" s="355"/>
    </row>
    <row r="123" spans="63:74" x14ac:dyDescent="0.2">
      <c r="BK123" s="355"/>
      <c r="BL123" s="355"/>
      <c r="BM123" s="355"/>
      <c r="BN123" s="355"/>
      <c r="BO123" s="355"/>
      <c r="BP123" s="355"/>
      <c r="BQ123" s="355"/>
      <c r="BR123" s="355"/>
      <c r="BS123" s="355"/>
      <c r="BT123" s="355"/>
      <c r="BU123" s="355"/>
      <c r="BV123" s="355"/>
    </row>
    <row r="124" spans="63:74" x14ac:dyDescent="0.2">
      <c r="BK124" s="355"/>
      <c r="BL124" s="355"/>
      <c r="BM124" s="355"/>
      <c r="BN124" s="355"/>
      <c r="BO124" s="355"/>
      <c r="BP124" s="355"/>
      <c r="BQ124" s="355"/>
      <c r="BR124" s="355"/>
      <c r="BS124" s="355"/>
      <c r="BT124" s="355"/>
      <c r="BU124" s="355"/>
      <c r="BV124" s="355"/>
    </row>
    <row r="125" spans="63:74" x14ac:dyDescent="0.2">
      <c r="BK125" s="355"/>
      <c r="BL125" s="355"/>
      <c r="BM125" s="355"/>
      <c r="BN125" s="355"/>
      <c r="BO125" s="355"/>
      <c r="BP125" s="355"/>
      <c r="BQ125" s="355"/>
      <c r="BR125" s="355"/>
      <c r="BS125" s="355"/>
      <c r="BT125" s="355"/>
      <c r="BU125" s="355"/>
      <c r="BV125" s="355"/>
    </row>
    <row r="126" spans="63:74" x14ac:dyDescent="0.2">
      <c r="BK126" s="355"/>
      <c r="BL126" s="355"/>
      <c r="BM126" s="355"/>
      <c r="BN126" s="355"/>
      <c r="BO126" s="355"/>
      <c r="BP126" s="355"/>
      <c r="BQ126" s="355"/>
      <c r="BR126" s="355"/>
      <c r="BS126" s="355"/>
      <c r="BT126" s="355"/>
      <c r="BU126" s="355"/>
      <c r="BV126" s="355"/>
    </row>
    <row r="127" spans="63:74" x14ac:dyDescent="0.2">
      <c r="BK127" s="355"/>
      <c r="BL127" s="355"/>
      <c r="BM127" s="355"/>
      <c r="BN127" s="355"/>
      <c r="BO127" s="355"/>
      <c r="BP127" s="355"/>
      <c r="BQ127" s="355"/>
      <c r="BR127" s="355"/>
      <c r="BS127" s="355"/>
      <c r="BT127" s="355"/>
      <c r="BU127" s="355"/>
      <c r="BV127" s="355"/>
    </row>
    <row r="128" spans="63:74" x14ac:dyDescent="0.2">
      <c r="BK128" s="355"/>
      <c r="BL128" s="355"/>
      <c r="BM128" s="355"/>
      <c r="BN128" s="355"/>
      <c r="BO128" s="355"/>
      <c r="BP128" s="355"/>
      <c r="BQ128" s="355"/>
      <c r="BR128" s="355"/>
      <c r="BS128" s="355"/>
      <c r="BT128" s="355"/>
      <c r="BU128" s="355"/>
      <c r="BV128" s="355"/>
    </row>
    <row r="129" spans="63:74" x14ac:dyDescent="0.2">
      <c r="BK129" s="355"/>
      <c r="BL129" s="355"/>
      <c r="BM129" s="355"/>
      <c r="BN129" s="355"/>
      <c r="BO129" s="355"/>
      <c r="BP129" s="355"/>
      <c r="BQ129" s="355"/>
      <c r="BR129" s="355"/>
      <c r="BS129" s="355"/>
      <c r="BT129" s="355"/>
      <c r="BU129" s="355"/>
      <c r="BV129" s="355"/>
    </row>
    <row r="130" spans="63:74" x14ac:dyDescent="0.2">
      <c r="BK130" s="355"/>
      <c r="BL130" s="355"/>
      <c r="BM130" s="355"/>
      <c r="BN130" s="355"/>
      <c r="BO130" s="355"/>
      <c r="BP130" s="355"/>
      <c r="BQ130" s="355"/>
      <c r="BR130" s="355"/>
      <c r="BS130" s="355"/>
      <c r="BT130" s="355"/>
      <c r="BU130" s="355"/>
      <c r="BV130" s="355"/>
    </row>
    <row r="131" spans="63:74" x14ac:dyDescent="0.2">
      <c r="BK131" s="355"/>
      <c r="BL131" s="355"/>
      <c r="BM131" s="355"/>
      <c r="BN131" s="355"/>
      <c r="BO131" s="355"/>
      <c r="BP131" s="355"/>
      <c r="BQ131" s="355"/>
      <c r="BR131" s="355"/>
      <c r="BS131" s="355"/>
      <c r="BT131" s="355"/>
      <c r="BU131" s="355"/>
      <c r="BV131" s="355"/>
    </row>
    <row r="132" spans="63:74" x14ac:dyDescent="0.2">
      <c r="BK132" s="355"/>
      <c r="BL132" s="355"/>
      <c r="BM132" s="355"/>
      <c r="BN132" s="355"/>
      <c r="BO132" s="355"/>
      <c r="BP132" s="355"/>
      <c r="BQ132" s="355"/>
      <c r="BR132" s="355"/>
      <c r="BS132" s="355"/>
      <c r="BT132" s="355"/>
      <c r="BU132" s="355"/>
      <c r="BV132" s="355"/>
    </row>
    <row r="133" spans="63:74" x14ac:dyDescent="0.2">
      <c r="BK133" s="355"/>
      <c r="BL133" s="355"/>
      <c r="BM133" s="355"/>
      <c r="BN133" s="355"/>
      <c r="BO133" s="355"/>
      <c r="BP133" s="355"/>
      <c r="BQ133" s="355"/>
      <c r="BR133" s="355"/>
      <c r="BS133" s="355"/>
      <c r="BT133" s="355"/>
      <c r="BU133" s="355"/>
      <c r="BV133" s="355"/>
    </row>
    <row r="134" spans="63:74" x14ac:dyDescent="0.2">
      <c r="BK134" s="355"/>
      <c r="BL134" s="355"/>
      <c r="BM134" s="355"/>
      <c r="BN134" s="355"/>
      <c r="BO134" s="355"/>
      <c r="BP134" s="355"/>
      <c r="BQ134" s="355"/>
      <c r="BR134" s="355"/>
      <c r="BS134" s="355"/>
      <c r="BT134" s="355"/>
      <c r="BU134" s="355"/>
      <c r="BV134" s="355"/>
    </row>
    <row r="135" spans="63:74" x14ac:dyDescent="0.2">
      <c r="BK135" s="355"/>
      <c r="BL135" s="355"/>
      <c r="BM135" s="355"/>
      <c r="BN135" s="355"/>
      <c r="BO135" s="355"/>
      <c r="BP135" s="355"/>
      <c r="BQ135" s="355"/>
      <c r="BR135" s="355"/>
      <c r="BS135" s="355"/>
      <c r="BT135" s="355"/>
      <c r="BU135" s="355"/>
      <c r="BV135" s="355"/>
    </row>
    <row r="136" spans="63:74" x14ac:dyDescent="0.2">
      <c r="BK136" s="355"/>
      <c r="BL136" s="355"/>
      <c r="BM136" s="355"/>
      <c r="BN136" s="355"/>
      <c r="BO136" s="355"/>
      <c r="BP136" s="355"/>
      <c r="BQ136" s="355"/>
      <c r="BR136" s="355"/>
      <c r="BS136" s="355"/>
      <c r="BT136" s="355"/>
      <c r="BU136" s="355"/>
      <c r="BV136" s="355"/>
    </row>
    <row r="137" spans="63:74" x14ac:dyDescent="0.2">
      <c r="BK137" s="355"/>
      <c r="BL137" s="355"/>
      <c r="BM137" s="355"/>
      <c r="BN137" s="355"/>
      <c r="BO137" s="355"/>
      <c r="BP137" s="355"/>
      <c r="BQ137" s="355"/>
      <c r="BR137" s="355"/>
      <c r="BS137" s="355"/>
      <c r="BT137" s="355"/>
      <c r="BU137" s="355"/>
      <c r="BV137" s="355"/>
    </row>
    <row r="138" spans="63:74" x14ac:dyDescent="0.2">
      <c r="BK138" s="355"/>
      <c r="BL138" s="355"/>
      <c r="BM138" s="355"/>
      <c r="BN138" s="355"/>
      <c r="BO138" s="355"/>
      <c r="BP138" s="355"/>
      <c r="BQ138" s="355"/>
      <c r="BR138" s="355"/>
      <c r="BS138" s="355"/>
      <c r="BT138" s="355"/>
      <c r="BU138" s="355"/>
      <c r="BV138" s="355"/>
    </row>
    <row r="139" spans="63:74" x14ac:dyDescent="0.2">
      <c r="BK139" s="355"/>
      <c r="BL139" s="355"/>
      <c r="BM139" s="355"/>
      <c r="BN139" s="355"/>
      <c r="BO139" s="355"/>
      <c r="BP139" s="355"/>
      <c r="BQ139" s="355"/>
      <c r="BR139" s="355"/>
      <c r="BS139" s="355"/>
      <c r="BT139" s="355"/>
      <c r="BU139" s="355"/>
      <c r="BV139" s="355"/>
    </row>
    <row r="140" spans="63:74" x14ac:dyDescent="0.2">
      <c r="BK140" s="355"/>
      <c r="BL140" s="355"/>
      <c r="BM140" s="355"/>
      <c r="BN140" s="355"/>
      <c r="BO140" s="355"/>
      <c r="BP140" s="355"/>
      <c r="BQ140" s="355"/>
      <c r="BR140" s="355"/>
      <c r="BS140" s="355"/>
      <c r="BT140" s="355"/>
      <c r="BU140" s="355"/>
      <c r="BV140" s="355"/>
    </row>
    <row r="141" spans="63:74" x14ac:dyDescent="0.2">
      <c r="BK141" s="355"/>
      <c r="BL141" s="355"/>
      <c r="BM141" s="355"/>
      <c r="BN141" s="355"/>
      <c r="BO141" s="355"/>
      <c r="BP141" s="355"/>
      <c r="BQ141" s="355"/>
      <c r="BR141" s="355"/>
      <c r="BS141" s="355"/>
      <c r="BT141" s="355"/>
      <c r="BU141" s="355"/>
      <c r="BV141" s="355"/>
    </row>
    <row r="142" spans="63:74" x14ac:dyDescent="0.2">
      <c r="BK142" s="355"/>
      <c r="BL142" s="355"/>
      <c r="BM142" s="355"/>
      <c r="BN142" s="355"/>
      <c r="BO142" s="355"/>
      <c r="BP142" s="355"/>
      <c r="BQ142" s="355"/>
      <c r="BR142" s="355"/>
      <c r="BS142" s="355"/>
      <c r="BT142" s="355"/>
      <c r="BU142" s="355"/>
      <c r="BV142" s="355"/>
    </row>
    <row r="143" spans="63:74" x14ac:dyDescent="0.2">
      <c r="BK143" s="355"/>
      <c r="BL143" s="355"/>
      <c r="BM143" s="355"/>
      <c r="BN143" s="355"/>
      <c r="BO143" s="355"/>
      <c r="BP143" s="355"/>
      <c r="BQ143" s="355"/>
      <c r="BR143" s="355"/>
      <c r="BS143" s="355"/>
      <c r="BT143" s="355"/>
      <c r="BU143" s="355"/>
      <c r="BV143" s="355"/>
    </row>
    <row r="144" spans="63:74" x14ac:dyDescent="0.2">
      <c r="BK144" s="355"/>
      <c r="BL144" s="355"/>
      <c r="BM144" s="355"/>
      <c r="BN144" s="355"/>
      <c r="BO144" s="355"/>
      <c r="BP144" s="355"/>
      <c r="BQ144" s="355"/>
      <c r="BR144" s="355"/>
      <c r="BS144" s="355"/>
      <c r="BT144" s="355"/>
      <c r="BU144" s="355"/>
      <c r="BV144" s="355"/>
    </row>
    <row r="145" spans="63:74" x14ac:dyDescent="0.2">
      <c r="BK145" s="355"/>
      <c r="BL145" s="355"/>
      <c r="BM145" s="355"/>
      <c r="BN145" s="355"/>
      <c r="BO145" s="355"/>
      <c r="BP145" s="355"/>
      <c r="BQ145" s="355"/>
      <c r="BR145" s="355"/>
      <c r="BS145" s="355"/>
      <c r="BT145" s="355"/>
      <c r="BU145" s="355"/>
      <c r="BV145" s="355"/>
    </row>
    <row r="146" spans="63:74" x14ac:dyDescent="0.2">
      <c r="BK146" s="355"/>
      <c r="BL146" s="355"/>
      <c r="BM146" s="355"/>
      <c r="BN146" s="355"/>
      <c r="BO146" s="355"/>
      <c r="BP146" s="355"/>
      <c r="BQ146" s="355"/>
      <c r="BR146" s="355"/>
      <c r="BS146" s="355"/>
      <c r="BT146" s="355"/>
      <c r="BU146" s="355"/>
      <c r="BV146" s="355"/>
    </row>
    <row r="147" spans="63:74" x14ac:dyDescent="0.2">
      <c r="BK147" s="355"/>
      <c r="BL147" s="355"/>
      <c r="BM147" s="355"/>
      <c r="BN147" s="355"/>
      <c r="BO147" s="355"/>
      <c r="BP147" s="355"/>
      <c r="BQ147" s="355"/>
      <c r="BR147" s="355"/>
      <c r="BS147" s="355"/>
      <c r="BT147" s="355"/>
      <c r="BU147" s="355"/>
      <c r="BV147" s="355"/>
    </row>
    <row r="148" spans="63:74" x14ac:dyDescent="0.2">
      <c r="BK148" s="355"/>
      <c r="BL148" s="355"/>
      <c r="BM148" s="355"/>
      <c r="BN148" s="355"/>
      <c r="BO148" s="355"/>
      <c r="BP148" s="355"/>
      <c r="BQ148" s="355"/>
      <c r="BR148" s="355"/>
      <c r="BS148" s="355"/>
      <c r="BT148" s="355"/>
      <c r="BU148" s="355"/>
      <c r="BV148" s="355"/>
    </row>
    <row r="149" spans="63:74" x14ac:dyDescent="0.2">
      <c r="BK149" s="355"/>
      <c r="BL149" s="355"/>
      <c r="BM149" s="355"/>
      <c r="BN149" s="355"/>
      <c r="BO149" s="355"/>
      <c r="BP149" s="355"/>
      <c r="BQ149" s="355"/>
      <c r="BR149" s="355"/>
      <c r="BS149" s="355"/>
      <c r="BT149" s="355"/>
      <c r="BU149" s="355"/>
      <c r="BV149" s="355"/>
    </row>
    <row r="150" spans="63:74" x14ac:dyDescent="0.2">
      <c r="BK150" s="355"/>
      <c r="BL150" s="355"/>
      <c r="BM150" s="355"/>
      <c r="BN150" s="355"/>
      <c r="BO150" s="355"/>
      <c r="BP150" s="355"/>
      <c r="BQ150" s="355"/>
      <c r="BR150" s="355"/>
      <c r="BS150" s="355"/>
      <c r="BT150" s="355"/>
      <c r="BU150" s="355"/>
      <c r="BV150" s="355"/>
    </row>
    <row r="151" spans="63:74" x14ac:dyDescent="0.2">
      <c r="BK151" s="355"/>
      <c r="BL151" s="355"/>
      <c r="BM151" s="355"/>
      <c r="BN151" s="355"/>
      <c r="BO151" s="355"/>
      <c r="BP151" s="355"/>
      <c r="BQ151" s="355"/>
      <c r="BR151" s="355"/>
      <c r="BS151" s="355"/>
      <c r="BT151" s="355"/>
      <c r="BU151" s="355"/>
      <c r="BV151" s="355"/>
    </row>
    <row r="152" spans="63:74" x14ac:dyDescent="0.2">
      <c r="BK152" s="355"/>
      <c r="BL152" s="355"/>
      <c r="BM152" s="355"/>
      <c r="BN152" s="355"/>
      <c r="BO152" s="355"/>
      <c r="BP152" s="355"/>
      <c r="BQ152" s="355"/>
      <c r="BR152" s="355"/>
      <c r="BS152" s="355"/>
      <c r="BT152" s="355"/>
      <c r="BU152" s="355"/>
      <c r="BV152" s="355"/>
    </row>
    <row r="153" spans="63:74" x14ac:dyDescent="0.2">
      <c r="BK153" s="355"/>
      <c r="BL153" s="355"/>
      <c r="BM153" s="355"/>
      <c r="BN153" s="355"/>
      <c r="BO153" s="355"/>
      <c r="BP153" s="355"/>
      <c r="BQ153" s="355"/>
      <c r="BR153" s="355"/>
      <c r="BS153" s="355"/>
      <c r="BT153" s="355"/>
      <c r="BU153" s="355"/>
      <c r="BV153" s="355"/>
    </row>
    <row r="154" spans="63:74" x14ac:dyDescent="0.2">
      <c r="BK154" s="355"/>
      <c r="BL154" s="355"/>
      <c r="BM154" s="355"/>
      <c r="BN154" s="355"/>
      <c r="BO154" s="355"/>
      <c r="BP154" s="355"/>
      <c r="BQ154" s="355"/>
      <c r="BR154" s="355"/>
      <c r="BS154" s="355"/>
      <c r="BT154" s="355"/>
      <c r="BU154" s="355"/>
      <c r="BV154" s="355"/>
    </row>
    <row r="155" spans="63:74" x14ac:dyDescent="0.2">
      <c r="BK155" s="355"/>
      <c r="BL155" s="355"/>
      <c r="BM155" s="355"/>
      <c r="BN155" s="355"/>
      <c r="BO155" s="355"/>
      <c r="BP155" s="355"/>
      <c r="BQ155" s="355"/>
      <c r="BR155" s="355"/>
      <c r="BS155" s="355"/>
      <c r="BT155" s="355"/>
      <c r="BU155" s="355"/>
      <c r="BV155" s="355"/>
    </row>
    <row r="156" spans="63:74" x14ac:dyDescent="0.2">
      <c r="BK156" s="355"/>
      <c r="BL156" s="355"/>
      <c r="BM156" s="355"/>
      <c r="BN156" s="355"/>
      <c r="BO156" s="355"/>
      <c r="BP156" s="355"/>
      <c r="BQ156" s="355"/>
      <c r="BR156" s="355"/>
      <c r="BS156" s="355"/>
      <c r="BT156" s="355"/>
      <c r="BU156" s="355"/>
      <c r="BV156" s="355"/>
    </row>
    <row r="157" spans="63:74" x14ac:dyDescent="0.2">
      <c r="BK157" s="355"/>
      <c r="BL157" s="355"/>
      <c r="BM157" s="355"/>
      <c r="BN157" s="355"/>
      <c r="BO157" s="355"/>
      <c r="BP157" s="355"/>
      <c r="BQ157" s="355"/>
      <c r="BR157" s="355"/>
      <c r="BS157" s="355"/>
      <c r="BT157" s="355"/>
      <c r="BU157" s="355"/>
      <c r="BV157" s="355"/>
    </row>
    <row r="158" spans="63:74" x14ac:dyDescent="0.2">
      <c r="BK158" s="355"/>
      <c r="BL158" s="355"/>
      <c r="BM158" s="355"/>
      <c r="BN158" s="355"/>
      <c r="BO158" s="355"/>
      <c r="BP158" s="355"/>
      <c r="BQ158" s="355"/>
      <c r="BR158" s="355"/>
      <c r="BS158" s="355"/>
      <c r="BT158" s="355"/>
      <c r="BU158" s="355"/>
      <c r="BV158" s="355"/>
    </row>
    <row r="159" spans="63:74" x14ac:dyDescent="0.2">
      <c r="BK159" s="355"/>
      <c r="BL159" s="355"/>
      <c r="BM159" s="355"/>
      <c r="BN159" s="355"/>
      <c r="BO159" s="355"/>
      <c r="BP159" s="355"/>
      <c r="BQ159" s="355"/>
      <c r="BR159" s="355"/>
      <c r="BS159" s="355"/>
      <c r="BT159" s="355"/>
      <c r="BU159" s="355"/>
      <c r="BV159" s="355"/>
    </row>
    <row r="160" spans="63:74" x14ac:dyDescent="0.2">
      <c r="BK160" s="355"/>
      <c r="BL160" s="355"/>
      <c r="BM160" s="355"/>
      <c r="BN160" s="355"/>
      <c r="BO160" s="355"/>
      <c r="BP160" s="355"/>
      <c r="BQ160" s="355"/>
      <c r="BR160" s="355"/>
      <c r="BS160" s="355"/>
      <c r="BT160" s="355"/>
      <c r="BU160" s="355"/>
      <c r="BV160" s="355"/>
    </row>
  </sheetData>
  <mergeCells count="17">
    <mergeCell ref="B79:Q79"/>
    <mergeCell ref="B80:Q80"/>
    <mergeCell ref="A1:A2"/>
    <mergeCell ref="B71:Q71"/>
    <mergeCell ref="B73:Q73"/>
    <mergeCell ref="B74:Q74"/>
    <mergeCell ref="B76:Q76"/>
    <mergeCell ref="B77:Q77"/>
    <mergeCell ref="B78:Q78"/>
    <mergeCell ref="B75:Q75"/>
    <mergeCell ref="AM3:AX3"/>
    <mergeCell ref="AY3:BJ3"/>
    <mergeCell ref="BK3:BV3"/>
    <mergeCell ref="B1:AL1"/>
    <mergeCell ref="C3:N3"/>
    <mergeCell ref="O3:Z3"/>
    <mergeCell ref="AA3:AL3"/>
  </mergeCells>
  <phoneticPr fontId="6" type="noConversion"/>
  <hyperlinks>
    <hyperlink ref="A1:A2" location="Contents!A1" display="Table of Contents"/>
  </hyperlinks>
  <pageMargins left="0.25" right="0.25" top="0.25" bottom="0.25" header="0.5" footer="0.5"/>
  <pageSetup scale="34" orientation="portrait" horizontalDpi="300" verticalDpi="30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5">
    <pageSetUpPr fitToPage="1"/>
  </sheetPr>
  <dimension ref="A1:BV143"/>
  <sheetViews>
    <sheetView showGridLines="0" zoomScaleNormal="100" workbookViewId="0">
      <pane xSplit="2" ySplit="4" topLeftCell="BB5" activePane="bottomRight" state="frozen"/>
      <selection activeCell="BF63" sqref="BF63"/>
      <selection pane="topRight" activeCell="BF63" sqref="BF63"/>
      <selection pane="bottomLeft" activeCell="BF63" sqref="BF63"/>
      <selection pane="bottomRight" activeCell="B1" sqref="B1:AL1"/>
    </sheetView>
  </sheetViews>
  <sheetFormatPr defaultColWidth="9.5546875" defaultRowHeight="10.199999999999999" x14ac:dyDescent="0.2"/>
  <cols>
    <col min="1" max="1" width="12" style="164" customWidth="1"/>
    <col min="2" max="2" width="43.44140625" style="164" customWidth="1"/>
    <col min="3" max="50" width="7.44140625" style="164" customWidth="1"/>
    <col min="51" max="55" width="7.44140625" style="348" customWidth="1"/>
    <col min="56" max="58" width="7.44140625" style="168" customWidth="1"/>
    <col min="59" max="62" width="7.44140625" style="348" customWidth="1"/>
    <col min="63" max="74" width="7.44140625" style="164" customWidth="1"/>
    <col min="75" max="16384" width="9.5546875" style="164"/>
  </cols>
  <sheetData>
    <row r="1" spans="1:74" ht="13.35" customHeight="1" x14ac:dyDescent="0.25">
      <c r="A1" s="797" t="s">
        <v>809</v>
      </c>
      <c r="B1" s="874" t="s">
        <v>1423</v>
      </c>
      <c r="C1" s="875"/>
      <c r="D1" s="875"/>
      <c r="E1" s="875"/>
      <c r="F1" s="875"/>
      <c r="G1" s="875"/>
      <c r="H1" s="875"/>
      <c r="I1" s="875"/>
      <c r="J1" s="875"/>
      <c r="K1" s="875"/>
      <c r="L1" s="875"/>
      <c r="M1" s="875"/>
      <c r="N1" s="875"/>
      <c r="O1" s="875"/>
      <c r="P1" s="875"/>
      <c r="Q1" s="875"/>
      <c r="R1" s="875"/>
      <c r="S1" s="875"/>
      <c r="T1" s="875"/>
      <c r="U1" s="875"/>
      <c r="V1" s="875"/>
      <c r="W1" s="875"/>
      <c r="X1" s="875"/>
      <c r="Y1" s="875"/>
      <c r="Z1" s="875"/>
      <c r="AA1" s="875"/>
      <c r="AB1" s="875"/>
      <c r="AC1" s="875"/>
      <c r="AD1" s="875"/>
      <c r="AE1" s="875"/>
      <c r="AF1" s="875"/>
      <c r="AG1" s="875"/>
      <c r="AH1" s="875"/>
      <c r="AI1" s="875"/>
      <c r="AJ1" s="875"/>
      <c r="AK1" s="875"/>
      <c r="AL1" s="875"/>
      <c r="AM1" s="163"/>
    </row>
    <row r="2" spans="1:74" s="165" customFormat="1" ht="13.2" x14ac:dyDescent="0.25">
      <c r="A2" s="798"/>
      <c r="B2" s="532" t="str">
        <f>"U.S. Energy Information Administration  |  Short-Term Energy Outlook  - "&amp;Dates!D1</f>
        <v>U.S. Energy Information Administration  |  Short-Term Energy Outlook  - September 2020</v>
      </c>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c r="AK2" s="533"/>
      <c r="AL2" s="533"/>
      <c r="AM2" s="297"/>
      <c r="AY2" s="501"/>
      <c r="AZ2" s="501"/>
      <c r="BA2" s="501"/>
      <c r="BB2" s="501"/>
      <c r="BC2" s="501"/>
      <c r="BD2" s="694"/>
      <c r="BE2" s="694"/>
      <c r="BF2" s="694"/>
      <c r="BG2" s="501"/>
      <c r="BH2" s="501"/>
      <c r="BI2" s="501"/>
      <c r="BJ2" s="501"/>
    </row>
    <row r="3" spans="1:74" s="12" customFormat="1" ht="13.2" x14ac:dyDescent="0.25">
      <c r="A3" s="14"/>
      <c r="B3" s="15"/>
      <c r="C3" s="806">
        <f>Dates!D3</f>
        <v>2016</v>
      </c>
      <c r="D3" s="802"/>
      <c r="E3" s="802"/>
      <c r="F3" s="802"/>
      <c r="G3" s="802"/>
      <c r="H3" s="802"/>
      <c r="I3" s="802"/>
      <c r="J3" s="802"/>
      <c r="K3" s="802"/>
      <c r="L3" s="802"/>
      <c r="M3" s="802"/>
      <c r="N3" s="803"/>
      <c r="O3" s="806">
        <f>C3+1</f>
        <v>2017</v>
      </c>
      <c r="P3" s="807"/>
      <c r="Q3" s="807"/>
      <c r="R3" s="807"/>
      <c r="S3" s="807"/>
      <c r="T3" s="807"/>
      <c r="U3" s="807"/>
      <c r="V3" s="807"/>
      <c r="W3" s="807"/>
      <c r="X3" s="802"/>
      <c r="Y3" s="802"/>
      <c r="Z3" s="803"/>
      <c r="AA3" s="799">
        <f>O3+1</f>
        <v>2018</v>
      </c>
      <c r="AB3" s="802"/>
      <c r="AC3" s="802"/>
      <c r="AD3" s="802"/>
      <c r="AE3" s="802"/>
      <c r="AF3" s="802"/>
      <c r="AG3" s="802"/>
      <c r="AH3" s="802"/>
      <c r="AI3" s="802"/>
      <c r="AJ3" s="802"/>
      <c r="AK3" s="802"/>
      <c r="AL3" s="803"/>
      <c r="AM3" s="799">
        <f>AA3+1</f>
        <v>2019</v>
      </c>
      <c r="AN3" s="802"/>
      <c r="AO3" s="802"/>
      <c r="AP3" s="802"/>
      <c r="AQ3" s="802"/>
      <c r="AR3" s="802"/>
      <c r="AS3" s="802"/>
      <c r="AT3" s="802"/>
      <c r="AU3" s="802"/>
      <c r="AV3" s="802"/>
      <c r="AW3" s="802"/>
      <c r="AX3" s="803"/>
      <c r="AY3" s="799">
        <f>AM3+1</f>
        <v>2020</v>
      </c>
      <c r="AZ3" s="800"/>
      <c r="BA3" s="800"/>
      <c r="BB3" s="800"/>
      <c r="BC3" s="800"/>
      <c r="BD3" s="800"/>
      <c r="BE3" s="800"/>
      <c r="BF3" s="800"/>
      <c r="BG3" s="800"/>
      <c r="BH3" s="800"/>
      <c r="BI3" s="800"/>
      <c r="BJ3" s="801"/>
      <c r="BK3" s="799">
        <f>AY3+1</f>
        <v>2021</v>
      </c>
      <c r="BL3" s="802"/>
      <c r="BM3" s="802"/>
      <c r="BN3" s="802"/>
      <c r="BO3" s="802"/>
      <c r="BP3" s="802"/>
      <c r="BQ3" s="802"/>
      <c r="BR3" s="802"/>
      <c r="BS3" s="802"/>
      <c r="BT3" s="802"/>
      <c r="BU3" s="802"/>
      <c r="BV3" s="803"/>
    </row>
    <row r="4" spans="1:74" s="12" customFormat="1" x14ac:dyDescent="0.2">
      <c r="A4" s="16"/>
      <c r="B4" s="17"/>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A5" s="147"/>
      <c r="B5" s="166" t="s">
        <v>1153</v>
      </c>
      <c r="C5" s="167"/>
      <c r="D5" s="167"/>
      <c r="E5" s="167"/>
      <c r="F5" s="167"/>
      <c r="G5" s="167"/>
      <c r="H5" s="167"/>
      <c r="I5" s="167"/>
      <c r="J5" s="167"/>
      <c r="K5" s="167"/>
      <c r="L5" s="167"/>
      <c r="M5" s="167"/>
      <c r="N5" s="167"/>
      <c r="O5" s="167"/>
      <c r="P5" s="167"/>
      <c r="Q5" s="167"/>
      <c r="R5" s="167"/>
      <c r="S5" s="167"/>
      <c r="T5" s="167"/>
      <c r="U5" s="167"/>
      <c r="V5" s="167"/>
      <c r="W5" s="167"/>
      <c r="X5" s="167"/>
      <c r="Y5" s="167"/>
      <c r="Z5" s="167"/>
      <c r="AA5" s="167"/>
      <c r="AB5" s="167"/>
      <c r="AC5" s="167"/>
      <c r="AD5" s="167"/>
      <c r="AE5" s="167"/>
      <c r="AF5" s="167"/>
      <c r="AG5" s="167"/>
      <c r="AH5" s="167"/>
      <c r="AI5" s="167"/>
      <c r="AJ5" s="167"/>
      <c r="AK5" s="167"/>
      <c r="AL5" s="167"/>
      <c r="AM5" s="167"/>
      <c r="AN5" s="167"/>
      <c r="AO5" s="167"/>
      <c r="AP5" s="167"/>
      <c r="AQ5" s="167"/>
      <c r="AR5" s="167"/>
      <c r="AS5" s="167"/>
      <c r="AT5" s="167"/>
      <c r="AU5" s="167"/>
      <c r="AV5" s="167"/>
      <c r="AW5" s="167"/>
      <c r="AX5" s="167"/>
      <c r="AY5" s="412"/>
      <c r="AZ5" s="412"/>
      <c r="BA5" s="412"/>
      <c r="BB5" s="412"/>
      <c r="BC5" s="412"/>
      <c r="BD5" s="167"/>
      <c r="BE5" s="167"/>
      <c r="BF5" s="167"/>
      <c r="BG5" s="167"/>
      <c r="BH5" s="167"/>
      <c r="BI5" s="167"/>
      <c r="BJ5" s="412"/>
      <c r="BK5" s="412"/>
      <c r="BL5" s="412"/>
      <c r="BM5" s="412"/>
      <c r="BN5" s="412"/>
      <c r="BO5" s="412"/>
      <c r="BP5" s="412"/>
      <c r="BQ5" s="412"/>
      <c r="BR5" s="412"/>
      <c r="BS5" s="412"/>
      <c r="BT5" s="412"/>
      <c r="BU5" s="412"/>
      <c r="BV5" s="412"/>
    </row>
    <row r="6" spans="1:74" ht="11.1" customHeight="1" x14ac:dyDescent="0.2">
      <c r="A6" s="148" t="s">
        <v>700</v>
      </c>
      <c r="B6" s="209" t="s">
        <v>444</v>
      </c>
      <c r="C6" s="238">
        <v>939.26108054999997</v>
      </c>
      <c r="D6" s="238">
        <v>939.41652445</v>
      </c>
      <c r="E6" s="238">
        <v>940.37655696000002</v>
      </c>
      <c r="F6" s="238">
        <v>943.33975096999995</v>
      </c>
      <c r="G6" s="238">
        <v>945.01003103000005</v>
      </c>
      <c r="H6" s="238">
        <v>946.58597003</v>
      </c>
      <c r="I6" s="238">
        <v>948.56280327000002</v>
      </c>
      <c r="J6" s="238">
        <v>949.57863368000005</v>
      </c>
      <c r="K6" s="238">
        <v>950.12869655999998</v>
      </c>
      <c r="L6" s="238">
        <v>949.40164873000003</v>
      </c>
      <c r="M6" s="238">
        <v>949.62868391999996</v>
      </c>
      <c r="N6" s="238">
        <v>949.99845895999999</v>
      </c>
      <c r="O6" s="238">
        <v>949.92431818</v>
      </c>
      <c r="P6" s="238">
        <v>951.01956467000002</v>
      </c>
      <c r="Q6" s="238">
        <v>952.69754276000003</v>
      </c>
      <c r="R6" s="238">
        <v>955.69063728000003</v>
      </c>
      <c r="S6" s="238">
        <v>957.98478995000005</v>
      </c>
      <c r="T6" s="238">
        <v>960.31238560999998</v>
      </c>
      <c r="U6" s="238">
        <v>963.13524887999995</v>
      </c>
      <c r="V6" s="238">
        <v>965.18336203000001</v>
      </c>
      <c r="W6" s="238">
        <v>966.91854967999996</v>
      </c>
      <c r="X6" s="238">
        <v>967.28341284999999</v>
      </c>
      <c r="Y6" s="238">
        <v>969.18579875</v>
      </c>
      <c r="Z6" s="238">
        <v>971.56830838999997</v>
      </c>
      <c r="AA6" s="238">
        <v>975.85167870999999</v>
      </c>
      <c r="AB6" s="238">
        <v>978.12888313999997</v>
      </c>
      <c r="AC6" s="238">
        <v>979.82065861000001</v>
      </c>
      <c r="AD6" s="238">
        <v>980.05150217000005</v>
      </c>
      <c r="AE6" s="238">
        <v>981.22904695</v>
      </c>
      <c r="AF6" s="238">
        <v>982.47779000000003</v>
      </c>
      <c r="AG6" s="238">
        <v>984.37958034999997</v>
      </c>
      <c r="AH6" s="238">
        <v>985.33433316000003</v>
      </c>
      <c r="AI6" s="238">
        <v>985.92389748000005</v>
      </c>
      <c r="AJ6" s="238">
        <v>984.09778673000005</v>
      </c>
      <c r="AK6" s="238">
        <v>985.49483896000004</v>
      </c>
      <c r="AL6" s="238">
        <v>988.06456760000003</v>
      </c>
      <c r="AM6" s="238">
        <v>994.74957440000003</v>
      </c>
      <c r="AN6" s="238">
        <v>997.45770458000004</v>
      </c>
      <c r="AO6" s="238">
        <v>999.13155987000005</v>
      </c>
      <c r="AP6" s="238">
        <v>997.71979909000004</v>
      </c>
      <c r="AQ6" s="238">
        <v>998.86361049000004</v>
      </c>
      <c r="AR6" s="238">
        <v>1000.5116528999999</v>
      </c>
      <c r="AS6" s="238">
        <v>1003.5373982999999</v>
      </c>
      <c r="AT6" s="238">
        <v>1005.5387987</v>
      </c>
      <c r="AU6" s="238">
        <v>1007.3893260999999</v>
      </c>
      <c r="AV6" s="238">
        <v>1011.6048479</v>
      </c>
      <c r="AW6" s="238">
        <v>1011.2667287</v>
      </c>
      <c r="AX6" s="238">
        <v>1008.8908358</v>
      </c>
      <c r="AY6" s="238">
        <v>1015.8788532999999</v>
      </c>
      <c r="AZ6" s="238">
        <v>1000.8761502999999</v>
      </c>
      <c r="BA6" s="238">
        <v>975.28441072999999</v>
      </c>
      <c r="BB6" s="238">
        <v>901.07313400999999</v>
      </c>
      <c r="BC6" s="238">
        <v>882.82619681999995</v>
      </c>
      <c r="BD6" s="238">
        <v>882.51309856</v>
      </c>
      <c r="BE6" s="238">
        <v>930.45344393000005</v>
      </c>
      <c r="BF6" s="238">
        <v>943.26831994999998</v>
      </c>
      <c r="BG6" s="329">
        <v>951.27729999999997</v>
      </c>
      <c r="BH6" s="329">
        <v>948.70339999999999</v>
      </c>
      <c r="BI6" s="329">
        <v>951.43349999999998</v>
      </c>
      <c r="BJ6" s="329">
        <v>953.69050000000004</v>
      </c>
      <c r="BK6" s="329">
        <v>953.63639999999998</v>
      </c>
      <c r="BL6" s="329">
        <v>956.32600000000002</v>
      </c>
      <c r="BM6" s="329">
        <v>959.9212</v>
      </c>
      <c r="BN6" s="329">
        <v>966.17160000000001</v>
      </c>
      <c r="BO6" s="329">
        <v>970.26589999999999</v>
      </c>
      <c r="BP6" s="329">
        <v>973.95360000000005</v>
      </c>
      <c r="BQ6" s="329">
        <v>976.51880000000006</v>
      </c>
      <c r="BR6" s="329">
        <v>979.93039999999996</v>
      </c>
      <c r="BS6" s="329">
        <v>983.47239999999999</v>
      </c>
      <c r="BT6" s="329">
        <v>987.2423</v>
      </c>
      <c r="BU6" s="329">
        <v>990.97230000000002</v>
      </c>
      <c r="BV6" s="329">
        <v>994.75959999999998</v>
      </c>
    </row>
    <row r="7" spans="1:74" ht="11.1" customHeight="1" x14ac:dyDescent="0.2">
      <c r="A7" s="148" t="s">
        <v>701</v>
      </c>
      <c r="B7" s="209" t="s">
        <v>477</v>
      </c>
      <c r="C7" s="238">
        <v>2648.6499103000001</v>
      </c>
      <c r="D7" s="238">
        <v>2658.2719385999999</v>
      </c>
      <c r="E7" s="238">
        <v>2663.3358133000002</v>
      </c>
      <c r="F7" s="238">
        <v>2658.5938056999998</v>
      </c>
      <c r="G7" s="238">
        <v>2658.4771701</v>
      </c>
      <c r="H7" s="238">
        <v>2657.7381777000001</v>
      </c>
      <c r="I7" s="238">
        <v>2654.0069785999999</v>
      </c>
      <c r="J7" s="238">
        <v>2653.8006599</v>
      </c>
      <c r="K7" s="238">
        <v>2654.7493718000001</v>
      </c>
      <c r="L7" s="238">
        <v>2655.9230032999999</v>
      </c>
      <c r="M7" s="238">
        <v>2659.8793593</v>
      </c>
      <c r="N7" s="238">
        <v>2665.6883290999999</v>
      </c>
      <c r="O7" s="238">
        <v>2679.9675596000002</v>
      </c>
      <c r="P7" s="238">
        <v>2684.5185216</v>
      </c>
      <c r="Q7" s="238">
        <v>2685.9588619000001</v>
      </c>
      <c r="R7" s="238">
        <v>2676.8706579999998</v>
      </c>
      <c r="S7" s="238">
        <v>2677.6531973000001</v>
      </c>
      <c r="T7" s="238">
        <v>2680.8885571999999</v>
      </c>
      <c r="U7" s="238">
        <v>2689.4620989</v>
      </c>
      <c r="V7" s="238">
        <v>2695.4390790000002</v>
      </c>
      <c r="W7" s="238">
        <v>2701.7048586000001</v>
      </c>
      <c r="X7" s="238">
        <v>2709.3140564999999</v>
      </c>
      <c r="Y7" s="238">
        <v>2715.3664712</v>
      </c>
      <c r="Z7" s="238">
        <v>2720.9167215000002</v>
      </c>
      <c r="AA7" s="238">
        <v>2725.5894088999999</v>
      </c>
      <c r="AB7" s="238">
        <v>2730.4168792999999</v>
      </c>
      <c r="AC7" s="238">
        <v>2735.0237339999999</v>
      </c>
      <c r="AD7" s="238">
        <v>2739.6479380999999</v>
      </c>
      <c r="AE7" s="238">
        <v>2743.6350880999998</v>
      </c>
      <c r="AF7" s="238">
        <v>2747.2231489000001</v>
      </c>
      <c r="AG7" s="238">
        <v>2752.3130117999999</v>
      </c>
      <c r="AH7" s="238">
        <v>2753.6772258000001</v>
      </c>
      <c r="AI7" s="238">
        <v>2753.2166822999998</v>
      </c>
      <c r="AJ7" s="238">
        <v>2743.1239694000001</v>
      </c>
      <c r="AK7" s="238">
        <v>2744.8694694999999</v>
      </c>
      <c r="AL7" s="238">
        <v>2750.6457707</v>
      </c>
      <c r="AM7" s="238">
        <v>2769.2284905000001</v>
      </c>
      <c r="AN7" s="238">
        <v>2776.4846812000001</v>
      </c>
      <c r="AO7" s="238">
        <v>2781.1899600000002</v>
      </c>
      <c r="AP7" s="238">
        <v>2779.0952554</v>
      </c>
      <c r="AQ7" s="238">
        <v>2781.8855145000002</v>
      </c>
      <c r="AR7" s="238">
        <v>2785.3116657999999</v>
      </c>
      <c r="AS7" s="238">
        <v>2790.2583883000002</v>
      </c>
      <c r="AT7" s="238">
        <v>2794.2928142000001</v>
      </c>
      <c r="AU7" s="238">
        <v>2798.2996228000002</v>
      </c>
      <c r="AV7" s="238">
        <v>2811.4648093000001</v>
      </c>
      <c r="AW7" s="238">
        <v>2808.5268867</v>
      </c>
      <c r="AX7" s="238">
        <v>2798.6718503000002</v>
      </c>
      <c r="AY7" s="238">
        <v>2818.7711276999999</v>
      </c>
      <c r="AZ7" s="238">
        <v>2767.4282929000001</v>
      </c>
      <c r="BA7" s="238">
        <v>2681.5147735</v>
      </c>
      <c r="BB7" s="238">
        <v>2440.0922099999998</v>
      </c>
      <c r="BC7" s="238">
        <v>2375.7410911000002</v>
      </c>
      <c r="BD7" s="238">
        <v>2367.5230574000002</v>
      </c>
      <c r="BE7" s="238">
        <v>2504.1579918000002</v>
      </c>
      <c r="BF7" s="238">
        <v>2541.6662160000001</v>
      </c>
      <c r="BG7" s="329">
        <v>2568.768</v>
      </c>
      <c r="BH7" s="329">
        <v>2575.0329999999999</v>
      </c>
      <c r="BI7" s="329">
        <v>2589.143</v>
      </c>
      <c r="BJ7" s="329">
        <v>2600.6680000000001</v>
      </c>
      <c r="BK7" s="329">
        <v>2603.3539999999998</v>
      </c>
      <c r="BL7" s="329">
        <v>2614.4</v>
      </c>
      <c r="BM7" s="329">
        <v>2627.5529999999999</v>
      </c>
      <c r="BN7" s="329">
        <v>2646.9780000000001</v>
      </c>
      <c r="BO7" s="329">
        <v>2661.2190000000001</v>
      </c>
      <c r="BP7" s="329">
        <v>2674.4409999999998</v>
      </c>
      <c r="BQ7" s="329">
        <v>2685.098</v>
      </c>
      <c r="BR7" s="329">
        <v>2697.4430000000002</v>
      </c>
      <c r="BS7" s="329">
        <v>2709.9290000000001</v>
      </c>
      <c r="BT7" s="329">
        <v>2722.4580000000001</v>
      </c>
      <c r="BU7" s="329">
        <v>2735.3009999999999</v>
      </c>
      <c r="BV7" s="329">
        <v>2748.3589999999999</v>
      </c>
    </row>
    <row r="8" spans="1:74" ht="11.1" customHeight="1" x14ac:dyDescent="0.2">
      <c r="A8" s="148" t="s">
        <v>702</v>
      </c>
      <c r="B8" s="209" t="s">
        <v>445</v>
      </c>
      <c r="C8" s="238">
        <v>2404.1192317999999</v>
      </c>
      <c r="D8" s="238">
        <v>2405.5856767999999</v>
      </c>
      <c r="E8" s="238">
        <v>2409.2515161000001</v>
      </c>
      <c r="F8" s="238">
        <v>2419.5652666999999</v>
      </c>
      <c r="G8" s="238">
        <v>2424.2935068000002</v>
      </c>
      <c r="H8" s="238">
        <v>2427.8847534000001</v>
      </c>
      <c r="I8" s="238">
        <v>2427.3220643999998</v>
      </c>
      <c r="J8" s="238">
        <v>2430.9020304999999</v>
      </c>
      <c r="K8" s="238">
        <v>2435.6077097000002</v>
      </c>
      <c r="L8" s="238">
        <v>2446.014842</v>
      </c>
      <c r="M8" s="238">
        <v>2449.5401422</v>
      </c>
      <c r="N8" s="238">
        <v>2450.7593505</v>
      </c>
      <c r="O8" s="238">
        <v>2445.4358049000002</v>
      </c>
      <c r="P8" s="238">
        <v>2445.2203258</v>
      </c>
      <c r="Q8" s="238">
        <v>2445.8762511</v>
      </c>
      <c r="R8" s="238">
        <v>2447.219474</v>
      </c>
      <c r="S8" s="238">
        <v>2449.7562883999999</v>
      </c>
      <c r="T8" s="238">
        <v>2453.3025874</v>
      </c>
      <c r="U8" s="238">
        <v>2459.0512416000001</v>
      </c>
      <c r="V8" s="238">
        <v>2463.7218567999998</v>
      </c>
      <c r="W8" s="238">
        <v>2468.5073034000002</v>
      </c>
      <c r="X8" s="238">
        <v>2471.8850661000001</v>
      </c>
      <c r="Y8" s="238">
        <v>2478.0420626</v>
      </c>
      <c r="Z8" s="238">
        <v>2485.4557774</v>
      </c>
      <c r="AA8" s="238">
        <v>2499.0562258</v>
      </c>
      <c r="AB8" s="238">
        <v>2505.2858657000002</v>
      </c>
      <c r="AC8" s="238">
        <v>2509.0747124</v>
      </c>
      <c r="AD8" s="238">
        <v>2505.6237385999998</v>
      </c>
      <c r="AE8" s="238">
        <v>2508.1302695999998</v>
      </c>
      <c r="AF8" s="238">
        <v>2511.7952779000002</v>
      </c>
      <c r="AG8" s="238">
        <v>2520.2643028000002</v>
      </c>
      <c r="AH8" s="238">
        <v>2523.5121116</v>
      </c>
      <c r="AI8" s="238">
        <v>2525.1842434</v>
      </c>
      <c r="AJ8" s="238">
        <v>2522.0736781000001</v>
      </c>
      <c r="AK8" s="238">
        <v>2522.9997211999998</v>
      </c>
      <c r="AL8" s="238">
        <v>2524.7553524999998</v>
      </c>
      <c r="AM8" s="238">
        <v>2529.0173988000001</v>
      </c>
      <c r="AN8" s="238">
        <v>2531.1745864</v>
      </c>
      <c r="AO8" s="238">
        <v>2532.903742</v>
      </c>
      <c r="AP8" s="238">
        <v>2532.2618415000002</v>
      </c>
      <c r="AQ8" s="238">
        <v>2534.5922016</v>
      </c>
      <c r="AR8" s="238">
        <v>2537.9517980000001</v>
      </c>
      <c r="AS8" s="238">
        <v>2543.7256610999998</v>
      </c>
      <c r="AT8" s="238">
        <v>2548.1049573</v>
      </c>
      <c r="AU8" s="238">
        <v>2552.4747170000001</v>
      </c>
      <c r="AV8" s="238">
        <v>2564.2068665000002</v>
      </c>
      <c r="AW8" s="238">
        <v>2563.0286086999999</v>
      </c>
      <c r="AX8" s="238">
        <v>2556.3118697</v>
      </c>
      <c r="AY8" s="238">
        <v>2572.0147846999998</v>
      </c>
      <c r="AZ8" s="238">
        <v>2533.2524821000002</v>
      </c>
      <c r="BA8" s="238">
        <v>2467.9830971000001</v>
      </c>
      <c r="BB8" s="238">
        <v>2278.5301992999998</v>
      </c>
      <c r="BC8" s="238">
        <v>2233.503972</v>
      </c>
      <c r="BD8" s="238">
        <v>2235.227985</v>
      </c>
      <c r="BE8" s="238">
        <v>2362.8704210999999</v>
      </c>
      <c r="BF8" s="238">
        <v>2398.7187773000001</v>
      </c>
      <c r="BG8" s="329">
        <v>2421.9409999999998</v>
      </c>
      <c r="BH8" s="329">
        <v>2418.3330000000001</v>
      </c>
      <c r="BI8" s="329">
        <v>2426.9569999999999</v>
      </c>
      <c r="BJ8" s="329">
        <v>2433.6089999999999</v>
      </c>
      <c r="BK8" s="329">
        <v>2432.4580000000001</v>
      </c>
      <c r="BL8" s="329">
        <v>2439.5360000000001</v>
      </c>
      <c r="BM8" s="329">
        <v>2449.0149999999999</v>
      </c>
      <c r="BN8" s="329">
        <v>2465.8939999999998</v>
      </c>
      <c r="BO8" s="329">
        <v>2476.4209999999998</v>
      </c>
      <c r="BP8" s="329">
        <v>2485.596</v>
      </c>
      <c r="BQ8" s="329">
        <v>2491.1709999999998</v>
      </c>
      <c r="BR8" s="329">
        <v>2499.3310000000001</v>
      </c>
      <c r="BS8" s="329">
        <v>2507.828</v>
      </c>
      <c r="BT8" s="329">
        <v>2517.0450000000001</v>
      </c>
      <c r="BU8" s="329">
        <v>2525.9250000000002</v>
      </c>
      <c r="BV8" s="329">
        <v>2534.8530000000001</v>
      </c>
    </row>
    <row r="9" spans="1:74" ht="11.1" customHeight="1" x14ac:dyDescent="0.2">
      <c r="A9" s="148" t="s">
        <v>703</v>
      </c>
      <c r="B9" s="209" t="s">
        <v>446</v>
      </c>
      <c r="C9" s="238">
        <v>1129.6662345</v>
      </c>
      <c r="D9" s="238">
        <v>1128.7367789</v>
      </c>
      <c r="E9" s="238">
        <v>1128.6709702999999</v>
      </c>
      <c r="F9" s="238">
        <v>1129.4110625999999</v>
      </c>
      <c r="G9" s="238">
        <v>1131.1158571999999</v>
      </c>
      <c r="H9" s="238">
        <v>1133.7276082999999</v>
      </c>
      <c r="I9" s="238">
        <v>1139.2399326</v>
      </c>
      <c r="J9" s="238">
        <v>1142.1703838999999</v>
      </c>
      <c r="K9" s="238">
        <v>1144.512579</v>
      </c>
      <c r="L9" s="238">
        <v>1146.2985091</v>
      </c>
      <c r="M9" s="238">
        <v>1147.4401983</v>
      </c>
      <c r="N9" s="238">
        <v>1147.9696378000001</v>
      </c>
      <c r="O9" s="238">
        <v>1146.7839272000001</v>
      </c>
      <c r="P9" s="238">
        <v>1146.9160428</v>
      </c>
      <c r="Q9" s="238">
        <v>1147.2630841</v>
      </c>
      <c r="R9" s="238">
        <v>1148.6098843</v>
      </c>
      <c r="S9" s="238">
        <v>1148.7981523000001</v>
      </c>
      <c r="T9" s="238">
        <v>1148.6127211999999</v>
      </c>
      <c r="U9" s="238">
        <v>1146.1873584</v>
      </c>
      <c r="V9" s="238">
        <v>1146.6542035</v>
      </c>
      <c r="W9" s="238">
        <v>1148.1470240000001</v>
      </c>
      <c r="X9" s="238">
        <v>1151.1093911999999</v>
      </c>
      <c r="Y9" s="238">
        <v>1154.3214839</v>
      </c>
      <c r="Z9" s="238">
        <v>1158.2268733999999</v>
      </c>
      <c r="AA9" s="238">
        <v>1164.5055708</v>
      </c>
      <c r="AB9" s="238">
        <v>1168.5375457</v>
      </c>
      <c r="AC9" s="238">
        <v>1172.0028090999999</v>
      </c>
      <c r="AD9" s="238">
        <v>1174.9173781</v>
      </c>
      <c r="AE9" s="238">
        <v>1177.2372058999999</v>
      </c>
      <c r="AF9" s="238">
        <v>1178.9783096000001</v>
      </c>
      <c r="AG9" s="238">
        <v>1179.8349648000001</v>
      </c>
      <c r="AH9" s="238">
        <v>1180.6479133</v>
      </c>
      <c r="AI9" s="238">
        <v>1181.1114309</v>
      </c>
      <c r="AJ9" s="238">
        <v>1180.5170681</v>
      </c>
      <c r="AK9" s="238">
        <v>1180.8130607999999</v>
      </c>
      <c r="AL9" s="238">
        <v>1181.2909595000001</v>
      </c>
      <c r="AM9" s="238">
        <v>1181.8941394000001</v>
      </c>
      <c r="AN9" s="238">
        <v>1182.7783191000001</v>
      </c>
      <c r="AO9" s="238">
        <v>1183.8868737</v>
      </c>
      <c r="AP9" s="238">
        <v>1185.0360436999999</v>
      </c>
      <c r="AQ9" s="238">
        <v>1186.7311675999999</v>
      </c>
      <c r="AR9" s="238">
        <v>1188.7884858</v>
      </c>
      <c r="AS9" s="238">
        <v>1191.9066209</v>
      </c>
      <c r="AT9" s="238">
        <v>1194.1643609</v>
      </c>
      <c r="AU9" s="238">
        <v>1196.2603283999999</v>
      </c>
      <c r="AV9" s="238">
        <v>1200.4603288000001</v>
      </c>
      <c r="AW9" s="238">
        <v>1200.5333969999999</v>
      </c>
      <c r="AX9" s="238">
        <v>1198.7453384999999</v>
      </c>
      <c r="AY9" s="238">
        <v>1203.5930684</v>
      </c>
      <c r="AZ9" s="238">
        <v>1191.7100702</v>
      </c>
      <c r="BA9" s="238">
        <v>1171.593259</v>
      </c>
      <c r="BB9" s="238">
        <v>1111.6117826</v>
      </c>
      <c r="BC9" s="238">
        <v>1098.7504847</v>
      </c>
      <c r="BD9" s="238">
        <v>1101.3785129</v>
      </c>
      <c r="BE9" s="238">
        <v>1147.2216023000001</v>
      </c>
      <c r="BF9" s="238">
        <v>1160.0339816000001</v>
      </c>
      <c r="BG9" s="329">
        <v>1167.5409999999999</v>
      </c>
      <c r="BH9" s="329">
        <v>1163.432</v>
      </c>
      <c r="BI9" s="329">
        <v>1165.0630000000001</v>
      </c>
      <c r="BJ9" s="329">
        <v>1166.123</v>
      </c>
      <c r="BK9" s="329">
        <v>1164.146</v>
      </c>
      <c r="BL9" s="329">
        <v>1165.912</v>
      </c>
      <c r="BM9" s="329">
        <v>1168.9549999999999</v>
      </c>
      <c r="BN9" s="329">
        <v>1175.413</v>
      </c>
      <c r="BO9" s="329">
        <v>1179.4100000000001</v>
      </c>
      <c r="BP9" s="329">
        <v>1183.0820000000001</v>
      </c>
      <c r="BQ9" s="329">
        <v>1186.075</v>
      </c>
      <c r="BR9" s="329">
        <v>1189.364</v>
      </c>
      <c r="BS9" s="329">
        <v>1192.595</v>
      </c>
      <c r="BT9" s="329">
        <v>1195.713</v>
      </c>
      <c r="BU9" s="329">
        <v>1198.8679999999999</v>
      </c>
      <c r="BV9" s="329">
        <v>1202.0070000000001</v>
      </c>
    </row>
    <row r="10" spans="1:74" ht="11.1" customHeight="1" x14ac:dyDescent="0.2">
      <c r="A10" s="148" t="s">
        <v>704</v>
      </c>
      <c r="B10" s="209" t="s">
        <v>447</v>
      </c>
      <c r="C10" s="238">
        <v>3108.3093318000001</v>
      </c>
      <c r="D10" s="238">
        <v>3113.8425323000001</v>
      </c>
      <c r="E10" s="238">
        <v>3119.7723461</v>
      </c>
      <c r="F10" s="238">
        <v>3125.9890273000001</v>
      </c>
      <c r="G10" s="238">
        <v>3132.7943771</v>
      </c>
      <c r="H10" s="238">
        <v>3140.0786496000001</v>
      </c>
      <c r="I10" s="238">
        <v>3147.7502797000002</v>
      </c>
      <c r="J10" s="238">
        <v>3156.0610713999999</v>
      </c>
      <c r="K10" s="238">
        <v>3164.9194596000002</v>
      </c>
      <c r="L10" s="238">
        <v>3176.5139961</v>
      </c>
      <c r="M10" s="238">
        <v>3184.8261634999999</v>
      </c>
      <c r="N10" s="238">
        <v>3192.0445137000002</v>
      </c>
      <c r="O10" s="238">
        <v>3198.7819540999999</v>
      </c>
      <c r="P10" s="238">
        <v>3203.352989</v>
      </c>
      <c r="Q10" s="238">
        <v>3206.3705260000002</v>
      </c>
      <c r="R10" s="238">
        <v>3203.4231672000001</v>
      </c>
      <c r="S10" s="238">
        <v>3206.6422567</v>
      </c>
      <c r="T10" s="238">
        <v>3211.6163967000002</v>
      </c>
      <c r="U10" s="238">
        <v>3218.9312577000001</v>
      </c>
      <c r="V10" s="238">
        <v>3226.9762455999999</v>
      </c>
      <c r="W10" s="238">
        <v>3236.337031</v>
      </c>
      <c r="X10" s="238">
        <v>3249.4720173000001</v>
      </c>
      <c r="Y10" s="238">
        <v>3259.6205952999999</v>
      </c>
      <c r="Z10" s="238">
        <v>3269.2411683</v>
      </c>
      <c r="AA10" s="238">
        <v>3279.2916197999998</v>
      </c>
      <c r="AB10" s="238">
        <v>3287.1377701000001</v>
      </c>
      <c r="AC10" s="238">
        <v>3293.7375026</v>
      </c>
      <c r="AD10" s="238">
        <v>3296.4521768999998</v>
      </c>
      <c r="AE10" s="238">
        <v>3302.5380544</v>
      </c>
      <c r="AF10" s="238">
        <v>3309.3564944999998</v>
      </c>
      <c r="AG10" s="238">
        <v>3319.8052941000001</v>
      </c>
      <c r="AH10" s="238">
        <v>3325.9155117999999</v>
      </c>
      <c r="AI10" s="238">
        <v>3330.5849444</v>
      </c>
      <c r="AJ10" s="238">
        <v>3330.1048236000001</v>
      </c>
      <c r="AK10" s="238">
        <v>3334.6742623</v>
      </c>
      <c r="AL10" s="238">
        <v>3340.5844923</v>
      </c>
      <c r="AM10" s="238">
        <v>3351.3978883</v>
      </c>
      <c r="AN10" s="238">
        <v>3357.3179193999999</v>
      </c>
      <c r="AO10" s="238">
        <v>3361.9069605999998</v>
      </c>
      <c r="AP10" s="238">
        <v>3361.9081443</v>
      </c>
      <c r="AQ10" s="238">
        <v>3366.2778560000002</v>
      </c>
      <c r="AR10" s="238">
        <v>3371.7592282999999</v>
      </c>
      <c r="AS10" s="238">
        <v>3379.5426699</v>
      </c>
      <c r="AT10" s="238">
        <v>3386.3545568999998</v>
      </c>
      <c r="AU10" s="238">
        <v>3393.3852978999998</v>
      </c>
      <c r="AV10" s="238">
        <v>3410.1890779</v>
      </c>
      <c r="AW10" s="238">
        <v>3410.4918883999999</v>
      </c>
      <c r="AX10" s="238">
        <v>3403.8479143</v>
      </c>
      <c r="AY10" s="238">
        <v>3416.1198396999998</v>
      </c>
      <c r="AZ10" s="238">
        <v>3376.1852835</v>
      </c>
      <c r="BA10" s="238">
        <v>3309.9069297000001</v>
      </c>
      <c r="BB10" s="238">
        <v>3113.8091798</v>
      </c>
      <c r="BC10" s="238">
        <v>3072.4499297000002</v>
      </c>
      <c r="BD10" s="238">
        <v>3082.3535809999998</v>
      </c>
      <c r="BE10" s="238">
        <v>3236.1496395999998</v>
      </c>
      <c r="BF10" s="238">
        <v>3279.1069639000002</v>
      </c>
      <c r="BG10" s="329">
        <v>3303.855</v>
      </c>
      <c r="BH10" s="329">
        <v>3287.7269999999999</v>
      </c>
      <c r="BI10" s="329">
        <v>3293.0569999999998</v>
      </c>
      <c r="BJ10" s="329">
        <v>3297.1779999999999</v>
      </c>
      <c r="BK10" s="329">
        <v>3294.134</v>
      </c>
      <c r="BL10" s="329">
        <v>3300.3029999999999</v>
      </c>
      <c r="BM10" s="329">
        <v>3309.7310000000002</v>
      </c>
      <c r="BN10" s="329">
        <v>3328.337</v>
      </c>
      <c r="BO10" s="329">
        <v>3339.8389999999999</v>
      </c>
      <c r="BP10" s="329">
        <v>3350.1579999999999</v>
      </c>
      <c r="BQ10" s="329">
        <v>3357.1390000000001</v>
      </c>
      <c r="BR10" s="329">
        <v>3366.7089999999998</v>
      </c>
      <c r="BS10" s="329">
        <v>3376.7130000000002</v>
      </c>
      <c r="BT10" s="329">
        <v>3387.45</v>
      </c>
      <c r="BU10" s="329">
        <v>3398.096</v>
      </c>
      <c r="BV10" s="329">
        <v>3408.9520000000002</v>
      </c>
    </row>
    <row r="11" spans="1:74" ht="11.1" customHeight="1" x14ac:dyDescent="0.2">
      <c r="A11" s="148" t="s">
        <v>705</v>
      </c>
      <c r="B11" s="209" t="s">
        <v>448</v>
      </c>
      <c r="C11" s="238">
        <v>787.33070754000005</v>
      </c>
      <c r="D11" s="238">
        <v>788.10302486</v>
      </c>
      <c r="E11" s="238">
        <v>789.06117692999999</v>
      </c>
      <c r="F11" s="238">
        <v>790.44454354000004</v>
      </c>
      <c r="G11" s="238">
        <v>791.59483022999996</v>
      </c>
      <c r="H11" s="238">
        <v>792.75141680000002</v>
      </c>
      <c r="I11" s="238">
        <v>793.74705770000003</v>
      </c>
      <c r="J11" s="238">
        <v>795.04167821999999</v>
      </c>
      <c r="K11" s="238">
        <v>796.46803279000005</v>
      </c>
      <c r="L11" s="238">
        <v>798.71129990999998</v>
      </c>
      <c r="M11" s="238">
        <v>799.88723872000003</v>
      </c>
      <c r="N11" s="238">
        <v>800.68102771999997</v>
      </c>
      <c r="O11" s="238">
        <v>800.93815116999997</v>
      </c>
      <c r="P11" s="238">
        <v>801.08352732000003</v>
      </c>
      <c r="Q11" s="238">
        <v>800.96264043999997</v>
      </c>
      <c r="R11" s="238">
        <v>799.51480587000003</v>
      </c>
      <c r="S11" s="238">
        <v>799.65690644999995</v>
      </c>
      <c r="T11" s="238">
        <v>800.32825751999997</v>
      </c>
      <c r="U11" s="238">
        <v>801.33334467999998</v>
      </c>
      <c r="V11" s="238">
        <v>803.20983250999996</v>
      </c>
      <c r="W11" s="238">
        <v>805.76220661000002</v>
      </c>
      <c r="X11" s="238">
        <v>810.70264450000002</v>
      </c>
      <c r="Y11" s="238">
        <v>813.32265801999995</v>
      </c>
      <c r="Z11" s="238">
        <v>815.33442468999999</v>
      </c>
      <c r="AA11" s="238">
        <v>815.62494901000002</v>
      </c>
      <c r="AB11" s="238">
        <v>817.25496858999998</v>
      </c>
      <c r="AC11" s="238">
        <v>819.11148791999995</v>
      </c>
      <c r="AD11" s="238">
        <v>821.74747760000002</v>
      </c>
      <c r="AE11" s="238">
        <v>823.64226852000002</v>
      </c>
      <c r="AF11" s="238">
        <v>825.34883127000001</v>
      </c>
      <c r="AG11" s="238">
        <v>827.06952484999999</v>
      </c>
      <c r="AH11" s="238">
        <v>828.24786199000005</v>
      </c>
      <c r="AI11" s="238">
        <v>829.08620169000005</v>
      </c>
      <c r="AJ11" s="238">
        <v>828.79524577999996</v>
      </c>
      <c r="AK11" s="238">
        <v>829.54556424999998</v>
      </c>
      <c r="AL11" s="238">
        <v>830.54785890999995</v>
      </c>
      <c r="AM11" s="238">
        <v>832.4057583</v>
      </c>
      <c r="AN11" s="238">
        <v>833.45928397</v>
      </c>
      <c r="AO11" s="238">
        <v>834.31206444999998</v>
      </c>
      <c r="AP11" s="238">
        <v>834.23479420000001</v>
      </c>
      <c r="AQ11" s="238">
        <v>835.23306344000002</v>
      </c>
      <c r="AR11" s="238">
        <v>836.57756664999999</v>
      </c>
      <c r="AS11" s="238">
        <v>838.73337958000002</v>
      </c>
      <c r="AT11" s="238">
        <v>840.42154387999994</v>
      </c>
      <c r="AU11" s="238">
        <v>842.10713533000001</v>
      </c>
      <c r="AV11" s="238">
        <v>846.32891226000004</v>
      </c>
      <c r="AW11" s="238">
        <v>846.10528924000005</v>
      </c>
      <c r="AX11" s="238">
        <v>843.97502460999999</v>
      </c>
      <c r="AY11" s="238">
        <v>845.01775383999995</v>
      </c>
      <c r="AZ11" s="238">
        <v>835.26447938000001</v>
      </c>
      <c r="BA11" s="238">
        <v>819.79483672000003</v>
      </c>
      <c r="BB11" s="238">
        <v>774.91855201999999</v>
      </c>
      <c r="BC11" s="238">
        <v>765.78387830999998</v>
      </c>
      <c r="BD11" s="238">
        <v>768.70054177999998</v>
      </c>
      <c r="BE11" s="238">
        <v>805.54360574999998</v>
      </c>
      <c r="BF11" s="238">
        <v>816.15664604000006</v>
      </c>
      <c r="BG11" s="329">
        <v>822.41470000000004</v>
      </c>
      <c r="BH11" s="329">
        <v>819.00620000000004</v>
      </c>
      <c r="BI11" s="329">
        <v>820.53809999999999</v>
      </c>
      <c r="BJ11" s="329">
        <v>821.69880000000001</v>
      </c>
      <c r="BK11" s="329">
        <v>820.86239999999998</v>
      </c>
      <c r="BL11" s="329">
        <v>822.50019999999995</v>
      </c>
      <c r="BM11" s="329">
        <v>824.98620000000005</v>
      </c>
      <c r="BN11" s="329">
        <v>829.90300000000002</v>
      </c>
      <c r="BO11" s="329">
        <v>832.89850000000001</v>
      </c>
      <c r="BP11" s="329">
        <v>835.55529999999999</v>
      </c>
      <c r="BQ11" s="329">
        <v>837.43629999999996</v>
      </c>
      <c r="BR11" s="329">
        <v>839.74360000000001</v>
      </c>
      <c r="BS11" s="329">
        <v>842.04010000000005</v>
      </c>
      <c r="BT11" s="329">
        <v>844.25300000000004</v>
      </c>
      <c r="BU11" s="329">
        <v>846.58259999999996</v>
      </c>
      <c r="BV11" s="329">
        <v>848.95619999999997</v>
      </c>
    </row>
    <row r="12" spans="1:74" ht="11.1" customHeight="1" x14ac:dyDescent="0.2">
      <c r="A12" s="148" t="s">
        <v>706</v>
      </c>
      <c r="B12" s="209" t="s">
        <v>449</v>
      </c>
      <c r="C12" s="238">
        <v>2165.1966616</v>
      </c>
      <c r="D12" s="238">
        <v>2162.5727935999998</v>
      </c>
      <c r="E12" s="238">
        <v>2160.6170112</v>
      </c>
      <c r="F12" s="238">
        <v>2158.9345708000001</v>
      </c>
      <c r="G12" s="238">
        <v>2158.6110171</v>
      </c>
      <c r="H12" s="238">
        <v>2159.2516067000001</v>
      </c>
      <c r="I12" s="238">
        <v>2161.7861594000001</v>
      </c>
      <c r="J12" s="238">
        <v>2163.6576706000001</v>
      </c>
      <c r="K12" s="238">
        <v>2165.7959599999999</v>
      </c>
      <c r="L12" s="238">
        <v>2166.8721365000001</v>
      </c>
      <c r="M12" s="238">
        <v>2170.5406511000001</v>
      </c>
      <c r="N12" s="238">
        <v>2175.4726125000002</v>
      </c>
      <c r="O12" s="238">
        <v>2183.5036358000002</v>
      </c>
      <c r="P12" s="238">
        <v>2189.5857796</v>
      </c>
      <c r="Q12" s="238">
        <v>2195.5546589</v>
      </c>
      <c r="R12" s="238">
        <v>2201.4394989000002</v>
      </c>
      <c r="S12" s="238">
        <v>2207.1599305</v>
      </c>
      <c r="T12" s="238">
        <v>2212.7451787999998</v>
      </c>
      <c r="U12" s="238">
        <v>2217.7300306000002</v>
      </c>
      <c r="V12" s="238">
        <v>2223.3938223999999</v>
      </c>
      <c r="W12" s="238">
        <v>2229.2713408999998</v>
      </c>
      <c r="X12" s="238">
        <v>2234.0710899999999</v>
      </c>
      <c r="Y12" s="238">
        <v>2241.3446838999998</v>
      </c>
      <c r="Z12" s="238">
        <v>2249.8006264999999</v>
      </c>
      <c r="AA12" s="238">
        <v>2262.2757803999998</v>
      </c>
      <c r="AB12" s="238">
        <v>2270.9687733000001</v>
      </c>
      <c r="AC12" s="238">
        <v>2278.7164680000001</v>
      </c>
      <c r="AD12" s="238">
        <v>2285.1399277999999</v>
      </c>
      <c r="AE12" s="238">
        <v>2291.2812284000001</v>
      </c>
      <c r="AF12" s="238">
        <v>2296.7614333000001</v>
      </c>
      <c r="AG12" s="238">
        <v>2299.7583304999998</v>
      </c>
      <c r="AH12" s="238">
        <v>2305.2830029000002</v>
      </c>
      <c r="AI12" s="238">
        <v>2311.5132383</v>
      </c>
      <c r="AJ12" s="238">
        <v>2318.9999226</v>
      </c>
      <c r="AK12" s="238">
        <v>2326.2281201999999</v>
      </c>
      <c r="AL12" s="238">
        <v>2333.7487167999998</v>
      </c>
      <c r="AM12" s="238">
        <v>2342.3965564999999</v>
      </c>
      <c r="AN12" s="238">
        <v>2349.875818</v>
      </c>
      <c r="AO12" s="238">
        <v>2357.0213454</v>
      </c>
      <c r="AP12" s="238">
        <v>2362.8724625</v>
      </c>
      <c r="AQ12" s="238">
        <v>2370.0710290000002</v>
      </c>
      <c r="AR12" s="238">
        <v>2377.6563686</v>
      </c>
      <c r="AS12" s="238">
        <v>2387.2657496000002</v>
      </c>
      <c r="AT12" s="238">
        <v>2394.3966841000001</v>
      </c>
      <c r="AU12" s="238">
        <v>2400.6864406</v>
      </c>
      <c r="AV12" s="238">
        <v>2410.3286527999999</v>
      </c>
      <c r="AW12" s="238">
        <v>2411.7908277000001</v>
      </c>
      <c r="AX12" s="238">
        <v>2409.2665993000001</v>
      </c>
      <c r="AY12" s="238">
        <v>2421.3360213999999</v>
      </c>
      <c r="AZ12" s="238">
        <v>2396.9039455000002</v>
      </c>
      <c r="BA12" s="238">
        <v>2354.5504255999999</v>
      </c>
      <c r="BB12" s="238">
        <v>2229.3654416999998</v>
      </c>
      <c r="BC12" s="238">
        <v>2199.8515489000001</v>
      </c>
      <c r="BD12" s="238">
        <v>2201.0987273000001</v>
      </c>
      <c r="BE12" s="238">
        <v>2289.882423</v>
      </c>
      <c r="BF12" s="238">
        <v>2310.0701589</v>
      </c>
      <c r="BG12" s="329">
        <v>2318.4369999999999</v>
      </c>
      <c r="BH12" s="329">
        <v>2298.4740000000002</v>
      </c>
      <c r="BI12" s="329">
        <v>2295.5830000000001</v>
      </c>
      <c r="BJ12" s="329">
        <v>2293.2539999999999</v>
      </c>
      <c r="BK12" s="329">
        <v>2288.9189999999999</v>
      </c>
      <c r="BL12" s="329">
        <v>2289.6410000000001</v>
      </c>
      <c r="BM12" s="329">
        <v>2292.8519999999999</v>
      </c>
      <c r="BN12" s="329">
        <v>2301.9560000000001</v>
      </c>
      <c r="BO12" s="329">
        <v>2307.59</v>
      </c>
      <c r="BP12" s="329">
        <v>2313.1579999999999</v>
      </c>
      <c r="BQ12" s="329">
        <v>2318.2220000000002</v>
      </c>
      <c r="BR12" s="329">
        <v>2323.9879999999998</v>
      </c>
      <c r="BS12" s="329">
        <v>2330.0189999999998</v>
      </c>
      <c r="BT12" s="329">
        <v>2335.0369999999998</v>
      </c>
      <c r="BU12" s="329">
        <v>2342.5529999999999</v>
      </c>
      <c r="BV12" s="329">
        <v>2351.2910000000002</v>
      </c>
    </row>
    <row r="13" spans="1:74" ht="11.1" customHeight="1" x14ac:dyDescent="0.2">
      <c r="A13" s="148" t="s">
        <v>707</v>
      </c>
      <c r="B13" s="209" t="s">
        <v>450</v>
      </c>
      <c r="C13" s="238">
        <v>1132.2311274000001</v>
      </c>
      <c r="D13" s="238">
        <v>1133.9126867</v>
      </c>
      <c r="E13" s="238">
        <v>1135.7582689000001</v>
      </c>
      <c r="F13" s="238">
        <v>1136.6390799999999</v>
      </c>
      <c r="G13" s="238">
        <v>1139.6593032999999</v>
      </c>
      <c r="H13" s="238">
        <v>1143.6901449</v>
      </c>
      <c r="I13" s="238">
        <v>1151.3752070999999</v>
      </c>
      <c r="J13" s="238">
        <v>1155.4445834000001</v>
      </c>
      <c r="K13" s="238">
        <v>1158.5418764000001</v>
      </c>
      <c r="L13" s="238">
        <v>1159.2556304</v>
      </c>
      <c r="M13" s="238">
        <v>1161.4673479</v>
      </c>
      <c r="N13" s="238">
        <v>1163.7655735999999</v>
      </c>
      <c r="O13" s="238">
        <v>1166.2409029999999</v>
      </c>
      <c r="P13" s="238">
        <v>1168.644198</v>
      </c>
      <c r="Q13" s="238">
        <v>1171.0660544</v>
      </c>
      <c r="R13" s="238">
        <v>1172.2564099000001</v>
      </c>
      <c r="S13" s="238">
        <v>1175.6529356999999</v>
      </c>
      <c r="T13" s="238">
        <v>1180.0055694</v>
      </c>
      <c r="U13" s="238">
        <v>1187.7171837000001</v>
      </c>
      <c r="V13" s="238">
        <v>1192.1798791000001</v>
      </c>
      <c r="W13" s="238">
        <v>1195.7965280999999</v>
      </c>
      <c r="X13" s="238">
        <v>1196.5723533</v>
      </c>
      <c r="Y13" s="238">
        <v>1199.9929927000001</v>
      </c>
      <c r="Z13" s="238">
        <v>1204.0636688</v>
      </c>
      <c r="AA13" s="238">
        <v>1210.4204511999999</v>
      </c>
      <c r="AB13" s="238">
        <v>1214.5641486</v>
      </c>
      <c r="AC13" s="238">
        <v>1218.1308305</v>
      </c>
      <c r="AD13" s="238">
        <v>1220.3741143</v>
      </c>
      <c r="AE13" s="238">
        <v>1223.3465524000001</v>
      </c>
      <c r="AF13" s="238">
        <v>1226.3017620999999</v>
      </c>
      <c r="AG13" s="238">
        <v>1229.1241540000001</v>
      </c>
      <c r="AH13" s="238">
        <v>1232.1315990000001</v>
      </c>
      <c r="AI13" s="238">
        <v>1235.2085076000001</v>
      </c>
      <c r="AJ13" s="238">
        <v>1238.1379156999999</v>
      </c>
      <c r="AK13" s="238">
        <v>1241.5164746999999</v>
      </c>
      <c r="AL13" s="238">
        <v>1245.1272203000001</v>
      </c>
      <c r="AM13" s="238">
        <v>1249.8723018000001</v>
      </c>
      <c r="AN13" s="238">
        <v>1253.2708090000001</v>
      </c>
      <c r="AO13" s="238">
        <v>1256.2248912</v>
      </c>
      <c r="AP13" s="238">
        <v>1257.8819119</v>
      </c>
      <c r="AQ13" s="238">
        <v>1260.5866209999999</v>
      </c>
      <c r="AR13" s="238">
        <v>1263.4863823000001</v>
      </c>
      <c r="AS13" s="238">
        <v>1266.8347283000001</v>
      </c>
      <c r="AT13" s="238">
        <v>1269.9344444000001</v>
      </c>
      <c r="AU13" s="238">
        <v>1273.0390629999999</v>
      </c>
      <c r="AV13" s="238">
        <v>1279.6522950000001</v>
      </c>
      <c r="AW13" s="238">
        <v>1280.1389360000001</v>
      </c>
      <c r="AX13" s="238">
        <v>1278.0026966</v>
      </c>
      <c r="AY13" s="238">
        <v>1281.0285403</v>
      </c>
      <c r="AZ13" s="238">
        <v>1267.8078177</v>
      </c>
      <c r="BA13" s="238">
        <v>1246.1254921</v>
      </c>
      <c r="BB13" s="238">
        <v>1182.1577447</v>
      </c>
      <c r="BC13" s="238">
        <v>1168.9200773</v>
      </c>
      <c r="BD13" s="238">
        <v>1172.5886711000001</v>
      </c>
      <c r="BE13" s="238">
        <v>1223.6667233000001</v>
      </c>
      <c r="BF13" s="238">
        <v>1238.2704412999999</v>
      </c>
      <c r="BG13" s="329">
        <v>1246.903</v>
      </c>
      <c r="BH13" s="329">
        <v>1242.249</v>
      </c>
      <c r="BI13" s="329">
        <v>1244.4259999999999</v>
      </c>
      <c r="BJ13" s="329">
        <v>1246.1179999999999</v>
      </c>
      <c r="BK13" s="329">
        <v>1245.1980000000001</v>
      </c>
      <c r="BL13" s="329">
        <v>1247.5160000000001</v>
      </c>
      <c r="BM13" s="329">
        <v>1250.9449999999999</v>
      </c>
      <c r="BN13" s="329">
        <v>1257.414</v>
      </c>
      <c r="BO13" s="329">
        <v>1261.6189999999999</v>
      </c>
      <c r="BP13" s="329">
        <v>1265.4870000000001</v>
      </c>
      <c r="BQ13" s="329">
        <v>1268.5519999999999</v>
      </c>
      <c r="BR13" s="329">
        <v>1272.0999999999999</v>
      </c>
      <c r="BS13" s="329">
        <v>1275.662</v>
      </c>
      <c r="BT13" s="329">
        <v>1279.1590000000001</v>
      </c>
      <c r="BU13" s="329">
        <v>1282.8130000000001</v>
      </c>
      <c r="BV13" s="329">
        <v>1286.5429999999999</v>
      </c>
    </row>
    <row r="14" spans="1:74" ht="11.1" customHeight="1" x14ac:dyDescent="0.2">
      <c r="A14" s="148" t="s">
        <v>708</v>
      </c>
      <c r="B14" s="209" t="s">
        <v>451</v>
      </c>
      <c r="C14" s="238">
        <v>3303.6232617999999</v>
      </c>
      <c r="D14" s="238">
        <v>3316.1454454</v>
      </c>
      <c r="E14" s="238">
        <v>3323.0166389000001</v>
      </c>
      <c r="F14" s="238">
        <v>3312.5983448000002</v>
      </c>
      <c r="G14" s="238">
        <v>3316.8964313000001</v>
      </c>
      <c r="H14" s="238">
        <v>3324.2724008999999</v>
      </c>
      <c r="I14" s="238">
        <v>3338.1149326</v>
      </c>
      <c r="J14" s="238">
        <v>3349.1051588999999</v>
      </c>
      <c r="K14" s="238">
        <v>3360.6317588000002</v>
      </c>
      <c r="L14" s="238">
        <v>3373.5949627999998</v>
      </c>
      <c r="M14" s="238">
        <v>3385.5191372999998</v>
      </c>
      <c r="N14" s="238">
        <v>3397.3045127999999</v>
      </c>
      <c r="O14" s="238">
        <v>3407.9077444999998</v>
      </c>
      <c r="P14" s="238">
        <v>3420.1980305000002</v>
      </c>
      <c r="Q14" s="238">
        <v>3433.1320258999999</v>
      </c>
      <c r="R14" s="238">
        <v>3447.7333208</v>
      </c>
      <c r="S14" s="238">
        <v>3461.1870426999999</v>
      </c>
      <c r="T14" s="238">
        <v>3474.5167814000001</v>
      </c>
      <c r="U14" s="238">
        <v>3484.5937419000002</v>
      </c>
      <c r="V14" s="238">
        <v>3500.0221110000002</v>
      </c>
      <c r="W14" s="238">
        <v>3517.6730935999999</v>
      </c>
      <c r="X14" s="238">
        <v>3544.4163830000002</v>
      </c>
      <c r="Y14" s="238">
        <v>3561.3603223999999</v>
      </c>
      <c r="Z14" s="238">
        <v>3575.3746053</v>
      </c>
      <c r="AA14" s="238">
        <v>3581.0765462999998</v>
      </c>
      <c r="AB14" s="238">
        <v>3593.2685299999998</v>
      </c>
      <c r="AC14" s="238">
        <v>3606.5678710000002</v>
      </c>
      <c r="AD14" s="238">
        <v>3626.4563036999998</v>
      </c>
      <c r="AE14" s="238">
        <v>3637.8590586999999</v>
      </c>
      <c r="AF14" s="238">
        <v>3646.2578703999998</v>
      </c>
      <c r="AG14" s="238">
        <v>3646.2226206</v>
      </c>
      <c r="AH14" s="238">
        <v>3652.6861342000002</v>
      </c>
      <c r="AI14" s="238">
        <v>3660.2182929999999</v>
      </c>
      <c r="AJ14" s="238">
        <v>3670.2439991000001</v>
      </c>
      <c r="AK14" s="238">
        <v>3678.8447719000001</v>
      </c>
      <c r="AL14" s="238">
        <v>3687.4455136000001</v>
      </c>
      <c r="AM14" s="238">
        <v>3697.735424</v>
      </c>
      <c r="AN14" s="238">
        <v>3705.0692030999999</v>
      </c>
      <c r="AO14" s="238">
        <v>3711.1360510999998</v>
      </c>
      <c r="AP14" s="238">
        <v>3712.7884921</v>
      </c>
      <c r="AQ14" s="238">
        <v>3718.6820843</v>
      </c>
      <c r="AR14" s="238">
        <v>3725.6693521000002</v>
      </c>
      <c r="AS14" s="238">
        <v>3735.2408138000001</v>
      </c>
      <c r="AT14" s="238">
        <v>3743.2975439000002</v>
      </c>
      <c r="AU14" s="238">
        <v>3751.3300605999998</v>
      </c>
      <c r="AV14" s="238">
        <v>3769.6187137000002</v>
      </c>
      <c r="AW14" s="238">
        <v>3769.8925416000002</v>
      </c>
      <c r="AX14" s="238">
        <v>3762.4318939</v>
      </c>
      <c r="AY14" s="238">
        <v>3784.2767236</v>
      </c>
      <c r="AZ14" s="238">
        <v>3733.5671600999999</v>
      </c>
      <c r="BA14" s="238">
        <v>3647.3431564000002</v>
      </c>
      <c r="BB14" s="238">
        <v>3402.6174439000001</v>
      </c>
      <c r="BC14" s="238">
        <v>3337.6050111</v>
      </c>
      <c r="BD14" s="238">
        <v>3329.3185893999998</v>
      </c>
      <c r="BE14" s="238">
        <v>3464.5211479999998</v>
      </c>
      <c r="BF14" s="238">
        <v>3504.6145218000001</v>
      </c>
      <c r="BG14" s="329">
        <v>3536.3620000000001</v>
      </c>
      <c r="BH14" s="329">
        <v>3554.86</v>
      </c>
      <c r="BI14" s="329">
        <v>3573.5920000000001</v>
      </c>
      <c r="BJ14" s="329">
        <v>3587.6550000000002</v>
      </c>
      <c r="BK14" s="329">
        <v>3587.3029999999999</v>
      </c>
      <c r="BL14" s="329">
        <v>3599.3380000000002</v>
      </c>
      <c r="BM14" s="329">
        <v>3614.0120000000002</v>
      </c>
      <c r="BN14" s="329">
        <v>3636.393</v>
      </c>
      <c r="BO14" s="329">
        <v>3652.549</v>
      </c>
      <c r="BP14" s="329">
        <v>3667.5439999999999</v>
      </c>
      <c r="BQ14" s="329">
        <v>3680.0909999999999</v>
      </c>
      <c r="BR14" s="329">
        <v>3693.7350000000001</v>
      </c>
      <c r="BS14" s="329">
        <v>3707.1880000000001</v>
      </c>
      <c r="BT14" s="329">
        <v>3720.0619999999999</v>
      </c>
      <c r="BU14" s="329">
        <v>3733.4209999999998</v>
      </c>
      <c r="BV14" s="329">
        <v>3746.8780000000002</v>
      </c>
    </row>
    <row r="15" spans="1:74" ht="11.1" customHeight="1" x14ac:dyDescent="0.2">
      <c r="A15" s="148"/>
      <c r="B15" s="168" t="s">
        <v>1022</v>
      </c>
      <c r="C15" s="243"/>
      <c r="D15" s="243"/>
      <c r="E15" s="243"/>
      <c r="F15" s="243"/>
      <c r="G15" s="243"/>
      <c r="H15" s="243"/>
      <c r="I15" s="243"/>
      <c r="J15" s="243"/>
      <c r="K15" s="243"/>
      <c r="L15" s="243"/>
      <c r="M15" s="243"/>
      <c r="N15" s="243"/>
      <c r="O15" s="243"/>
      <c r="P15" s="243"/>
      <c r="Q15" s="243"/>
      <c r="R15" s="243"/>
      <c r="S15" s="243"/>
      <c r="T15" s="243"/>
      <c r="U15" s="243"/>
      <c r="V15" s="243"/>
      <c r="W15" s="243"/>
      <c r="X15" s="243"/>
      <c r="Y15" s="243"/>
      <c r="Z15" s="243"/>
      <c r="AA15" s="243"/>
      <c r="AB15" s="243"/>
      <c r="AC15" s="243"/>
      <c r="AD15" s="243"/>
      <c r="AE15" s="243"/>
      <c r="AF15" s="243"/>
      <c r="AG15" s="243"/>
      <c r="AH15" s="243"/>
      <c r="AI15" s="243"/>
      <c r="AJ15" s="243"/>
      <c r="AK15" s="243"/>
      <c r="AL15" s="243"/>
      <c r="AM15" s="243"/>
      <c r="AN15" s="243"/>
      <c r="AO15" s="243"/>
      <c r="AP15" s="243"/>
      <c r="AQ15" s="243"/>
      <c r="AR15" s="243"/>
      <c r="AS15" s="243"/>
      <c r="AT15" s="243"/>
      <c r="AU15" s="243"/>
      <c r="AV15" s="243"/>
      <c r="AW15" s="243"/>
      <c r="AX15" s="243"/>
      <c r="AY15" s="243"/>
      <c r="AZ15" s="243"/>
      <c r="BA15" s="243"/>
      <c r="BB15" s="243"/>
      <c r="BC15" s="243"/>
      <c r="BD15" s="243"/>
      <c r="BE15" s="243"/>
      <c r="BF15" s="243"/>
      <c r="BG15" s="341"/>
      <c r="BH15" s="341"/>
      <c r="BI15" s="341"/>
      <c r="BJ15" s="341"/>
      <c r="BK15" s="341"/>
      <c r="BL15" s="341"/>
      <c r="BM15" s="341"/>
      <c r="BN15" s="341"/>
      <c r="BO15" s="341"/>
      <c r="BP15" s="341"/>
      <c r="BQ15" s="341"/>
      <c r="BR15" s="341"/>
      <c r="BS15" s="341"/>
      <c r="BT15" s="341"/>
      <c r="BU15" s="341"/>
      <c r="BV15" s="341"/>
    </row>
    <row r="16" spans="1:74" ht="11.1" customHeight="1" x14ac:dyDescent="0.2">
      <c r="A16" s="148" t="s">
        <v>709</v>
      </c>
      <c r="B16" s="209" t="s">
        <v>444</v>
      </c>
      <c r="C16" s="256">
        <v>96.795207032999997</v>
      </c>
      <c r="D16" s="256">
        <v>96.633978225000007</v>
      </c>
      <c r="E16" s="256">
        <v>96.445014908999994</v>
      </c>
      <c r="F16" s="256">
        <v>96.075284428000003</v>
      </c>
      <c r="G16" s="256">
        <v>95.945626590000003</v>
      </c>
      <c r="H16" s="256">
        <v>95.903008736999993</v>
      </c>
      <c r="I16" s="256">
        <v>96.009162529999998</v>
      </c>
      <c r="J16" s="256">
        <v>96.094325902999998</v>
      </c>
      <c r="K16" s="256">
        <v>96.220230517999994</v>
      </c>
      <c r="L16" s="256">
        <v>96.429710622000002</v>
      </c>
      <c r="M16" s="256">
        <v>96.604972031000003</v>
      </c>
      <c r="N16" s="256">
        <v>96.788848994000006</v>
      </c>
      <c r="O16" s="256">
        <v>96.974287283999999</v>
      </c>
      <c r="P16" s="256">
        <v>97.180686023999996</v>
      </c>
      <c r="Q16" s="256">
        <v>97.400990987</v>
      </c>
      <c r="R16" s="256">
        <v>97.812049685000005</v>
      </c>
      <c r="S16" s="256">
        <v>97.927531462000005</v>
      </c>
      <c r="T16" s="256">
        <v>97.924283830999997</v>
      </c>
      <c r="U16" s="256">
        <v>97.432582878999995</v>
      </c>
      <c r="V16" s="256">
        <v>97.469169362000002</v>
      </c>
      <c r="W16" s="256">
        <v>97.664319368999998</v>
      </c>
      <c r="X16" s="256">
        <v>98.368144698999998</v>
      </c>
      <c r="Y16" s="256">
        <v>98.617837902999995</v>
      </c>
      <c r="Z16" s="256">
        <v>98.763510779000001</v>
      </c>
      <c r="AA16" s="256">
        <v>98.623224171000004</v>
      </c>
      <c r="AB16" s="256">
        <v>98.697310763000004</v>
      </c>
      <c r="AC16" s="256">
        <v>98.803831396999996</v>
      </c>
      <c r="AD16" s="256">
        <v>98.957381909999995</v>
      </c>
      <c r="AE16" s="256">
        <v>99.117823751000003</v>
      </c>
      <c r="AF16" s="256">
        <v>99.299752756999993</v>
      </c>
      <c r="AG16" s="256">
        <v>99.613637488999998</v>
      </c>
      <c r="AH16" s="256">
        <v>99.755689403000005</v>
      </c>
      <c r="AI16" s="256">
        <v>99.836377060999993</v>
      </c>
      <c r="AJ16" s="256">
        <v>99.834033018</v>
      </c>
      <c r="AK16" s="256">
        <v>99.808242746999994</v>
      </c>
      <c r="AL16" s="256">
        <v>99.737338804000004</v>
      </c>
      <c r="AM16" s="256">
        <v>99.640687275999994</v>
      </c>
      <c r="AN16" s="256">
        <v>99.465031421000006</v>
      </c>
      <c r="AO16" s="256">
        <v>99.229737326999995</v>
      </c>
      <c r="AP16" s="256">
        <v>98.684092096000001</v>
      </c>
      <c r="AQ16" s="256">
        <v>98.517556197999994</v>
      </c>
      <c r="AR16" s="256">
        <v>98.479416735000001</v>
      </c>
      <c r="AS16" s="256">
        <v>98.790450036999999</v>
      </c>
      <c r="AT16" s="256">
        <v>98.843521195999998</v>
      </c>
      <c r="AU16" s="256">
        <v>98.859406540999998</v>
      </c>
      <c r="AV16" s="256">
        <v>98.949695708999997</v>
      </c>
      <c r="AW16" s="256">
        <v>98.807517202</v>
      </c>
      <c r="AX16" s="256">
        <v>98.544460654000005</v>
      </c>
      <c r="AY16" s="256">
        <v>99.925499404000007</v>
      </c>
      <c r="AZ16" s="256">
        <v>98.096956773000002</v>
      </c>
      <c r="BA16" s="256">
        <v>94.823806099999999</v>
      </c>
      <c r="BB16" s="256">
        <v>84.838644423000005</v>
      </c>
      <c r="BC16" s="256">
        <v>82.626829884000003</v>
      </c>
      <c r="BD16" s="256">
        <v>82.920959522000004</v>
      </c>
      <c r="BE16" s="256">
        <v>90.299953479999999</v>
      </c>
      <c r="BF16" s="256">
        <v>92.171781366000005</v>
      </c>
      <c r="BG16" s="342">
        <v>93.115359999999995</v>
      </c>
      <c r="BH16" s="342">
        <v>91.815269999999998</v>
      </c>
      <c r="BI16" s="342">
        <v>91.888930000000002</v>
      </c>
      <c r="BJ16" s="342">
        <v>92.020920000000004</v>
      </c>
      <c r="BK16" s="342">
        <v>92.235609999999994</v>
      </c>
      <c r="BL16" s="342">
        <v>92.465969999999999</v>
      </c>
      <c r="BM16" s="342">
        <v>92.736369999999994</v>
      </c>
      <c r="BN16" s="342">
        <v>93.137150000000005</v>
      </c>
      <c r="BO16" s="342">
        <v>93.419889999999995</v>
      </c>
      <c r="BP16" s="342">
        <v>93.67492</v>
      </c>
      <c r="BQ16" s="342">
        <v>93.822630000000004</v>
      </c>
      <c r="BR16" s="342">
        <v>94.081959999999995</v>
      </c>
      <c r="BS16" s="342">
        <v>94.373310000000004</v>
      </c>
      <c r="BT16" s="342">
        <v>94.703900000000004</v>
      </c>
      <c r="BU16" s="342">
        <v>95.053839999999994</v>
      </c>
      <c r="BV16" s="342">
        <v>95.430359999999993</v>
      </c>
    </row>
    <row r="17" spans="1:74" ht="11.1" customHeight="1" x14ac:dyDescent="0.2">
      <c r="A17" s="148" t="s">
        <v>710</v>
      </c>
      <c r="B17" s="209" t="s">
        <v>477</v>
      </c>
      <c r="C17" s="256">
        <v>97.559098269000003</v>
      </c>
      <c r="D17" s="256">
        <v>97.428885887999996</v>
      </c>
      <c r="E17" s="256">
        <v>97.221575255999994</v>
      </c>
      <c r="F17" s="256">
        <v>96.691778455999994</v>
      </c>
      <c r="G17" s="256">
        <v>96.514312262000004</v>
      </c>
      <c r="H17" s="256">
        <v>96.443788753999996</v>
      </c>
      <c r="I17" s="256">
        <v>96.565259666000003</v>
      </c>
      <c r="J17" s="256">
        <v>96.644832734999994</v>
      </c>
      <c r="K17" s="256">
        <v>96.767559695000003</v>
      </c>
      <c r="L17" s="256">
        <v>97.002295461000003</v>
      </c>
      <c r="M17" s="256">
        <v>97.159689010999998</v>
      </c>
      <c r="N17" s="256">
        <v>97.308595263000001</v>
      </c>
      <c r="O17" s="256">
        <v>97.407810991999995</v>
      </c>
      <c r="P17" s="256">
        <v>97.570645064999994</v>
      </c>
      <c r="Q17" s="256">
        <v>97.755894257999998</v>
      </c>
      <c r="R17" s="256">
        <v>98.186907001999998</v>
      </c>
      <c r="S17" s="256">
        <v>98.249475110999995</v>
      </c>
      <c r="T17" s="256">
        <v>98.166947016999998</v>
      </c>
      <c r="U17" s="256">
        <v>97.499252889999994</v>
      </c>
      <c r="V17" s="256">
        <v>97.456584758999995</v>
      </c>
      <c r="W17" s="256">
        <v>97.598872795000005</v>
      </c>
      <c r="X17" s="256">
        <v>98.294133810999995</v>
      </c>
      <c r="Y17" s="256">
        <v>98.530321573999998</v>
      </c>
      <c r="Z17" s="256">
        <v>98.675452895999996</v>
      </c>
      <c r="AA17" s="256">
        <v>98.583386024000006</v>
      </c>
      <c r="AB17" s="256">
        <v>98.656010780000003</v>
      </c>
      <c r="AC17" s="256">
        <v>98.747185408999997</v>
      </c>
      <c r="AD17" s="256">
        <v>98.819838331</v>
      </c>
      <c r="AE17" s="256">
        <v>98.975916394999999</v>
      </c>
      <c r="AF17" s="256">
        <v>99.178348020000001</v>
      </c>
      <c r="AG17" s="256">
        <v>99.588074934999995</v>
      </c>
      <c r="AH17" s="256">
        <v>99.762507382999999</v>
      </c>
      <c r="AI17" s="256">
        <v>99.862587094999995</v>
      </c>
      <c r="AJ17" s="256">
        <v>99.906462532000006</v>
      </c>
      <c r="AK17" s="256">
        <v>99.844225422999997</v>
      </c>
      <c r="AL17" s="256">
        <v>99.694024231</v>
      </c>
      <c r="AM17" s="256">
        <v>99.367507132</v>
      </c>
      <c r="AN17" s="256">
        <v>99.107641639999997</v>
      </c>
      <c r="AO17" s="256">
        <v>98.826075932999998</v>
      </c>
      <c r="AP17" s="256">
        <v>98.377511986000002</v>
      </c>
      <c r="AQ17" s="256">
        <v>98.161519362999996</v>
      </c>
      <c r="AR17" s="256">
        <v>98.032800041000002</v>
      </c>
      <c r="AS17" s="256">
        <v>98.078152806000006</v>
      </c>
      <c r="AT17" s="256">
        <v>98.058880995999999</v>
      </c>
      <c r="AU17" s="256">
        <v>98.061783396999999</v>
      </c>
      <c r="AV17" s="256">
        <v>98.273587202000002</v>
      </c>
      <c r="AW17" s="256">
        <v>98.180792631000003</v>
      </c>
      <c r="AX17" s="256">
        <v>97.970126876999998</v>
      </c>
      <c r="AY17" s="256">
        <v>99.837349692999993</v>
      </c>
      <c r="AZ17" s="256">
        <v>97.744121758999995</v>
      </c>
      <c r="BA17" s="256">
        <v>93.886202828999998</v>
      </c>
      <c r="BB17" s="256">
        <v>82.301883755999995</v>
      </c>
      <c r="BC17" s="256">
        <v>79.385864690999995</v>
      </c>
      <c r="BD17" s="256">
        <v>79.176436487000004</v>
      </c>
      <c r="BE17" s="256">
        <v>86.436873919000007</v>
      </c>
      <c r="BF17" s="256">
        <v>88.068171359000004</v>
      </c>
      <c r="BG17" s="342">
        <v>88.833600000000004</v>
      </c>
      <c r="BH17" s="342">
        <v>87.470619999999997</v>
      </c>
      <c r="BI17" s="342">
        <v>87.451229999999995</v>
      </c>
      <c r="BJ17" s="342">
        <v>87.512900000000002</v>
      </c>
      <c r="BK17" s="342">
        <v>87.655869999999993</v>
      </c>
      <c r="BL17" s="342">
        <v>87.879459999999995</v>
      </c>
      <c r="BM17" s="342">
        <v>88.183909999999997</v>
      </c>
      <c r="BN17" s="342">
        <v>88.640020000000007</v>
      </c>
      <c r="BO17" s="342">
        <v>89.053120000000007</v>
      </c>
      <c r="BP17" s="342">
        <v>89.493989999999997</v>
      </c>
      <c r="BQ17" s="342">
        <v>89.995779999999996</v>
      </c>
      <c r="BR17" s="342">
        <v>90.467349999999996</v>
      </c>
      <c r="BS17" s="342">
        <v>90.941829999999996</v>
      </c>
      <c r="BT17" s="342">
        <v>91.333280000000002</v>
      </c>
      <c r="BU17" s="342">
        <v>91.878069999999994</v>
      </c>
      <c r="BV17" s="342">
        <v>92.490250000000003</v>
      </c>
    </row>
    <row r="18" spans="1:74" ht="11.1" customHeight="1" x14ac:dyDescent="0.2">
      <c r="A18" s="148" t="s">
        <v>711</v>
      </c>
      <c r="B18" s="209" t="s">
        <v>445</v>
      </c>
      <c r="C18" s="256">
        <v>103.68985802</v>
      </c>
      <c r="D18" s="256">
        <v>103.62945387000001</v>
      </c>
      <c r="E18" s="256">
        <v>103.51881622000001</v>
      </c>
      <c r="F18" s="256">
        <v>103.16888954</v>
      </c>
      <c r="G18" s="256">
        <v>103.09957652999999</v>
      </c>
      <c r="H18" s="256">
        <v>103.12182167</v>
      </c>
      <c r="I18" s="256">
        <v>103.30371417000001</v>
      </c>
      <c r="J18" s="256">
        <v>103.45800868000001</v>
      </c>
      <c r="K18" s="256">
        <v>103.65279442000001</v>
      </c>
      <c r="L18" s="256">
        <v>103.93833284999999</v>
      </c>
      <c r="M18" s="256">
        <v>104.17640496999999</v>
      </c>
      <c r="N18" s="256">
        <v>104.41727222999999</v>
      </c>
      <c r="O18" s="256">
        <v>104.64391085</v>
      </c>
      <c r="P18" s="256">
        <v>104.90313625</v>
      </c>
      <c r="Q18" s="256">
        <v>105.17792464</v>
      </c>
      <c r="R18" s="256">
        <v>105.69533894999999</v>
      </c>
      <c r="S18" s="256">
        <v>105.83095612</v>
      </c>
      <c r="T18" s="256">
        <v>105.81183907</v>
      </c>
      <c r="U18" s="256">
        <v>105.1040895</v>
      </c>
      <c r="V18" s="256">
        <v>105.17592777</v>
      </c>
      <c r="W18" s="256">
        <v>105.49345554999999</v>
      </c>
      <c r="X18" s="256">
        <v>106.5369324</v>
      </c>
      <c r="Y18" s="256">
        <v>106.98564455</v>
      </c>
      <c r="Z18" s="256">
        <v>107.31985155</v>
      </c>
      <c r="AA18" s="256">
        <v>107.40109065</v>
      </c>
      <c r="AB18" s="256">
        <v>107.61013441999999</v>
      </c>
      <c r="AC18" s="256">
        <v>107.8085201</v>
      </c>
      <c r="AD18" s="256">
        <v>107.94821703</v>
      </c>
      <c r="AE18" s="256">
        <v>108.16130953</v>
      </c>
      <c r="AF18" s="256">
        <v>108.39976693</v>
      </c>
      <c r="AG18" s="256">
        <v>108.7821194</v>
      </c>
      <c r="AH18" s="256">
        <v>108.98240898</v>
      </c>
      <c r="AI18" s="256">
        <v>109.11916583</v>
      </c>
      <c r="AJ18" s="256">
        <v>109.26072635</v>
      </c>
      <c r="AK18" s="256">
        <v>109.21916546</v>
      </c>
      <c r="AL18" s="256">
        <v>109.06281955999999</v>
      </c>
      <c r="AM18" s="256">
        <v>108.70825786</v>
      </c>
      <c r="AN18" s="256">
        <v>108.38491501999999</v>
      </c>
      <c r="AO18" s="256">
        <v>108.00936025</v>
      </c>
      <c r="AP18" s="256">
        <v>107.32769274</v>
      </c>
      <c r="AQ18" s="256">
        <v>107.03813975</v>
      </c>
      <c r="AR18" s="256">
        <v>106.88680045</v>
      </c>
      <c r="AS18" s="256">
        <v>107.1072171</v>
      </c>
      <c r="AT18" s="256">
        <v>107.05714849</v>
      </c>
      <c r="AU18" s="256">
        <v>106.97013689000001</v>
      </c>
      <c r="AV18" s="256">
        <v>106.9767841</v>
      </c>
      <c r="AW18" s="256">
        <v>106.71793516</v>
      </c>
      <c r="AX18" s="256">
        <v>106.32419186</v>
      </c>
      <c r="AY18" s="256">
        <v>108.28115172</v>
      </c>
      <c r="AZ18" s="256">
        <v>105.75342161</v>
      </c>
      <c r="BA18" s="256">
        <v>101.22659903</v>
      </c>
      <c r="BB18" s="256">
        <v>87.768164795000004</v>
      </c>
      <c r="BC18" s="256">
        <v>84.442546684000007</v>
      </c>
      <c r="BD18" s="256">
        <v>84.317225503000003</v>
      </c>
      <c r="BE18" s="256">
        <v>93.017425611999997</v>
      </c>
      <c r="BF18" s="256">
        <v>95.073780022999998</v>
      </c>
      <c r="BG18" s="342">
        <v>96.111509999999996</v>
      </c>
      <c r="BH18" s="342">
        <v>94.660709999999995</v>
      </c>
      <c r="BI18" s="342">
        <v>94.763639999999995</v>
      </c>
      <c r="BJ18" s="342">
        <v>94.950379999999996</v>
      </c>
      <c r="BK18" s="342">
        <v>95.258719999999997</v>
      </c>
      <c r="BL18" s="342">
        <v>95.584739999999996</v>
      </c>
      <c r="BM18" s="342">
        <v>95.966239999999999</v>
      </c>
      <c r="BN18" s="342">
        <v>96.603229999999996</v>
      </c>
      <c r="BO18" s="342">
        <v>96.945639999999997</v>
      </c>
      <c r="BP18" s="342">
        <v>97.193510000000003</v>
      </c>
      <c r="BQ18" s="342">
        <v>97.005780000000001</v>
      </c>
      <c r="BR18" s="342">
        <v>97.320340000000002</v>
      </c>
      <c r="BS18" s="342">
        <v>97.796139999999994</v>
      </c>
      <c r="BT18" s="342">
        <v>98.656580000000005</v>
      </c>
      <c r="BU18" s="342">
        <v>99.287310000000005</v>
      </c>
      <c r="BV18" s="342">
        <v>99.911730000000006</v>
      </c>
    </row>
    <row r="19" spans="1:74" ht="11.1" customHeight="1" x14ac:dyDescent="0.2">
      <c r="A19" s="148" t="s">
        <v>712</v>
      </c>
      <c r="B19" s="209" t="s">
        <v>446</v>
      </c>
      <c r="C19" s="256">
        <v>101.02983469</v>
      </c>
      <c r="D19" s="256">
        <v>100.92890222</v>
      </c>
      <c r="E19" s="256">
        <v>100.75494834</v>
      </c>
      <c r="F19" s="256">
        <v>100.25187785999999</v>
      </c>
      <c r="G19" s="256">
        <v>100.12395255</v>
      </c>
      <c r="H19" s="256">
        <v>100.11507722</v>
      </c>
      <c r="I19" s="256">
        <v>100.35768414</v>
      </c>
      <c r="J19" s="256">
        <v>100.48758456</v>
      </c>
      <c r="K19" s="256">
        <v>100.63721076</v>
      </c>
      <c r="L19" s="256">
        <v>100.81158594</v>
      </c>
      <c r="M19" s="256">
        <v>100.99689626999999</v>
      </c>
      <c r="N19" s="256">
        <v>101.19816495000001</v>
      </c>
      <c r="O19" s="256">
        <v>101.39146483</v>
      </c>
      <c r="P19" s="256">
        <v>101.64259560000001</v>
      </c>
      <c r="Q19" s="256">
        <v>101.92763011</v>
      </c>
      <c r="R19" s="256">
        <v>102.47244086000001</v>
      </c>
      <c r="S19" s="256">
        <v>102.65587845</v>
      </c>
      <c r="T19" s="256">
        <v>102.70381539</v>
      </c>
      <c r="U19" s="256">
        <v>102.18899725</v>
      </c>
      <c r="V19" s="256">
        <v>102.28637372999999</v>
      </c>
      <c r="W19" s="256">
        <v>102.56869038000001</v>
      </c>
      <c r="X19" s="256">
        <v>103.42133038999999</v>
      </c>
      <c r="Y19" s="256">
        <v>103.78449003999999</v>
      </c>
      <c r="Z19" s="256">
        <v>104.04355249</v>
      </c>
      <c r="AA19" s="256">
        <v>104.01449717</v>
      </c>
      <c r="AB19" s="256">
        <v>104.20338068</v>
      </c>
      <c r="AC19" s="256">
        <v>104.42618245</v>
      </c>
      <c r="AD19" s="256">
        <v>104.67774412999999</v>
      </c>
      <c r="AE19" s="256">
        <v>104.97225116</v>
      </c>
      <c r="AF19" s="256">
        <v>105.30454518000001</v>
      </c>
      <c r="AG19" s="256">
        <v>105.81902312</v>
      </c>
      <c r="AH19" s="256">
        <v>106.11859348</v>
      </c>
      <c r="AI19" s="256">
        <v>106.34765315999999</v>
      </c>
      <c r="AJ19" s="256">
        <v>106.56609404</v>
      </c>
      <c r="AK19" s="256">
        <v>106.60921346000001</v>
      </c>
      <c r="AL19" s="256">
        <v>106.53690330000001</v>
      </c>
      <c r="AM19" s="256">
        <v>106.23471843</v>
      </c>
      <c r="AN19" s="256">
        <v>106.01738295</v>
      </c>
      <c r="AO19" s="256">
        <v>105.77045174</v>
      </c>
      <c r="AP19" s="256">
        <v>105.30648401000001</v>
      </c>
      <c r="AQ19" s="256">
        <v>105.14094188999999</v>
      </c>
      <c r="AR19" s="256">
        <v>105.08638461</v>
      </c>
      <c r="AS19" s="256">
        <v>105.33649490000001</v>
      </c>
      <c r="AT19" s="256">
        <v>105.35864524</v>
      </c>
      <c r="AU19" s="256">
        <v>105.34651837</v>
      </c>
      <c r="AV19" s="256">
        <v>105.45056319</v>
      </c>
      <c r="AW19" s="256">
        <v>105.25704519999999</v>
      </c>
      <c r="AX19" s="256">
        <v>104.91641332</v>
      </c>
      <c r="AY19" s="256">
        <v>106.0279391</v>
      </c>
      <c r="AZ19" s="256">
        <v>104.19362575</v>
      </c>
      <c r="BA19" s="256">
        <v>101.01274484</v>
      </c>
      <c r="BB19" s="256">
        <v>91.422469109999994</v>
      </c>
      <c r="BC19" s="256">
        <v>89.345573486000006</v>
      </c>
      <c r="BD19" s="256">
        <v>89.719230725000003</v>
      </c>
      <c r="BE19" s="256">
        <v>97.094528534000005</v>
      </c>
      <c r="BF19" s="256">
        <v>98.955975715999998</v>
      </c>
      <c r="BG19" s="342">
        <v>99.854659999999996</v>
      </c>
      <c r="BH19" s="342">
        <v>98.320220000000006</v>
      </c>
      <c r="BI19" s="342">
        <v>98.396150000000006</v>
      </c>
      <c r="BJ19" s="342">
        <v>98.612089999999995</v>
      </c>
      <c r="BK19" s="342">
        <v>99.121440000000007</v>
      </c>
      <c r="BL19" s="342">
        <v>99.502340000000004</v>
      </c>
      <c r="BM19" s="342">
        <v>99.908180000000002</v>
      </c>
      <c r="BN19" s="342">
        <v>100.4485</v>
      </c>
      <c r="BO19" s="342">
        <v>100.82210000000001</v>
      </c>
      <c r="BP19" s="342">
        <v>101.13849999999999</v>
      </c>
      <c r="BQ19" s="342">
        <v>101.27979999999999</v>
      </c>
      <c r="BR19" s="342">
        <v>101.5703</v>
      </c>
      <c r="BS19" s="342">
        <v>101.892</v>
      </c>
      <c r="BT19" s="342">
        <v>102.2444</v>
      </c>
      <c r="BU19" s="342">
        <v>102.6293</v>
      </c>
      <c r="BV19" s="342">
        <v>103.0461</v>
      </c>
    </row>
    <row r="20" spans="1:74" ht="11.1" customHeight="1" x14ac:dyDescent="0.2">
      <c r="A20" s="148" t="s">
        <v>713</v>
      </c>
      <c r="B20" s="209" t="s">
        <v>447</v>
      </c>
      <c r="C20" s="256">
        <v>103.97664514</v>
      </c>
      <c r="D20" s="256">
        <v>103.98970439</v>
      </c>
      <c r="E20" s="256">
        <v>103.93996645</v>
      </c>
      <c r="F20" s="256">
        <v>103.59533663000001</v>
      </c>
      <c r="G20" s="256">
        <v>103.59407530999999</v>
      </c>
      <c r="H20" s="256">
        <v>103.7040878</v>
      </c>
      <c r="I20" s="256">
        <v>104.03897980000001</v>
      </c>
      <c r="J20" s="256">
        <v>104.28633564</v>
      </c>
      <c r="K20" s="256">
        <v>104.55976102</v>
      </c>
      <c r="L20" s="256">
        <v>104.86946614999999</v>
      </c>
      <c r="M20" s="256">
        <v>105.18737296</v>
      </c>
      <c r="N20" s="256">
        <v>105.52369164</v>
      </c>
      <c r="O20" s="256">
        <v>105.91351978</v>
      </c>
      <c r="P20" s="256">
        <v>106.26033905</v>
      </c>
      <c r="Q20" s="256">
        <v>106.59924702000001</v>
      </c>
      <c r="R20" s="256">
        <v>107.15009872</v>
      </c>
      <c r="S20" s="256">
        <v>107.30829283</v>
      </c>
      <c r="T20" s="256">
        <v>107.29368438</v>
      </c>
      <c r="U20" s="256">
        <v>106.56056542</v>
      </c>
      <c r="V20" s="256">
        <v>106.60963279000001</v>
      </c>
      <c r="W20" s="256">
        <v>106.89517855</v>
      </c>
      <c r="X20" s="256">
        <v>107.87003853</v>
      </c>
      <c r="Y20" s="256">
        <v>108.28891419</v>
      </c>
      <c r="Z20" s="256">
        <v>108.60464136</v>
      </c>
      <c r="AA20" s="256">
        <v>108.63671653999999</v>
      </c>
      <c r="AB20" s="256">
        <v>108.88152436</v>
      </c>
      <c r="AC20" s="256">
        <v>109.15856133</v>
      </c>
      <c r="AD20" s="256">
        <v>109.47243382000001</v>
      </c>
      <c r="AE20" s="256">
        <v>109.81047427999999</v>
      </c>
      <c r="AF20" s="256">
        <v>110.17728909</v>
      </c>
      <c r="AG20" s="256">
        <v>110.72038626</v>
      </c>
      <c r="AH20" s="256">
        <v>111.03411876</v>
      </c>
      <c r="AI20" s="256">
        <v>111.2659946</v>
      </c>
      <c r="AJ20" s="256">
        <v>111.43991633</v>
      </c>
      <c r="AK20" s="256">
        <v>111.49015195</v>
      </c>
      <c r="AL20" s="256">
        <v>111.44060399999999</v>
      </c>
      <c r="AM20" s="256">
        <v>111.18982581</v>
      </c>
      <c r="AN20" s="256">
        <v>111.01679575</v>
      </c>
      <c r="AO20" s="256">
        <v>110.82006713</v>
      </c>
      <c r="AP20" s="256">
        <v>110.40526081</v>
      </c>
      <c r="AQ20" s="256">
        <v>110.30691945</v>
      </c>
      <c r="AR20" s="256">
        <v>110.33066389</v>
      </c>
      <c r="AS20" s="256">
        <v>110.66072105000001</v>
      </c>
      <c r="AT20" s="256">
        <v>110.79046694</v>
      </c>
      <c r="AU20" s="256">
        <v>110.90412847</v>
      </c>
      <c r="AV20" s="256">
        <v>111.29000139999999</v>
      </c>
      <c r="AW20" s="256">
        <v>111.15527237000001</v>
      </c>
      <c r="AX20" s="256">
        <v>110.78823715</v>
      </c>
      <c r="AY20" s="256">
        <v>111.91289356</v>
      </c>
      <c r="AZ20" s="256">
        <v>109.78824760000001</v>
      </c>
      <c r="BA20" s="256">
        <v>106.13829708999999</v>
      </c>
      <c r="BB20" s="256">
        <v>95.187623610000003</v>
      </c>
      <c r="BC20" s="256">
        <v>92.818627800000002</v>
      </c>
      <c r="BD20" s="256">
        <v>93.255891245000001</v>
      </c>
      <c r="BE20" s="256">
        <v>101.815119</v>
      </c>
      <c r="BF20" s="256">
        <v>103.87812216</v>
      </c>
      <c r="BG20" s="342">
        <v>104.7606</v>
      </c>
      <c r="BH20" s="342">
        <v>102.6926</v>
      </c>
      <c r="BI20" s="342">
        <v>102.5415</v>
      </c>
      <c r="BJ20" s="342">
        <v>102.53740000000001</v>
      </c>
      <c r="BK20" s="342">
        <v>102.783</v>
      </c>
      <c r="BL20" s="342">
        <v>102.9957</v>
      </c>
      <c r="BM20" s="342">
        <v>103.2784</v>
      </c>
      <c r="BN20" s="342">
        <v>103.73180000000001</v>
      </c>
      <c r="BO20" s="342">
        <v>104.0787</v>
      </c>
      <c r="BP20" s="342">
        <v>104.42010000000001</v>
      </c>
      <c r="BQ20" s="342">
        <v>104.718</v>
      </c>
      <c r="BR20" s="342">
        <v>105.0765</v>
      </c>
      <c r="BS20" s="342">
        <v>105.45780000000001</v>
      </c>
      <c r="BT20" s="342">
        <v>105.81570000000001</v>
      </c>
      <c r="BU20" s="342">
        <v>106.27719999999999</v>
      </c>
      <c r="BV20" s="342">
        <v>106.7961</v>
      </c>
    </row>
    <row r="21" spans="1:74" ht="11.1" customHeight="1" x14ac:dyDescent="0.2">
      <c r="A21" s="148" t="s">
        <v>714</v>
      </c>
      <c r="B21" s="209" t="s">
        <v>448</v>
      </c>
      <c r="C21" s="256">
        <v>105.61121258999999</v>
      </c>
      <c r="D21" s="256">
        <v>105.75042205</v>
      </c>
      <c r="E21" s="256">
        <v>105.84029446</v>
      </c>
      <c r="F21" s="256">
        <v>105.70872543</v>
      </c>
      <c r="G21" s="256">
        <v>105.82900198999999</v>
      </c>
      <c r="H21" s="256">
        <v>106.02901976</v>
      </c>
      <c r="I21" s="256">
        <v>106.43284299</v>
      </c>
      <c r="J21" s="256">
        <v>106.69929501999999</v>
      </c>
      <c r="K21" s="256">
        <v>106.95244006999999</v>
      </c>
      <c r="L21" s="256">
        <v>107.15191494</v>
      </c>
      <c r="M21" s="256">
        <v>107.40871847</v>
      </c>
      <c r="N21" s="256">
        <v>107.68248742999999</v>
      </c>
      <c r="O21" s="256">
        <v>108.00369069</v>
      </c>
      <c r="P21" s="256">
        <v>108.28853891</v>
      </c>
      <c r="Q21" s="256">
        <v>108.56750092999999</v>
      </c>
      <c r="R21" s="256">
        <v>109.07316145</v>
      </c>
      <c r="S21" s="256">
        <v>109.16591257</v>
      </c>
      <c r="T21" s="256">
        <v>109.07833897</v>
      </c>
      <c r="U21" s="256">
        <v>108.27236089</v>
      </c>
      <c r="V21" s="256">
        <v>108.22769771999999</v>
      </c>
      <c r="W21" s="256">
        <v>108.40626967</v>
      </c>
      <c r="X21" s="256">
        <v>109.24990009</v>
      </c>
      <c r="Y21" s="256">
        <v>109.5435748</v>
      </c>
      <c r="Z21" s="256">
        <v>109.72911714999999</v>
      </c>
      <c r="AA21" s="256">
        <v>109.63004675000001</v>
      </c>
      <c r="AB21" s="256">
        <v>109.73168463</v>
      </c>
      <c r="AC21" s="256">
        <v>109.85755041</v>
      </c>
      <c r="AD21" s="256">
        <v>109.97086689</v>
      </c>
      <c r="AE21" s="256">
        <v>110.17277138999999</v>
      </c>
      <c r="AF21" s="256">
        <v>110.42648669</v>
      </c>
      <c r="AG21" s="256">
        <v>110.90113644</v>
      </c>
      <c r="AH21" s="256">
        <v>111.13163064</v>
      </c>
      <c r="AI21" s="256">
        <v>111.28709292000001</v>
      </c>
      <c r="AJ21" s="256">
        <v>111.39137285</v>
      </c>
      <c r="AK21" s="256">
        <v>111.37888411</v>
      </c>
      <c r="AL21" s="256">
        <v>111.27347627</v>
      </c>
      <c r="AM21" s="256">
        <v>111.00665237</v>
      </c>
      <c r="AN21" s="256">
        <v>110.76677904</v>
      </c>
      <c r="AO21" s="256">
        <v>110.48535932</v>
      </c>
      <c r="AP21" s="256">
        <v>109.89792112000001</v>
      </c>
      <c r="AQ21" s="256">
        <v>109.73176271</v>
      </c>
      <c r="AR21" s="256">
        <v>109.72241199</v>
      </c>
      <c r="AS21" s="256">
        <v>110.17925406000001</v>
      </c>
      <c r="AT21" s="256">
        <v>110.25147988000001</v>
      </c>
      <c r="AU21" s="256">
        <v>110.24847456000001</v>
      </c>
      <c r="AV21" s="256">
        <v>110.17819609999999</v>
      </c>
      <c r="AW21" s="256">
        <v>110.01875998</v>
      </c>
      <c r="AX21" s="256">
        <v>109.77812422</v>
      </c>
      <c r="AY21" s="256">
        <v>112.14633009000001</v>
      </c>
      <c r="AZ21" s="256">
        <v>109.72576405</v>
      </c>
      <c r="BA21" s="256">
        <v>105.20646739</v>
      </c>
      <c r="BB21" s="256">
        <v>91.243396766999993</v>
      </c>
      <c r="BC21" s="256">
        <v>88.035421368000002</v>
      </c>
      <c r="BD21" s="256">
        <v>88.237497852000004</v>
      </c>
      <c r="BE21" s="256">
        <v>98.006249085999997</v>
      </c>
      <c r="BF21" s="256">
        <v>100.41096219000001</v>
      </c>
      <c r="BG21" s="342">
        <v>101.6083</v>
      </c>
      <c r="BH21" s="342">
        <v>99.881559999999993</v>
      </c>
      <c r="BI21" s="342">
        <v>99.951459999999997</v>
      </c>
      <c r="BJ21" s="342">
        <v>100.1014</v>
      </c>
      <c r="BK21" s="342">
        <v>100.3937</v>
      </c>
      <c r="BL21" s="342">
        <v>100.65689999999999</v>
      </c>
      <c r="BM21" s="342">
        <v>100.9533</v>
      </c>
      <c r="BN21" s="342">
        <v>101.3793</v>
      </c>
      <c r="BO21" s="342">
        <v>101.67</v>
      </c>
      <c r="BP21" s="342">
        <v>101.9218</v>
      </c>
      <c r="BQ21" s="342">
        <v>101.9615</v>
      </c>
      <c r="BR21" s="342">
        <v>102.2651</v>
      </c>
      <c r="BS21" s="342">
        <v>102.65949999999999</v>
      </c>
      <c r="BT21" s="342">
        <v>103.245</v>
      </c>
      <c r="BU21" s="342">
        <v>103.74590000000001</v>
      </c>
      <c r="BV21" s="342">
        <v>104.2624</v>
      </c>
    </row>
    <row r="22" spans="1:74" ht="11.1" customHeight="1" x14ac:dyDescent="0.2">
      <c r="A22" s="148" t="s">
        <v>715</v>
      </c>
      <c r="B22" s="209" t="s">
        <v>449</v>
      </c>
      <c r="C22" s="256">
        <v>96.751960561000004</v>
      </c>
      <c r="D22" s="256">
        <v>96.378480444000004</v>
      </c>
      <c r="E22" s="256">
        <v>95.944690952000002</v>
      </c>
      <c r="F22" s="256">
        <v>95.193454439999996</v>
      </c>
      <c r="G22" s="256">
        <v>94.831899433000004</v>
      </c>
      <c r="H22" s="256">
        <v>94.602888285000006</v>
      </c>
      <c r="I22" s="256">
        <v>94.598399534999999</v>
      </c>
      <c r="J22" s="256">
        <v>94.565492202000001</v>
      </c>
      <c r="K22" s="256">
        <v>94.596144824000007</v>
      </c>
      <c r="L22" s="256">
        <v>94.713008516000002</v>
      </c>
      <c r="M22" s="256">
        <v>94.853792713000004</v>
      </c>
      <c r="N22" s="256">
        <v>95.041148530000001</v>
      </c>
      <c r="O22" s="256">
        <v>95.272023801000003</v>
      </c>
      <c r="P22" s="256">
        <v>95.554811981</v>
      </c>
      <c r="Q22" s="256">
        <v>95.886460905000007</v>
      </c>
      <c r="R22" s="256">
        <v>96.512907784999996</v>
      </c>
      <c r="S22" s="256">
        <v>96.757825288000006</v>
      </c>
      <c r="T22" s="256">
        <v>96.867150624999994</v>
      </c>
      <c r="U22" s="256">
        <v>96.43325385</v>
      </c>
      <c r="V22" s="256">
        <v>96.577117315999999</v>
      </c>
      <c r="W22" s="256">
        <v>96.891111076000001</v>
      </c>
      <c r="X22" s="256">
        <v>97.719783370000002</v>
      </c>
      <c r="Y22" s="256">
        <v>98.115626539999994</v>
      </c>
      <c r="Z22" s="256">
        <v>98.423188823999993</v>
      </c>
      <c r="AA22" s="256">
        <v>98.470159847000005</v>
      </c>
      <c r="AB22" s="256">
        <v>98.730393141999997</v>
      </c>
      <c r="AC22" s="256">
        <v>99.031578335000006</v>
      </c>
      <c r="AD22" s="256">
        <v>99.388256983999995</v>
      </c>
      <c r="AE22" s="256">
        <v>99.760439801000004</v>
      </c>
      <c r="AF22" s="256">
        <v>100.16266835</v>
      </c>
      <c r="AG22" s="256">
        <v>100.71472783</v>
      </c>
      <c r="AH22" s="256">
        <v>101.08720891999999</v>
      </c>
      <c r="AI22" s="256">
        <v>101.39989683</v>
      </c>
      <c r="AJ22" s="256">
        <v>101.70949045</v>
      </c>
      <c r="AK22" s="256">
        <v>101.86006783000001</v>
      </c>
      <c r="AL22" s="256">
        <v>101.90832785000001</v>
      </c>
      <c r="AM22" s="256">
        <v>101.78049983</v>
      </c>
      <c r="AN22" s="256">
        <v>101.67945315</v>
      </c>
      <c r="AO22" s="256">
        <v>101.53141712999999</v>
      </c>
      <c r="AP22" s="256">
        <v>101.13435942</v>
      </c>
      <c r="AQ22" s="256">
        <v>101.04386896</v>
      </c>
      <c r="AR22" s="256">
        <v>101.05791341</v>
      </c>
      <c r="AS22" s="256">
        <v>101.35722086</v>
      </c>
      <c r="AT22" s="256">
        <v>101.44478908000001</v>
      </c>
      <c r="AU22" s="256">
        <v>101.50134614</v>
      </c>
      <c r="AV22" s="256">
        <v>101.75042041</v>
      </c>
      <c r="AW22" s="256">
        <v>101.57730889</v>
      </c>
      <c r="AX22" s="256">
        <v>101.20553995</v>
      </c>
      <c r="AY22" s="256">
        <v>101.93197425</v>
      </c>
      <c r="AZ22" s="256">
        <v>100.19024493000001</v>
      </c>
      <c r="BA22" s="256">
        <v>97.277212679000002</v>
      </c>
      <c r="BB22" s="256">
        <v>88.724295150000003</v>
      </c>
      <c r="BC22" s="256">
        <v>86.820093771000003</v>
      </c>
      <c r="BD22" s="256">
        <v>87.096026206000005</v>
      </c>
      <c r="BE22" s="256">
        <v>93.702074757999995</v>
      </c>
      <c r="BF22" s="256">
        <v>95.225788093999995</v>
      </c>
      <c r="BG22" s="342">
        <v>95.817149999999998</v>
      </c>
      <c r="BH22" s="342">
        <v>94.027249999999995</v>
      </c>
      <c r="BI22" s="342">
        <v>93.840580000000003</v>
      </c>
      <c r="BJ22" s="342">
        <v>93.808250000000001</v>
      </c>
      <c r="BK22" s="342">
        <v>94.078440000000001</v>
      </c>
      <c r="BL22" s="342">
        <v>94.243610000000004</v>
      </c>
      <c r="BM22" s="342">
        <v>94.45196</v>
      </c>
      <c r="BN22" s="342">
        <v>94.749170000000007</v>
      </c>
      <c r="BO22" s="342">
        <v>95.009609999999995</v>
      </c>
      <c r="BP22" s="342">
        <v>95.278959999999998</v>
      </c>
      <c r="BQ22" s="342">
        <v>95.515540000000001</v>
      </c>
      <c r="BR22" s="342">
        <v>95.833979999999997</v>
      </c>
      <c r="BS22" s="342">
        <v>96.192589999999996</v>
      </c>
      <c r="BT22" s="342">
        <v>96.586200000000005</v>
      </c>
      <c r="BU22" s="342">
        <v>97.029049999999998</v>
      </c>
      <c r="BV22" s="342">
        <v>97.515979999999999</v>
      </c>
    </row>
    <row r="23" spans="1:74" ht="11.1" customHeight="1" x14ac:dyDescent="0.2">
      <c r="A23" s="148" t="s">
        <v>716</v>
      </c>
      <c r="B23" s="209" t="s">
        <v>450</v>
      </c>
      <c r="C23" s="256">
        <v>104.52317341</v>
      </c>
      <c r="D23" s="256">
        <v>104.50258157</v>
      </c>
      <c r="E23" s="256">
        <v>104.41667861000001</v>
      </c>
      <c r="F23" s="256">
        <v>104.01227007</v>
      </c>
      <c r="G23" s="256">
        <v>103.98564073</v>
      </c>
      <c r="H23" s="256">
        <v>104.08359613</v>
      </c>
      <c r="I23" s="256">
        <v>104.44082123</v>
      </c>
      <c r="J23" s="256">
        <v>104.68693236</v>
      </c>
      <c r="K23" s="256">
        <v>104.9566145</v>
      </c>
      <c r="L23" s="256">
        <v>105.21056849999999</v>
      </c>
      <c r="M23" s="256">
        <v>105.55686698</v>
      </c>
      <c r="N23" s="256">
        <v>105.95621081</v>
      </c>
      <c r="O23" s="256">
        <v>106.46131825000001</v>
      </c>
      <c r="P23" s="256">
        <v>106.92721409000001</v>
      </c>
      <c r="Q23" s="256">
        <v>107.40661659</v>
      </c>
      <c r="R23" s="256">
        <v>108.07706745</v>
      </c>
      <c r="S23" s="256">
        <v>108.45032701</v>
      </c>
      <c r="T23" s="256">
        <v>108.70393695999999</v>
      </c>
      <c r="U23" s="256">
        <v>108.43456122000001</v>
      </c>
      <c r="V23" s="256">
        <v>108.75137402999999</v>
      </c>
      <c r="W23" s="256">
        <v>109.2510393</v>
      </c>
      <c r="X23" s="256">
        <v>110.29862489</v>
      </c>
      <c r="Y23" s="256">
        <v>110.89019419</v>
      </c>
      <c r="Z23" s="256">
        <v>111.39081507</v>
      </c>
      <c r="AA23" s="256">
        <v>111.65995887</v>
      </c>
      <c r="AB23" s="256">
        <v>112.08407937</v>
      </c>
      <c r="AC23" s="256">
        <v>112.52264791</v>
      </c>
      <c r="AD23" s="256">
        <v>112.92738194</v>
      </c>
      <c r="AE23" s="256">
        <v>113.43105851999999</v>
      </c>
      <c r="AF23" s="256">
        <v>113.98539508</v>
      </c>
      <c r="AG23" s="256">
        <v>114.75650884</v>
      </c>
      <c r="AH23" s="256">
        <v>115.28757745</v>
      </c>
      <c r="AI23" s="256">
        <v>115.74471813</v>
      </c>
      <c r="AJ23" s="256">
        <v>116.18377184000001</v>
      </c>
      <c r="AK23" s="256">
        <v>116.45117592</v>
      </c>
      <c r="AL23" s="256">
        <v>116.60277133</v>
      </c>
      <c r="AM23" s="256">
        <v>116.60184873999999</v>
      </c>
      <c r="AN23" s="256">
        <v>116.54935881999999</v>
      </c>
      <c r="AO23" s="256">
        <v>116.40859225</v>
      </c>
      <c r="AP23" s="256">
        <v>115.84727465</v>
      </c>
      <c r="AQ23" s="256">
        <v>115.77916054000001</v>
      </c>
      <c r="AR23" s="256">
        <v>115.87197555</v>
      </c>
      <c r="AS23" s="256">
        <v>116.51346393</v>
      </c>
      <c r="AT23" s="256">
        <v>116.63732901</v>
      </c>
      <c r="AU23" s="256">
        <v>116.63131502</v>
      </c>
      <c r="AV23" s="256">
        <v>116.48369219</v>
      </c>
      <c r="AW23" s="256">
        <v>116.22671742</v>
      </c>
      <c r="AX23" s="256">
        <v>115.84866092999999</v>
      </c>
      <c r="AY23" s="256">
        <v>116.84586168</v>
      </c>
      <c r="AZ23" s="256">
        <v>115.10338752</v>
      </c>
      <c r="BA23" s="256">
        <v>112.11757743</v>
      </c>
      <c r="BB23" s="256">
        <v>102.94525448</v>
      </c>
      <c r="BC23" s="256">
        <v>101.18015518</v>
      </c>
      <c r="BD23" s="256">
        <v>101.87910262</v>
      </c>
      <c r="BE23" s="256">
        <v>109.79585305000001</v>
      </c>
      <c r="BF23" s="256">
        <v>111.85757679</v>
      </c>
      <c r="BG23" s="342">
        <v>112.818</v>
      </c>
      <c r="BH23" s="342">
        <v>111.04600000000001</v>
      </c>
      <c r="BI23" s="342">
        <v>111.0273</v>
      </c>
      <c r="BJ23" s="342">
        <v>111.13079999999999</v>
      </c>
      <c r="BK23" s="342">
        <v>111.45699999999999</v>
      </c>
      <c r="BL23" s="342">
        <v>111.72920000000001</v>
      </c>
      <c r="BM23" s="342">
        <v>112.0479</v>
      </c>
      <c r="BN23" s="342">
        <v>112.5018</v>
      </c>
      <c r="BO23" s="342">
        <v>112.8473</v>
      </c>
      <c r="BP23" s="342">
        <v>113.173</v>
      </c>
      <c r="BQ23" s="342">
        <v>113.4271</v>
      </c>
      <c r="BR23" s="342">
        <v>113.7518</v>
      </c>
      <c r="BS23" s="342">
        <v>114.0956</v>
      </c>
      <c r="BT23" s="342">
        <v>114.4062</v>
      </c>
      <c r="BU23" s="342">
        <v>114.82689999999999</v>
      </c>
      <c r="BV23" s="342">
        <v>115.3057</v>
      </c>
    </row>
    <row r="24" spans="1:74" ht="11.1" customHeight="1" x14ac:dyDescent="0.2">
      <c r="A24" s="148" t="s">
        <v>717</v>
      </c>
      <c r="B24" s="209" t="s">
        <v>451</v>
      </c>
      <c r="C24" s="256">
        <v>102.63435981000001</v>
      </c>
      <c r="D24" s="256">
        <v>102.58824300000001</v>
      </c>
      <c r="E24" s="256">
        <v>102.4688732</v>
      </c>
      <c r="F24" s="256">
        <v>102.08045469</v>
      </c>
      <c r="G24" s="256">
        <v>101.96142570000001</v>
      </c>
      <c r="H24" s="256">
        <v>101.91599050000001</v>
      </c>
      <c r="I24" s="256">
        <v>101.99615171000001</v>
      </c>
      <c r="J24" s="256">
        <v>102.05890216</v>
      </c>
      <c r="K24" s="256">
        <v>102.15624443999999</v>
      </c>
      <c r="L24" s="256">
        <v>102.32340064</v>
      </c>
      <c r="M24" s="256">
        <v>102.46351005</v>
      </c>
      <c r="N24" s="256">
        <v>102.61179475</v>
      </c>
      <c r="O24" s="256">
        <v>102.76182669000001</v>
      </c>
      <c r="P24" s="256">
        <v>102.93128299999999</v>
      </c>
      <c r="Q24" s="256">
        <v>103.11373562999999</v>
      </c>
      <c r="R24" s="256">
        <v>103.51264808000001</v>
      </c>
      <c r="S24" s="256">
        <v>103.56849574</v>
      </c>
      <c r="T24" s="256">
        <v>103.48474210000001</v>
      </c>
      <c r="U24" s="256">
        <v>102.78297631</v>
      </c>
      <c r="V24" s="256">
        <v>102.77882821999999</v>
      </c>
      <c r="W24" s="256">
        <v>102.99388696</v>
      </c>
      <c r="X24" s="256">
        <v>103.86120442000001</v>
      </c>
      <c r="Y24" s="256">
        <v>104.18988792</v>
      </c>
      <c r="Z24" s="256">
        <v>104.41298935</v>
      </c>
      <c r="AA24" s="256">
        <v>104.39029922</v>
      </c>
      <c r="AB24" s="256">
        <v>104.5073936</v>
      </c>
      <c r="AC24" s="256">
        <v>104.62406301999999</v>
      </c>
      <c r="AD24" s="256">
        <v>104.67265196</v>
      </c>
      <c r="AE24" s="256">
        <v>104.83921307999999</v>
      </c>
      <c r="AF24" s="256">
        <v>105.05609088</v>
      </c>
      <c r="AG24" s="256">
        <v>105.48284949000001</v>
      </c>
      <c r="AH24" s="256">
        <v>105.68068753</v>
      </c>
      <c r="AI24" s="256">
        <v>105.80916915</v>
      </c>
      <c r="AJ24" s="256">
        <v>105.90683667</v>
      </c>
      <c r="AK24" s="256">
        <v>105.86769869</v>
      </c>
      <c r="AL24" s="256">
        <v>105.73029751999999</v>
      </c>
      <c r="AM24" s="256">
        <v>105.39450381</v>
      </c>
      <c r="AN24" s="256">
        <v>105.13567332</v>
      </c>
      <c r="AO24" s="256">
        <v>104.85367669</v>
      </c>
      <c r="AP24" s="256">
        <v>104.39261673999999</v>
      </c>
      <c r="AQ24" s="256">
        <v>104.18121071</v>
      </c>
      <c r="AR24" s="256">
        <v>104.06356142</v>
      </c>
      <c r="AS24" s="256">
        <v>104.13005514</v>
      </c>
      <c r="AT24" s="256">
        <v>104.13212962999999</v>
      </c>
      <c r="AU24" s="256">
        <v>104.16017116</v>
      </c>
      <c r="AV24" s="256">
        <v>104.55703947000001</v>
      </c>
      <c r="AW24" s="256">
        <v>104.37987028000001</v>
      </c>
      <c r="AX24" s="256">
        <v>103.97152332</v>
      </c>
      <c r="AY24" s="256">
        <v>104.97127091999999</v>
      </c>
      <c r="AZ24" s="256">
        <v>102.87111422</v>
      </c>
      <c r="BA24" s="256">
        <v>99.310325516000006</v>
      </c>
      <c r="BB24" s="256">
        <v>88.740537586000002</v>
      </c>
      <c r="BC24" s="256">
        <v>86.419760327000006</v>
      </c>
      <c r="BD24" s="256">
        <v>86.799626501999995</v>
      </c>
      <c r="BE24" s="256">
        <v>94.968023877999997</v>
      </c>
      <c r="BF24" s="256">
        <v>96.933261094000002</v>
      </c>
      <c r="BG24" s="342">
        <v>97.783230000000003</v>
      </c>
      <c r="BH24" s="342">
        <v>95.898120000000006</v>
      </c>
      <c r="BI24" s="342">
        <v>95.732389999999995</v>
      </c>
      <c r="BJ24" s="342">
        <v>95.666229999999999</v>
      </c>
      <c r="BK24" s="342">
        <v>95.712770000000006</v>
      </c>
      <c r="BL24" s="342">
        <v>95.835909999999998</v>
      </c>
      <c r="BM24" s="342">
        <v>96.048779999999994</v>
      </c>
      <c r="BN24" s="342">
        <v>96.437470000000005</v>
      </c>
      <c r="BO24" s="342">
        <v>96.765219999999999</v>
      </c>
      <c r="BP24" s="342">
        <v>97.118129999999994</v>
      </c>
      <c r="BQ24" s="342">
        <v>97.547340000000005</v>
      </c>
      <c r="BR24" s="342">
        <v>97.912199999999999</v>
      </c>
      <c r="BS24" s="342">
        <v>98.263840000000002</v>
      </c>
      <c r="BT24" s="342">
        <v>98.467410000000001</v>
      </c>
      <c r="BU24" s="342">
        <v>98.893780000000007</v>
      </c>
      <c r="BV24" s="342">
        <v>99.408079999999998</v>
      </c>
    </row>
    <row r="25" spans="1:74" ht="11.1" customHeight="1" x14ac:dyDescent="0.2">
      <c r="A25" s="148"/>
      <c r="B25" s="168" t="s">
        <v>1154</v>
      </c>
      <c r="C25" s="244"/>
      <c r="D25" s="244"/>
      <c r="E25" s="244"/>
      <c r="F25" s="244"/>
      <c r="G25" s="244"/>
      <c r="H25" s="244"/>
      <c r="I25" s="244"/>
      <c r="J25" s="244"/>
      <c r="K25" s="244"/>
      <c r="L25" s="244"/>
      <c r="M25" s="244"/>
      <c r="N25" s="244"/>
      <c r="O25" s="244"/>
      <c r="P25" s="244"/>
      <c r="Q25" s="244"/>
      <c r="R25" s="244"/>
      <c r="S25" s="244"/>
      <c r="T25" s="244"/>
      <c r="U25" s="244"/>
      <c r="V25" s="244"/>
      <c r="W25" s="244"/>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343"/>
      <c r="BH25" s="343"/>
      <c r="BI25" s="343"/>
      <c r="BJ25" s="343"/>
      <c r="BK25" s="343"/>
      <c r="BL25" s="343"/>
      <c r="BM25" s="343"/>
      <c r="BN25" s="343"/>
      <c r="BO25" s="343"/>
      <c r="BP25" s="343"/>
      <c r="BQ25" s="343"/>
      <c r="BR25" s="343"/>
      <c r="BS25" s="343"/>
      <c r="BT25" s="343"/>
      <c r="BU25" s="343"/>
      <c r="BV25" s="343"/>
    </row>
    <row r="26" spans="1:74" ht="11.1" customHeight="1" x14ac:dyDescent="0.2">
      <c r="A26" s="148" t="s">
        <v>718</v>
      </c>
      <c r="B26" s="209" t="s">
        <v>444</v>
      </c>
      <c r="C26" s="238">
        <v>824.46715389999997</v>
      </c>
      <c r="D26" s="238">
        <v>824.84912597000005</v>
      </c>
      <c r="E26" s="238">
        <v>825.23811107999995</v>
      </c>
      <c r="F26" s="238">
        <v>825.27842897999994</v>
      </c>
      <c r="G26" s="238">
        <v>825.94820035999999</v>
      </c>
      <c r="H26" s="238">
        <v>826.89174498</v>
      </c>
      <c r="I26" s="238">
        <v>828.97572317000004</v>
      </c>
      <c r="J26" s="238">
        <v>829.81681900000001</v>
      </c>
      <c r="K26" s="238">
        <v>830.28169278999997</v>
      </c>
      <c r="L26" s="238">
        <v>828.73893373999999</v>
      </c>
      <c r="M26" s="238">
        <v>829.67492159999995</v>
      </c>
      <c r="N26" s="238">
        <v>831.45824553</v>
      </c>
      <c r="O26" s="238">
        <v>834.94857373000002</v>
      </c>
      <c r="P26" s="238">
        <v>837.78181870000003</v>
      </c>
      <c r="Q26" s="238">
        <v>840.81764863000001</v>
      </c>
      <c r="R26" s="238">
        <v>844.49492338000005</v>
      </c>
      <c r="S26" s="238">
        <v>847.60677829999997</v>
      </c>
      <c r="T26" s="238">
        <v>850.59207326000001</v>
      </c>
      <c r="U26" s="238">
        <v>853.85313152000003</v>
      </c>
      <c r="V26" s="238">
        <v>856.28356412000005</v>
      </c>
      <c r="W26" s="238">
        <v>858.28569431999995</v>
      </c>
      <c r="X26" s="238">
        <v>858.61741093000001</v>
      </c>
      <c r="Y26" s="238">
        <v>860.69451973000002</v>
      </c>
      <c r="Z26" s="238">
        <v>863.27490952999995</v>
      </c>
      <c r="AA26" s="238">
        <v>867.91679625999996</v>
      </c>
      <c r="AB26" s="238">
        <v>870.33508611000002</v>
      </c>
      <c r="AC26" s="238">
        <v>872.08799500999999</v>
      </c>
      <c r="AD26" s="238">
        <v>871.68622694999999</v>
      </c>
      <c r="AE26" s="238">
        <v>873.22534597000003</v>
      </c>
      <c r="AF26" s="238">
        <v>875.21605606000003</v>
      </c>
      <c r="AG26" s="238">
        <v>879.01988419999998</v>
      </c>
      <c r="AH26" s="238">
        <v>880.89263116999996</v>
      </c>
      <c r="AI26" s="238">
        <v>882.19582395999998</v>
      </c>
      <c r="AJ26" s="238">
        <v>880.20770834999996</v>
      </c>
      <c r="AK26" s="238">
        <v>882.41310842999997</v>
      </c>
      <c r="AL26" s="238">
        <v>886.09026997000001</v>
      </c>
      <c r="AM26" s="238">
        <v>896.02692209999998</v>
      </c>
      <c r="AN26" s="238">
        <v>899.05680974999996</v>
      </c>
      <c r="AO26" s="238">
        <v>899.96766204000005</v>
      </c>
      <c r="AP26" s="238">
        <v>895.92960006999999</v>
      </c>
      <c r="AQ26" s="238">
        <v>894.72479080000005</v>
      </c>
      <c r="AR26" s="238">
        <v>893.52335532999996</v>
      </c>
      <c r="AS26" s="238">
        <v>891.32725009000001</v>
      </c>
      <c r="AT26" s="238">
        <v>890.88109491</v>
      </c>
      <c r="AU26" s="238">
        <v>891.18684621</v>
      </c>
      <c r="AV26" s="238">
        <v>892.76169353</v>
      </c>
      <c r="AW26" s="238">
        <v>894.18336566000005</v>
      </c>
      <c r="AX26" s="238">
        <v>895.96905212000001</v>
      </c>
      <c r="AY26" s="238">
        <v>891.32090306999999</v>
      </c>
      <c r="AZ26" s="238">
        <v>898.93300557999999</v>
      </c>
      <c r="BA26" s="238">
        <v>912.00750979999998</v>
      </c>
      <c r="BB26" s="238">
        <v>947.26628588999995</v>
      </c>
      <c r="BC26" s="238">
        <v>958.72419090999995</v>
      </c>
      <c r="BD26" s="238">
        <v>963.10309501999996</v>
      </c>
      <c r="BE26" s="238">
        <v>949.66021223999996</v>
      </c>
      <c r="BF26" s="238">
        <v>947.93820400000004</v>
      </c>
      <c r="BG26" s="329">
        <v>947.1943</v>
      </c>
      <c r="BH26" s="329">
        <v>959.60410000000002</v>
      </c>
      <c r="BI26" s="329">
        <v>951.68460000000005</v>
      </c>
      <c r="BJ26" s="329">
        <v>935.61149999999998</v>
      </c>
      <c r="BK26" s="329">
        <v>888.40930000000003</v>
      </c>
      <c r="BL26" s="329">
        <v>873.2604</v>
      </c>
      <c r="BM26" s="329">
        <v>867.18960000000004</v>
      </c>
      <c r="BN26" s="329">
        <v>882.63750000000005</v>
      </c>
      <c r="BO26" s="329">
        <v>885.39200000000005</v>
      </c>
      <c r="BP26" s="329">
        <v>887.89369999999997</v>
      </c>
      <c r="BQ26" s="329">
        <v>890.24739999999997</v>
      </c>
      <c r="BR26" s="329">
        <v>892.16539999999998</v>
      </c>
      <c r="BS26" s="329">
        <v>893.75229999999999</v>
      </c>
      <c r="BT26" s="329">
        <v>893.84379999999999</v>
      </c>
      <c r="BU26" s="329">
        <v>895.64170000000001</v>
      </c>
      <c r="BV26" s="329">
        <v>897.98180000000002</v>
      </c>
    </row>
    <row r="27" spans="1:74" ht="11.1" customHeight="1" x14ac:dyDescent="0.2">
      <c r="A27" s="148" t="s">
        <v>719</v>
      </c>
      <c r="B27" s="209" t="s">
        <v>477</v>
      </c>
      <c r="C27" s="238">
        <v>2110.9057496</v>
      </c>
      <c r="D27" s="238">
        <v>2115.5559490000001</v>
      </c>
      <c r="E27" s="238">
        <v>2116.8200910999999</v>
      </c>
      <c r="F27" s="238">
        <v>2107.8932814</v>
      </c>
      <c r="G27" s="238">
        <v>2107.4889800999999</v>
      </c>
      <c r="H27" s="238">
        <v>2108.8022925999999</v>
      </c>
      <c r="I27" s="238">
        <v>2113.2929432000001</v>
      </c>
      <c r="J27" s="238">
        <v>2116.9466898000001</v>
      </c>
      <c r="K27" s="238">
        <v>2121.2232567000001</v>
      </c>
      <c r="L27" s="238">
        <v>2124.4370666</v>
      </c>
      <c r="M27" s="238">
        <v>2131.2234575000002</v>
      </c>
      <c r="N27" s="238">
        <v>2139.8968519</v>
      </c>
      <c r="O27" s="238">
        <v>2154.3615239999999</v>
      </c>
      <c r="P27" s="238">
        <v>2163.8807197000001</v>
      </c>
      <c r="Q27" s="238">
        <v>2172.3587133999999</v>
      </c>
      <c r="R27" s="238">
        <v>2178.5176913</v>
      </c>
      <c r="S27" s="238">
        <v>2185.8716410000002</v>
      </c>
      <c r="T27" s="238">
        <v>2193.1427490000001</v>
      </c>
      <c r="U27" s="238">
        <v>2199.5927926999998</v>
      </c>
      <c r="V27" s="238">
        <v>2207.2518838000001</v>
      </c>
      <c r="W27" s="238">
        <v>2215.3817997000001</v>
      </c>
      <c r="X27" s="238">
        <v>2228.2862875000001</v>
      </c>
      <c r="Y27" s="238">
        <v>2234.1300431999998</v>
      </c>
      <c r="Z27" s="238">
        <v>2237.2168135000002</v>
      </c>
      <c r="AA27" s="238">
        <v>2232.8221318999999</v>
      </c>
      <c r="AB27" s="238">
        <v>2233.9382819000002</v>
      </c>
      <c r="AC27" s="238">
        <v>2235.8407966</v>
      </c>
      <c r="AD27" s="238">
        <v>2238.3560031000002</v>
      </c>
      <c r="AE27" s="238">
        <v>2241.9615023000001</v>
      </c>
      <c r="AF27" s="238">
        <v>2246.4836211000002</v>
      </c>
      <c r="AG27" s="238">
        <v>2256.1501441999999</v>
      </c>
      <c r="AH27" s="238">
        <v>2259.3346636000001</v>
      </c>
      <c r="AI27" s="238">
        <v>2260.2649639000001</v>
      </c>
      <c r="AJ27" s="238">
        <v>2250.7966812999998</v>
      </c>
      <c r="AK27" s="238">
        <v>2253.3268164999999</v>
      </c>
      <c r="AL27" s="238">
        <v>2259.7110056000001</v>
      </c>
      <c r="AM27" s="238">
        <v>2279.2409048999998</v>
      </c>
      <c r="AN27" s="238">
        <v>2286.3644597000002</v>
      </c>
      <c r="AO27" s="238">
        <v>2290.3733262999999</v>
      </c>
      <c r="AP27" s="238">
        <v>2287.9906406</v>
      </c>
      <c r="AQ27" s="238">
        <v>2288.2277786999998</v>
      </c>
      <c r="AR27" s="238">
        <v>2287.8078767000002</v>
      </c>
      <c r="AS27" s="238">
        <v>2285.0209255</v>
      </c>
      <c r="AT27" s="238">
        <v>2284.5694497999998</v>
      </c>
      <c r="AU27" s="238">
        <v>2284.7434407999999</v>
      </c>
      <c r="AV27" s="238">
        <v>2285.2552102999998</v>
      </c>
      <c r="AW27" s="238">
        <v>2286.8959005000002</v>
      </c>
      <c r="AX27" s="238">
        <v>2289.3778234000001</v>
      </c>
      <c r="AY27" s="238">
        <v>2276.5561493999999</v>
      </c>
      <c r="AZ27" s="238">
        <v>2292.8291598000001</v>
      </c>
      <c r="BA27" s="238">
        <v>2322.0520250999998</v>
      </c>
      <c r="BB27" s="238">
        <v>2404.5831447</v>
      </c>
      <c r="BC27" s="238">
        <v>2429.4369201999998</v>
      </c>
      <c r="BD27" s="238">
        <v>2436.9717512000002</v>
      </c>
      <c r="BE27" s="238">
        <v>2398.6521736999998</v>
      </c>
      <c r="BF27" s="238">
        <v>2392.9507131999999</v>
      </c>
      <c r="BG27" s="329">
        <v>2391.3319999999999</v>
      </c>
      <c r="BH27" s="329">
        <v>2427.3000000000002</v>
      </c>
      <c r="BI27" s="329">
        <v>2408.7179999999998</v>
      </c>
      <c r="BJ27" s="329">
        <v>2369.0920000000001</v>
      </c>
      <c r="BK27" s="329">
        <v>2249.835</v>
      </c>
      <c r="BL27" s="329">
        <v>2212.056</v>
      </c>
      <c r="BM27" s="329">
        <v>2197.17</v>
      </c>
      <c r="BN27" s="329">
        <v>2236.8539999999998</v>
      </c>
      <c r="BO27" s="329">
        <v>2243.9949999999999</v>
      </c>
      <c r="BP27" s="329">
        <v>2250.2710000000002</v>
      </c>
      <c r="BQ27" s="329">
        <v>2255.5839999999998</v>
      </c>
      <c r="BR27" s="329">
        <v>2260.201</v>
      </c>
      <c r="BS27" s="329">
        <v>2264.0239999999999</v>
      </c>
      <c r="BT27" s="329">
        <v>2263.837</v>
      </c>
      <c r="BU27" s="329">
        <v>2268.4870000000001</v>
      </c>
      <c r="BV27" s="329">
        <v>2274.7570000000001</v>
      </c>
    </row>
    <row r="28" spans="1:74" ht="11.1" customHeight="1" x14ac:dyDescent="0.2">
      <c r="A28" s="148" t="s">
        <v>720</v>
      </c>
      <c r="B28" s="209" t="s">
        <v>445</v>
      </c>
      <c r="C28" s="238">
        <v>2278.6372351</v>
      </c>
      <c r="D28" s="238">
        <v>2279.5313255999999</v>
      </c>
      <c r="E28" s="238">
        <v>2280.0810778999999</v>
      </c>
      <c r="F28" s="238">
        <v>2279.0007332</v>
      </c>
      <c r="G28" s="238">
        <v>2279.8261278999998</v>
      </c>
      <c r="H28" s="238">
        <v>2281.2715033999998</v>
      </c>
      <c r="I28" s="238">
        <v>2283.1085856999998</v>
      </c>
      <c r="J28" s="238">
        <v>2285.9651281000001</v>
      </c>
      <c r="K28" s="238">
        <v>2289.6128566000002</v>
      </c>
      <c r="L28" s="238">
        <v>2295.8525488999999</v>
      </c>
      <c r="M28" s="238">
        <v>2299.7320665000002</v>
      </c>
      <c r="N28" s="238">
        <v>2303.0521868000001</v>
      </c>
      <c r="O28" s="238">
        <v>2303.9445350999999</v>
      </c>
      <c r="P28" s="238">
        <v>2307.5471424000002</v>
      </c>
      <c r="Q28" s="238">
        <v>2311.9916337999998</v>
      </c>
      <c r="R28" s="238">
        <v>2318.0158142999999</v>
      </c>
      <c r="S28" s="238">
        <v>2323.5907198999998</v>
      </c>
      <c r="T28" s="238">
        <v>2329.4541556999998</v>
      </c>
      <c r="U28" s="238">
        <v>2336.4845046999999</v>
      </c>
      <c r="V28" s="238">
        <v>2342.2662137000002</v>
      </c>
      <c r="W28" s="238">
        <v>2347.6776657999999</v>
      </c>
      <c r="X28" s="238">
        <v>2350.8891609000002</v>
      </c>
      <c r="Y28" s="238">
        <v>2356.9323739000001</v>
      </c>
      <c r="Z28" s="238">
        <v>2363.9776047</v>
      </c>
      <c r="AA28" s="238">
        <v>2375.5414802999999</v>
      </c>
      <c r="AB28" s="238">
        <v>2381.9532767999999</v>
      </c>
      <c r="AC28" s="238">
        <v>2386.7296210999998</v>
      </c>
      <c r="AD28" s="238">
        <v>2385.8630428000001</v>
      </c>
      <c r="AE28" s="238">
        <v>2390.3740853999998</v>
      </c>
      <c r="AF28" s="238">
        <v>2396.2552784</v>
      </c>
      <c r="AG28" s="238">
        <v>2406.9352457</v>
      </c>
      <c r="AH28" s="238">
        <v>2412.9852719999999</v>
      </c>
      <c r="AI28" s="238">
        <v>2417.8339808999999</v>
      </c>
      <c r="AJ28" s="238">
        <v>2418.8370558000001</v>
      </c>
      <c r="AK28" s="238">
        <v>2423.2663677</v>
      </c>
      <c r="AL28" s="238">
        <v>2428.4775998</v>
      </c>
      <c r="AM28" s="238">
        <v>2439.3858848999998</v>
      </c>
      <c r="AN28" s="238">
        <v>2442.4746079000001</v>
      </c>
      <c r="AO28" s="238">
        <v>2442.6589015999998</v>
      </c>
      <c r="AP28" s="238">
        <v>2433.4156665</v>
      </c>
      <c r="AQ28" s="238">
        <v>2432.6834263000001</v>
      </c>
      <c r="AR28" s="238">
        <v>2433.9390813999998</v>
      </c>
      <c r="AS28" s="238">
        <v>2439.8176085</v>
      </c>
      <c r="AT28" s="238">
        <v>2443.0728217000001</v>
      </c>
      <c r="AU28" s="238">
        <v>2446.3396975999999</v>
      </c>
      <c r="AV28" s="238">
        <v>2449.1999345999998</v>
      </c>
      <c r="AW28" s="238">
        <v>2452.8038624999999</v>
      </c>
      <c r="AX28" s="238">
        <v>2456.7331797000002</v>
      </c>
      <c r="AY28" s="238">
        <v>2435.5112293000002</v>
      </c>
      <c r="AZ28" s="238">
        <v>2459.1988173</v>
      </c>
      <c r="BA28" s="238">
        <v>2502.3192869</v>
      </c>
      <c r="BB28" s="238">
        <v>2625.5160799999999</v>
      </c>
      <c r="BC28" s="238">
        <v>2662.0197314000002</v>
      </c>
      <c r="BD28" s="238">
        <v>2672.4736830000002</v>
      </c>
      <c r="BE28" s="238">
        <v>2612.9036977000001</v>
      </c>
      <c r="BF28" s="238">
        <v>2604.2389275</v>
      </c>
      <c r="BG28" s="329">
        <v>2602.5050000000001</v>
      </c>
      <c r="BH28" s="329">
        <v>2649.127</v>
      </c>
      <c r="BI28" s="329">
        <v>2630.1869999999999</v>
      </c>
      <c r="BJ28" s="329">
        <v>2587.1089999999999</v>
      </c>
      <c r="BK28" s="329">
        <v>2453.9180000000001</v>
      </c>
      <c r="BL28" s="329">
        <v>2412.047</v>
      </c>
      <c r="BM28" s="329">
        <v>2395.5210000000002</v>
      </c>
      <c r="BN28" s="329">
        <v>2439.4290000000001</v>
      </c>
      <c r="BO28" s="329">
        <v>2447.2750000000001</v>
      </c>
      <c r="BP28" s="329">
        <v>2454.1469999999999</v>
      </c>
      <c r="BQ28" s="329">
        <v>2459.5070000000001</v>
      </c>
      <c r="BR28" s="329">
        <v>2464.837</v>
      </c>
      <c r="BS28" s="329">
        <v>2469.5970000000002</v>
      </c>
      <c r="BT28" s="329">
        <v>2471.4639999999999</v>
      </c>
      <c r="BU28" s="329">
        <v>2476.8290000000002</v>
      </c>
      <c r="BV28" s="329">
        <v>2483.3670000000002</v>
      </c>
    </row>
    <row r="29" spans="1:74" ht="11.1" customHeight="1" x14ac:dyDescent="0.2">
      <c r="A29" s="148" t="s">
        <v>721</v>
      </c>
      <c r="B29" s="209" t="s">
        <v>446</v>
      </c>
      <c r="C29" s="238">
        <v>1072.9642590999999</v>
      </c>
      <c r="D29" s="238">
        <v>1072.1844736999999</v>
      </c>
      <c r="E29" s="238">
        <v>1071.5811834000001</v>
      </c>
      <c r="F29" s="238">
        <v>1070.3051991</v>
      </c>
      <c r="G29" s="238">
        <v>1070.691791</v>
      </c>
      <c r="H29" s="238">
        <v>1071.8917698</v>
      </c>
      <c r="I29" s="238">
        <v>1075.6944003000001</v>
      </c>
      <c r="J29" s="238">
        <v>1077.1792046</v>
      </c>
      <c r="K29" s="238">
        <v>1078.1354475999999</v>
      </c>
      <c r="L29" s="238">
        <v>1077.0623848</v>
      </c>
      <c r="M29" s="238">
        <v>1078.0870629999999</v>
      </c>
      <c r="N29" s="238">
        <v>1079.7087379</v>
      </c>
      <c r="O29" s="238">
        <v>1082.8527762000001</v>
      </c>
      <c r="P29" s="238">
        <v>1084.9744195999999</v>
      </c>
      <c r="Q29" s="238">
        <v>1086.9990347999999</v>
      </c>
      <c r="R29" s="238">
        <v>1089.4394967999999</v>
      </c>
      <c r="S29" s="238">
        <v>1090.8853993</v>
      </c>
      <c r="T29" s="238">
        <v>1091.8496173999999</v>
      </c>
      <c r="U29" s="238">
        <v>1090.5705301999999</v>
      </c>
      <c r="V29" s="238">
        <v>1091.8925948000001</v>
      </c>
      <c r="W29" s="238">
        <v>1094.0541905</v>
      </c>
      <c r="X29" s="238">
        <v>1097.2680746000001</v>
      </c>
      <c r="Y29" s="238">
        <v>1100.9491642</v>
      </c>
      <c r="Z29" s="238">
        <v>1105.3102168</v>
      </c>
      <c r="AA29" s="238">
        <v>1111.8779262999999</v>
      </c>
      <c r="AB29" s="238">
        <v>1116.4538845</v>
      </c>
      <c r="AC29" s="238">
        <v>1120.5647852</v>
      </c>
      <c r="AD29" s="238">
        <v>1124.2092196999999</v>
      </c>
      <c r="AE29" s="238">
        <v>1127.3910619999999</v>
      </c>
      <c r="AF29" s="238">
        <v>1130.1089035</v>
      </c>
      <c r="AG29" s="238">
        <v>1130.5608093999999</v>
      </c>
      <c r="AH29" s="238">
        <v>1133.7021001999999</v>
      </c>
      <c r="AI29" s="238">
        <v>1137.7308410000001</v>
      </c>
      <c r="AJ29" s="238">
        <v>1145.6204193999999</v>
      </c>
      <c r="AK29" s="238">
        <v>1149.1940199999999</v>
      </c>
      <c r="AL29" s="238">
        <v>1151.4250301</v>
      </c>
      <c r="AM29" s="238">
        <v>1151.5809617</v>
      </c>
      <c r="AN29" s="238">
        <v>1151.6761569</v>
      </c>
      <c r="AO29" s="238">
        <v>1150.9781276000001</v>
      </c>
      <c r="AP29" s="238">
        <v>1145.6508557</v>
      </c>
      <c r="AQ29" s="238">
        <v>1146.2433911000001</v>
      </c>
      <c r="AR29" s="238">
        <v>1148.9197154999999</v>
      </c>
      <c r="AS29" s="238">
        <v>1158.1340416</v>
      </c>
      <c r="AT29" s="238">
        <v>1161.6372847</v>
      </c>
      <c r="AU29" s="238">
        <v>1163.8836573000001</v>
      </c>
      <c r="AV29" s="238">
        <v>1162.3827102</v>
      </c>
      <c r="AW29" s="238">
        <v>1163.9831789</v>
      </c>
      <c r="AX29" s="238">
        <v>1166.1946141999999</v>
      </c>
      <c r="AY29" s="238">
        <v>1156.9736628999999</v>
      </c>
      <c r="AZ29" s="238">
        <v>1169.4395460999999</v>
      </c>
      <c r="BA29" s="238">
        <v>1191.5489107999999</v>
      </c>
      <c r="BB29" s="238">
        <v>1253.8539042</v>
      </c>
      <c r="BC29" s="238">
        <v>1272.3361210999999</v>
      </c>
      <c r="BD29" s="238">
        <v>1277.5477089999999</v>
      </c>
      <c r="BE29" s="238">
        <v>1247.8424866</v>
      </c>
      <c r="BF29" s="238">
        <v>1242.7474520000001</v>
      </c>
      <c r="BG29" s="329">
        <v>1240.616</v>
      </c>
      <c r="BH29" s="329">
        <v>1260.1130000000001</v>
      </c>
      <c r="BI29" s="329">
        <v>1249.912</v>
      </c>
      <c r="BJ29" s="329">
        <v>1228.6780000000001</v>
      </c>
      <c r="BK29" s="329">
        <v>1165.5550000000001</v>
      </c>
      <c r="BL29" s="329">
        <v>1145.396</v>
      </c>
      <c r="BM29" s="329">
        <v>1137.346</v>
      </c>
      <c r="BN29" s="329">
        <v>1157.79</v>
      </c>
      <c r="BO29" s="329">
        <v>1161.6690000000001</v>
      </c>
      <c r="BP29" s="329">
        <v>1165.3679999999999</v>
      </c>
      <c r="BQ29" s="329">
        <v>1169.2270000000001</v>
      </c>
      <c r="BR29" s="329">
        <v>1172.31</v>
      </c>
      <c r="BS29" s="329">
        <v>1174.9580000000001</v>
      </c>
      <c r="BT29" s="329">
        <v>1175.779</v>
      </c>
      <c r="BU29" s="329">
        <v>1178.5989999999999</v>
      </c>
      <c r="BV29" s="329">
        <v>1182.027</v>
      </c>
    </row>
    <row r="30" spans="1:74" ht="11.1" customHeight="1" x14ac:dyDescent="0.2">
      <c r="A30" s="148" t="s">
        <v>722</v>
      </c>
      <c r="B30" s="209" t="s">
        <v>447</v>
      </c>
      <c r="C30" s="238">
        <v>2921.8639840000001</v>
      </c>
      <c r="D30" s="238">
        <v>2926.0199302999999</v>
      </c>
      <c r="E30" s="238">
        <v>2928.6372006000001</v>
      </c>
      <c r="F30" s="238">
        <v>2925.501534</v>
      </c>
      <c r="G30" s="238">
        <v>2928.2021479</v>
      </c>
      <c r="H30" s="238">
        <v>2932.5247814999998</v>
      </c>
      <c r="I30" s="238">
        <v>2939.9790229</v>
      </c>
      <c r="J30" s="238">
        <v>2946.4135047</v>
      </c>
      <c r="K30" s="238">
        <v>2953.3378149999999</v>
      </c>
      <c r="L30" s="238">
        <v>2960.0521153999998</v>
      </c>
      <c r="M30" s="238">
        <v>2968.4809617999999</v>
      </c>
      <c r="N30" s="238">
        <v>2977.9245157</v>
      </c>
      <c r="O30" s="238">
        <v>2990.1541172000002</v>
      </c>
      <c r="P30" s="238">
        <v>3000.2985809000002</v>
      </c>
      <c r="Q30" s="238">
        <v>3010.1292469999999</v>
      </c>
      <c r="R30" s="238">
        <v>3019.9508891</v>
      </c>
      <c r="S30" s="238">
        <v>3028.9253795999998</v>
      </c>
      <c r="T30" s="238">
        <v>3037.3574923000001</v>
      </c>
      <c r="U30" s="238">
        <v>3044.2638671</v>
      </c>
      <c r="V30" s="238">
        <v>3052.3487439</v>
      </c>
      <c r="W30" s="238">
        <v>3060.6287627000002</v>
      </c>
      <c r="X30" s="238">
        <v>3069.8654620000002</v>
      </c>
      <c r="Y30" s="238">
        <v>3077.9646109999999</v>
      </c>
      <c r="Z30" s="238">
        <v>3085.6877481000001</v>
      </c>
      <c r="AA30" s="238">
        <v>3093.3973949000001</v>
      </c>
      <c r="AB30" s="238">
        <v>3100.0966170000002</v>
      </c>
      <c r="AC30" s="238">
        <v>3106.1479359999998</v>
      </c>
      <c r="AD30" s="238">
        <v>3108.1784198</v>
      </c>
      <c r="AE30" s="238">
        <v>3115.4636313999999</v>
      </c>
      <c r="AF30" s="238">
        <v>3124.630639</v>
      </c>
      <c r="AG30" s="238">
        <v>3140.887976</v>
      </c>
      <c r="AH30" s="238">
        <v>3149.9121750999998</v>
      </c>
      <c r="AI30" s="238">
        <v>3156.9117700000002</v>
      </c>
      <c r="AJ30" s="238">
        <v>3156.0907579999998</v>
      </c>
      <c r="AK30" s="238">
        <v>3163.3881462999998</v>
      </c>
      <c r="AL30" s="238">
        <v>3173.0079322000001</v>
      </c>
      <c r="AM30" s="238">
        <v>3193.0619889</v>
      </c>
      <c r="AN30" s="238">
        <v>3201.2426653000002</v>
      </c>
      <c r="AO30" s="238">
        <v>3205.6618346</v>
      </c>
      <c r="AP30" s="238">
        <v>3200.2070649000002</v>
      </c>
      <c r="AQ30" s="238">
        <v>3201.6875438000002</v>
      </c>
      <c r="AR30" s="238">
        <v>3203.9908395000002</v>
      </c>
      <c r="AS30" s="238">
        <v>3206.9307239</v>
      </c>
      <c r="AT30" s="238">
        <v>3211.0193242999999</v>
      </c>
      <c r="AU30" s="238">
        <v>3216.0704126000001</v>
      </c>
      <c r="AV30" s="238">
        <v>3221.8113622000001</v>
      </c>
      <c r="AW30" s="238">
        <v>3228.9918962000002</v>
      </c>
      <c r="AX30" s="238">
        <v>3237.3393879999999</v>
      </c>
      <c r="AY30" s="238">
        <v>3205.0006159999998</v>
      </c>
      <c r="AZ30" s="238">
        <v>3247.0719396</v>
      </c>
      <c r="BA30" s="238">
        <v>3321.7001372</v>
      </c>
      <c r="BB30" s="238">
        <v>3530.7622861999998</v>
      </c>
      <c r="BC30" s="238">
        <v>3594.0964239</v>
      </c>
      <c r="BD30" s="238">
        <v>3613.5796274999998</v>
      </c>
      <c r="BE30" s="238">
        <v>3519.2163077</v>
      </c>
      <c r="BF30" s="238">
        <v>3503.4943355</v>
      </c>
      <c r="BG30" s="329">
        <v>3496.4180000000001</v>
      </c>
      <c r="BH30" s="329">
        <v>3551.6439999999998</v>
      </c>
      <c r="BI30" s="329">
        <v>3521.6170000000002</v>
      </c>
      <c r="BJ30" s="329">
        <v>3459.9929999999999</v>
      </c>
      <c r="BK30" s="329">
        <v>3278.8809999999999</v>
      </c>
      <c r="BL30" s="329">
        <v>3219.9830000000002</v>
      </c>
      <c r="BM30" s="329">
        <v>3195.4079999999999</v>
      </c>
      <c r="BN30" s="329">
        <v>3251.7959999999998</v>
      </c>
      <c r="BO30" s="329">
        <v>3260.886</v>
      </c>
      <c r="BP30" s="329">
        <v>3269.3159999999998</v>
      </c>
      <c r="BQ30" s="329">
        <v>3277.3040000000001</v>
      </c>
      <c r="BR30" s="329">
        <v>3284.2570000000001</v>
      </c>
      <c r="BS30" s="329">
        <v>3290.3910000000001</v>
      </c>
      <c r="BT30" s="329">
        <v>3292.547</v>
      </c>
      <c r="BU30" s="329">
        <v>3299.41</v>
      </c>
      <c r="BV30" s="329">
        <v>3307.8229999999999</v>
      </c>
    </row>
    <row r="31" spans="1:74" ht="11.1" customHeight="1" x14ac:dyDescent="0.2">
      <c r="A31" s="148" t="s">
        <v>723</v>
      </c>
      <c r="B31" s="209" t="s">
        <v>448</v>
      </c>
      <c r="C31" s="238">
        <v>835.44686119999994</v>
      </c>
      <c r="D31" s="238">
        <v>836.98667689000001</v>
      </c>
      <c r="E31" s="238">
        <v>837.90436614999999</v>
      </c>
      <c r="F31" s="238">
        <v>836.78107903</v>
      </c>
      <c r="G31" s="238">
        <v>837.51865291000001</v>
      </c>
      <c r="H31" s="238">
        <v>838.69823784000005</v>
      </c>
      <c r="I31" s="238">
        <v>841.11733641000001</v>
      </c>
      <c r="J31" s="238">
        <v>842.58281648000002</v>
      </c>
      <c r="K31" s="238">
        <v>843.89218063999999</v>
      </c>
      <c r="L31" s="238">
        <v>844.62120970000001</v>
      </c>
      <c r="M31" s="238">
        <v>845.93650644000002</v>
      </c>
      <c r="N31" s="238">
        <v>847.41385164999997</v>
      </c>
      <c r="O31" s="238">
        <v>849.39816294000002</v>
      </c>
      <c r="P31" s="238">
        <v>850.94091691999995</v>
      </c>
      <c r="Q31" s="238">
        <v>852.38703120000002</v>
      </c>
      <c r="R31" s="238">
        <v>853.68742465000003</v>
      </c>
      <c r="S31" s="238">
        <v>854.97707033999995</v>
      </c>
      <c r="T31" s="238">
        <v>856.20688715999995</v>
      </c>
      <c r="U31" s="238">
        <v>857.14890073000004</v>
      </c>
      <c r="V31" s="238">
        <v>858.43004057999997</v>
      </c>
      <c r="W31" s="238">
        <v>859.82233231999999</v>
      </c>
      <c r="X31" s="238">
        <v>861.73019207000004</v>
      </c>
      <c r="Y31" s="238">
        <v>863.04147552999996</v>
      </c>
      <c r="Z31" s="238">
        <v>864.16059878999999</v>
      </c>
      <c r="AA31" s="238">
        <v>864.64940566999996</v>
      </c>
      <c r="AB31" s="238">
        <v>865.71282571999996</v>
      </c>
      <c r="AC31" s="238">
        <v>866.91270271999997</v>
      </c>
      <c r="AD31" s="238">
        <v>868.11809432999996</v>
      </c>
      <c r="AE31" s="238">
        <v>869.68909203999999</v>
      </c>
      <c r="AF31" s="238">
        <v>871.49475347999999</v>
      </c>
      <c r="AG31" s="238">
        <v>874.21805715999994</v>
      </c>
      <c r="AH31" s="238">
        <v>875.98081219999995</v>
      </c>
      <c r="AI31" s="238">
        <v>877.46599710999999</v>
      </c>
      <c r="AJ31" s="238">
        <v>877.35686725000005</v>
      </c>
      <c r="AK31" s="238">
        <v>879.27447038000003</v>
      </c>
      <c r="AL31" s="238">
        <v>881.90206185</v>
      </c>
      <c r="AM31" s="238">
        <v>887.95694982999999</v>
      </c>
      <c r="AN31" s="238">
        <v>889.96653687000003</v>
      </c>
      <c r="AO31" s="238">
        <v>890.64813113000002</v>
      </c>
      <c r="AP31" s="238">
        <v>887.34740979000003</v>
      </c>
      <c r="AQ31" s="238">
        <v>887.36376060999999</v>
      </c>
      <c r="AR31" s="238">
        <v>888.04286076999995</v>
      </c>
      <c r="AS31" s="238">
        <v>890.63461461999998</v>
      </c>
      <c r="AT31" s="238">
        <v>891.70178520000002</v>
      </c>
      <c r="AU31" s="238">
        <v>892.49427685000001</v>
      </c>
      <c r="AV31" s="238">
        <v>891.95022616000006</v>
      </c>
      <c r="AW31" s="238">
        <v>892.98975752000001</v>
      </c>
      <c r="AX31" s="238">
        <v>894.55100749999997</v>
      </c>
      <c r="AY31" s="238">
        <v>882.31681538999999</v>
      </c>
      <c r="AZ31" s="238">
        <v>895.65937317999999</v>
      </c>
      <c r="BA31" s="238">
        <v>920.26152015000002</v>
      </c>
      <c r="BB31" s="238">
        <v>992.58750875999999</v>
      </c>
      <c r="BC31" s="238">
        <v>1012.3606447</v>
      </c>
      <c r="BD31" s="238">
        <v>1016.0451805</v>
      </c>
      <c r="BE31" s="238">
        <v>977.02402122000001</v>
      </c>
      <c r="BF31" s="238">
        <v>968.49417779999999</v>
      </c>
      <c r="BG31" s="329">
        <v>963.83860000000004</v>
      </c>
      <c r="BH31" s="329">
        <v>979.15539999999999</v>
      </c>
      <c r="BI31" s="329">
        <v>970.17449999999997</v>
      </c>
      <c r="BJ31" s="329">
        <v>952.99419999999998</v>
      </c>
      <c r="BK31" s="329">
        <v>904.07150000000001</v>
      </c>
      <c r="BL31" s="329">
        <v>888.14949999999999</v>
      </c>
      <c r="BM31" s="329">
        <v>881.68520000000001</v>
      </c>
      <c r="BN31" s="329">
        <v>897.64829999999995</v>
      </c>
      <c r="BO31" s="329">
        <v>900.3723</v>
      </c>
      <c r="BP31" s="329">
        <v>902.82669999999996</v>
      </c>
      <c r="BQ31" s="329">
        <v>905.03369999999995</v>
      </c>
      <c r="BR31" s="329">
        <v>906.9325</v>
      </c>
      <c r="BS31" s="329">
        <v>908.54520000000002</v>
      </c>
      <c r="BT31" s="329">
        <v>908.89369999999997</v>
      </c>
      <c r="BU31" s="329">
        <v>910.66759999999999</v>
      </c>
      <c r="BV31" s="329">
        <v>912.88890000000004</v>
      </c>
    </row>
    <row r="32" spans="1:74" ht="11.1" customHeight="1" x14ac:dyDescent="0.2">
      <c r="A32" s="148" t="s">
        <v>724</v>
      </c>
      <c r="B32" s="209" t="s">
        <v>449</v>
      </c>
      <c r="C32" s="238">
        <v>1801.9514326999999</v>
      </c>
      <c r="D32" s="238">
        <v>1797.0618816000001</v>
      </c>
      <c r="E32" s="238">
        <v>1793.6393928</v>
      </c>
      <c r="F32" s="238">
        <v>1791.4562866000001</v>
      </c>
      <c r="G32" s="238">
        <v>1791.1386815999999</v>
      </c>
      <c r="H32" s="238">
        <v>1792.4588983000001</v>
      </c>
      <c r="I32" s="238">
        <v>1796.8232235</v>
      </c>
      <c r="J32" s="238">
        <v>1800.3643685</v>
      </c>
      <c r="K32" s="238">
        <v>1804.4886200999999</v>
      </c>
      <c r="L32" s="238">
        <v>1808.5092427</v>
      </c>
      <c r="M32" s="238">
        <v>1814.3147592</v>
      </c>
      <c r="N32" s="238">
        <v>1821.2184339999999</v>
      </c>
      <c r="O32" s="238">
        <v>1830.6085509</v>
      </c>
      <c r="P32" s="238">
        <v>1838.6673294</v>
      </c>
      <c r="Q32" s="238">
        <v>1846.7830532999999</v>
      </c>
      <c r="R32" s="238">
        <v>1855.5038067</v>
      </c>
      <c r="S32" s="238">
        <v>1863.3223582000001</v>
      </c>
      <c r="T32" s="238">
        <v>1870.7867919</v>
      </c>
      <c r="U32" s="238">
        <v>1878.3215123</v>
      </c>
      <c r="V32" s="238">
        <v>1884.7594071000001</v>
      </c>
      <c r="W32" s="238">
        <v>1890.5248807999999</v>
      </c>
      <c r="X32" s="238">
        <v>1893.6012515</v>
      </c>
      <c r="Y32" s="238">
        <v>1899.5343944000001</v>
      </c>
      <c r="Z32" s="238">
        <v>1906.3076275999999</v>
      </c>
      <c r="AA32" s="238">
        <v>1916.3209363000001</v>
      </c>
      <c r="AB32" s="238">
        <v>1922.9743612</v>
      </c>
      <c r="AC32" s="238">
        <v>1928.6678876000001</v>
      </c>
      <c r="AD32" s="238">
        <v>1931.5770073000001</v>
      </c>
      <c r="AE32" s="238">
        <v>1936.7191175999999</v>
      </c>
      <c r="AF32" s="238">
        <v>1942.2697105</v>
      </c>
      <c r="AG32" s="238">
        <v>1949.5168226999999</v>
      </c>
      <c r="AH32" s="238">
        <v>1954.9183531000001</v>
      </c>
      <c r="AI32" s="238">
        <v>1959.7623384000001</v>
      </c>
      <c r="AJ32" s="238">
        <v>1961.1101762999999</v>
      </c>
      <c r="AK32" s="238">
        <v>1967.0430232000001</v>
      </c>
      <c r="AL32" s="238">
        <v>1974.6222768</v>
      </c>
      <c r="AM32" s="238">
        <v>1990.4269652</v>
      </c>
      <c r="AN32" s="238">
        <v>1996.364761</v>
      </c>
      <c r="AO32" s="238">
        <v>1999.0146923</v>
      </c>
      <c r="AP32" s="238">
        <v>1991.8910989000001</v>
      </c>
      <c r="AQ32" s="238">
        <v>1992.8295464</v>
      </c>
      <c r="AR32" s="238">
        <v>1995.3443744000001</v>
      </c>
      <c r="AS32" s="238">
        <v>2002.8862899000001</v>
      </c>
      <c r="AT32" s="238">
        <v>2005.9658489999999</v>
      </c>
      <c r="AU32" s="238">
        <v>2008.0337585</v>
      </c>
      <c r="AV32" s="238">
        <v>2005.4649538000001</v>
      </c>
      <c r="AW32" s="238">
        <v>2008.2283626000001</v>
      </c>
      <c r="AX32" s="238">
        <v>2012.6989202</v>
      </c>
      <c r="AY32" s="238">
        <v>1998.4748159000001</v>
      </c>
      <c r="AZ32" s="238">
        <v>2021.6610294</v>
      </c>
      <c r="BA32" s="238">
        <v>2061.8557498</v>
      </c>
      <c r="BB32" s="238">
        <v>2172.1634187999998</v>
      </c>
      <c r="BC32" s="238">
        <v>2206.5468219999998</v>
      </c>
      <c r="BD32" s="238">
        <v>2218.1104009999999</v>
      </c>
      <c r="BE32" s="238">
        <v>2173.6695642999998</v>
      </c>
      <c r="BF32" s="238">
        <v>2164.4819385000001</v>
      </c>
      <c r="BG32" s="329">
        <v>2157.3629999999998</v>
      </c>
      <c r="BH32" s="329">
        <v>2178.5070000000001</v>
      </c>
      <c r="BI32" s="329">
        <v>2155.8789999999999</v>
      </c>
      <c r="BJ32" s="329">
        <v>2115.6750000000002</v>
      </c>
      <c r="BK32" s="329">
        <v>2006.7809999999999</v>
      </c>
      <c r="BL32" s="329">
        <v>1969.758</v>
      </c>
      <c r="BM32" s="329">
        <v>1953.4929999999999</v>
      </c>
      <c r="BN32" s="329">
        <v>1985.6420000000001</v>
      </c>
      <c r="BO32" s="329">
        <v>1990.152</v>
      </c>
      <c r="BP32" s="329">
        <v>1994.6780000000001</v>
      </c>
      <c r="BQ32" s="329">
        <v>2000.09</v>
      </c>
      <c r="BR32" s="329">
        <v>2003.9960000000001</v>
      </c>
      <c r="BS32" s="329">
        <v>2007.2650000000001</v>
      </c>
      <c r="BT32" s="329">
        <v>2006.8589999999999</v>
      </c>
      <c r="BU32" s="329">
        <v>2011.135</v>
      </c>
      <c r="BV32" s="329">
        <v>2017.0530000000001</v>
      </c>
    </row>
    <row r="33" spans="1:74" s="163" customFormat="1" ht="11.1" customHeight="1" x14ac:dyDescent="0.2">
      <c r="A33" s="148" t="s">
        <v>725</v>
      </c>
      <c r="B33" s="209" t="s">
        <v>450</v>
      </c>
      <c r="C33" s="238">
        <v>1042.3220994999999</v>
      </c>
      <c r="D33" s="238">
        <v>1044.8318432000001</v>
      </c>
      <c r="E33" s="238">
        <v>1047.2584781</v>
      </c>
      <c r="F33" s="238">
        <v>1048.7677673999999</v>
      </c>
      <c r="G33" s="238">
        <v>1051.6538625000001</v>
      </c>
      <c r="H33" s="238">
        <v>1055.0825265000001</v>
      </c>
      <c r="I33" s="238">
        <v>1060.8869127</v>
      </c>
      <c r="J33" s="238">
        <v>1064.0258495</v>
      </c>
      <c r="K33" s="238">
        <v>1066.3324901999999</v>
      </c>
      <c r="L33" s="238">
        <v>1065.3702702999999</v>
      </c>
      <c r="M33" s="238">
        <v>1067.8397421</v>
      </c>
      <c r="N33" s="238">
        <v>1071.3043412</v>
      </c>
      <c r="O33" s="238">
        <v>1077.3418194000001</v>
      </c>
      <c r="P33" s="238">
        <v>1081.6133589000001</v>
      </c>
      <c r="Q33" s="238">
        <v>1085.6967116999999</v>
      </c>
      <c r="R33" s="238">
        <v>1089.1211661</v>
      </c>
      <c r="S33" s="238">
        <v>1093.1811792999999</v>
      </c>
      <c r="T33" s="238">
        <v>1097.4060394999999</v>
      </c>
      <c r="U33" s="238">
        <v>1102.7743582999999</v>
      </c>
      <c r="V33" s="238">
        <v>1106.5949539999999</v>
      </c>
      <c r="W33" s="238">
        <v>1109.846438</v>
      </c>
      <c r="X33" s="238">
        <v>1110.725154</v>
      </c>
      <c r="Y33" s="238">
        <v>1114.1911571000001</v>
      </c>
      <c r="Z33" s="238">
        <v>1118.4407908999999</v>
      </c>
      <c r="AA33" s="238">
        <v>1125.7303778999999</v>
      </c>
      <c r="AB33" s="238">
        <v>1129.8550313000001</v>
      </c>
      <c r="AC33" s="238">
        <v>1133.0710735</v>
      </c>
      <c r="AD33" s="238">
        <v>1133.1235396</v>
      </c>
      <c r="AE33" s="238">
        <v>1136.2135833</v>
      </c>
      <c r="AF33" s="238">
        <v>1140.0862397000001</v>
      </c>
      <c r="AG33" s="238">
        <v>1146.4683631</v>
      </c>
      <c r="AH33" s="238">
        <v>1150.6111040000001</v>
      </c>
      <c r="AI33" s="238">
        <v>1154.2413168999999</v>
      </c>
      <c r="AJ33" s="238">
        <v>1155.2947761999999</v>
      </c>
      <c r="AK33" s="238">
        <v>1159.4481020000001</v>
      </c>
      <c r="AL33" s="238">
        <v>1164.6370689</v>
      </c>
      <c r="AM33" s="238">
        <v>1174.7803348</v>
      </c>
      <c r="AN33" s="238">
        <v>1179.1015901999999</v>
      </c>
      <c r="AO33" s="238">
        <v>1181.5194931999999</v>
      </c>
      <c r="AP33" s="238">
        <v>1178.0611041</v>
      </c>
      <c r="AQ33" s="238">
        <v>1179.6520066999999</v>
      </c>
      <c r="AR33" s="238">
        <v>1182.3192615999999</v>
      </c>
      <c r="AS33" s="238">
        <v>1188.3463879999999</v>
      </c>
      <c r="AT33" s="238">
        <v>1191.4537075999999</v>
      </c>
      <c r="AU33" s="238">
        <v>1193.9247398</v>
      </c>
      <c r="AV33" s="238">
        <v>1194.2581316000001</v>
      </c>
      <c r="AW33" s="238">
        <v>1196.5826038</v>
      </c>
      <c r="AX33" s="238">
        <v>1199.3968032</v>
      </c>
      <c r="AY33" s="238">
        <v>1188.0540913</v>
      </c>
      <c r="AZ33" s="238">
        <v>1202.8327244</v>
      </c>
      <c r="BA33" s="238">
        <v>1229.0860639</v>
      </c>
      <c r="BB33" s="238">
        <v>1301.9880293000001</v>
      </c>
      <c r="BC33" s="238">
        <v>1324.8103418999999</v>
      </c>
      <c r="BD33" s="238">
        <v>1332.7269213</v>
      </c>
      <c r="BE33" s="238">
        <v>1302.4699908</v>
      </c>
      <c r="BF33" s="238">
        <v>1298.0259361000001</v>
      </c>
      <c r="BG33" s="329">
        <v>1296.127</v>
      </c>
      <c r="BH33" s="329">
        <v>1315.711</v>
      </c>
      <c r="BI33" s="329">
        <v>1304.6990000000001</v>
      </c>
      <c r="BJ33" s="329">
        <v>1282.029</v>
      </c>
      <c r="BK33" s="329">
        <v>1215.3219999999999</v>
      </c>
      <c r="BL33" s="329">
        <v>1193.6189999999999</v>
      </c>
      <c r="BM33" s="329">
        <v>1184.5429999999999</v>
      </c>
      <c r="BN33" s="329">
        <v>1205.1379999999999</v>
      </c>
      <c r="BO33" s="329">
        <v>1208.53</v>
      </c>
      <c r="BP33" s="329">
        <v>1211.7639999999999</v>
      </c>
      <c r="BQ33" s="329">
        <v>1215.3030000000001</v>
      </c>
      <c r="BR33" s="329">
        <v>1217.876</v>
      </c>
      <c r="BS33" s="329">
        <v>1219.944</v>
      </c>
      <c r="BT33" s="329">
        <v>1219.885</v>
      </c>
      <c r="BU33" s="329">
        <v>1222.163</v>
      </c>
      <c r="BV33" s="329">
        <v>1225.153</v>
      </c>
    </row>
    <row r="34" spans="1:74" s="163" customFormat="1" ht="11.1" customHeight="1" x14ac:dyDescent="0.2">
      <c r="A34" s="148" t="s">
        <v>726</v>
      </c>
      <c r="B34" s="209" t="s">
        <v>451</v>
      </c>
      <c r="C34" s="238">
        <v>2540.1301833000002</v>
      </c>
      <c r="D34" s="238">
        <v>2545.6570622999998</v>
      </c>
      <c r="E34" s="238">
        <v>2548.3743933000001</v>
      </c>
      <c r="F34" s="238">
        <v>2542.5374916000001</v>
      </c>
      <c r="G34" s="238">
        <v>2543.9442401000001</v>
      </c>
      <c r="H34" s="238">
        <v>2546.8499541000001</v>
      </c>
      <c r="I34" s="238">
        <v>2552.1202616999999</v>
      </c>
      <c r="J34" s="238">
        <v>2557.3746857000001</v>
      </c>
      <c r="K34" s="238">
        <v>2563.4788542000001</v>
      </c>
      <c r="L34" s="238">
        <v>2572.0724878000001</v>
      </c>
      <c r="M34" s="238">
        <v>2578.6463546999998</v>
      </c>
      <c r="N34" s="238">
        <v>2584.8401757000001</v>
      </c>
      <c r="O34" s="238">
        <v>2588.7557619999998</v>
      </c>
      <c r="P34" s="238">
        <v>2595.6131322000001</v>
      </c>
      <c r="Q34" s="238">
        <v>2603.5140977999999</v>
      </c>
      <c r="R34" s="238">
        <v>2614.902501</v>
      </c>
      <c r="S34" s="238">
        <v>2623.0577755999998</v>
      </c>
      <c r="T34" s="238">
        <v>2630.4237640000001</v>
      </c>
      <c r="U34" s="238">
        <v>2634.3383921</v>
      </c>
      <c r="V34" s="238">
        <v>2642.1223633999998</v>
      </c>
      <c r="W34" s="238">
        <v>2651.1136040000001</v>
      </c>
      <c r="X34" s="238">
        <v>2665.0782261999998</v>
      </c>
      <c r="Y34" s="238">
        <v>2673.6594209</v>
      </c>
      <c r="Z34" s="238">
        <v>2680.6233007000001</v>
      </c>
      <c r="AA34" s="238">
        <v>2682.7123485000002</v>
      </c>
      <c r="AB34" s="238">
        <v>2688.8847359000001</v>
      </c>
      <c r="AC34" s="238">
        <v>2695.8829460000002</v>
      </c>
      <c r="AD34" s="238">
        <v>2705.1016456000002</v>
      </c>
      <c r="AE34" s="238">
        <v>2712.7055011000002</v>
      </c>
      <c r="AF34" s="238">
        <v>2720.0891792000002</v>
      </c>
      <c r="AG34" s="238">
        <v>2727.3348424999999</v>
      </c>
      <c r="AH34" s="238">
        <v>2734.2165438000002</v>
      </c>
      <c r="AI34" s="238">
        <v>2740.8164456999998</v>
      </c>
      <c r="AJ34" s="238">
        <v>2744.7220218000002</v>
      </c>
      <c r="AK34" s="238">
        <v>2752.5677197</v>
      </c>
      <c r="AL34" s="238">
        <v>2761.9410130000001</v>
      </c>
      <c r="AM34" s="238">
        <v>2777.7929942999999</v>
      </c>
      <c r="AN34" s="238">
        <v>2786.508159</v>
      </c>
      <c r="AO34" s="238">
        <v>2793.0375998</v>
      </c>
      <c r="AP34" s="238">
        <v>2797.3727997000001</v>
      </c>
      <c r="AQ34" s="238">
        <v>2799.5371802</v>
      </c>
      <c r="AR34" s="238">
        <v>2799.5222242999998</v>
      </c>
      <c r="AS34" s="238">
        <v>2788.0411866999998</v>
      </c>
      <c r="AT34" s="238">
        <v>2790.6326174000001</v>
      </c>
      <c r="AU34" s="238">
        <v>2798.0097707999998</v>
      </c>
      <c r="AV34" s="238">
        <v>2819.1130675999998</v>
      </c>
      <c r="AW34" s="238">
        <v>2829.3563512000001</v>
      </c>
      <c r="AX34" s="238">
        <v>2837.6800422000001</v>
      </c>
      <c r="AY34" s="238">
        <v>2820.9283150000001</v>
      </c>
      <c r="AZ34" s="238">
        <v>2842.7796899</v>
      </c>
      <c r="BA34" s="238">
        <v>2880.0783414000002</v>
      </c>
      <c r="BB34" s="238">
        <v>2979.8682266999999</v>
      </c>
      <c r="BC34" s="238">
        <v>3012.7784633000001</v>
      </c>
      <c r="BD34" s="238">
        <v>3025.8530086000001</v>
      </c>
      <c r="BE34" s="238">
        <v>2985.4338496999999</v>
      </c>
      <c r="BF34" s="238">
        <v>2984.0805218</v>
      </c>
      <c r="BG34" s="329">
        <v>2988.1350000000002</v>
      </c>
      <c r="BH34" s="329">
        <v>3041.8180000000002</v>
      </c>
      <c r="BI34" s="329">
        <v>3023.5230000000001</v>
      </c>
      <c r="BJ34" s="329">
        <v>2977.47</v>
      </c>
      <c r="BK34" s="329">
        <v>2829.337</v>
      </c>
      <c r="BL34" s="329">
        <v>2783.511</v>
      </c>
      <c r="BM34" s="329">
        <v>2765.67</v>
      </c>
      <c r="BN34" s="329">
        <v>2814.0390000000002</v>
      </c>
      <c r="BO34" s="329">
        <v>2823.4969999999998</v>
      </c>
      <c r="BP34" s="329">
        <v>2832.27</v>
      </c>
      <c r="BQ34" s="329">
        <v>2840.9679999999998</v>
      </c>
      <c r="BR34" s="329">
        <v>2847.913</v>
      </c>
      <c r="BS34" s="329">
        <v>2853.7170000000001</v>
      </c>
      <c r="BT34" s="329">
        <v>2854.9</v>
      </c>
      <c r="BU34" s="329">
        <v>2861.0279999999998</v>
      </c>
      <c r="BV34" s="329">
        <v>2868.623</v>
      </c>
    </row>
    <row r="35" spans="1:74" s="163" customFormat="1" ht="11.1" customHeight="1" x14ac:dyDescent="0.2">
      <c r="A35" s="148"/>
      <c r="B35" s="168" t="s">
        <v>38</v>
      </c>
      <c r="C35" s="245"/>
      <c r="D35" s="245"/>
      <c r="E35" s="245"/>
      <c r="F35" s="245"/>
      <c r="G35" s="245"/>
      <c r="H35" s="245"/>
      <c r="I35" s="245"/>
      <c r="J35" s="245"/>
      <c r="K35" s="245"/>
      <c r="L35" s="245"/>
      <c r="M35" s="245"/>
      <c r="N35" s="245"/>
      <c r="O35" s="245"/>
      <c r="P35" s="245"/>
      <c r="Q35" s="245"/>
      <c r="R35" s="245"/>
      <c r="S35" s="245"/>
      <c r="T35" s="245"/>
      <c r="U35" s="245"/>
      <c r="V35" s="245"/>
      <c r="W35" s="245"/>
      <c r="X35" s="245"/>
      <c r="Y35" s="245"/>
      <c r="Z35" s="245"/>
      <c r="AA35" s="245"/>
      <c r="AB35" s="245"/>
      <c r="AC35" s="245"/>
      <c r="AD35" s="245"/>
      <c r="AE35" s="245"/>
      <c r="AF35" s="245"/>
      <c r="AG35" s="245"/>
      <c r="AH35" s="245"/>
      <c r="AI35" s="245"/>
      <c r="AJ35" s="245"/>
      <c r="AK35" s="245"/>
      <c r="AL35" s="245"/>
      <c r="AM35" s="245"/>
      <c r="AN35" s="245"/>
      <c r="AO35" s="245"/>
      <c r="AP35" s="245"/>
      <c r="AQ35" s="245"/>
      <c r="AR35" s="245"/>
      <c r="AS35" s="245"/>
      <c r="AT35" s="245"/>
      <c r="AU35" s="245"/>
      <c r="AV35" s="245"/>
      <c r="AW35" s="245"/>
      <c r="AX35" s="245"/>
      <c r="AY35" s="245"/>
      <c r="AZ35" s="245"/>
      <c r="BA35" s="245"/>
      <c r="BB35" s="245"/>
      <c r="BC35" s="245"/>
      <c r="BD35" s="245"/>
      <c r="BE35" s="245"/>
      <c r="BF35" s="245"/>
      <c r="BG35" s="344"/>
      <c r="BH35" s="344"/>
      <c r="BI35" s="344"/>
      <c r="BJ35" s="344"/>
      <c r="BK35" s="344"/>
      <c r="BL35" s="344"/>
      <c r="BM35" s="344"/>
      <c r="BN35" s="344"/>
      <c r="BO35" s="344"/>
      <c r="BP35" s="344"/>
      <c r="BQ35" s="344"/>
      <c r="BR35" s="344"/>
      <c r="BS35" s="344"/>
      <c r="BT35" s="344"/>
      <c r="BU35" s="344"/>
      <c r="BV35" s="344"/>
    </row>
    <row r="36" spans="1:74" s="163" customFormat="1" ht="11.1" customHeight="1" x14ac:dyDescent="0.2">
      <c r="A36" s="148" t="s">
        <v>727</v>
      </c>
      <c r="B36" s="209" t="s">
        <v>444</v>
      </c>
      <c r="C36" s="238">
        <v>5850.2688219000001</v>
      </c>
      <c r="D36" s="238">
        <v>5855.2669159999996</v>
      </c>
      <c r="E36" s="238">
        <v>5859.3230402999998</v>
      </c>
      <c r="F36" s="238">
        <v>5861.9843737000001</v>
      </c>
      <c r="G36" s="238">
        <v>5863.4937111999998</v>
      </c>
      <c r="H36" s="238">
        <v>5864.2677518999999</v>
      </c>
      <c r="I36" s="238">
        <v>5864.6785852000003</v>
      </c>
      <c r="J36" s="238">
        <v>5864.9198620999996</v>
      </c>
      <c r="K36" s="238">
        <v>5865.1406238999998</v>
      </c>
      <c r="L36" s="238">
        <v>5865.4477663999996</v>
      </c>
      <c r="M36" s="238">
        <v>5865.7796023000001</v>
      </c>
      <c r="N36" s="238">
        <v>5866.0322985000003</v>
      </c>
      <c r="O36" s="238">
        <v>5866.2412366999997</v>
      </c>
      <c r="P36" s="238">
        <v>5866.9986566999996</v>
      </c>
      <c r="Q36" s="238">
        <v>5869.0360128000002</v>
      </c>
      <c r="R36" s="238">
        <v>5872.8177784</v>
      </c>
      <c r="S36" s="238">
        <v>5877.7405022000003</v>
      </c>
      <c r="T36" s="238">
        <v>5882.9337517000004</v>
      </c>
      <c r="U36" s="238">
        <v>5887.7145141000001</v>
      </c>
      <c r="V36" s="238">
        <v>5892.1494547000002</v>
      </c>
      <c r="W36" s="238">
        <v>5896.4926582999997</v>
      </c>
      <c r="X36" s="238">
        <v>5900.9450257999997</v>
      </c>
      <c r="Y36" s="238">
        <v>5905.4947222999999</v>
      </c>
      <c r="Z36" s="238">
        <v>5910.0767288999996</v>
      </c>
      <c r="AA36" s="238">
        <v>5914.6013254</v>
      </c>
      <c r="AB36" s="238">
        <v>5918.8799854999997</v>
      </c>
      <c r="AC36" s="238">
        <v>5922.6994812000003</v>
      </c>
      <c r="AD36" s="238">
        <v>5925.8817280000003</v>
      </c>
      <c r="AE36" s="238">
        <v>5928.3892136000004</v>
      </c>
      <c r="AF36" s="238">
        <v>5930.2195690999997</v>
      </c>
      <c r="AG36" s="238">
        <v>5931.4206850999999</v>
      </c>
      <c r="AH36" s="238">
        <v>5932.2414908999999</v>
      </c>
      <c r="AI36" s="238">
        <v>5932.9811754000002</v>
      </c>
      <c r="AJ36" s="238">
        <v>5933.8764305000004</v>
      </c>
      <c r="AK36" s="238">
        <v>5934.9139585000003</v>
      </c>
      <c r="AL36" s="238">
        <v>5936.0179647000004</v>
      </c>
      <c r="AM36" s="238">
        <v>5937.1402764000004</v>
      </c>
      <c r="AN36" s="238">
        <v>5938.3432079000004</v>
      </c>
      <c r="AO36" s="238">
        <v>5939.7166956000001</v>
      </c>
      <c r="AP36" s="238">
        <v>5941.4128154999999</v>
      </c>
      <c r="AQ36" s="238">
        <v>5943.8322029000001</v>
      </c>
      <c r="AR36" s="238">
        <v>5947.4376322999997</v>
      </c>
      <c r="AS36" s="238">
        <v>5952.4248870000001</v>
      </c>
      <c r="AT36" s="238">
        <v>5957.9217827000002</v>
      </c>
      <c r="AU36" s="238">
        <v>5962.7891436</v>
      </c>
      <c r="AV36" s="238">
        <v>5966.1935198000001</v>
      </c>
      <c r="AW36" s="238">
        <v>5968.5243657000001</v>
      </c>
      <c r="AX36" s="238">
        <v>5970.4768614000004</v>
      </c>
      <c r="AY36" s="238">
        <v>5972.5582821999997</v>
      </c>
      <c r="AZ36" s="238">
        <v>5974.5242833000002</v>
      </c>
      <c r="BA36" s="238">
        <v>5975.9426148000002</v>
      </c>
      <c r="BB36" s="238">
        <v>5976.4416787</v>
      </c>
      <c r="BC36" s="238">
        <v>5975.8924835999997</v>
      </c>
      <c r="BD36" s="238">
        <v>5974.2266900000004</v>
      </c>
      <c r="BE36" s="238">
        <v>5971.5482204</v>
      </c>
      <c r="BF36" s="238">
        <v>5968.6500458</v>
      </c>
      <c r="BG36" s="329">
        <v>5966.4970000000003</v>
      </c>
      <c r="BH36" s="329">
        <v>5965.7489999999998</v>
      </c>
      <c r="BI36" s="329">
        <v>5965.8379999999997</v>
      </c>
      <c r="BJ36" s="329">
        <v>5965.89</v>
      </c>
      <c r="BK36" s="329">
        <v>5965.2380000000003</v>
      </c>
      <c r="BL36" s="329">
        <v>5964.0389999999998</v>
      </c>
      <c r="BM36" s="329">
        <v>5962.6570000000002</v>
      </c>
      <c r="BN36" s="329">
        <v>5961.4880000000003</v>
      </c>
      <c r="BO36" s="329">
        <v>5961.07</v>
      </c>
      <c r="BP36" s="329">
        <v>5961.9719999999998</v>
      </c>
      <c r="BQ36" s="329">
        <v>5964.5609999999997</v>
      </c>
      <c r="BR36" s="329">
        <v>5968.393</v>
      </c>
      <c r="BS36" s="329">
        <v>5972.8190000000004</v>
      </c>
      <c r="BT36" s="329">
        <v>5977.3389999999999</v>
      </c>
      <c r="BU36" s="329">
        <v>5982.0460000000003</v>
      </c>
      <c r="BV36" s="329">
        <v>5987.1819999999998</v>
      </c>
    </row>
    <row r="37" spans="1:74" s="163" customFormat="1" ht="11.1" customHeight="1" x14ac:dyDescent="0.2">
      <c r="A37" s="148" t="s">
        <v>728</v>
      </c>
      <c r="B37" s="209" t="s">
        <v>477</v>
      </c>
      <c r="C37" s="238">
        <v>15961.602562</v>
      </c>
      <c r="D37" s="238">
        <v>15963.681918</v>
      </c>
      <c r="E37" s="238">
        <v>15961.473463</v>
      </c>
      <c r="F37" s="238">
        <v>15953.643239999999</v>
      </c>
      <c r="G37" s="238">
        <v>15944.396691</v>
      </c>
      <c r="H37" s="238">
        <v>15939.324106</v>
      </c>
      <c r="I37" s="238">
        <v>15942.405976</v>
      </c>
      <c r="J37" s="238">
        <v>15951.183591000001</v>
      </c>
      <c r="K37" s="238">
        <v>15961.588441</v>
      </c>
      <c r="L37" s="238">
        <v>15970.364616000001</v>
      </c>
      <c r="M37" s="238">
        <v>15977.506614</v>
      </c>
      <c r="N37" s="238">
        <v>15983.821534000001</v>
      </c>
      <c r="O37" s="238">
        <v>15990.333504</v>
      </c>
      <c r="P37" s="238">
        <v>15998.934757999999</v>
      </c>
      <c r="Q37" s="238">
        <v>16011.734557</v>
      </c>
      <c r="R37" s="238">
        <v>16029.839174000001</v>
      </c>
      <c r="S37" s="238">
        <v>16050.342924</v>
      </c>
      <c r="T37" s="238">
        <v>16069.337129</v>
      </c>
      <c r="U37" s="238">
        <v>16083.943112000001</v>
      </c>
      <c r="V37" s="238">
        <v>16095.402174000001</v>
      </c>
      <c r="W37" s="238">
        <v>16105.985611</v>
      </c>
      <c r="X37" s="238">
        <v>16117.499250000001</v>
      </c>
      <c r="Y37" s="238">
        <v>16129.887035</v>
      </c>
      <c r="Z37" s="238">
        <v>16142.627435</v>
      </c>
      <c r="AA37" s="238">
        <v>16155.155151999999</v>
      </c>
      <c r="AB37" s="238">
        <v>16166.729802</v>
      </c>
      <c r="AC37" s="238">
        <v>16176.567231000001</v>
      </c>
      <c r="AD37" s="238">
        <v>16184.204725</v>
      </c>
      <c r="AE37" s="238">
        <v>16190.465326</v>
      </c>
      <c r="AF37" s="238">
        <v>16196.49352</v>
      </c>
      <c r="AG37" s="238">
        <v>16203.161298000001</v>
      </c>
      <c r="AH37" s="238">
        <v>16210.250684000001</v>
      </c>
      <c r="AI37" s="238">
        <v>16217.271210999999</v>
      </c>
      <c r="AJ37" s="238">
        <v>16223.83819</v>
      </c>
      <c r="AK37" s="238">
        <v>16229.990046999999</v>
      </c>
      <c r="AL37" s="238">
        <v>16235.870985</v>
      </c>
      <c r="AM37" s="238">
        <v>16241.626147000001</v>
      </c>
      <c r="AN37" s="238">
        <v>16247.404431000001</v>
      </c>
      <c r="AO37" s="238">
        <v>16253.355672</v>
      </c>
      <c r="AP37" s="238">
        <v>16259.821604999999</v>
      </c>
      <c r="AQ37" s="238">
        <v>16267.911547</v>
      </c>
      <c r="AR37" s="238">
        <v>16278.926715</v>
      </c>
      <c r="AS37" s="238">
        <v>16293.410827</v>
      </c>
      <c r="AT37" s="238">
        <v>16308.877614999999</v>
      </c>
      <c r="AU37" s="238">
        <v>16322.083314</v>
      </c>
      <c r="AV37" s="238">
        <v>16330.703740000001</v>
      </c>
      <c r="AW37" s="238">
        <v>16336.093045</v>
      </c>
      <c r="AX37" s="238">
        <v>16340.524965000001</v>
      </c>
      <c r="AY37" s="238">
        <v>16345.693708000001</v>
      </c>
      <c r="AZ37" s="238">
        <v>16350.975388000001</v>
      </c>
      <c r="BA37" s="238">
        <v>16355.166593</v>
      </c>
      <c r="BB37" s="238">
        <v>16357.221174</v>
      </c>
      <c r="BC37" s="238">
        <v>16356.722037</v>
      </c>
      <c r="BD37" s="238">
        <v>16353.409353999999</v>
      </c>
      <c r="BE37" s="238">
        <v>16347.518017</v>
      </c>
      <c r="BF37" s="238">
        <v>16341.261806</v>
      </c>
      <c r="BG37" s="329">
        <v>16337.35</v>
      </c>
      <c r="BH37" s="329">
        <v>16337.58</v>
      </c>
      <c r="BI37" s="329">
        <v>16340.1</v>
      </c>
      <c r="BJ37" s="329">
        <v>16342.14</v>
      </c>
      <c r="BK37" s="329">
        <v>16341.62</v>
      </c>
      <c r="BL37" s="329">
        <v>16339.1</v>
      </c>
      <c r="BM37" s="329">
        <v>16335.82</v>
      </c>
      <c r="BN37" s="329">
        <v>16333.05</v>
      </c>
      <c r="BO37" s="329">
        <v>16332.18</v>
      </c>
      <c r="BP37" s="329">
        <v>16334.65</v>
      </c>
      <c r="BQ37" s="329">
        <v>16341.4</v>
      </c>
      <c r="BR37" s="329">
        <v>16351.4</v>
      </c>
      <c r="BS37" s="329">
        <v>16363.16</v>
      </c>
      <c r="BT37" s="329">
        <v>16375.48</v>
      </c>
      <c r="BU37" s="329">
        <v>16388.39</v>
      </c>
      <c r="BV37" s="329">
        <v>16402.25</v>
      </c>
    </row>
    <row r="38" spans="1:74" s="163" customFormat="1" ht="11.1" customHeight="1" x14ac:dyDescent="0.2">
      <c r="A38" s="148" t="s">
        <v>729</v>
      </c>
      <c r="B38" s="209" t="s">
        <v>445</v>
      </c>
      <c r="C38" s="238">
        <v>18815.021558</v>
      </c>
      <c r="D38" s="238">
        <v>18828.928999</v>
      </c>
      <c r="E38" s="238">
        <v>18839.619847000002</v>
      </c>
      <c r="F38" s="238">
        <v>18845.796918</v>
      </c>
      <c r="G38" s="238">
        <v>18848.457833</v>
      </c>
      <c r="H38" s="238">
        <v>18849.173921000001</v>
      </c>
      <c r="I38" s="238">
        <v>18849.288926000001</v>
      </c>
      <c r="J38" s="238">
        <v>18849.236276</v>
      </c>
      <c r="K38" s="238">
        <v>18849.221818000002</v>
      </c>
      <c r="L38" s="238">
        <v>18849.371893</v>
      </c>
      <c r="M38" s="238">
        <v>18849.49482</v>
      </c>
      <c r="N38" s="238">
        <v>18849.319411</v>
      </c>
      <c r="O38" s="238">
        <v>18849.015238</v>
      </c>
      <c r="P38" s="238">
        <v>18850.514915</v>
      </c>
      <c r="Q38" s="238">
        <v>18856.191819</v>
      </c>
      <c r="R38" s="238">
        <v>18867.531442</v>
      </c>
      <c r="S38" s="238">
        <v>18882.467739</v>
      </c>
      <c r="T38" s="238">
        <v>18898.046783999998</v>
      </c>
      <c r="U38" s="238">
        <v>18911.965268</v>
      </c>
      <c r="V38" s="238">
        <v>18924.522354000001</v>
      </c>
      <c r="W38" s="238">
        <v>18936.667824</v>
      </c>
      <c r="X38" s="238">
        <v>18949.171843</v>
      </c>
      <c r="Y38" s="238">
        <v>18962.086104000002</v>
      </c>
      <c r="Z38" s="238">
        <v>18975.282684000002</v>
      </c>
      <c r="AA38" s="238">
        <v>18988.464646</v>
      </c>
      <c r="AB38" s="238">
        <v>19000.659003000001</v>
      </c>
      <c r="AC38" s="238">
        <v>19010.723754999999</v>
      </c>
      <c r="AD38" s="238">
        <v>19017.997743</v>
      </c>
      <c r="AE38" s="238">
        <v>19023.743169000001</v>
      </c>
      <c r="AF38" s="238">
        <v>19029.703078999999</v>
      </c>
      <c r="AG38" s="238">
        <v>19037.177002</v>
      </c>
      <c r="AH38" s="238">
        <v>19045.690404000001</v>
      </c>
      <c r="AI38" s="238">
        <v>19054.325239000002</v>
      </c>
      <c r="AJ38" s="238">
        <v>19062.360235</v>
      </c>
      <c r="AK38" s="238">
        <v>19069.861222</v>
      </c>
      <c r="AL38" s="238">
        <v>19077.090807</v>
      </c>
      <c r="AM38" s="238">
        <v>19084.291906999999</v>
      </c>
      <c r="AN38" s="238">
        <v>19091.628669000002</v>
      </c>
      <c r="AO38" s="238">
        <v>19099.245552</v>
      </c>
      <c r="AP38" s="238">
        <v>19107.523331</v>
      </c>
      <c r="AQ38" s="238">
        <v>19117.788052</v>
      </c>
      <c r="AR38" s="238">
        <v>19131.602077</v>
      </c>
      <c r="AS38" s="238">
        <v>19149.639176000001</v>
      </c>
      <c r="AT38" s="238">
        <v>19169.018737999999</v>
      </c>
      <c r="AU38" s="238">
        <v>19185.971559000001</v>
      </c>
      <c r="AV38" s="238">
        <v>19197.76223</v>
      </c>
      <c r="AW38" s="238">
        <v>19205.790512</v>
      </c>
      <c r="AX38" s="238">
        <v>19212.489963</v>
      </c>
      <c r="AY38" s="238">
        <v>19219.780683000001</v>
      </c>
      <c r="AZ38" s="238">
        <v>19227.528947999999</v>
      </c>
      <c r="BA38" s="238">
        <v>19235.087575000001</v>
      </c>
      <c r="BB38" s="238">
        <v>19241.699767999999</v>
      </c>
      <c r="BC38" s="238">
        <v>19246.170274</v>
      </c>
      <c r="BD38" s="238">
        <v>19247.194222999999</v>
      </c>
      <c r="BE38" s="238">
        <v>19244.286651999999</v>
      </c>
      <c r="BF38" s="238">
        <v>19240.242216999999</v>
      </c>
      <c r="BG38" s="329">
        <v>19238.68</v>
      </c>
      <c r="BH38" s="329">
        <v>19242.03</v>
      </c>
      <c r="BI38" s="329">
        <v>19248.09</v>
      </c>
      <c r="BJ38" s="329">
        <v>19253.46</v>
      </c>
      <c r="BK38" s="329">
        <v>19255.54</v>
      </c>
      <c r="BL38" s="329">
        <v>19254.95</v>
      </c>
      <c r="BM38" s="329">
        <v>19253.11</v>
      </c>
      <c r="BN38" s="329">
        <v>19251.509999999998</v>
      </c>
      <c r="BO38" s="329">
        <v>19251.990000000002</v>
      </c>
      <c r="BP38" s="329">
        <v>19256.46</v>
      </c>
      <c r="BQ38" s="329">
        <v>19266.2</v>
      </c>
      <c r="BR38" s="329">
        <v>19279.95</v>
      </c>
      <c r="BS38" s="329">
        <v>19295.82</v>
      </c>
      <c r="BT38" s="329">
        <v>19312.3</v>
      </c>
      <c r="BU38" s="329">
        <v>19329.47</v>
      </c>
      <c r="BV38" s="329">
        <v>19347.810000000001</v>
      </c>
    </row>
    <row r="39" spans="1:74" s="163" customFormat="1" ht="11.1" customHeight="1" x14ac:dyDescent="0.2">
      <c r="A39" s="148" t="s">
        <v>730</v>
      </c>
      <c r="B39" s="209" t="s">
        <v>446</v>
      </c>
      <c r="C39" s="238">
        <v>8503.7616268000002</v>
      </c>
      <c r="D39" s="238">
        <v>8506.2827533</v>
      </c>
      <c r="E39" s="238">
        <v>8506.8343513</v>
      </c>
      <c r="F39" s="238">
        <v>8504.8388907999997</v>
      </c>
      <c r="G39" s="238">
        <v>8501.7728504000006</v>
      </c>
      <c r="H39" s="238">
        <v>8499.6262110000007</v>
      </c>
      <c r="I39" s="238">
        <v>8499.8549003999997</v>
      </c>
      <c r="J39" s="238">
        <v>8501.7786333999993</v>
      </c>
      <c r="K39" s="238">
        <v>8504.1830719000009</v>
      </c>
      <c r="L39" s="238">
        <v>8506.0986979000008</v>
      </c>
      <c r="M39" s="238">
        <v>8507.5352758999998</v>
      </c>
      <c r="N39" s="238">
        <v>8508.7473905999996</v>
      </c>
      <c r="O39" s="238">
        <v>8510.0923622999999</v>
      </c>
      <c r="P39" s="238">
        <v>8512.3384533999997</v>
      </c>
      <c r="Q39" s="238">
        <v>8516.3566615</v>
      </c>
      <c r="R39" s="238">
        <v>8522.7220037000006</v>
      </c>
      <c r="S39" s="238">
        <v>8530.8255735000002</v>
      </c>
      <c r="T39" s="238">
        <v>8539.7624835000006</v>
      </c>
      <c r="U39" s="238">
        <v>8548.7817687999996</v>
      </c>
      <c r="V39" s="238">
        <v>8557.7481537999993</v>
      </c>
      <c r="W39" s="238">
        <v>8566.6802850999993</v>
      </c>
      <c r="X39" s="238">
        <v>8575.6017792000002</v>
      </c>
      <c r="Y39" s="238">
        <v>8584.5561316999992</v>
      </c>
      <c r="Z39" s="238">
        <v>8593.5918079999992</v>
      </c>
      <c r="AA39" s="238">
        <v>8602.6605884000001</v>
      </c>
      <c r="AB39" s="238">
        <v>8611.3275133999996</v>
      </c>
      <c r="AC39" s="238">
        <v>8619.0609385999996</v>
      </c>
      <c r="AD39" s="238">
        <v>8625.5406342999995</v>
      </c>
      <c r="AE39" s="238">
        <v>8631.2920300000005</v>
      </c>
      <c r="AF39" s="238">
        <v>8637.0519700000004</v>
      </c>
      <c r="AG39" s="238">
        <v>8643.3736286000003</v>
      </c>
      <c r="AH39" s="238">
        <v>8650.0754993999999</v>
      </c>
      <c r="AI39" s="238">
        <v>8656.7924060000005</v>
      </c>
      <c r="AJ39" s="238">
        <v>8663.2377751000004</v>
      </c>
      <c r="AK39" s="238">
        <v>8669.4394458999996</v>
      </c>
      <c r="AL39" s="238">
        <v>8675.5038605999998</v>
      </c>
      <c r="AM39" s="238">
        <v>8681.5303851000008</v>
      </c>
      <c r="AN39" s="238">
        <v>8687.5900793000001</v>
      </c>
      <c r="AO39" s="238">
        <v>8693.7469263999992</v>
      </c>
      <c r="AP39" s="238">
        <v>8700.1761392999997</v>
      </c>
      <c r="AQ39" s="238">
        <v>8707.4978482999995</v>
      </c>
      <c r="AR39" s="238">
        <v>8716.4434132999995</v>
      </c>
      <c r="AS39" s="238">
        <v>8727.3176727999999</v>
      </c>
      <c r="AT39" s="238">
        <v>8738.7193788000004</v>
      </c>
      <c r="AU39" s="238">
        <v>8748.8207619999994</v>
      </c>
      <c r="AV39" s="238">
        <v>8756.3057860999998</v>
      </c>
      <c r="AW39" s="238">
        <v>8761.9053476000008</v>
      </c>
      <c r="AX39" s="238">
        <v>8766.8620759999994</v>
      </c>
      <c r="AY39" s="238">
        <v>8772.111637</v>
      </c>
      <c r="AZ39" s="238">
        <v>8777.3618404000008</v>
      </c>
      <c r="BA39" s="238">
        <v>8782.0135320000009</v>
      </c>
      <c r="BB39" s="238">
        <v>8785.5384494999998</v>
      </c>
      <c r="BC39" s="238">
        <v>8787.6918984999993</v>
      </c>
      <c r="BD39" s="238">
        <v>8788.3000761999992</v>
      </c>
      <c r="BE39" s="238">
        <v>8787.4626391999991</v>
      </c>
      <c r="BF39" s="238">
        <v>8786.3730806999993</v>
      </c>
      <c r="BG39" s="329">
        <v>8786.4979999999996</v>
      </c>
      <c r="BH39" s="329">
        <v>8788.7960000000003</v>
      </c>
      <c r="BI39" s="329">
        <v>8792.1880000000001</v>
      </c>
      <c r="BJ39" s="329">
        <v>8795.0869999999995</v>
      </c>
      <c r="BK39" s="329">
        <v>8796.3189999999995</v>
      </c>
      <c r="BL39" s="329">
        <v>8796.3719999999994</v>
      </c>
      <c r="BM39" s="329">
        <v>8796.1509999999998</v>
      </c>
      <c r="BN39" s="329">
        <v>8796.5139999999992</v>
      </c>
      <c r="BO39" s="329">
        <v>8798.1489999999994</v>
      </c>
      <c r="BP39" s="329">
        <v>8801.7009999999991</v>
      </c>
      <c r="BQ39" s="329">
        <v>8807.5730000000003</v>
      </c>
      <c r="BR39" s="329">
        <v>8815.1980000000003</v>
      </c>
      <c r="BS39" s="329">
        <v>8823.7690000000002</v>
      </c>
      <c r="BT39" s="329">
        <v>8832.6370000000006</v>
      </c>
      <c r="BU39" s="329">
        <v>8841.7950000000001</v>
      </c>
      <c r="BV39" s="329">
        <v>8851.3919999999998</v>
      </c>
    </row>
    <row r="40" spans="1:74" s="163" customFormat="1" ht="11.1" customHeight="1" x14ac:dyDescent="0.2">
      <c r="A40" s="148" t="s">
        <v>731</v>
      </c>
      <c r="B40" s="209" t="s">
        <v>447</v>
      </c>
      <c r="C40" s="238">
        <v>24941.523798999999</v>
      </c>
      <c r="D40" s="238">
        <v>24967.351559999999</v>
      </c>
      <c r="E40" s="238">
        <v>24988.541710000001</v>
      </c>
      <c r="F40" s="238">
        <v>25003.480474</v>
      </c>
      <c r="G40" s="238">
        <v>25014.126616000001</v>
      </c>
      <c r="H40" s="238">
        <v>25023.332036</v>
      </c>
      <c r="I40" s="238">
        <v>25033.38335</v>
      </c>
      <c r="J40" s="238">
        <v>25044.306037999999</v>
      </c>
      <c r="K40" s="238">
        <v>25055.560294999999</v>
      </c>
      <c r="L40" s="238">
        <v>25066.674244999998</v>
      </c>
      <c r="M40" s="238">
        <v>25077.447723000001</v>
      </c>
      <c r="N40" s="238">
        <v>25087.748490000002</v>
      </c>
      <c r="O40" s="238">
        <v>25097.976438999998</v>
      </c>
      <c r="P40" s="238">
        <v>25110.659987999999</v>
      </c>
      <c r="Q40" s="238">
        <v>25128.859682999999</v>
      </c>
      <c r="R40" s="238">
        <v>25154.502982000002</v>
      </c>
      <c r="S40" s="238">
        <v>25184.984978</v>
      </c>
      <c r="T40" s="238">
        <v>25216.567674999998</v>
      </c>
      <c r="U40" s="238">
        <v>25246.317918000001</v>
      </c>
      <c r="V40" s="238">
        <v>25274.521912</v>
      </c>
      <c r="W40" s="238">
        <v>25302.270702000002</v>
      </c>
      <c r="X40" s="238">
        <v>25330.442616</v>
      </c>
      <c r="Y40" s="238">
        <v>25359.065104000001</v>
      </c>
      <c r="Z40" s="238">
        <v>25387.952898</v>
      </c>
      <c r="AA40" s="238">
        <v>25416.736101999999</v>
      </c>
      <c r="AB40" s="238">
        <v>25444.306325000001</v>
      </c>
      <c r="AC40" s="238">
        <v>25469.370548999999</v>
      </c>
      <c r="AD40" s="238">
        <v>25491.083300999999</v>
      </c>
      <c r="AE40" s="238">
        <v>25510.389287000002</v>
      </c>
      <c r="AF40" s="238">
        <v>25528.680756999998</v>
      </c>
      <c r="AG40" s="238">
        <v>25547.109339999999</v>
      </c>
      <c r="AH40" s="238">
        <v>25565.864179</v>
      </c>
      <c r="AI40" s="238">
        <v>25584.893798000001</v>
      </c>
      <c r="AJ40" s="238">
        <v>25604.161929999998</v>
      </c>
      <c r="AK40" s="238">
        <v>25623.693167000001</v>
      </c>
      <c r="AL40" s="238">
        <v>25643.527311999998</v>
      </c>
      <c r="AM40" s="238">
        <v>25663.742645999999</v>
      </c>
      <c r="AN40" s="238">
        <v>25684.571365</v>
      </c>
      <c r="AO40" s="238">
        <v>25706.284141</v>
      </c>
      <c r="AP40" s="238">
        <v>25729.460504999999</v>
      </c>
      <c r="AQ40" s="238">
        <v>25755.915413999999</v>
      </c>
      <c r="AR40" s="238">
        <v>25787.772680999999</v>
      </c>
      <c r="AS40" s="238">
        <v>25825.926114999998</v>
      </c>
      <c r="AT40" s="238">
        <v>25866.349515000002</v>
      </c>
      <c r="AU40" s="238">
        <v>25903.786673999999</v>
      </c>
      <c r="AV40" s="238">
        <v>25934.440135000001</v>
      </c>
      <c r="AW40" s="238">
        <v>25960.347436</v>
      </c>
      <c r="AX40" s="238">
        <v>25985.004863999999</v>
      </c>
      <c r="AY40" s="238">
        <v>26010.842145999999</v>
      </c>
      <c r="AZ40" s="238">
        <v>26036.022761</v>
      </c>
      <c r="BA40" s="238">
        <v>26057.643631999999</v>
      </c>
      <c r="BB40" s="238">
        <v>26073.427114999999</v>
      </c>
      <c r="BC40" s="238">
        <v>26083.597319</v>
      </c>
      <c r="BD40" s="238">
        <v>26089.003788999999</v>
      </c>
      <c r="BE40" s="238">
        <v>26091.005625000002</v>
      </c>
      <c r="BF40" s="238">
        <v>26093.000153000001</v>
      </c>
      <c r="BG40" s="329">
        <v>26098.89</v>
      </c>
      <c r="BH40" s="329">
        <v>26111.24</v>
      </c>
      <c r="BI40" s="329">
        <v>26127.17</v>
      </c>
      <c r="BJ40" s="329">
        <v>26142.48</v>
      </c>
      <c r="BK40" s="329">
        <v>26153.99</v>
      </c>
      <c r="BL40" s="329">
        <v>26162.78</v>
      </c>
      <c r="BM40" s="329">
        <v>26171</v>
      </c>
      <c r="BN40" s="329">
        <v>26180.720000000001</v>
      </c>
      <c r="BO40" s="329">
        <v>26193.87</v>
      </c>
      <c r="BP40" s="329">
        <v>26212.33</v>
      </c>
      <c r="BQ40" s="329">
        <v>26237.34</v>
      </c>
      <c r="BR40" s="329">
        <v>26267.66</v>
      </c>
      <c r="BS40" s="329">
        <v>26301.4</v>
      </c>
      <c r="BT40" s="329">
        <v>26337.02</v>
      </c>
      <c r="BU40" s="329">
        <v>26374.36</v>
      </c>
      <c r="BV40" s="329">
        <v>26413.58</v>
      </c>
    </row>
    <row r="41" spans="1:74" s="163" customFormat="1" ht="11.1" customHeight="1" x14ac:dyDescent="0.2">
      <c r="A41" s="148" t="s">
        <v>732</v>
      </c>
      <c r="B41" s="209" t="s">
        <v>448</v>
      </c>
      <c r="C41" s="238">
        <v>7584.6841562</v>
      </c>
      <c r="D41" s="238">
        <v>7588.7086122000001</v>
      </c>
      <c r="E41" s="238">
        <v>7591.4340716999995</v>
      </c>
      <c r="F41" s="238">
        <v>7592.3670843</v>
      </c>
      <c r="G41" s="238">
        <v>7591.8861419000004</v>
      </c>
      <c r="H41" s="238">
        <v>7590.5877221000001</v>
      </c>
      <c r="I41" s="238">
        <v>7588.9875271999999</v>
      </c>
      <c r="J41" s="238">
        <v>7587.2781581999998</v>
      </c>
      <c r="K41" s="238">
        <v>7585.5714405999997</v>
      </c>
      <c r="L41" s="238">
        <v>7583.9423972000004</v>
      </c>
      <c r="M41" s="238">
        <v>7582.3188387</v>
      </c>
      <c r="N41" s="238">
        <v>7580.5917730000001</v>
      </c>
      <c r="O41" s="238">
        <v>7578.8244978000002</v>
      </c>
      <c r="P41" s="238">
        <v>7577.7694707000001</v>
      </c>
      <c r="Q41" s="238">
        <v>7578.3514395000002</v>
      </c>
      <c r="R41" s="238">
        <v>7581.1620958000003</v>
      </c>
      <c r="S41" s="238">
        <v>7585.4609069999997</v>
      </c>
      <c r="T41" s="238">
        <v>7590.1742844</v>
      </c>
      <c r="U41" s="238">
        <v>7594.4519031999998</v>
      </c>
      <c r="V41" s="238">
        <v>7598.3364941</v>
      </c>
      <c r="W41" s="238">
        <v>7602.0940512999996</v>
      </c>
      <c r="X41" s="238">
        <v>7605.9442061999998</v>
      </c>
      <c r="Y41" s="238">
        <v>7609.9211371000001</v>
      </c>
      <c r="Z41" s="238">
        <v>7614.0126591999997</v>
      </c>
      <c r="AA41" s="238">
        <v>7618.1253558999997</v>
      </c>
      <c r="AB41" s="238">
        <v>7621.8408830999997</v>
      </c>
      <c r="AC41" s="238">
        <v>7624.6596648000004</v>
      </c>
      <c r="AD41" s="238">
        <v>7626.3032412000002</v>
      </c>
      <c r="AE41" s="238">
        <v>7627.3776156000004</v>
      </c>
      <c r="AF41" s="238">
        <v>7628.7099073999998</v>
      </c>
      <c r="AG41" s="238">
        <v>7630.9178488999996</v>
      </c>
      <c r="AH41" s="238">
        <v>7633.7816246000002</v>
      </c>
      <c r="AI41" s="238">
        <v>7636.8720319000004</v>
      </c>
      <c r="AJ41" s="238">
        <v>7639.8517351</v>
      </c>
      <c r="AK41" s="238">
        <v>7642.7508663999997</v>
      </c>
      <c r="AL41" s="238">
        <v>7645.6914245999997</v>
      </c>
      <c r="AM41" s="238">
        <v>7648.7839771999998</v>
      </c>
      <c r="AN41" s="238">
        <v>7652.0933652000003</v>
      </c>
      <c r="AO41" s="238">
        <v>7655.6729979000002</v>
      </c>
      <c r="AP41" s="238">
        <v>7659.6722599000004</v>
      </c>
      <c r="AQ41" s="238">
        <v>7664.6244358000004</v>
      </c>
      <c r="AR41" s="238">
        <v>7671.1587853999999</v>
      </c>
      <c r="AS41" s="238">
        <v>7679.5406039</v>
      </c>
      <c r="AT41" s="238">
        <v>7688.5793277000002</v>
      </c>
      <c r="AU41" s="238">
        <v>7696.7204284999998</v>
      </c>
      <c r="AV41" s="238">
        <v>7702.8377241999997</v>
      </c>
      <c r="AW41" s="238">
        <v>7707.5184159999999</v>
      </c>
      <c r="AX41" s="238">
        <v>7711.7780511999999</v>
      </c>
      <c r="AY41" s="238">
        <v>7716.3597612000003</v>
      </c>
      <c r="AZ41" s="238">
        <v>7720.9170142000003</v>
      </c>
      <c r="BA41" s="238">
        <v>7724.8308625999998</v>
      </c>
      <c r="BB41" s="238">
        <v>7727.5816789999999</v>
      </c>
      <c r="BC41" s="238">
        <v>7729.0471170999999</v>
      </c>
      <c r="BD41" s="238">
        <v>7729.2041509000001</v>
      </c>
      <c r="BE41" s="238">
        <v>7728.2375199999997</v>
      </c>
      <c r="BF41" s="238">
        <v>7727.1630273999999</v>
      </c>
      <c r="BG41" s="329">
        <v>7727.2039999999997</v>
      </c>
      <c r="BH41" s="329">
        <v>7729.1620000000003</v>
      </c>
      <c r="BI41" s="329">
        <v>7732.15</v>
      </c>
      <c r="BJ41" s="329">
        <v>7734.857</v>
      </c>
      <c r="BK41" s="329">
        <v>7736.2950000000001</v>
      </c>
      <c r="BL41" s="329">
        <v>7736.759</v>
      </c>
      <c r="BM41" s="329">
        <v>7736.8680000000004</v>
      </c>
      <c r="BN41" s="329">
        <v>7737.26</v>
      </c>
      <c r="BO41" s="329">
        <v>7738.6549999999997</v>
      </c>
      <c r="BP41" s="329">
        <v>7741.7960000000003</v>
      </c>
      <c r="BQ41" s="329">
        <v>7747.17</v>
      </c>
      <c r="BR41" s="329">
        <v>7754.2539999999999</v>
      </c>
      <c r="BS41" s="329">
        <v>7762.27</v>
      </c>
      <c r="BT41" s="329">
        <v>7770.5820000000003</v>
      </c>
      <c r="BU41" s="329">
        <v>7779.1189999999997</v>
      </c>
      <c r="BV41" s="329">
        <v>7787.95</v>
      </c>
    </row>
    <row r="42" spans="1:74" s="163" customFormat="1" ht="11.1" customHeight="1" x14ac:dyDescent="0.2">
      <c r="A42" s="148" t="s">
        <v>733</v>
      </c>
      <c r="B42" s="209" t="s">
        <v>449</v>
      </c>
      <c r="C42" s="238">
        <v>14473.117416999999</v>
      </c>
      <c r="D42" s="238">
        <v>14485.820626000001</v>
      </c>
      <c r="E42" s="238">
        <v>14496.014157</v>
      </c>
      <c r="F42" s="238">
        <v>14502.813587000001</v>
      </c>
      <c r="G42" s="238">
        <v>14506.942267</v>
      </c>
      <c r="H42" s="238">
        <v>14509.52549</v>
      </c>
      <c r="I42" s="238">
        <v>14511.535581</v>
      </c>
      <c r="J42" s="238">
        <v>14513.333006000001</v>
      </c>
      <c r="K42" s="238">
        <v>14515.125260999999</v>
      </c>
      <c r="L42" s="238">
        <v>14517.053141</v>
      </c>
      <c r="M42" s="238">
        <v>14518.990615000001</v>
      </c>
      <c r="N42" s="238">
        <v>14520.744948</v>
      </c>
      <c r="O42" s="238">
        <v>14522.441392999999</v>
      </c>
      <c r="P42" s="238">
        <v>14525.477151999999</v>
      </c>
      <c r="Q42" s="238">
        <v>14531.567413000001</v>
      </c>
      <c r="R42" s="238">
        <v>14541.835816000001</v>
      </c>
      <c r="S42" s="238">
        <v>14555.039809</v>
      </c>
      <c r="T42" s="238">
        <v>14569.345288</v>
      </c>
      <c r="U42" s="238">
        <v>14583.271113999999</v>
      </c>
      <c r="V42" s="238">
        <v>14596.747987999999</v>
      </c>
      <c r="W42" s="238">
        <v>14610.059572</v>
      </c>
      <c r="X42" s="238">
        <v>14623.449748000001</v>
      </c>
      <c r="Y42" s="238">
        <v>14637.003258000001</v>
      </c>
      <c r="Z42" s="238">
        <v>14650.765063000001</v>
      </c>
      <c r="AA42" s="238">
        <v>14664.604732</v>
      </c>
      <c r="AB42" s="238">
        <v>14677.690262</v>
      </c>
      <c r="AC42" s="238">
        <v>14689.01426</v>
      </c>
      <c r="AD42" s="238">
        <v>14698.020586000001</v>
      </c>
      <c r="AE42" s="238">
        <v>14705.958116</v>
      </c>
      <c r="AF42" s="238">
        <v>14714.526981999999</v>
      </c>
      <c r="AG42" s="238">
        <v>14724.987322999999</v>
      </c>
      <c r="AH42" s="238">
        <v>14736.839318</v>
      </c>
      <c r="AI42" s="238">
        <v>14749.14315</v>
      </c>
      <c r="AJ42" s="238">
        <v>14761.159938000001</v>
      </c>
      <c r="AK42" s="238">
        <v>14772.954518</v>
      </c>
      <c r="AL42" s="238">
        <v>14784.792658</v>
      </c>
      <c r="AM42" s="238">
        <v>14796.911623</v>
      </c>
      <c r="AN42" s="238">
        <v>14809.434659</v>
      </c>
      <c r="AO42" s="238">
        <v>14822.456506</v>
      </c>
      <c r="AP42" s="238">
        <v>14836.260573</v>
      </c>
      <c r="AQ42" s="238">
        <v>14851.884929</v>
      </c>
      <c r="AR42" s="238">
        <v>14870.556312999999</v>
      </c>
      <c r="AS42" s="238">
        <v>14892.797780000001</v>
      </c>
      <c r="AT42" s="238">
        <v>14916.317666000001</v>
      </c>
      <c r="AU42" s="238">
        <v>14938.120629999999</v>
      </c>
      <c r="AV42" s="238">
        <v>14956.03224</v>
      </c>
      <c r="AW42" s="238">
        <v>14971.161708</v>
      </c>
      <c r="AX42" s="238">
        <v>14985.439157999999</v>
      </c>
      <c r="AY42" s="238">
        <v>15000.231863999999</v>
      </c>
      <c r="AZ42" s="238">
        <v>15014.655697</v>
      </c>
      <c r="BA42" s="238">
        <v>15027.263675</v>
      </c>
      <c r="BB42" s="238">
        <v>15036.914897000001</v>
      </c>
      <c r="BC42" s="238">
        <v>15043.692768999999</v>
      </c>
      <c r="BD42" s="238">
        <v>15047.986776</v>
      </c>
      <c r="BE42" s="238">
        <v>15050.497459</v>
      </c>
      <c r="BF42" s="238">
        <v>15053.169588999999</v>
      </c>
      <c r="BG42" s="329">
        <v>15058.26</v>
      </c>
      <c r="BH42" s="329">
        <v>15067.22</v>
      </c>
      <c r="BI42" s="329">
        <v>15078.31</v>
      </c>
      <c r="BJ42" s="329">
        <v>15088.98</v>
      </c>
      <c r="BK42" s="329">
        <v>15097.32</v>
      </c>
      <c r="BL42" s="329">
        <v>15104.01</v>
      </c>
      <c r="BM42" s="329">
        <v>15110.34</v>
      </c>
      <c r="BN42" s="329">
        <v>15117.6</v>
      </c>
      <c r="BO42" s="329">
        <v>15126.96</v>
      </c>
      <c r="BP42" s="329">
        <v>15139.57</v>
      </c>
      <c r="BQ42" s="329">
        <v>15156.16</v>
      </c>
      <c r="BR42" s="329">
        <v>15175.76</v>
      </c>
      <c r="BS42" s="329">
        <v>15196.99</v>
      </c>
      <c r="BT42" s="329">
        <v>15218.77</v>
      </c>
      <c r="BU42" s="329">
        <v>15241.14</v>
      </c>
      <c r="BV42" s="329">
        <v>15264.47</v>
      </c>
    </row>
    <row r="43" spans="1:74" s="163" customFormat="1" ht="11.1" customHeight="1" x14ac:dyDescent="0.2">
      <c r="A43" s="148" t="s">
        <v>734</v>
      </c>
      <c r="B43" s="209" t="s">
        <v>450</v>
      </c>
      <c r="C43" s="238">
        <v>8914.7917044000005</v>
      </c>
      <c r="D43" s="238">
        <v>8927.9070080000001</v>
      </c>
      <c r="E43" s="238">
        <v>8939.2358089999998</v>
      </c>
      <c r="F43" s="238">
        <v>8948.1129806000008</v>
      </c>
      <c r="G43" s="238">
        <v>8955.5819952000002</v>
      </c>
      <c r="H43" s="238">
        <v>8963.1134746999996</v>
      </c>
      <c r="I43" s="238">
        <v>8971.8275706000004</v>
      </c>
      <c r="J43" s="238">
        <v>8981.4425527000003</v>
      </c>
      <c r="K43" s="238">
        <v>8991.3262200999998</v>
      </c>
      <c r="L43" s="238">
        <v>9000.9649771000004</v>
      </c>
      <c r="M43" s="238">
        <v>9010.3196478000009</v>
      </c>
      <c r="N43" s="238">
        <v>9019.4696612999996</v>
      </c>
      <c r="O43" s="238">
        <v>9028.6532029000009</v>
      </c>
      <c r="P43" s="238">
        <v>9038.7434826000008</v>
      </c>
      <c r="Q43" s="238">
        <v>9050.7724667000002</v>
      </c>
      <c r="R43" s="238">
        <v>9065.4030497999993</v>
      </c>
      <c r="S43" s="238">
        <v>9081.8218407999993</v>
      </c>
      <c r="T43" s="238">
        <v>9098.8463766999994</v>
      </c>
      <c r="U43" s="238">
        <v>9115.5299792000005</v>
      </c>
      <c r="V43" s="238">
        <v>9131.8691087999996</v>
      </c>
      <c r="W43" s="238">
        <v>9148.0960099999993</v>
      </c>
      <c r="X43" s="238">
        <v>9164.4040500999999</v>
      </c>
      <c r="Y43" s="238">
        <v>9180.8310853999992</v>
      </c>
      <c r="Z43" s="238">
        <v>9197.3760946000002</v>
      </c>
      <c r="AA43" s="238">
        <v>9213.9431700000005</v>
      </c>
      <c r="AB43" s="238">
        <v>9230.0568590999992</v>
      </c>
      <c r="AC43" s="238">
        <v>9245.1468234999993</v>
      </c>
      <c r="AD43" s="238">
        <v>9258.8775095000001</v>
      </c>
      <c r="AE43" s="238">
        <v>9271.8525052000005</v>
      </c>
      <c r="AF43" s="238">
        <v>9284.9101836000009</v>
      </c>
      <c r="AG43" s="238">
        <v>9298.6790208000002</v>
      </c>
      <c r="AH43" s="238">
        <v>9312.9479045999997</v>
      </c>
      <c r="AI43" s="238">
        <v>9327.2958256999991</v>
      </c>
      <c r="AJ43" s="238">
        <v>9341.3916224000004</v>
      </c>
      <c r="AK43" s="238">
        <v>9355.2635226999992</v>
      </c>
      <c r="AL43" s="238">
        <v>9369.0296022000002</v>
      </c>
      <c r="AM43" s="238">
        <v>9382.8023369000002</v>
      </c>
      <c r="AN43" s="238">
        <v>9396.6718058000006</v>
      </c>
      <c r="AO43" s="238">
        <v>9410.7224884000007</v>
      </c>
      <c r="AP43" s="238">
        <v>9425.1468605999999</v>
      </c>
      <c r="AQ43" s="238">
        <v>9440.5693848999999</v>
      </c>
      <c r="AR43" s="238">
        <v>9457.7225197999996</v>
      </c>
      <c r="AS43" s="238">
        <v>9476.9080818999992</v>
      </c>
      <c r="AT43" s="238">
        <v>9496.7053173000004</v>
      </c>
      <c r="AU43" s="238">
        <v>9515.2628301000004</v>
      </c>
      <c r="AV43" s="238">
        <v>9531.2392725000009</v>
      </c>
      <c r="AW43" s="238">
        <v>9545.3334916000003</v>
      </c>
      <c r="AX43" s="238">
        <v>9558.7543827999998</v>
      </c>
      <c r="AY43" s="238">
        <v>9572.3377686000003</v>
      </c>
      <c r="AZ43" s="238">
        <v>9585.4271804</v>
      </c>
      <c r="BA43" s="238">
        <v>9596.9930765999998</v>
      </c>
      <c r="BB43" s="238">
        <v>9606.2472027999993</v>
      </c>
      <c r="BC43" s="238">
        <v>9613.3664530999995</v>
      </c>
      <c r="BD43" s="238">
        <v>9618.7690091000004</v>
      </c>
      <c r="BE43" s="238">
        <v>9623.0369869000006</v>
      </c>
      <c r="BF43" s="238">
        <v>9627.4082426000004</v>
      </c>
      <c r="BG43" s="329">
        <v>9633.2849999999999</v>
      </c>
      <c r="BH43" s="329">
        <v>9641.5480000000007</v>
      </c>
      <c r="BI43" s="329">
        <v>9651.0010000000002</v>
      </c>
      <c r="BJ43" s="329">
        <v>9659.9279999999999</v>
      </c>
      <c r="BK43" s="329">
        <v>9667.0580000000009</v>
      </c>
      <c r="BL43" s="329">
        <v>9672.9120000000003</v>
      </c>
      <c r="BM43" s="329">
        <v>9678.4560000000001</v>
      </c>
      <c r="BN43" s="329">
        <v>9684.6039999999994</v>
      </c>
      <c r="BO43" s="329">
        <v>9692.0509999999995</v>
      </c>
      <c r="BP43" s="329">
        <v>9701.4419999999991</v>
      </c>
      <c r="BQ43" s="329">
        <v>9713.2000000000007</v>
      </c>
      <c r="BR43" s="329">
        <v>9726.8770000000004</v>
      </c>
      <c r="BS43" s="329">
        <v>9741.8080000000009</v>
      </c>
      <c r="BT43" s="329">
        <v>9757.4259999999995</v>
      </c>
      <c r="BU43" s="329">
        <v>9773.5609999999997</v>
      </c>
      <c r="BV43" s="329">
        <v>9790.143</v>
      </c>
    </row>
    <row r="44" spans="1:74" s="163" customFormat="1" ht="11.1" customHeight="1" x14ac:dyDescent="0.2">
      <c r="A44" s="148" t="s">
        <v>735</v>
      </c>
      <c r="B44" s="209" t="s">
        <v>451</v>
      </c>
      <c r="C44" s="238">
        <v>18590.726305</v>
      </c>
      <c r="D44" s="238">
        <v>18606.045148000001</v>
      </c>
      <c r="E44" s="238">
        <v>18617.903180000001</v>
      </c>
      <c r="F44" s="238">
        <v>18625.098827000002</v>
      </c>
      <c r="G44" s="238">
        <v>18629.101719999999</v>
      </c>
      <c r="H44" s="238">
        <v>18632.049287999998</v>
      </c>
      <c r="I44" s="238">
        <v>18635.656681</v>
      </c>
      <c r="J44" s="238">
        <v>18639.949940999999</v>
      </c>
      <c r="K44" s="238">
        <v>18644.532827999999</v>
      </c>
      <c r="L44" s="238">
        <v>18649.044944000001</v>
      </c>
      <c r="M44" s="238">
        <v>18653.269237</v>
      </c>
      <c r="N44" s="238">
        <v>18657.024494000001</v>
      </c>
      <c r="O44" s="238">
        <v>18660.593263999999</v>
      </c>
      <c r="P44" s="238">
        <v>18666.113147</v>
      </c>
      <c r="Q44" s="238">
        <v>18676.185503000001</v>
      </c>
      <c r="R44" s="238">
        <v>18692.310035999999</v>
      </c>
      <c r="S44" s="238">
        <v>18711.579808999999</v>
      </c>
      <c r="T44" s="238">
        <v>18729.986227000001</v>
      </c>
      <c r="U44" s="238">
        <v>18744.528616</v>
      </c>
      <c r="V44" s="238">
        <v>18756.237991000002</v>
      </c>
      <c r="W44" s="238">
        <v>18767.153286000001</v>
      </c>
      <c r="X44" s="238">
        <v>18778.898271999999</v>
      </c>
      <c r="Y44" s="238">
        <v>18791.436066999999</v>
      </c>
      <c r="Z44" s="238">
        <v>18804.314629</v>
      </c>
      <c r="AA44" s="238">
        <v>18817.002539000001</v>
      </c>
      <c r="AB44" s="238">
        <v>18828.650882000002</v>
      </c>
      <c r="AC44" s="238">
        <v>18838.33137</v>
      </c>
      <c r="AD44" s="238">
        <v>18845.476995000001</v>
      </c>
      <c r="AE44" s="238">
        <v>18850.965864999998</v>
      </c>
      <c r="AF44" s="238">
        <v>18856.037365</v>
      </c>
      <c r="AG44" s="238">
        <v>18861.675958</v>
      </c>
      <c r="AH44" s="238">
        <v>18867.846393</v>
      </c>
      <c r="AI44" s="238">
        <v>18874.258495999999</v>
      </c>
      <c r="AJ44" s="238">
        <v>18880.687485999999</v>
      </c>
      <c r="AK44" s="238">
        <v>18887.170161999999</v>
      </c>
      <c r="AL44" s="238">
        <v>18893.808719000001</v>
      </c>
      <c r="AM44" s="238">
        <v>18900.714499999998</v>
      </c>
      <c r="AN44" s="238">
        <v>18908.035446999998</v>
      </c>
      <c r="AO44" s="238">
        <v>18915.928650000002</v>
      </c>
      <c r="AP44" s="238">
        <v>18924.800189000001</v>
      </c>
      <c r="AQ44" s="238">
        <v>18936.052102000001</v>
      </c>
      <c r="AR44" s="238">
        <v>18951.335418999999</v>
      </c>
      <c r="AS44" s="238">
        <v>18971.376936000001</v>
      </c>
      <c r="AT44" s="238">
        <v>18993.206528999999</v>
      </c>
      <c r="AU44" s="238">
        <v>19012.929843999998</v>
      </c>
      <c r="AV44" s="238">
        <v>19027.709148999998</v>
      </c>
      <c r="AW44" s="238">
        <v>19038.933219999999</v>
      </c>
      <c r="AX44" s="238">
        <v>19049.047457000001</v>
      </c>
      <c r="AY44" s="238">
        <v>19059.822333</v>
      </c>
      <c r="AZ44" s="238">
        <v>19070.328613999998</v>
      </c>
      <c r="BA44" s="238">
        <v>19078.962143000001</v>
      </c>
      <c r="BB44" s="238">
        <v>19084.456036</v>
      </c>
      <c r="BC44" s="238">
        <v>19086.892523999999</v>
      </c>
      <c r="BD44" s="238">
        <v>19086.691116999998</v>
      </c>
      <c r="BE44" s="238">
        <v>19084.676313</v>
      </c>
      <c r="BF44" s="238">
        <v>19083.292572999999</v>
      </c>
      <c r="BG44" s="329">
        <v>19085.39</v>
      </c>
      <c r="BH44" s="329">
        <v>19092.8</v>
      </c>
      <c r="BI44" s="329">
        <v>19103.310000000001</v>
      </c>
      <c r="BJ44" s="329">
        <v>19113.669999999998</v>
      </c>
      <c r="BK44" s="329">
        <v>19121.41</v>
      </c>
      <c r="BL44" s="329">
        <v>19127.080000000002</v>
      </c>
      <c r="BM44" s="329">
        <v>19132.009999999998</v>
      </c>
      <c r="BN44" s="329">
        <v>19137.55</v>
      </c>
      <c r="BO44" s="329">
        <v>19145.3</v>
      </c>
      <c r="BP44" s="329">
        <v>19156.900000000001</v>
      </c>
      <c r="BQ44" s="329">
        <v>19173.400000000001</v>
      </c>
      <c r="BR44" s="329">
        <v>19193.55</v>
      </c>
      <c r="BS44" s="329">
        <v>19215.509999999998</v>
      </c>
      <c r="BT44" s="329">
        <v>19237.8</v>
      </c>
      <c r="BU44" s="329">
        <v>19260.5</v>
      </c>
      <c r="BV44" s="329">
        <v>19284.05</v>
      </c>
    </row>
    <row r="45" spans="1:74" s="163" customFormat="1" ht="11.1" customHeight="1" x14ac:dyDescent="0.2">
      <c r="A45" s="148"/>
      <c r="B45" s="168" t="s">
        <v>736</v>
      </c>
      <c r="C45" s="246"/>
      <c r="D45" s="246"/>
      <c r="E45" s="246"/>
      <c r="F45" s="246"/>
      <c r="G45" s="246"/>
      <c r="H45" s="246"/>
      <c r="I45" s="246"/>
      <c r="J45" s="246"/>
      <c r="K45" s="246"/>
      <c r="L45" s="246"/>
      <c r="M45" s="246"/>
      <c r="N45" s="246"/>
      <c r="O45" s="246"/>
      <c r="P45" s="246"/>
      <c r="Q45" s="246"/>
      <c r="R45" s="246"/>
      <c r="S45" s="246"/>
      <c r="T45" s="246"/>
      <c r="U45" s="246"/>
      <c r="V45" s="246"/>
      <c r="W45" s="246"/>
      <c r="X45" s="246"/>
      <c r="Y45" s="246"/>
      <c r="Z45" s="246"/>
      <c r="AA45" s="246"/>
      <c r="AB45" s="246"/>
      <c r="AC45" s="246"/>
      <c r="AD45" s="246"/>
      <c r="AE45" s="246"/>
      <c r="AF45" s="246"/>
      <c r="AG45" s="246"/>
      <c r="AH45" s="246"/>
      <c r="AI45" s="246"/>
      <c r="AJ45" s="246"/>
      <c r="AK45" s="246"/>
      <c r="AL45" s="246"/>
      <c r="AM45" s="246"/>
      <c r="AN45" s="246"/>
      <c r="AO45" s="246"/>
      <c r="AP45" s="246"/>
      <c r="AQ45" s="246"/>
      <c r="AR45" s="246"/>
      <c r="AS45" s="246"/>
      <c r="AT45" s="246"/>
      <c r="AU45" s="246"/>
      <c r="AV45" s="246"/>
      <c r="AW45" s="246"/>
      <c r="AX45" s="246"/>
      <c r="AY45" s="246"/>
      <c r="AZ45" s="246"/>
      <c r="BA45" s="246"/>
      <c r="BB45" s="246"/>
      <c r="BC45" s="246"/>
      <c r="BD45" s="246"/>
      <c r="BE45" s="246"/>
      <c r="BF45" s="246"/>
      <c r="BG45" s="345"/>
      <c r="BH45" s="345"/>
      <c r="BI45" s="345"/>
      <c r="BJ45" s="345"/>
      <c r="BK45" s="345"/>
      <c r="BL45" s="345"/>
      <c r="BM45" s="345"/>
      <c r="BN45" s="345"/>
      <c r="BO45" s="345"/>
      <c r="BP45" s="345"/>
      <c r="BQ45" s="345"/>
      <c r="BR45" s="345"/>
      <c r="BS45" s="345"/>
      <c r="BT45" s="345"/>
      <c r="BU45" s="345"/>
      <c r="BV45" s="345"/>
    </row>
    <row r="46" spans="1:74" s="163" customFormat="1" ht="11.1" customHeight="1" x14ac:dyDescent="0.2">
      <c r="A46" s="148" t="s">
        <v>737</v>
      </c>
      <c r="B46" s="209" t="s">
        <v>444</v>
      </c>
      <c r="C46" s="256">
        <v>7.2741643759999999</v>
      </c>
      <c r="D46" s="256">
        <v>7.2831849581999997</v>
      </c>
      <c r="E46" s="256">
        <v>7.2903615643000004</v>
      </c>
      <c r="F46" s="256">
        <v>7.2903479865999996</v>
      </c>
      <c r="G46" s="256">
        <v>7.2978462960000003</v>
      </c>
      <c r="H46" s="256">
        <v>7.3075102848000002</v>
      </c>
      <c r="I46" s="256">
        <v>7.3258187132000003</v>
      </c>
      <c r="J46" s="256">
        <v>7.334954991</v>
      </c>
      <c r="K46" s="256">
        <v>7.3413978783999996</v>
      </c>
      <c r="L46" s="256">
        <v>7.3402367974000002</v>
      </c>
      <c r="M46" s="256">
        <v>7.3449758370999998</v>
      </c>
      <c r="N46" s="256">
        <v>7.3507044196000004</v>
      </c>
      <c r="O46" s="256">
        <v>7.3588696114000003</v>
      </c>
      <c r="P46" s="256">
        <v>7.3654919796999998</v>
      </c>
      <c r="Q46" s="256">
        <v>7.3720185910999998</v>
      </c>
      <c r="R46" s="256">
        <v>7.3774284462999997</v>
      </c>
      <c r="S46" s="256">
        <v>7.3845292929999999</v>
      </c>
      <c r="T46" s="256">
        <v>7.3923001320999999</v>
      </c>
      <c r="U46" s="256">
        <v>7.4047542880000004</v>
      </c>
      <c r="V46" s="256">
        <v>7.4108551182999998</v>
      </c>
      <c r="W46" s="256">
        <v>7.4146159473999997</v>
      </c>
      <c r="X46" s="256">
        <v>7.4115613553999999</v>
      </c>
      <c r="Y46" s="256">
        <v>7.4139987472</v>
      </c>
      <c r="Z46" s="256">
        <v>7.4174527030000004</v>
      </c>
      <c r="AA46" s="256">
        <v>7.4218651401000004</v>
      </c>
      <c r="AB46" s="256">
        <v>7.4273957854999999</v>
      </c>
      <c r="AC46" s="256">
        <v>7.4339865565999999</v>
      </c>
      <c r="AD46" s="256">
        <v>7.4445801247999999</v>
      </c>
      <c r="AE46" s="256">
        <v>7.4510841438000002</v>
      </c>
      <c r="AF46" s="256">
        <v>7.4564412849000004</v>
      </c>
      <c r="AG46" s="256">
        <v>7.4586739659000001</v>
      </c>
      <c r="AH46" s="256">
        <v>7.4632205380999999</v>
      </c>
      <c r="AI46" s="256">
        <v>7.4681034191000002</v>
      </c>
      <c r="AJ46" s="256">
        <v>7.4738092680000001</v>
      </c>
      <c r="AK46" s="256">
        <v>7.4789997725999999</v>
      </c>
      <c r="AL46" s="256">
        <v>7.4841615919000004</v>
      </c>
      <c r="AM46" s="256">
        <v>7.4906342707000002</v>
      </c>
      <c r="AN46" s="256">
        <v>7.4947340605999999</v>
      </c>
      <c r="AO46" s="256">
        <v>7.4978005065</v>
      </c>
      <c r="AP46" s="256">
        <v>7.4963990804999998</v>
      </c>
      <c r="AQ46" s="256">
        <v>7.4999747345000003</v>
      </c>
      <c r="AR46" s="256">
        <v>7.5050929404</v>
      </c>
      <c r="AS46" s="256">
        <v>7.5137537321999996</v>
      </c>
      <c r="AT46" s="256">
        <v>7.5204570169</v>
      </c>
      <c r="AU46" s="256">
        <v>7.5272028283000001</v>
      </c>
      <c r="AV46" s="256">
        <v>7.5376015797999996</v>
      </c>
      <c r="AW46" s="256">
        <v>7.5417246345000004</v>
      </c>
      <c r="AX46" s="256">
        <v>7.5431824058999997</v>
      </c>
      <c r="AY46" s="256">
        <v>7.7130729115000003</v>
      </c>
      <c r="AZ46" s="256">
        <v>7.5808766031000001</v>
      </c>
      <c r="BA46" s="256">
        <v>7.3176914981000003</v>
      </c>
      <c r="BB46" s="256">
        <v>6.5127948357000003</v>
      </c>
      <c r="BC46" s="256">
        <v>6.2956742085000004</v>
      </c>
      <c r="BD46" s="256">
        <v>6.2556068552999999</v>
      </c>
      <c r="BE46" s="256">
        <v>6.6652638138000002</v>
      </c>
      <c r="BF46" s="256">
        <v>6.7747997308999999</v>
      </c>
      <c r="BG46" s="342">
        <v>6.8568860000000003</v>
      </c>
      <c r="BH46" s="342">
        <v>6.8882539999999999</v>
      </c>
      <c r="BI46" s="342">
        <v>6.9328909999999997</v>
      </c>
      <c r="BJ46" s="342">
        <v>6.9675279999999997</v>
      </c>
      <c r="BK46" s="342">
        <v>6.9802549999999997</v>
      </c>
      <c r="BL46" s="342">
        <v>7.0038280000000004</v>
      </c>
      <c r="BM46" s="342">
        <v>7.0263350000000004</v>
      </c>
      <c r="BN46" s="342">
        <v>7.0480970000000003</v>
      </c>
      <c r="BO46" s="342">
        <v>7.0682330000000002</v>
      </c>
      <c r="BP46" s="342">
        <v>7.0870629999999997</v>
      </c>
      <c r="BQ46" s="342">
        <v>7.1028219999999997</v>
      </c>
      <c r="BR46" s="342">
        <v>7.1203649999999996</v>
      </c>
      <c r="BS46" s="342">
        <v>7.1379260000000002</v>
      </c>
      <c r="BT46" s="342">
        <v>7.1534170000000001</v>
      </c>
      <c r="BU46" s="342">
        <v>7.17258</v>
      </c>
      <c r="BV46" s="342">
        <v>7.1933290000000003</v>
      </c>
    </row>
    <row r="47" spans="1:74" s="163" customFormat="1" ht="11.1" customHeight="1" x14ac:dyDescent="0.2">
      <c r="A47" s="148" t="s">
        <v>738</v>
      </c>
      <c r="B47" s="209" t="s">
        <v>477</v>
      </c>
      <c r="C47" s="256">
        <v>19.200931351000001</v>
      </c>
      <c r="D47" s="256">
        <v>19.222058431000001</v>
      </c>
      <c r="E47" s="256">
        <v>19.240478997</v>
      </c>
      <c r="F47" s="256">
        <v>19.246242359</v>
      </c>
      <c r="G47" s="256">
        <v>19.266712918</v>
      </c>
      <c r="H47" s="256">
        <v>19.291939981999999</v>
      </c>
      <c r="I47" s="256">
        <v>19.333140214</v>
      </c>
      <c r="J47" s="256">
        <v>19.359467793</v>
      </c>
      <c r="K47" s="256">
        <v>19.382139381000002</v>
      </c>
      <c r="L47" s="256">
        <v>19.39426615</v>
      </c>
      <c r="M47" s="256">
        <v>19.414792379000001</v>
      </c>
      <c r="N47" s="256">
        <v>19.436829239000001</v>
      </c>
      <c r="O47" s="256">
        <v>19.465004110999999</v>
      </c>
      <c r="P47" s="256">
        <v>19.486591697000001</v>
      </c>
      <c r="Q47" s="256">
        <v>19.506219378000001</v>
      </c>
      <c r="R47" s="256">
        <v>19.516417277999999</v>
      </c>
      <c r="S47" s="256">
        <v>19.537727556</v>
      </c>
      <c r="T47" s="256">
        <v>19.562680335</v>
      </c>
      <c r="U47" s="256">
        <v>19.601399784000002</v>
      </c>
      <c r="V47" s="256">
        <v>19.626044443000001</v>
      </c>
      <c r="W47" s="256">
        <v>19.646738479</v>
      </c>
      <c r="X47" s="256">
        <v>19.659692111999998</v>
      </c>
      <c r="Y47" s="256">
        <v>19.675327238000001</v>
      </c>
      <c r="Z47" s="256">
        <v>19.689854075</v>
      </c>
      <c r="AA47" s="256">
        <v>19.695914485999999</v>
      </c>
      <c r="AB47" s="256">
        <v>19.713743353000002</v>
      </c>
      <c r="AC47" s="256">
        <v>19.735982537000002</v>
      </c>
      <c r="AD47" s="256">
        <v>19.772076333000001</v>
      </c>
      <c r="AE47" s="256">
        <v>19.796052928999998</v>
      </c>
      <c r="AF47" s="256">
        <v>19.817356620000002</v>
      </c>
      <c r="AG47" s="256">
        <v>19.832943178000001</v>
      </c>
      <c r="AH47" s="256">
        <v>19.851184231000001</v>
      </c>
      <c r="AI47" s="256">
        <v>19.86903555</v>
      </c>
      <c r="AJ47" s="256">
        <v>19.885096442999998</v>
      </c>
      <c r="AK47" s="256">
        <v>19.903218814999999</v>
      </c>
      <c r="AL47" s="256">
        <v>19.922001971</v>
      </c>
      <c r="AM47" s="256">
        <v>19.942552307</v>
      </c>
      <c r="AN47" s="256">
        <v>19.961827239000002</v>
      </c>
      <c r="AO47" s="256">
        <v>19.980933161999999</v>
      </c>
      <c r="AP47" s="256">
        <v>20.001165103000002</v>
      </c>
      <c r="AQ47" s="256">
        <v>20.018961736000001</v>
      </c>
      <c r="AR47" s="256">
        <v>20.035618089</v>
      </c>
      <c r="AS47" s="256">
        <v>20.046072085999999</v>
      </c>
      <c r="AT47" s="256">
        <v>20.064244433999999</v>
      </c>
      <c r="AU47" s="256">
        <v>20.085073057999999</v>
      </c>
      <c r="AV47" s="256">
        <v>20.123874479000001</v>
      </c>
      <c r="AW47" s="256">
        <v>20.138528264000001</v>
      </c>
      <c r="AX47" s="256">
        <v>20.144350934999999</v>
      </c>
      <c r="AY47" s="256">
        <v>20.62849263</v>
      </c>
      <c r="AZ47" s="256">
        <v>20.251290468000001</v>
      </c>
      <c r="BA47" s="256">
        <v>19.499894586</v>
      </c>
      <c r="BB47" s="256">
        <v>17.217700818000001</v>
      </c>
      <c r="BC47" s="256">
        <v>16.585370622999999</v>
      </c>
      <c r="BD47" s="256">
        <v>16.446299835000001</v>
      </c>
      <c r="BE47" s="256">
        <v>17.538837137000002</v>
      </c>
      <c r="BF47" s="256">
        <v>17.832523646999999</v>
      </c>
      <c r="BG47" s="342">
        <v>18.065709999999999</v>
      </c>
      <c r="BH47" s="342">
        <v>18.205100000000002</v>
      </c>
      <c r="BI47" s="342">
        <v>18.34225</v>
      </c>
      <c r="BJ47" s="342">
        <v>18.44387</v>
      </c>
      <c r="BK47" s="342">
        <v>18.466449999999998</v>
      </c>
      <c r="BL47" s="342">
        <v>18.529630000000001</v>
      </c>
      <c r="BM47" s="342">
        <v>18.589919999999999</v>
      </c>
      <c r="BN47" s="342">
        <v>18.646740000000001</v>
      </c>
      <c r="BO47" s="342">
        <v>18.701640000000001</v>
      </c>
      <c r="BP47" s="342">
        <v>18.754049999999999</v>
      </c>
      <c r="BQ47" s="342">
        <v>18.797129999999999</v>
      </c>
      <c r="BR47" s="342">
        <v>18.849720000000001</v>
      </c>
      <c r="BS47" s="342">
        <v>18.904959999999999</v>
      </c>
      <c r="BT47" s="342">
        <v>18.95815</v>
      </c>
      <c r="BU47" s="342">
        <v>19.02225</v>
      </c>
      <c r="BV47" s="342">
        <v>19.09253</v>
      </c>
    </row>
    <row r="48" spans="1:74" s="163" customFormat="1" ht="11.1" customHeight="1" x14ac:dyDescent="0.2">
      <c r="A48" s="148" t="s">
        <v>739</v>
      </c>
      <c r="B48" s="209" t="s">
        <v>445</v>
      </c>
      <c r="C48" s="256">
        <v>21.636444020999999</v>
      </c>
      <c r="D48" s="256">
        <v>21.659214652999999</v>
      </c>
      <c r="E48" s="256">
        <v>21.677634190999999</v>
      </c>
      <c r="F48" s="256">
        <v>21.681028481999999</v>
      </c>
      <c r="G48" s="256">
        <v>21.698751445999999</v>
      </c>
      <c r="H48" s="256">
        <v>21.720128931000001</v>
      </c>
      <c r="I48" s="256">
        <v>21.750651726000001</v>
      </c>
      <c r="J48" s="256">
        <v>21.77522016</v>
      </c>
      <c r="K48" s="256">
        <v>21.799325022000001</v>
      </c>
      <c r="L48" s="256">
        <v>21.825199949999998</v>
      </c>
      <c r="M48" s="256">
        <v>21.846702442000002</v>
      </c>
      <c r="N48" s="256">
        <v>21.866066135000001</v>
      </c>
      <c r="O48" s="256">
        <v>21.88105638</v>
      </c>
      <c r="P48" s="256">
        <v>21.897818462</v>
      </c>
      <c r="Q48" s="256">
        <v>21.914117732000001</v>
      </c>
      <c r="R48" s="256">
        <v>21.929493431000001</v>
      </c>
      <c r="S48" s="256">
        <v>21.945212646000002</v>
      </c>
      <c r="T48" s="256">
        <v>21.960814618000001</v>
      </c>
      <c r="U48" s="256">
        <v>21.976806652</v>
      </c>
      <c r="V48" s="256">
        <v>21.991793659999999</v>
      </c>
      <c r="W48" s="256">
        <v>22.006282946999999</v>
      </c>
      <c r="X48" s="256">
        <v>22.015649753999998</v>
      </c>
      <c r="Y48" s="256">
        <v>22.032612169</v>
      </c>
      <c r="Z48" s="256">
        <v>22.052545432999999</v>
      </c>
      <c r="AA48" s="256">
        <v>22.083623040999999</v>
      </c>
      <c r="AB48" s="256">
        <v>22.103367881</v>
      </c>
      <c r="AC48" s="256">
        <v>22.119953447</v>
      </c>
      <c r="AD48" s="256">
        <v>22.127188775</v>
      </c>
      <c r="AE48" s="256">
        <v>22.14209902</v>
      </c>
      <c r="AF48" s="256">
        <v>22.158493217</v>
      </c>
      <c r="AG48" s="256">
        <v>22.183758027</v>
      </c>
      <c r="AH48" s="256">
        <v>22.197580131999999</v>
      </c>
      <c r="AI48" s="256">
        <v>22.207346191999999</v>
      </c>
      <c r="AJ48" s="256">
        <v>22.204376445000001</v>
      </c>
      <c r="AK48" s="256">
        <v>22.212540240999999</v>
      </c>
      <c r="AL48" s="256">
        <v>22.223157817000001</v>
      </c>
      <c r="AM48" s="256">
        <v>22.243523013000001</v>
      </c>
      <c r="AN48" s="256">
        <v>22.253577768</v>
      </c>
      <c r="AO48" s="256">
        <v>22.260615922</v>
      </c>
      <c r="AP48" s="256">
        <v>22.259697445</v>
      </c>
      <c r="AQ48" s="256">
        <v>22.264407420000001</v>
      </c>
      <c r="AR48" s="256">
        <v>22.269805817999998</v>
      </c>
      <c r="AS48" s="256">
        <v>22.277305942000002</v>
      </c>
      <c r="AT48" s="256">
        <v>22.283021204000001</v>
      </c>
      <c r="AU48" s="256">
        <v>22.288364909999999</v>
      </c>
      <c r="AV48" s="256">
        <v>22.293419141000001</v>
      </c>
      <c r="AW48" s="256">
        <v>22.297958170000001</v>
      </c>
      <c r="AX48" s="256">
        <v>22.302064078000001</v>
      </c>
      <c r="AY48" s="256">
        <v>22.753433480999998</v>
      </c>
      <c r="AZ48" s="256">
        <v>22.420900689</v>
      </c>
      <c r="BA48" s="256">
        <v>21.752162316</v>
      </c>
      <c r="BB48" s="256">
        <v>19.666084949999998</v>
      </c>
      <c r="BC48" s="256">
        <v>19.135785474999999</v>
      </c>
      <c r="BD48" s="256">
        <v>19.080130477000001</v>
      </c>
      <c r="BE48" s="256">
        <v>20.246511836</v>
      </c>
      <c r="BF48" s="256">
        <v>20.579601884999999</v>
      </c>
      <c r="BG48" s="342">
        <v>20.826789999999999</v>
      </c>
      <c r="BH48" s="342">
        <v>20.921430000000001</v>
      </c>
      <c r="BI48" s="342">
        <v>21.046810000000001</v>
      </c>
      <c r="BJ48" s="342">
        <v>21.136289999999999</v>
      </c>
      <c r="BK48" s="342">
        <v>21.141780000000001</v>
      </c>
      <c r="BL48" s="342">
        <v>21.195489999999999</v>
      </c>
      <c r="BM48" s="342">
        <v>21.24935</v>
      </c>
      <c r="BN48" s="342">
        <v>21.313310000000001</v>
      </c>
      <c r="BO48" s="342">
        <v>21.35998</v>
      </c>
      <c r="BP48" s="342">
        <v>21.39931</v>
      </c>
      <c r="BQ48" s="342">
        <v>21.41292</v>
      </c>
      <c r="BR48" s="342">
        <v>21.45139</v>
      </c>
      <c r="BS48" s="342">
        <v>21.496320000000001</v>
      </c>
      <c r="BT48" s="342">
        <v>21.552820000000001</v>
      </c>
      <c r="BU48" s="342">
        <v>21.606839999999998</v>
      </c>
      <c r="BV48" s="342">
        <v>21.663509999999999</v>
      </c>
    </row>
    <row r="49" spans="1:74" s="163" customFormat="1" ht="11.1" customHeight="1" x14ac:dyDescent="0.2">
      <c r="A49" s="148" t="s">
        <v>740</v>
      </c>
      <c r="B49" s="209" t="s">
        <v>446</v>
      </c>
      <c r="C49" s="256">
        <v>10.522752338</v>
      </c>
      <c r="D49" s="256">
        <v>10.530498592000001</v>
      </c>
      <c r="E49" s="256">
        <v>10.53780487</v>
      </c>
      <c r="F49" s="256">
        <v>10.541704534999999</v>
      </c>
      <c r="G49" s="256">
        <v>10.550355842</v>
      </c>
      <c r="H49" s="256">
        <v>10.560792151999999</v>
      </c>
      <c r="I49" s="256">
        <v>10.578743336</v>
      </c>
      <c r="J49" s="256">
        <v>10.588452251</v>
      </c>
      <c r="K49" s="256">
        <v>10.595648767</v>
      </c>
      <c r="L49" s="256">
        <v>10.594008934</v>
      </c>
      <c r="M49" s="256">
        <v>10.600923613999999</v>
      </c>
      <c r="N49" s="256">
        <v>10.610068858</v>
      </c>
      <c r="O49" s="256">
        <v>10.629572265</v>
      </c>
      <c r="P49" s="256">
        <v>10.637082935</v>
      </c>
      <c r="Q49" s="256">
        <v>10.640728470000001</v>
      </c>
      <c r="R49" s="256">
        <v>10.631999868999999</v>
      </c>
      <c r="S49" s="256">
        <v>10.634296880999999</v>
      </c>
      <c r="T49" s="256">
        <v>10.639110505</v>
      </c>
      <c r="U49" s="256">
        <v>10.650780215999999</v>
      </c>
      <c r="V49" s="256">
        <v>10.657372461</v>
      </c>
      <c r="W49" s="256">
        <v>10.663226712</v>
      </c>
      <c r="X49" s="256">
        <v>10.666072657000001</v>
      </c>
      <c r="Y49" s="256">
        <v>10.672153659999999</v>
      </c>
      <c r="Z49" s="256">
        <v>10.679199406</v>
      </c>
      <c r="AA49" s="256">
        <v>10.689938922</v>
      </c>
      <c r="AB49" s="256">
        <v>10.696867384999999</v>
      </c>
      <c r="AC49" s="256">
        <v>10.702713822</v>
      </c>
      <c r="AD49" s="256">
        <v>10.703820301</v>
      </c>
      <c r="AE49" s="256">
        <v>10.710246132</v>
      </c>
      <c r="AF49" s="256">
        <v>10.718333384999999</v>
      </c>
      <c r="AG49" s="256">
        <v>10.733436253000001</v>
      </c>
      <c r="AH49" s="256">
        <v>10.740830703</v>
      </c>
      <c r="AI49" s="256">
        <v>10.745870930000001</v>
      </c>
      <c r="AJ49" s="256">
        <v>10.744920021</v>
      </c>
      <c r="AK49" s="256">
        <v>10.747979483</v>
      </c>
      <c r="AL49" s="256">
        <v>10.751412406</v>
      </c>
      <c r="AM49" s="256">
        <v>10.754682616</v>
      </c>
      <c r="AN49" s="256">
        <v>10.759264587000001</v>
      </c>
      <c r="AO49" s="256">
        <v>10.764622148000001</v>
      </c>
      <c r="AP49" s="256">
        <v>10.771270360999999</v>
      </c>
      <c r="AQ49" s="256">
        <v>10.777792804000001</v>
      </c>
      <c r="AR49" s="256">
        <v>10.784704539</v>
      </c>
      <c r="AS49" s="256">
        <v>10.792811840000001</v>
      </c>
      <c r="AT49" s="256">
        <v>10.799897456</v>
      </c>
      <c r="AU49" s="256">
        <v>10.80676766</v>
      </c>
      <c r="AV49" s="256">
        <v>10.817141965999999</v>
      </c>
      <c r="AW49" s="256">
        <v>10.820791713</v>
      </c>
      <c r="AX49" s="256">
        <v>10.821436413000001</v>
      </c>
      <c r="AY49" s="256">
        <v>10.968989924000001</v>
      </c>
      <c r="AZ49" s="256">
        <v>10.851189138000001</v>
      </c>
      <c r="BA49" s="256">
        <v>10.617947913</v>
      </c>
      <c r="BB49" s="256">
        <v>9.8868822702999992</v>
      </c>
      <c r="BC49" s="256">
        <v>9.7095481500999998</v>
      </c>
      <c r="BD49" s="256">
        <v>9.7035615743000001</v>
      </c>
      <c r="BE49" s="256">
        <v>10.148077631</v>
      </c>
      <c r="BF49" s="256">
        <v>10.275419828</v>
      </c>
      <c r="BG49" s="342">
        <v>10.364739999999999</v>
      </c>
      <c r="BH49" s="342">
        <v>10.384209999999999</v>
      </c>
      <c r="BI49" s="342">
        <v>10.42137</v>
      </c>
      <c r="BJ49" s="342">
        <v>10.4444</v>
      </c>
      <c r="BK49" s="342">
        <v>10.43169</v>
      </c>
      <c r="BL49" s="342">
        <v>10.442640000000001</v>
      </c>
      <c r="BM49" s="342">
        <v>10.45566</v>
      </c>
      <c r="BN49" s="342">
        <v>10.4754</v>
      </c>
      <c r="BO49" s="342">
        <v>10.48907</v>
      </c>
      <c r="BP49" s="342">
        <v>10.50131</v>
      </c>
      <c r="BQ49" s="342">
        <v>10.50948</v>
      </c>
      <c r="BR49" s="342">
        <v>10.520860000000001</v>
      </c>
      <c r="BS49" s="342">
        <v>10.5328</v>
      </c>
      <c r="BT49" s="342">
        <v>10.5444</v>
      </c>
      <c r="BU49" s="342">
        <v>10.55814</v>
      </c>
      <c r="BV49" s="342">
        <v>10.57311</v>
      </c>
    </row>
    <row r="50" spans="1:74" s="163" customFormat="1" ht="11.1" customHeight="1" x14ac:dyDescent="0.2">
      <c r="A50" s="148" t="s">
        <v>741</v>
      </c>
      <c r="B50" s="209" t="s">
        <v>447</v>
      </c>
      <c r="C50" s="256">
        <v>27.330101482</v>
      </c>
      <c r="D50" s="256">
        <v>27.375379751000001</v>
      </c>
      <c r="E50" s="256">
        <v>27.424551647000001</v>
      </c>
      <c r="F50" s="256">
        <v>27.482484448000001</v>
      </c>
      <c r="G50" s="256">
        <v>27.535793137999999</v>
      </c>
      <c r="H50" s="256">
        <v>27.589344996000001</v>
      </c>
      <c r="I50" s="256">
        <v>27.644734969000002</v>
      </c>
      <c r="J50" s="256">
        <v>27.697576952999999</v>
      </c>
      <c r="K50" s="256">
        <v>27.749465893</v>
      </c>
      <c r="L50" s="256">
        <v>27.804611175000002</v>
      </c>
      <c r="M50" s="256">
        <v>27.851436991</v>
      </c>
      <c r="N50" s="256">
        <v>27.894152725000001</v>
      </c>
      <c r="O50" s="256">
        <v>27.931400843999999</v>
      </c>
      <c r="P50" s="256">
        <v>27.966914565</v>
      </c>
      <c r="Q50" s="256">
        <v>27.999336354</v>
      </c>
      <c r="R50" s="256">
        <v>28.026594886000002</v>
      </c>
      <c r="S50" s="256">
        <v>28.054386307000001</v>
      </c>
      <c r="T50" s="256">
        <v>28.080639293000001</v>
      </c>
      <c r="U50" s="256">
        <v>28.089407865999998</v>
      </c>
      <c r="V50" s="256">
        <v>28.124543460999998</v>
      </c>
      <c r="W50" s="256">
        <v>28.170100102999999</v>
      </c>
      <c r="X50" s="256">
        <v>28.243218302999999</v>
      </c>
      <c r="Y50" s="256">
        <v>28.296761654000001</v>
      </c>
      <c r="Z50" s="256">
        <v>28.347870667999999</v>
      </c>
      <c r="AA50" s="256">
        <v>28.391242518999999</v>
      </c>
      <c r="AB50" s="256">
        <v>28.441459976000001</v>
      </c>
      <c r="AC50" s="256">
        <v>28.493220215000001</v>
      </c>
      <c r="AD50" s="256">
        <v>28.553938416000001</v>
      </c>
      <c r="AE50" s="256">
        <v>28.60322283</v>
      </c>
      <c r="AF50" s="256">
        <v>28.648488639</v>
      </c>
      <c r="AG50" s="256">
        <v>28.687088382999999</v>
      </c>
      <c r="AH50" s="256">
        <v>28.726302575999998</v>
      </c>
      <c r="AI50" s="256">
        <v>28.763483758</v>
      </c>
      <c r="AJ50" s="256">
        <v>28.791826933999999</v>
      </c>
      <c r="AK50" s="256">
        <v>28.830045841</v>
      </c>
      <c r="AL50" s="256">
        <v>28.871335486</v>
      </c>
      <c r="AM50" s="256">
        <v>28.926569156999999</v>
      </c>
      <c r="AN50" s="256">
        <v>28.965845305999999</v>
      </c>
      <c r="AO50" s="256">
        <v>29.000037223</v>
      </c>
      <c r="AP50" s="256">
        <v>29.016992687999998</v>
      </c>
      <c r="AQ50" s="256">
        <v>29.050130305</v>
      </c>
      <c r="AR50" s="256">
        <v>29.087297853999999</v>
      </c>
      <c r="AS50" s="256">
        <v>29.130634788999998</v>
      </c>
      <c r="AT50" s="256">
        <v>29.174257613000002</v>
      </c>
      <c r="AU50" s="256">
        <v>29.220305781</v>
      </c>
      <c r="AV50" s="256">
        <v>29.284729992999999</v>
      </c>
      <c r="AW50" s="256">
        <v>29.323665818999999</v>
      </c>
      <c r="AX50" s="256">
        <v>29.353063962</v>
      </c>
      <c r="AY50" s="256">
        <v>29.818531367999999</v>
      </c>
      <c r="AZ50" s="256">
        <v>29.494648932</v>
      </c>
      <c r="BA50" s="256">
        <v>28.827023601</v>
      </c>
      <c r="BB50" s="256">
        <v>26.693008412000001</v>
      </c>
      <c r="BC50" s="256">
        <v>26.179882512999999</v>
      </c>
      <c r="BD50" s="256">
        <v>26.164998942</v>
      </c>
      <c r="BE50" s="256">
        <v>27.464072165000001</v>
      </c>
      <c r="BF50" s="256">
        <v>27.833887399000002</v>
      </c>
      <c r="BG50" s="342">
        <v>28.090160000000001</v>
      </c>
      <c r="BH50" s="342">
        <v>28.12546</v>
      </c>
      <c r="BI50" s="342">
        <v>28.235220000000002</v>
      </c>
      <c r="BJ50" s="342">
        <v>28.312000000000001</v>
      </c>
      <c r="BK50" s="342">
        <v>28.30273</v>
      </c>
      <c r="BL50" s="342">
        <v>28.353370000000002</v>
      </c>
      <c r="BM50" s="342">
        <v>28.41086</v>
      </c>
      <c r="BN50" s="342">
        <v>28.49521</v>
      </c>
      <c r="BO50" s="342">
        <v>28.55134</v>
      </c>
      <c r="BP50" s="342">
        <v>28.59928</v>
      </c>
      <c r="BQ50" s="342">
        <v>28.621749999999999</v>
      </c>
      <c r="BR50" s="342">
        <v>28.666270000000001</v>
      </c>
      <c r="BS50" s="342">
        <v>28.71556</v>
      </c>
      <c r="BT50" s="342">
        <v>28.770489999999999</v>
      </c>
      <c r="BU50" s="342">
        <v>28.828679999999999</v>
      </c>
      <c r="BV50" s="342">
        <v>28.890999999999998</v>
      </c>
    </row>
    <row r="51" spans="1:74" s="163" customFormat="1" ht="11.1" customHeight="1" x14ac:dyDescent="0.2">
      <c r="A51" s="148" t="s">
        <v>742</v>
      </c>
      <c r="B51" s="209" t="s">
        <v>448</v>
      </c>
      <c r="C51" s="256">
        <v>7.9384186869000004</v>
      </c>
      <c r="D51" s="256">
        <v>7.9483355190999996</v>
      </c>
      <c r="E51" s="256">
        <v>7.9572882633999997</v>
      </c>
      <c r="F51" s="256">
        <v>7.9616347404000001</v>
      </c>
      <c r="G51" s="256">
        <v>7.9713909431000003</v>
      </c>
      <c r="H51" s="256">
        <v>7.9829146919999996</v>
      </c>
      <c r="I51" s="256">
        <v>8.0016463740999999</v>
      </c>
      <c r="J51" s="256">
        <v>8.0126249258000009</v>
      </c>
      <c r="K51" s="256">
        <v>8.0212907340000008</v>
      </c>
      <c r="L51" s="256">
        <v>8.0233107775000008</v>
      </c>
      <c r="M51" s="256">
        <v>8.0306008641000002</v>
      </c>
      <c r="N51" s="256">
        <v>8.0388279728000001</v>
      </c>
      <c r="O51" s="256">
        <v>8.0514643341000003</v>
      </c>
      <c r="P51" s="256">
        <v>8.0589613140999994</v>
      </c>
      <c r="Q51" s="256">
        <v>8.0647911432000008</v>
      </c>
      <c r="R51" s="256">
        <v>8.0644710869999994</v>
      </c>
      <c r="S51" s="256">
        <v>8.0703286653999999</v>
      </c>
      <c r="T51" s="256">
        <v>8.0778811438999991</v>
      </c>
      <c r="U51" s="256">
        <v>8.0908225377999994</v>
      </c>
      <c r="V51" s="256">
        <v>8.0989943047999997</v>
      </c>
      <c r="W51" s="256">
        <v>8.1060904603000008</v>
      </c>
      <c r="X51" s="256">
        <v>8.1116130917000007</v>
      </c>
      <c r="Y51" s="256">
        <v>8.1169314585999999</v>
      </c>
      <c r="Z51" s="256">
        <v>8.1215476486</v>
      </c>
      <c r="AA51" s="256">
        <v>8.1203694537000004</v>
      </c>
      <c r="AB51" s="256">
        <v>8.1274004454999993</v>
      </c>
      <c r="AC51" s="256">
        <v>8.1375484160999996</v>
      </c>
      <c r="AD51" s="256">
        <v>8.1575240491999992</v>
      </c>
      <c r="AE51" s="256">
        <v>8.1688729649000003</v>
      </c>
      <c r="AF51" s="256">
        <v>8.1783058468000007</v>
      </c>
      <c r="AG51" s="256">
        <v>8.1829368486000007</v>
      </c>
      <c r="AH51" s="256">
        <v>8.1907020477000003</v>
      </c>
      <c r="AI51" s="256">
        <v>8.1987155979999997</v>
      </c>
      <c r="AJ51" s="256">
        <v>8.2057571216999996</v>
      </c>
      <c r="AK51" s="256">
        <v>8.2151826571999997</v>
      </c>
      <c r="AL51" s="256">
        <v>8.2257718268000009</v>
      </c>
      <c r="AM51" s="256">
        <v>8.2416809681000007</v>
      </c>
      <c r="AN51" s="256">
        <v>8.2514801529999993</v>
      </c>
      <c r="AO51" s="256">
        <v>8.2593257188999996</v>
      </c>
      <c r="AP51" s="256">
        <v>8.2604159462000002</v>
      </c>
      <c r="AQ51" s="256">
        <v>8.2679555639999993</v>
      </c>
      <c r="AR51" s="256">
        <v>8.2771428524000008</v>
      </c>
      <c r="AS51" s="256">
        <v>8.2905526151999993</v>
      </c>
      <c r="AT51" s="256">
        <v>8.3011041424999998</v>
      </c>
      <c r="AU51" s="256">
        <v>8.3113722380000006</v>
      </c>
      <c r="AV51" s="256">
        <v>8.3234683744000009</v>
      </c>
      <c r="AW51" s="256">
        <v>8.3315860015999998</v>
      </c>
      <c r="AX51" s="256">
        <v>8.3378365925000004</v>
      </c>
      <c r="AY51" s="256">
        <v>8.4649456170999997</v>
      </c>
      <c r="AZ51" s="256">
        <v>8.3754180327000007</v>
      </c>
      <c r="BA51" s="256">
        <v>8.1919793093000006</v>
      </c>
      <c r="BB51" s="256">
        <v>7.6032969988000003</v>
      </c>
      <c r="BC51" s="256">
        <v>7.4655353339000001</v>
      </c>
      <c r="BD51" s="256">
        <v>7.4673618664000001</v>
      </c>
      <c r="BE51" s="256">
        <v>7.8391685344999997</v>
      </c>
      <c r="BF51" s="256">
        <v>7.9473775078999997</v>
      </c>
      <c r="BG51" s="342">
        <v>8.0223809999999993</v>
      </c>
      <c r="BH51" s="342">
        <v>8.0349430000000002</v>
      </c>
      <c r="BI51" s="342">
        <v>8.0654610000000009</v>
      </c>
      <c r="BJ51" s="342">
        <v>8.0846999999999998</v>
      </c>
      <c r="BK51" s="342">
        <v>8.0742519999999995</v>
      </c>
      <c r="BL51" s="342">
        <v>8.0847379999999998</v>
      </c>
      <c r="BM51" s="342">
        <v>8.0977499999999996</v>
      </c>
      <c r="BN51" s="342">
        <v>8.1201910000000002</v>
      </c>
      <c r="BO51" s="342">
        <v>8.1330790000000004</v>
      </c>
      <c r="BP51" s="342">
        <v>8.1433160000000004</v>
      </c>
      <c r="BQ51" s="342">
        <v>8.1452390000000001</v>
      </c>
      <c r="BR51" s="342">
        <v>8.1544220000000003</v>
      </c>
      <c r="BS51" s="342">
        <v>8.1652009999999997</v>
      </c>
      <c r="BT51" s="342">
        <v>8.1792899999999999</v>
      </c>
      <c r="BU51" s="342">
        <v>8.1919789999999999</v>
      </c>
      <c r="BV51" s="342">
        <v>8.2049800000000008</v>
      </c>
    </row>
    <row r="52" spans="1:74" s="163" customFormat="1" ht="11.1" customHeight="1" x14ac:dyDescent="0.2">
      <c r="A52" s="148" t="s">
        <v>743</v>
      </c>
      <c r="B52" s="209" t="s">
        <v>449</v>
      </c>
      <c r="C52" s="256">
        <v>16.749192723</v>
      </c>
      <c r="D52" s="256">
        <v>16.758145603999999</v>
      </c>
      <c r="E52" s="256">
        <v>16.766237994000001</v>
      </c>
      <c r="F52" s="256">
        <v>16.766504996999998</v>
      </c>
      <c r="G52" s="256">
        <v>16.778100077000001</v>
      </c>
      <c r="H52" s="256">
        <v>16.794058335999999</v>
      </c>
      <c r="I52" s="256">
        <v>16.821481746</v>
      </c>
      <c r="J52" s="256">
        <v>16.840839890000002</v>
      </c>
      <c r="K52" s="256">
        <v>16.859234737000001</v>
      </c>
      <c r="L52" s="256">
        <v>16.871309988</v>
      </c>
      <c r="M52" s="256">
        <v>16.891795466000001</v>
      </c>
      <c r="N52" s="256">
        <v>16.915334872999999</v>
      </c>
      <c r="O52" s="256">
        <v>16.946152637000001</v>
      </c>
      <c r="P52" s="256">
        <v>16.972631577000001</v>
      </c>
      <c r="Q52" s="256">
        <v>16.998996122000001</v>
      </c>
      <c r="R52" s="256">
        <v>17.028788582000001</v>
      </c>
      <c r="S52" s="256">
        <v>17.052267607000001</v>
      </c>
      <c r="T52" s="256">
        <v>17.072975505999999</v>
      </c>
      <c r="U52" s="256">
        <v>17.083879247999999</v>
      </c>
      <c r="V52" s="256">
        <v>17.104319666999999</v>
      </c>
      <c r="W52" s="256">
        <v>17.127263731999999</v>
      </c>
      <c r="X52" s="256">
        <v>17.154485309999998</v>
      </c>
      <c r="Y52" s="256">
        <v>17.181106266</v>
      </c>
      <c r="Z52" s="256">
        <v>17.208900466999999</v>
      </c>
      <c r="AA52" s="256">
        <v>17.234599647</v>
      </c>
      <c r="AB52" s="256">
        <v>17.267191535999999</v>
      </c>
      <c r="AC52" s="256">
        <v>17.303407869000001</v>
      </c>
      <c r="AD52" s="256">
        <v>17.350906471999998</v>
      </c>
      <c r="AE52" s="256">
        <v>17.388628322999999</v>
      </c>
      <c r="AF52" s="256">
        <v>17.424231247000002</v>
      </c>
      <c r="AG52" s="256">
        <v>17.457354090999999</v>
      </c>
      <c r="AH52" s="256">
        <v>17.488990029</v>
      </c>
      <c r="AI52" s="256">
        <v>17.518777906</v>
      </c>
      <c r="AJ52" s="256">
        <v>17.546802059000001</v>
      </c>
      <c r="AK52" s="256">
        <v>17.572830562</v>
      </c>
      <c r="AL52" s="256">
        <v>17.596947751999998</v>
      </c>
      <c r="AM52" s="256">
        <v>17.616878887999999</v>
      </c>
      <c r="AN52" s="256">
        <v>17.638879507999999</v>
      </c>
      <c r="AO52" s="256">
        <v>17.660674870000001</v>
      </c>
      <c r="AP52" s="256">
        <v>17.679368618000002</v>
      </c>
      <c r="AQ52" s="256">
        <v>17.702925733000001</v>
      </c>
      <c r="AR52" s="256">
        <v>17.728449859000001</v>
      </c>
      <c r="AS52" s="256">
        <v>17.752254823000001</v>
      </c>
      <c r="AT52" s="256">
        <v>17.784477597999999</v>
      </c>
      <c r="AU52" s="256">
        <v>17.821432011999999</v>
      </c>
      <c r="AV52" s="256">
        <v>17.882030826000001</v>
      </c>
      <c r="AW52" s="256">
        <v>17.914263946999998</v>
      </c>
      <c r="AX52" s="256">
        <v>17.937044135000001</v>
      </c>
      <c r="AY52" s="256">
        <v>18.168221284000001</v>
      </c>
      <c r="AZ52" s="256">
        <v>18.008708188</v>
      </c>
      <c r="BA52" s="256">
        <v>17.676354740000001</v>
      </c>
      <c r="BB52" s="256">
        <v>16.599813364999999</v>
      </c>
      <c r="BC52" s="256">
        <v>16.350289896</v>
      </c>
      <c r="BD52" s="256">
        <v>16.356436756000001</v>
      </c>
      <c r="BE52" s="256">
        <v>17.054189061999999</v>
      </c>
      <c r="BF52" s="256">
        <v>17.244725247000002</v>
      </c>
      <c r="BG52" s="342">
        <v>17.363980000000002</v>
      </c>
      <c r="BH52" s="342">
        <v>17.33991</v>
      </c>
      <c r="BI52" s="342">
        <v>17.370640000000002</v>
      </c>
      <c r="BJ52" s="342">
        <v>17.38411</v>
      </c>
      <c r="BK52" s="342">
        <v>17.351310000000002</v>
      </c>
      <c r="BL52" s="342">
        <v>17.352060000000002</v>
      </c>
      <c r="BM52" s="342">
        <v>17.357340000000001</v>
      </c>
      <c r="BN52" s="342">
        <v>17.371600000000001</v>
      </c>
      <c r="BO52" s="342">
        <v>17.382580000000001</v>
      </c>
      <c r="BP52" s="342">
        <v>17.394729999999999</v>
      </c>
      <c r="BQ52" s="342">
        <v>17.404610000000002</v>
      </c>
      <c r="BR52" s="342">
        <v>17.421700000000001</v>
      </c>
      <c r="BS52" s="342">
        <v>17.44256</v>
      </c>
      <c r="BT52" s="342">
        <v>17.464929999999999</v>
      </c>
      <c r="BU52" s="342">
        <v>17.495010000000001</v>
      </c>
      <c r="BV52" s="342">
        <v>17.530539999999998</v>
      </c>
    </row>
    <row r="53" spans="1:74" s="163" customFormat="1" ht="11.1" customHeight="1" x14ac:dyDescent="0.2">
      <c r="A53" s="148" t="s">
        <v>744</v>
      </c>
      <c r="B53" s="209" t="s">
        <v>450</v>
      </c>
      <c r="C53" s="256">
        <v>10.161769400000001</v>
      </c>
      <c r="D53" s="256">
        <v>10.180634425999999</v>
      </c>
      <c r="E53" s="256">
        <v>10.199397788000001</v>
      </c>
      <c r="F53" s="256">
        <v>10.213936545999999</v>
      </c>
      <c r="G53" s="256">
        <v>10.235588786999999</v>
      </c>
      <c r="H53" s="256">
        <v>10.260231569</v>
      </c>
      <c r="I53" s="256">
        <v>10.297494699</v>
      </c>
      <c r="J53" s="256">
        <v>10.320896210000001</v>
      </c>
      <c r="K53" s="256">
        <v>10.340065908</v>
      </c>
      <c r="L53" s="256">
        <v>10.346523778</v>
      </c>
      <c r="M53" s="256">
        <v>10.363589860999999</v>
      </c>
      <c r="N53" s="256">
        <v>10.382784142</v>
      </c>
      <c r="O53" s="256">
        <v>10.406547062</v>
      </c>
      <c r="P53" s="256">
        <v>10.428167407</v>
      </c>
      <c r="Q53" s="256">
        <v>10.450085618999999</v>
      </c>
      <c r="R53" s="256">
        <v>10.472212889</v>
      </c>
      <c r="S53" s="256">
        <v>10.49479344</v>
      </c>
      <c r="T53" s="256">
        <v>10.517738464000001</v>
      </c>
      <c r="U53" s="256">
        <v>10.543272890000001</v>
      </c>
      <c r="V53" s="256">
        <v>10.565278164</v>
      </c>
      <c r="W53" s="256">
        <v>10.585979214</v>
      </c>
      <c r="X53" s="256">
        <v>10.600841067999999</v>
      </c>
      <c r="Y53" s="256">
        <v>10.6223349</v>
      </c>
      <c r="Z53" s="256">
        <v>10.645925739000001</v>
      </c>
      <c r="AA53" s="256">
        <v>10.674325204000001</v>
      </c>
      <c r="AB53" s="256">
        <v>10.700076339000001</v>
      </c>
      <c r="AC53" s="256">
        <v>10.725890764000001</v>
      </c>
      <c r="AD53" s="256">
        <v>10.752458522</v>
      </c>
      <c r="AE53" s="256">
        <v>10.777881996</v>
      </c>
      <c r="AF53" s="256">
        <v>10.802851229</v>
      </c>
      <c r="AG53" s="256">
        <v>10.827945863</v>
      </c>
      <c r="AH53" s="256">
        <v>10.85157188</v>
      </c>
      <c r="AI53" s="256">
        <v>10.874308922000001</v>
      </c>
      <c r="AJ53" s="256">
        <v>10.895423900000001</v>
      </c>
      <c r="AK53" s="256">
        <v>10.91693281</v>
      </c>
      <c r="AL53" s="256">
        <v>10.938102562999999</v>
      </c>
      <c r="AM53" s="256">
        <v>10.958676090999999</v>
      </c>
      <c r="AN53" s="256">
        <v>10.97936033</v>
      </c>
      <c r="AO53" s="256">
        <v>10.999898212</v>
      </c>
      <c r="AP53" s="256">
        <v>11.016243664999999</v>
      </c>
      <c r="AQ53" s="256">
        <v>11.039523387999999</v>
      </c>
      <c r="AR53" s="256">
        <v>11.065691309</v>
      </c>
      <c r="AS53" s="256">
        <v>11.101226606999999</v>
      </c>
      <c r="AT53" s="256">
        <v>11.128311539</v>
      </c>
      <c r="AU53" s="256">
        <v>11.153425282000001</v>
      </c>
      <c r="AV53" s="256">
        <v>11.181426116000001</v>
      </c>
      <c r="AW53" s="256">
        <v>11.198953777</v>
      </c>
      <c r="AX53" s="256">
        <v>11.210866543</v>
      </c>
      <c r="AY53" s="256">
        <v>11.364391351</v>
      </c>
      <c r="AZ53" s="256">
        <v>11.254654122</v>
      </c>
      <c r="BA53" s="256">
        <v>11.028881793</v>
      </c>
      <c r="BB53" s="256">
        <v>10.300926912</v>
      </c>
      <c r="BC53" s="256">
        <v>10.132694971999999</v>
      </c>
      <c r="BD53" s="256">
        <v>10.138038522</v>
      </c>
      <c r="BE53" s="256">
        <v>10.603759177000001</v>
      </c>
      <c r="BF53" s="256">
        <v>10.741152494</v>
      </c>
      <c r="BG53" s="342">
        <v>10.837020000000001</v>
      </c>
      <c r="BH53" s="342">
        <v>10.85356</v>
      </c>
      <c r="BI53" s="342">
        <v>10.894729999999999</v>
      </c>
      <c r="BJ53" s="342">
        <v>10.92272</v>
      </c>
      <c r="BK53" s="342">
        <v>10.918519999999999</v>
      </c>
      <c r="BL53" s="342">
        <v>10.93441</v>
      </c>
      <c r="BM53" s="342">
        <v>10.95138</v>
      </c>
      <c r="BN53" s="342">
        <v>10.972580000000001</v>
      </c>
      <c r="BO53" s="342">
        <v>10.98935</v>
      </c>
      <c r="BP53" s="342">
        <v>11.00483</v>
      </c>
      <c r="BQ53" s="342">
        <v>11.017849999999999</v>
      </c>
      <c r="BR53" s="342">
        <v>11.03163</v>
      </c>
      <c r="BS53" s="342">
        <v>11.04501</v>
      </c>
      <c r="BT53" s="342">
        <v>11.05443</v>
      </c>
      <c r="BU53" s="342">
        <v>11.069660000000001</v>
      </c>
      <c r="BV53" s="342">
        <v>11.087149999999999</v>
      </c>
    </row>
    <row r="54" spans="1:74" s="163" customFormat="1" ht="11.1" customHeight="1" x14ac:dyDescent="0.2">
      <c r="A54" s="149" t="s">
        <v>745</v>
      </c>
      <c r="B54" s="210" t="s">
        <v>451</v>
      </c>
      <c r="C54" s="69">
        <v>22.191610133000001</v>
      </c>
      <c r="D54" s="69">
        <v>22.238259845999998</v>
      </c>
      <c r="E54" s="69">
        <v>22.287698424999999</v>
      </c>
      <c r="F54" s="69">
        <v>22.345790966999999</v>
      </c>
      <c r="G54" s="69">
        <v>22.396408458</v>
      </c>
      <c r="H54" s="69">
        <v>22.445415995000001</v>
      </c>
      <c r="I54" s="69">
        <v>22.493428430000002</v>
      </c>
      <c r="J54" s="69">
        <v>22.538754916999999</v>
      </c>
      <c r="K54" s="69">
        <v>22.582010309000001</v>
      </c>
      <c r="L54" s="69">
        <v>22.625039383000001</v>
      </c>
      <c r="M54" s="69">
        <v>22.662769003000001</v>
      </c>
      <c r="N54" s="69">
        <v>22.697043945000001</v>
      </c>
      <c r="O54" s="69">
        <v>22.713970552999999</v>
      </c>
      <c r="P54" s="69">
        <v>22.751756382</v>
      </c>
      <c r="Q54" s="69">
        <v>22.796507775999999</v>
      </c>
      <c r="R54" s="69">
        <v>22.860749314</v>
      </c>
      <c r="S54" s="69">
        <v>22.910038404000002</v>
      </c>
      <c r="T54" s="69">
        <v>22.956899624999998</v>
      </c>
      <c r="U54" s="69">
        <v>23.002958685999999</v>
      </c>
      <c r="V54" s="69">
        <v>23.043744887999999</v>
      </c>
      <c r="W54" s="69">
        <v>23.080883939</v>
      </c>
      <c r="X54" s="69">
        <v>23.103229914</v>
      </c>
      <c r="Y54" s="69">
        <v>23.141434107999999</v>
      </c>
      <c r="Z54" s="69">
        <v>23.184350596000002</v>
      </c>
      <c r="AA54" s="69">
        <v>23.245706411</v>
      </c>
      <c r="AB54" s="69">
        <v>23.287752211000001</v>
      </c>
      <c r="AC54" s="69">
        <v>23.324215029000001</v>
      </c>
      <c r="AD54" s="69">
        <v>23.347832641</v>
      </c>
      <c r="AE54" s="69">
        <v>23.378576164999998</v>
      </c>
      <c r="AF54" s="69">
        <v>23.409183375000001</v>
      </c>
      <c r="AG54" s="69">
        <v>23.436411869000001</v>
      </c>
      <c r="AH54" s="69">
        <v>23.469178254999999</v>
      </c>
      <c r="AI54" s="69">
        <v>23.504240128999999</v>
      </c>
      <c r="AJ54" s="69">
        <v>23.552063708999999</v>
      </c>
      <c r="AK54" s="69">
        <v>23.583866897</v>
      </c>
      <c r="AL54" s="69">
        <v>23.610115910000001</v>
      </c>
      <c r="AM54" s="69">
        <v>23.617688287</v>
      </c>
      <c r="AN54" s="69">
        <v>23.642670798000001</v>
      </c>
      <c r="AO54" s="69">
        <v>23.671940980999999</v>
      </c>
      <c r="AP54" s="69">
        <v>23.708694346000001</v>
      </c>
      <c r="AQ54" s="69">
        <v>23.744143243</v>
      </c>
      <c r="AR54" s="69">
        <v>23.781483179999999</v>
      </c>
      <c r="AS54" s="69">
        <v>23.821198493000001</v>
      </c>
      <c r="AT54" s="69">
        <v>23.861957259</v>
      </c>
      <c r="AU54" s="69">
        <v>23.904243815000001</v>
      </c>
      <c r="AV54" s="69">
        <v>23.968053441999999</v>
      </c>
      <c r="AW54" s="69">
        <v>23.998399114000001</v>
      </c>
      <c r="AX54" s="69">
        <v>24.015276111999999</v>
      </c>
      <c r="AY54" s="69">
        <v>24.468729825</v>
      </c>
      <c r="AZ54" s="69">
        <v>24.121135434999999</v>
      </c>
      <c r="BA54" s="69">
        <v>23.422538330999998</v>
      </c>
      <c r="BB54" s="69">
        <v>21.313784356999999</v>
      </c>
      <c r="BC54" s="69">
        <v>20.707547439999999</v>
      </c>
      <c r="BD54" s="69">
        <v>20.544673423999999</v>
      </c>
      <c r="BE54" s="69">
        <v>21.429059880000001</v>
      </c>
      <c r="BF54" s="69">
        <v>21.699988489999999</v>
      </c>
      <c r="BG54" s="346">
        <v>21.961359999999999</v>
      </c>
      <c r="BH54" s="346">
        <v>22.27947</v>
      </c>
      <c r="BI54" s="346">
        <v>22.471990000000002</v>
      </c>
      <c r="BJ54" s="346">
        <v>22.605219999999999</v>
      </c>
      <c r="BK54" s="346">
        <v>22.607839999999999</v>
      </c>
      <c r="BL54" s="346">
        <v>22.675999999999998</v>
      </c>
      <c r="BM54" s="346">
        <v>22.738379999999999</v>
      </c>
      <c r="BN54" s="346">
        <v>22.78876</v>
      </c>
      <c r="BO54" s="346">
        <v>22.84422</v>
      </c>
      <c r="BP54" s="346">
        <v>22.898540000000001</v>
      </c>
      <c r="BQ54" s="346">
        <v>22.952369999999998</v>
      </c>
      <c r="BR54" s="346">
        <v>23.00395</v>
      </c>
      <c r="BS54" s="346">
        <v>23.053920000000002</v>
      </c>
      <c r="BT54" s="346">
        <v>23.091830000000002</v>
      </c>
      <c r="BU54" s="346">
        <v>23.1464</v>
      </c>
      <c r="BV54" s="346">
        <v>23.2072</v>
      </c>
    </row>
    <row r="55" spans="1:74" s="163" customFormat="1" ht="11.1" customHeight="1" x14ac:dyDescent="0.2">
      <c r="A55" s="148"/>
      <c r="B55" s="164"/>
      <c r="C55" s="150"/>
      <c r="D55" s="150"/>
      <c r="E55" s="150"/>
      <c r="F55" s="150"/>
      <c r="G55" s="150"/>
      <c r="H55" s="150"/>
      <c r="I55" s="150"/>
      <c r="J55" s="150"/>
      <c r="K55" s="150"/>
      <c r="L55" s="150"/>
      <c r="M55" s="150"/>
      <c r="N55" s="150"/>
      <c r="O55" s="150"/>
      <c r="P55" s="150"/>
      <c r="Q55" s="150"/>
      <c r="R55" s="150"/>
      <c r="S55" s="150"/>
      <c r="T55" s="150"/>
      <c r="U55" s="150"/>
      <c r="V55" s="150"/>
      <c r="W55" s="150"/>
      <c r="X55" s="150"/>
      <c r="Y55" s="150"/>
      <c r="Z55" s="150"/>
      <c r="AA55" s="150"/>
      <c r="AB55" s="150"/>
      <c r="AC55" s="150"/>
      <c r="AD55" s="150"/>
      <c r="AE55" s="150"/>
      <c r="AF55" s="150"/>
      <c r="AG55" s="150"/>
      <c r="AH55" s="150"/>
      <c r="AI55" s="150"/>
      <c r="AJ55" s="150"/>
      <c r="AK55" s="150"/>
      <c r="AL55" s="150"/>
      <c r="AM55" s="150"/>
      <c r="AN55" s="150"/>
      <c r="AO55" s="150"/>
      <c r="AP55" s="150"/>
      <c r="AQ55" s="150"/>
      <c r="AR55" s="150"/>
      <c r="AS55" s="150"/>
      <c r="AT55" s="150"/>
      <c r="AU55" s="150"/>
      <c r="AV55" s="150"/>
      <c r="AW55" s="150"/>
      <c r="AX55" s="150"/>
      <c r="AY55" s="347"/>
      <c r="AZ55" s="347"/>
      <c r="BA55" s="347"/>
      <c r="BB55" s="347"/>
      <c r="BC55" s="347"/>
      <c r="BD55" s="695"/>
      <c r="BE55" s="695"/>
      <c r="BF55" s="695"/>
      <c r="BG55" s="695"/>
      <c r="BH55" s="347"/>
      <c r="BI55" s="347"/>
      <c r="BJ55" s="347"/>
      <c r="BK55" s="347"/>
      <c r="BL55" s="347"/>
      <c r="BM55" s="347"/>
      <c r="BN55" s="347"/>
      <c r="BO55" s="347"/>
      <c r="BP55" s="347"/>
      <c r="BQ55" s="347"/>
      <c r="BR55" s="347"/>
      <c r="BS55" s="347"/>
      <c r="BT55" s="347"/>
      <c r="BU55" s="347"/>
      <c r="BV55" s="347"/>
    </row>
    <row r="56" spans="1:74" s="163" customFormat="1" ht="12" customHeight="1" x14ac:dyDescent="0.25">
      <c r="A56" s="148"/>
      <c r="B56" s="808" t="s">
        <v>826</v>
      </c>
      <c r="C56" s="805"/>
      <c r="D56" s="805"/>
      <c r="E56" s="805"/>
      <c r="F56" s="805"/>
      <c r="G56" s="805"/>
      <c r="H56" s="805"/>
      <c r="I56" s="805"/>
      <c r="J56" s="805"/>
      <c r="K56" s="805"/>
      <c r="L56" s="805"/>
      <c r="M56" s="805"/>
      <c r="N56" s="805"/>
      <c r="O56" s="805"/>
      <c r="P56" s="805"/>
      <c r="Q56" s="805"/>
      <c r="AY56" s="502"/>
      <c r="AZ56" s="502"/>
      <c r="BA56" s="502"/>
      <c r="BB56" s="502"/>
      <c r="BC56" s="502"/>
      <c r="BD56" s="696"/>
      <c r="BE56" s="696"/>
      <c r="BF56" s="696"/>
      <c r="BG56" s="696"/>
      <c r="BH56" s="502"/>
      <c r="BI56" s="502"/>
      <c r="BJ56" s="502"/>
    </row>
    <row r="57" spans="1:74" s="463" customFormat="1" ht="12" customHeight="1" x14ac:dyDescent="0.25">
      <c r="A57" s="462"/>
      <c r="B57" s="794" t="s">
        <v>851</v>
      </c>
      <c r="C57" s="795"/>
      <c r="D57" s="795"/>
      <c r="E57" s="795"/>
      <c r="F57" s="795"/>
      <c r="G57" s="795"/>
      <c r="H57" s="795"/>
      <c r="I57" s="795"/>
      <c r="J57" s="795"/>
      <c r="K57" s="795"/>
      <c r="L57" s="795"/>
      <c r="M57" s="795"/>
      <c r="N57" s="795"/>
      <c r="O57" s="795"/>
      <c r="P57" s="795"/>
      <c r="Q57" s="791"/>
      <c r="AY57" s="503"/>
      <c r="AZ57" s="503"/>
      <c r="BA57" s="503"/>
      <c r="BB57" s="503"/>
      <c r="BC57" s="503"/>
      <c r="BD57" s="697"/>
      <c r="BE57" s="697"/>
      <c r="BF57" s="697"/>
      <c r="BG57" s="697"/>
      <c r="BH57" s="503"/>
      <c r="BI57" s="503"/>
      <c r="BJ57" s="503"/>
    </row>
    <row r="58" spans="1:74" s="463" customFormat="1" ht="12" customHeight="1" x14ac:dyDescent="0.25">
      <c r="A58" s="462"/>
      <c r="B58" s="789" t="s">
        <v>887</v>
      </c>
      <c r="C58" s="795"/>
      <c r="D58" s="795"/>
      <c r="E58" s="795"/>
      <c r="F58" s="795"/>
      <c r="G58" s="795"/>
      <c r="H58" s="795"/>
      <c r="I58" s="795"/>
      <c r="J58" s="795"/>
      <c r="K58" s="795"/>
      <c r="L58" s="795"/>
      <c r="M58" s="795"/>
      <c r="N58" s="795"/>
      <c r="O58" s="795"/>
      <c r="P58" s="795"/>
      <c r="Q58" s="791"/>
      <c r="AY58" s="503"/>
      <c r="AZ58" s="503"/>
      <c r="BA58" s="503"/>
      <c r="BB58" s="503"/>
      <c r="BC58" s="503"/>
      <c r="BD58" s="697"/>
      <c r="BE58" s="697"/>
      <c r="BF58" s="697"/>
      <c r="BG58" s="697"/>
      <c r="BH58" s="503"/>
      <c r="BI58" s="503"/>
      <c r="BJ58" s="503"/>
    </row>
    <row r="59" spans="1:74" s="464" customFormat="1" ht="12" customHeight="1" x14ac:dyDescent="0.25">
      <c r="A59" s="462"/>
      <c r="B59" s="838" t="s">
        <v>888</v>
      </c>
      <c r="C59" s="791"/>
      <c r="D59" s="791"/>
      <c r="E59" s="791"/>
      <c r="F59" s="791"/>
      <c r="G59" s="791"/>
      <c r="H59" s="791"/>
      <c r="I59" s="791"/>
      <c r="J59" s="791"/>
      <c r="K59" s="791"/>
      <c r="L59" s="791"/>
      <c r="M59" s="791"/>
      <c r="N59" s="791"/>
      <c r="O59" s="791"/>
      <c r="P59" s="791"/>
      <c r="Q59" s="791"/>
      <c r="AY59" s="504"/>
      <c r="AZ59" s="504"/>
      <c r="BA59" s="504"/>
      <c r="BB59" s="504"/>
      <c r="BC59" s="504"/>
      <c r="BD59" s="698"/>
      <c r="BE59" s="698"/>
      <c r="BF59" s="698"/>
      <c r="BG59" s="698"/>
      <c r="BH59" s="504"/>
      <c r="BI59" s="504"/>
      <c r="BJ59" s="504"/>
    </row>
    <row r="60" spans="1:74" s="463" customFormat="1" ht="12" customHeight="1" x14ac:dyDescent="0.25">
      <c r="A60" s="462"/>
      <c r="B60" s="794" t="s">
        <v>4</v>
      </c>
      <c r="C60" s="795"/>
      <c r="D60" s="795"/>
      <c r="E60" s="795"/>
      <c r="F60" s="795"/>
      <c r="G60" s="795"/>
      <c r="H60" s="795"/>
      <c r="I60" s="795"/>
      <c r="J60" s="795"/>
      <c r="K60" s="795"/>
      <c r="L60" s="795"/>
      <c r="M60" s="795"/>
      <c r="N60" s="795"/>
      <c r="O60" s="795"/>
      <c r="P60" s="795"/>
      <c r="Q60" s="791"/>
      <c r="AY60" s="503"/>
      <c r="AZ60" s="503"/>
      <c r="BA60" s="503"/>
      <c r="BB60" s="503"/>
      <c r="BC60" s="503"/>
      <c r="BD60" s="697"/>
      <c r="BE60" s="697"/>
      <c r="BF60" s="697"/>
      <c r="BG60" s="503"/>
      <c r="BH60" s="503"/>
      <c r="BI60" s="503"/>
      <c r="BJ60" s="503"/>
    </row>
    <row r="61" spans="1:74" s="463" customFormat="1" ht="12" customHeight="1" x14ac:dyDescent="0.25">
      <c r="A61" s="462"/>
      <c r="B61" s="789" t="s">
        <v>855</v>
      </c>
      <c r="C61" s="790"/>
      <c r="D61" s="790"/>
      <c r="E61" s="790"/>
      <c r="F61" s="790"/>
      <c r="G61" s="790"/>
      <c r="H61" s="790"/>
      <c r="I61" s="790"/>
      <c r="J61" s="790"/>
      <c r="K61" s="790"/>
      <c r="L61" s="790"/>
      <c r="M61" s="790"/>
      <c r="N61" s="790"/>
      <c r="O61" s="790"/>
      <c r="P61" s="790"/>
      <c r="Q61" s="791"/>
      <c r="AY61" s="503"/>
      <c r="AZ61" s="503"/>
      <c r="BA61" s="503"/>
      <c r="BB61" s="503"/>
      <c r="BC61" s="503"/>
      <c r="BD61" s="697"/>
      <c r="BE61" s="697"/>
      <c r="BF61" s="697"/>
      <c r="BG61" s="503"/>
      <c r="BH61" s="503"/>
      <c r="BI61" s="503"/>
      <c r="BJ61" s="503"/>
    </row>
    <row r="62" spans="1:74" s="463" customFormat="1" ht="12" customHeight="1" x14ac:dyDescent="0.25">
      <c r="A62" s="429"/>
      <c r="B62" s="811" t="s">
        <v>1138</v>
      </c>
      <c r="C62" s="791"/>
      <c r="D62" s="791"/>
      <c r="E62" s="791"/>
      <c r="F62" s="791"/>
      <c r="G62" s="791"/>
      <c r="H62" s="791"/>
      <c r="I62" s="791"/>
      <c r="J62" s="791"/>
      <c r="K62" s="791"/>
      <c r="L62" s="791"/>
      <c r="M62" s="791"/>
      <c r="N62" s="791"/>
      <c r="O62" s="791"/>
      <c r="P62" s="791"/>
      <c r="Q62" s="791"/>
      <c r="AY62" s="503"/>
      <c r="AZ62" s="503"/>
      <c r="BA62" s="503"/>
      <c r="BB62" s="503"/>
      <c r="BC62" s="503"/>
      <c r="BD62" s="697"/>
      <c r="BE62" s="697"/>
      <c r="BF62" s="697"/>
      <c r="BG62" s="503"/>
      <c r="BH62" s="503"/>
      <c r="BI62" s="503"/>
      <c r="BJ62" s="503"/>
    </row>
    <row r="63" spans="1:74" x14ac:dyDescent="0.2">
      <c r="BK63" s="348"/>
      <c r="BL63" s="348"/>
      <c r="BM63" s="348"/>
      <c r="BN63" s="348"/>
      <c r="BO63" s="348"/>
      <c r="BP63" s="348"/>
      <c r="BQ63" s="348"/>
      <c r="BR63" s="348"/>
      <c r="BS63" s="348"/>
      <c r="BT63" s="348"/>
      <c r="BU63" s="348"/>
      <c r="BV63" s="348"/>
    </row>
    <row r="64" spans="1:74" x14ac:dyDescent="0.2">
      <c r="BK64" s="348"/>
      <c r="BL64" s="348"/>
      <c r="BM64" s="348"/>
      <c r="BN64" s="348"/>
      <c r="BO64" s="348"/>
      <c r="BP64" s="348"/>
      <c r="BQ64" s="348"/>
      <c r="BR64" s="348"/>
      <c r="BS64" s="348"/>
      <c r="BT64" s="348"/>
      <c r="BU64" s="348"/>
      <c r="BV64" s="348"/>
    </row>
    <row r="65" spans="63:74" x14ac:dyDescent="0.2">
      <c r="BK65" s="348"/>
      <c r="BL65" s="348"/>
      <c r="BM65" s="348"/>
      <c r="BN65" s="348"/>
      <c r="BO65" s="348"/>
      <c r="BP65" s="348"/>
      <c r="BQ65" s="348"/>
      <c r="BR65" s="348"/>
      <c r="BS65" s="348"/>
      <c r="BT65" s="348"/>
      <c r="BU65" s="348"/>
      <c r="BV65" s="348"/>
    </row>
    <row r="66" spans="63:74" x14ac:dyDescent="0.2">
      <c r="BK66" s="348"/>
      <c r="BL66" s="348"/>
      <c r="BM66" s="348"/>
      <c r="BN66" s="348"/>
      <c r="BO66" s="348"/>
      <c r="BP66" s="348"/>
      <c r="BQ66" s="348"/>
      <c r="BR66" s="348"/>
      <c r="BS66" s="348"/>
      <c r="BT66" s="348"/>
      <c r="BU66" s="348"/>
      <c r="BV66" s="348"/>
    </row>
    <row r="67" spans="63:74" x14ac:dyDescent="0.2">
      <c r="BK67" s="348"/>
      <c r="BL67" s="348"/>
      <c r="BM67" s="348"/>
      <c r="BN67" s="348"/>
      <c r="BO67" s="348"/>
      <c r="BP67" s="348"/>
      <c r="BQ67" s="348"/>
      <c r="BR67" s="348"/>
      <c r="BS67" s="348"/>
      <c r="BT67" s="348"/>
      <c r="BU67" s="348"/>
      <c r="BV67" s="348"/>
    </row>
    <row r="68" spans="63:74" x14ac:dyDescent="0.2">
      <c r="BK68" s="348"/>
      <c r="BL68" s="348"/>
      <c r="BM68" s="348"/>
      <c r="BN68" s="348"/>
      <c r="BO68" s="348"/>
      <c r="BP68" s="348"/>
      <c r="BQ68" s="348"/>
      <c r="BR68" s="348"/>
      <c r="BS68" s="348"/>
      <c r="BT68" s="348"/>
      <c r="BU68" s="348"/>
      <c r="BV68" s="348"/>
    </row>
    <row r="69" spans="63:74" x14ac:dyDescent="0.2">
      <c r="BK69" s="348"/>
      <c r="BL69" s="348"/>
      <c r="BM69" s="348"/>
      <c r="BN69" s="348"/>
      <c r="BO69" s="348"/>
      <c r="BP69" s="348"/>
      <c r="BQ69" s="348"/>
      <c r="BR69" s="348"/>
      <c r="BS69" s="348"/>
      <c r="BT69" s="348"/>
      <c r="BU69" s="348"/>
      <c r="BV69" s="348"/>
    </row>
    <row r="70" spans="63:74" x14ac:dyDescent="0.2">
      <c r="BK70" s="348"/>
      <c r="BL70" s="348"/>
      <c r="BM70" s="348"/>
      <c r="BN70" s="348"/>
      <c r="BO70" s="348"/>
      <c r="BP70" s="348"/>
      <c r="BQ70" s="348"/>
      <c r="BR70" s="348"/>
      <c r="BS70" s="348"/>
      <c r="BT70" s="348"/>
      <c r="BU70" s="348"/>
      <c r="BV70" s="348"/>
    </row>
    <row r="71" spans="63:74" x14ac:dyDescent="0.2">
      <c r="BK71" s="348"/>
      <c r="BL71" s="348"/>
      <c r="BM71" s="348"/>
      <c r="BN71" s="348"/>
      <c r="BO71" s="348"/>
      <c r="BP71" s="348"/>
      <c r="BQ71" s="348"/>
      <c r="BR71" s="348"/>
      <c r="BS71" s="348"/>
      <c r="BT71" s="348"/>
      <c r="BU71" s="348"/>
      <c r="BV71" s="348"/>
    </row>
    <row r="72" spans="63:74" x14ac:dyDescent="0.2">
      <c r="BK72" s="348"/>
      <c r="BL72" s="348"/>
      <c r="BM72" s="348"/>
      <c r="BN72" s="348"/>
      <c r="BO72" s="348"/>
      <c r="BP72" s="348"/>
      <c r="BQ72" s="348"/>
      <c r="BR72" s="348"/>
      <c r="BS72" s="348"/>
      <c r="BT72" s="348"/>
      <c r="BU72" s="348"/>
      <c r="BV72" s="348"/>
    </row>
    <row r="73" spans="63:74" x14ac:dyDescent="0.2">
      <c r="BK73" s="348"/>
      <c r="BL73" s="348"/>
      <c r="BM73" s="348"/>
      <c r="BN73" s="348"/>
      <c r="BO73" s="348"/>
      <c r="BP73" s="348"/>
      <c r="BQ73" s="348"/>
      <c r="BR73" s="348"/>
      <c r="BS73" s="348"/>
      <c r="BT73" s="348"/>
      <c r="BU73" s="348"/>
      <c r="BV73" s="348"/>
    </row>
    <row r="74" spans="63:74" x14ac:dyDescent="0.2">
      <c r="BK74" s="348"/>
      <c r="BL74" s="348"/>
      <c r="BM74" s="348"/>
      <c r="BN74" s="348"/>
      <c r="BO74" s="348"/>
      <c r="BP74" s="348"/>
      <c r="BQ74" s="348"/>
      <c r="BR74" s="348"/>
      <c r="BS74" s="348"/>
      <c r="BT74" s="348"/>
      <c r="BU74" s="348"/>
      <c r="BV74" s="348"/>
    </row>
    <row r="75" spans="63:74" x14ac:dyDescent="0.2">
      <c r="BK75" s="348"/>
      <c r="BL75" s="348"/>
      <c r="BM75" s="348"/>
      <c r="BN75" s="348"/>
      <c r="BO75" s="348"/>
      <c r="BP75" s="348"/>
      <c r="BQ75" s="348"/>
      <c r="BR75" s="348"/>
      <c r="BS75" s="348"/>
      <c r="BT75" s="348"/>
      <c r="BU75" s="348"/>
      <c r="BV75" s="348"/>
    </row>
    <row r="76" spans="63:74" x14ac:dyDescent="0.2">
      <c r="BK76" s="348"/>
      <c r="BL76" s="348"/>
      <c r="BM76" s="348"/>
      <c r="BN76" s="348"/>
      <c r="BO76" s="348"/>
      <c r="BP76" s="348"/>
      <c r="BQ76" s="348"/>
      <c r="BR76" s="348"/>
      <c r="BS76" s="348"/>
      <c r="BT76" s="348"/>
      <c r="BU76" s="348"/>
      <c r="BV76" s="348"/>
    </row>
    <row r="77" spans="63:74" x14ac:dyDescent="0.2">
      <c r="BK77" s="348"/>
      <c r="BL77" s="348"/>
      <c r="BM77" s="348"/>
      <c r="BN77" s="348"/>
      <c r="BO77" s="348"/>
      <c r="BP77" s="348"/>
      <c r="BQ77" s="348"/>
      <c r="BR77" s="348"/>
      <c r="BS77" s="348"/>
      <c r="BT77" s="348"/>
      <c r="BU77" s="348"/>
      <c r="BV77" s="348"/>
    </row>
    <row r="78" spans="63:74" x14ac:dyDescent="0.2">
      <c r="BK78" s="348"/>
      <c r="BL78" s="348"/>
      <c r="BM78" s="348"/>
      <c r="BN78" s="348"/>
      <c r="BO78" s="348"/>
      <c r="BP78" s="348"/>
      <c r="BQ78" s="348"/>
      <c r="BR78" s="348"/>
      <c r="BS78" s="348"/>
      <c r="BT78" s="348"/>
      <c r="BU78" s="348"/>
      <c r="BV78" s="348"/>
    </row>
    <row r="79" spans="63:74" x14ac:dyDescent="0.2">
      <c r="BK79" s="348"/>
      <c r="BL79" s="348"/>
      <c r="BM79" s="348"/>
      <c r="BN79" s="348"/>
      <c r="BO79" s="348"/>
      <c r="BP79" s="348"/>
      <c r="BQ79" s="348"/>
      <c r="BR79" s="348"/>
      <c r="BS79" s="348"/>
      <c r="BT79" s="348"/>
      <c r="BU79" s="348"/>
      <c r="BV79" s="348"/>
    </row>
    <row r="80" spans="63:74" x14ac:dyDescent="0.2">
      <c r="BK80" s="348"/>
      <c r="BL80" s="348"/>
      <c r="BM80" s="348"/>
      <c r="BN80" s="348"/>
      <c r="BO80" s="348"/>
      <c r="BP80" s="348"/>
      <c r="BQ80" s="348"/>
      <c r="BR80" s="348"/>
      <c r="BS80" s="348"/>
      <c r="BT80" s="348"/>
      <c r="BU80" s="348"/>
      <c r="BV80" s="348"/>
    </row>
    <row r="81" spans="63:74" x14ac:dyDescent="0.2">
      <c r="BK81" s="348"/>
      <c r="BL81" s="348"/>
      <c r="BM81" s="348"/>
      <c r="BN81" s="348"/>
      <c r="BO81" s="348"/>
      <c r="BP81" s="348"/>
      <c r="BQ81" s="348"/>
      <c r="BR81" s="348"/>
      <c r="BS81" s="348"/>
      <c r="BT81" s="348"/>
      <c r="BU81" s="348"/>
      <c r="BV81" s="348"/>
    </row>
    <row r="82" spans="63:74" x14ac:dyDescent="0.2">
      <c r="BK82" s="348"/>
      <c r="BL82" s="348"/>
      <c r="BM82" s="348"/>
      <c r="BN82" s="348"/>
      <c r="BO82" s="348"/>
      <c r="BP82" s="348"/>
      <c r="BQ82" s="348"/>
      <c r="BR82" s="348"/>
      <c r="BS82" s="348"/>
      <c r="BT82" s="348"/>
      <c r="BU82" s="348"/>
      <c r="BV82" s="348"/>
    </row>
    <row r="83" spans="63:74" x14ac:dyDescent="0.2">
      <c r="BK83" s="348"/>
      <c r="BL83" s="348"/>
      <c r="BM83" s="348"/>
      <c r="BN83" s="348"/>
      <c r="BO83" s="348"/>
      <c r="BP83" s="348"/>
      <c r="BQ83" s="348"/>
      <c r="BR83" s="348"/>
      <c r="BS83" s="348"/>
      <c r="BT83" s="348"/>
      <c r="BU83" s="348"/>
      <c r="BV83" s="348"/>
    </row>
    <row r="84" spans="63:74" x14ac:dyDescent="0.2">
      <c r="BK84" s="348"/>
      <c r="BL84" s="348"/>
      <c r="BM84" s="348"/>
      <c r="BN84" s="348"/>
      <c r="BO84" s="348"/>
      <c r="BP84" s="348"/>
      <c r="BQ84" s="348"/>
      <c r="BR84" s="348"/>
      <c r="BS84" s="348"/>
      <c r="BT84" s="348"/>
      <c r="BU84" s="348"/>
      <c r="BV84" s="348"/>
    </row>
    <row r="85" spans="63:74" x14ac:dyDescent="0.2">
      <c r="BK85" s="348"/>
      <c r="BL85" s="348"/>
      <c r="BM85" s="348"/>
      <c r="BN85" s="348"/>
      <c r="BO85" s="348"/>
      <c r="BP85" s="348"/>
      <c r="BQ85" s="348"/>
      <c r="BR85" s="348"/>
      <c r="BS85" s="348"/>
      <c r="BT85" s="348"/>
      <c r="BU85" s="348"/>
      <c r="BV85" s="348"/>
    </row>
    <row r="86" spans="63:74" x14ac:dyDescent="0.2">
      <c r="BK86" s="348"/>
      <c r="BL86" s="348"/>
      <c r="BM86" s="348"/>
      <c r="BN86" s="348"/>
      <c r="BO86" s="348"/>
      <c r="BP86" s="348"/>
      <c r="BQ86" s="348"/>
      <c r="BR86" s="348"/>
      <c r="BS86" s="348"/>
      <c r="BT86" s="348"/>
      <c r="BU86" s="348"/>
      <c r="BV86" s="348"/>
    </row>
    <row r="87" spans="63:74" x14ac:dyDescent="0.2">
      <c r="BK87" s="348"/>
      <c r="BL87" s="348"/>
      <c r="BM87" s="348"/>
      <c r="BN87" s="348"/>
      <c r="BO87" s="348"/>
      <c r="BP87" s="348"/>
      <c r="BQ87" s="348"/>
      <c r="BR87" s="348"/>
      <c r="BS87" s="348"/>
      <c r="BT87" s="348"/>
      <c r="BU87" s="348"/>
      <c r="BV87" s="348"/>
    </row>
    <row r="88" spans="63:74" x14ac:dyDescent="0.2">
      <c r="BK88" s="348"/>
      <c r="BL88" s="348"/>
      <c r="BM88" s="348"/>
      <c r="BN88" s="348"/>
      <c r="BO88" s="348"/>
      <c r="BP88" s="348"/>
      <c r="BQ88" s="348"/>
      <c r="BR88" s="348"/>
      <c r="BS88" s="348"/>
      <c r="BT88" s="348"/>
      <c r="BU88" s="348"/>
      <c r="BV88" s="348"/>
    </row>
    <row r="89" spans="63:74" x14ac:dyDescent="0.2">
      <c r="BK89" s="348"/>
      <c r="BL89" s="348"/>
      <c r="BM89" s="348"/>
      <c r="BN89" s="348"/>
      <c r="BO89" s="348"/>
      <c r="BP89" s="348"/>
      <c r="BQ89" s="348"/>
      <c r="BR89" s="348"/>
      <c r="BS89" s="348"/>
      <c r="BT89" s="348"/>
      <c r="BU89" s="348"/>
      <c r="BV89" s="348"/>
    </row>
    <row r="90" spans="63:74" x14ac:dyDescent="0.2">
      <c r="BK90" s="348"/>
      <c r="BL90" s="348"/>
      <c r="BM90" s="348"/>
      <c r="BN90" s="348"/>
      <c r="BO90" s="348"/>
      <c r="BP90" s="348"/>
      <c r="BQ90" s="348"/>
      <c r="BR90" s="348"/>
      <c r="BS90" s="348"/>
      <c r="BT90" s="348"/>
      <c r="BU90" s="348"/>
      <c r="BV90" s="348"/>
    </row>
    <row r="91" spans="63:74" x14ac:dyDescent="0.2">
      <c r="BK91" s="348"/>
      <c r="BL91" s="348"/>
      <c r="BM91" s="348"/>
      <c r="BN91" s="348"/>
      <c r="BO91" s="348"/>
      <c r="BP91" s="348"/>
      <c r="BQ91" s="348"/>
      <c r="BR91" s="348"/>
      <c r="BS91" s="348"/>
      <c r="BT91" s="348"/>
      <c r="BU91" s="348"/>
      <c r="BV91" s="348"/>
    </row>
    <row r="92" spans="63:74" x14ac:dyDescent="0.2">
      <c r="BK92" s="348"/>
      <c r="BL92" s="348"/>
      <c r="BM92" s="348"/>
      <c r="BN92" s="348"/>
      <c r="BO92" s="348"/>
      <c r="BP92" s="348"/>
      <c r="BQ92" s="348"/>
      <c r="BR92" s="348"/>
      <c r="BS92" s="348"/>
      <c r="BT92" s="348"/>
      <c r="BU92" s="348"/>
      <c r="BV92" s="348"/>
    </row>
    <row r="93" spans="63:74" x14ac:dyDescent="0.2">
      <c r="BK93" s="348"/>
      <c r="BL93" s="348"/>
      <c r="BM93" s="348"/>
      <c r="BN93" s="348"/>
      <c r="BO93" s="348"/>
      <c r="BP93" s="348"/>
      <c r="BQ93" s="348"/>
      <c r="BR93" s="348"/>
      <c r="BS93" s="348"/>
      <c r="BT93" s="348"/>
      <c r="BU93" s="348"/>
      <c r="BV93" s="348"/>
    </row>
    <row r="94" spans="63:74" x14ac:dyDescent="0.2">
      <c r="BK94" s="348"/>
      <c r="BL94" s="348"/>
      <c r="BM94" s="348"/>
      <c r="BN94" s="348"/>
      <c r="BO94" s="348"/>
      <c r="BP94" s="348"/>
      <c r="BQ94" s="348"/>
      <c r="BR94" s="348"/>
      <c r="BS94" s="348"/>
      <c r="BT94" s="348"/>
      <c r="BU94" s="348"/>
      <c r="BV94" s="348"/>
    </row>
    <row r="95" spans="63:74" x14ac:dyDescent="0.2">
      <c r="BK95" s="348"/>
      <c r="BL95" s="348"/>
      <c r="BM95" s="348"/>
      <c r="BN95" s="348"/>
      <c r="BO95" s="348"/>
      <c r="BP95" s="348"/>
      <c r="BQ95" s="348"/>
      <c r="BR95" s="348"/>
      <c r="BS95" s="348"/>
      <c r="BT95" s="348"/>
      <c r="BU95" s="348"/>
      <c r="BV95" s="348"/>
    </row>
    <row r="96" spans="63:74" x14ac:dyDescent="0.2">
      <c r="BK96" s="348"/>
      <c r="BL96" s="348"/>
      <c r="BM96" s="348"/>
      <c r="BN96" s="348"/>
      <c r="BO96" s="348"/>
      <c r="BP96" s="348"/>
      <c r="BQ96" s="348"/>
      <c r="BR96" s="348"/>
      <c r="BS96" s="348"/>
      <c r="BT96" s="348"/>
      <c r="BU96" s="348"/>
      <c r="BV96" s="348"/>
    </row>
    <row r="97" spans="63:74" x14ac:dyDescent="0.2">
      <c r="BK97" s="348"/>
      <c r="BL97" s="348"/>
      <c r="BM97" s="348"/>
      <c r="BN97" s="348"/>
      <c r="BO97" s="348"/>
      <c r="BP97" s="348"/>
      <c r="BQ97" s="348"/>
      <c r="BR97" s="348"/>
      <c r="BS97" s="348"/>
      <c r="BT97" s="348"/>
      <c r="BU97" s="348"/>
      <c r="BV97" s="348"/>
    </row>
    <row r="98" spans="63:74" x14ac:dyDescent="0.2">
      <c r="BK98" s="348"/>
      <c r="BL98" s="348"/>
      <c r="BM98" s="348"/>
      <c r="BN98" s="348"/>
      <c r="BO98" s="348"/>
      <c r="BP98" s="348"/>
      <c r="BQ98" s="348"/>
      <c r="BR98" s="348"/>
      <c r="BS98" s="348"/>
      <c r="BT98" s="348"/>
      <c r="BU98" s="348"/>
      <c r="BV98" s="348"/>
    </row>
    <row r="99" spans="63:74" x14ac:dyDescent="0.2">
      <c r="BK99" s="348"/>
      <c r="BL99" s="348"/>
      <c r="BM99" s="348"/>
      <c r="BN99" s="348"/>
      <c r="BO99" s="348"/>
      <c r="BP99" s="348"/>
      <c r="BQ99" s="348"/>
      <c r="BR99" s="348"/>
      <c r="BS99" s="348"/>
      <c r="BT99" s="348"/>
      <c r="BU99" s="348"/>
      <c r="BV99" s="348"/>
    </row>
    <row r="100" spans="63:74" x14ac:dyDescent="0.2">
      <c r="BK100" s="348"/>
      <c r="BL100" s="348"/>
      <c r="BM100" s="348"/>
      <c r="BN100" s="348"/>
      <c r="BO100" s="348"/>
      <c r="BP100" s="348"/>
      <c r="BQ100" s="348"/>
      <c r="BR100" s="348"/>
      <c r="BS100" s="348"/>
      <c r="BT100" s="348"/>
      <c r="BU100" s="348"/>
      <c r="BV100" s="348"/>
    </row>
    <row r="101" spans="63:74" x14ac:dyDescent="0.2">
      <c r="BK101" s="348"/>
      <c r="BL101" s="348"/>
      <c r="BM101" s="348"/>
      <c r="BN101" s="348"/>
      <c r="BO101" s="348"/>
      <c r="BP101" s="348"/>
      <c r="BQ101" s="348"/>
      <c r="BR101" s="348"/>
      <c r="BS101" s="348"/>
      <c r="BT101" s="348"/>
      <c r="BU101" s="348"/>
      <c r="BV101" s="348"/>
    </row>
    <row r="102" spans="63:74" x14ac:dyDescent="0.2">
      <c r="BK102" s="348"/>
      <c r="BL102" s="348"/>
      <c r="BM102" s="348"/>
      <c r="BN102" s="348"/>
      <c r="BO102" s="348"/>
      <c r="BP102" s="348"/>
      <c r="BQ102" s="348"/>
      <c r="BR102" s="348"/>
      <c r="BS102" s="348"/>
      <c r="BT102" s="348"/>
      <c r="BU102" s="348"/>
      <c r="BV102" s="348"/>
    </row>
    <row r="103" spans="63:74" x14ac:dyDescent="0.2">
      <c r="BK103" s="348"/>
      <c r="BL103" s="348"/>
      <c r="BM103" s="348"/>
      <c r="BN103" s="348"/>
      <c r="BO103" s="348"/>
      <c r="BP103" s="348"/>
      <c r="BQ103" s="348"/>
      <c r="BR103" s="348"/>
      <c r="BS103" s="348"/>
      <c r="BT103" s="348"/>
      <c r="BU103" s="348"/>
      <c r="BV103" s="348"/>
    </row>
    <row r="104" spans="63:74" x14ac:dyDescent="0.2">
      <c r="BK104" s="348"/>
      <c r="BL104" s="348"/>
      <c r="BM104" s="348"/>
      <c r="BN104" s="348"/>
      <c r="BO104" s="348"/>
      <c r="BP104" s="348"/>
      <c r="BQ104" s="348"/>
      <c r="BR104" s="348"/>
      <c r="BS104" s="348"/>
      <c r="BT104" s="348"/>
      <c r="BU104" s="348"/>
      <c r="BV104" s="348"/>
    </row>
    <row r="105" spans="63:74" x14ac:dyDescent="0.2">
      <c r="BK105" s="348"/>
      <c r="BL105" s="348"/>
      <c r="BM105" s="348"/>
      <c r="BN105" s="348"/>
      <c r="BO105" s="348"/>
      <c r="BP105" s="348"/>
      <c r="BQ105" s="348"/>
      <c r="BR105" s="348"/>
      <c r="BS105" s="348"/>
      <c r="BT105" s="348"/>
      <c r="BU105" s="348"/>
      <c r="BV105" s="348"/>
    </row>
    <row r="106" spans="63:74" x14ac:dyDescent="0.2">
      <c r="BK106" s="348"/>
      <c r="BL106" s="348"/>
      <c r="BM106" s="348"/>
      <c r="BN106" s="348"/>
      <c r="BO106" s="348"/>
      <c r="BP106" s="348"/>
      <c r="BQ106" s="348"/>
      <c r="BR106" s="348"/>
      <c r="BS106" s="348"/>
      <c r="BT106" s="348"/>
      <c r="BU106" s="348"/>
      <c r="BV106" s="348"/>
    </row>
    <row r="107" spans="63:74" x14ac:dyDescent="0.2">
      <c r="BK107" s="348"/>
      <c r="BL107" s="348"/>
      <c r="BM107" s="348"/>
      <c r="BN107" s="348"/>
      <c r="BO107" s="348"/>
      <c r="BP107" s="348"/>
      <c r="BQ107" s="348"/>
      <c r="BR107" s="348"/>
      <c r="BS107" s="348"/>
      <c r="BT107" s="348"/>
      <c r="BU107" s="348"/>
      <c r="BV107" s="348"/>
    </row>
    <row r="108" spans="63:74" x14ac:dyDescent="0.2">
      <c r="BK108" s="348"/>
      <c r="BL108" s="348"/>
      <c r="BM108" s="348"/>
      <c r="BN108" s="348"/>
      <c r="BO108" s="348"/>
      <c r="BP108" s="348"/>
      <c r="BQ108" s="348"/>
      <c r="BR108" s="348"/>
      <c r="BS108" s="348"/>
      <c r="BT108" s="348"/>
      <c r="BU108" s="348"/>
      <c r="BV108" s="348"/>
    </row>
    <row r="109" spans="63:74" x14ac:dyDescent="0.2">
      <c r="BK109" s="348"/>
      <c r="BL109" s="348"/>
      <c r="BM109" s="348"/>
      <c r="BN109" s="348"/>
      <c r="BO109" s="348"/>
      <c r="BP109" s="348"/>
      <c r="BQ109" s="348"/>
      <c r="BR109" s="348"/>
      <c r="BS109" s="348"/>
      <c r="BT109" s="348"/>
      <c r="BU109" s="348"/>
      <c r="BV109" s="348"/>
    </row>
    <row r="110" spans="63:74" x14ac:dyDescent="0.2">
      <c r="BK110" s="348"/>
      <c r="BL110" s="348"/>
      <c r="BM110" s="348"/>
      <c r="BN110" s="348"/>
      <c r="BO110" s="348"/>
      <c r="BP110" s="348"/>
      <c r="BQ110" s="348"/>
      <c r="BR110" s="348"/>
      <c r="BS110" s="348"/>
      <c r="BT110" s="348"/>
      <c r="BU110" s="348"/>
      <c r="BV110" s="348"/>
    </row>
    <row r="111" spans="63:74" x14ac:dyDescent="0.2">
      <c r="BK111" s="348"/>
      <c r="BL111" s="348"/>
      <c r="BM111" s="348"/>
      <c r="BN111" s="348"/>
      <c r="BO111" s="348"/>
      <c r="BP111" s="348"/>
      <c r="BQ111" s="348"/>
      <c r="BR111" s="348"/>
      <c r="BS111" s="348"/>
      <c r="BT111" s="348"/>
      <c r="BU111" s="348"/>
      <c r="BV111" s="348"/>
    </row>
    <row r="112" spans="63:74" x14ac:dyDescent="0.2">
      <c r="BK112" s="348"/>
      <c r="BL112" s="348"/>
      <c r="BM112" s="348"/>
      <c r="BN112" s="348"/>
      <c r="BO112" s="348"/>
      <c r="BP112" s="348"/>
      <c r="BQ112" s="348"/>
      <c r="BR112" s="348"/>
      <c r="BS112" s="348"/>
      <c r="BT112" s="348"/>
      <c r="BU112" s="348"/>
      <c r="BV112" s="348"/>
    </row>
    <row r="113" spans="63:74" x14ac:dyDescent="0.2">
      <c r="BK113" s="348"/>
      <c r="BL113" s="348"/>
      <c r="BM113" s="348"/>
      <c r="BN113" s="348"/>
      <c r="BO113" s="348"/>
      <c r="BP113" s="348"/>
      <c r="BQ113" s="348"/>
      <c r="BR113" s="348"/>
      <c r="BS113" s="348"/>
      <c r="BT113" s="348"/>
      <c r="BU113" s="348"/>
      <c r="BV113" s="348"/>
    </row>
    <row r="114" spans="63:74" x14ac:dyDescent="0.2">
      <c r="BK114" s="348"/>
      <c r="BL114" s="348"/>
      <c r="BM114" s="348"/>
      <c r="BN114" s="348"/>
      <c r="BO114" s="348"/>
      <c r="BP114" s="348"/>
      <c r="BQ114" s="348"/>
      <c r="BR114" s="348"/>
      <c r="BS114" s="348"/>
      <c r="BT114" s="348"/>
      <c r="BU114" s="348"/>
      <c r="BV114" s="348"/>
    </row>
    <row r="115" spans="63:74" x14ac:dyDescent="0.2">
      <c r="BK115" s="348"/>
      <c r="BL115" s="348"/>
      <c r="BM115" s="348"/>
      <c r="BN115" s="348"/>
      <c r="BO115" s="348"/>
      <c r="BP115" s="348"/>
      <c r="BQ115" s="348"/>
      <c r="BR115" s="348"/>
      <c r="BS115" s="348"/>
      <c r="BT115" s="348"/>
      <c r="BU115" s="348"/>
      <c r="BV115" s="348"/>
    </row>
    <row r="116" spans="63:74" x14ac:dyDescent="0.2">
      <c r="BK116" s="348"/>
      <c r="BL116" s="348"/>
      <c r="BM116" s="348"/>
      <c r="BN116" s="348"/>
      <c r="BO116" s="348"/>
      <c r="BP116" s="348"/>
      <c r="BQ116" s="348"/>
      <c r="BR116" s="348"/>
      <c r="BS116" s="348"/>
      <c r="BT116" s="348"/>
      <c r="BU116" s="348"/>
      <c r="BV116" s="348"/>
    </row>
    <row r="117" spans="63:74" x14ac:dyDescent="0.2">
      <c r="BK117" s="348"/>
      <c r="BL117" s="348"/>
      <c r="BM117" s="348"/>
      <c r="BN117" s="348"/>
      <c r="BO117" s="348"/>
      <c r="BP117" s="348"/>
      <c r="BQ117" s="348"/>
      <c r="BR117" s="348"/>
      <c r="BS117" s="348"/>
      <c r="BT117" s="348"/>
      <c r="BU117" s="348"/>
      <c r="BV117" s="348"/>
    </row>
    <row r="118" spans="63:74" x14ac:dyDescent="0.2">
      <c r="BK118" s="348"/>
      <c r="BL118" s="348"/>
      <c r="BM118" s="348"/>
      <c r="BN118" s="348"/>
      <c r="BO118" s="348"/>
      <c r="BP118" s="348"/>
      <c r="BQ118" s="348"/>
      <c r="BR118" s="348"/>
      <c r="BS118" s="348"/>
      <c r="BT118" s="348"/>
      <c r="BU118" s="348"/>
      <c r="BV118" s="348"/>
    </row>
    <row r="119" spans="63:74" x14ac:dyDescent="0.2">
      <c r="BK119" s="348"/>
      <c r="BL119" s="348"/>
      <c r="BM119" s="348"/>
      <c r="BN119" s="348"/>
      <c r="BO119" s="348"/>
      <c r="BP119" s="348"/>
      <c r="BQ119" s="348"/>
      <c r="BR119" s="348"/>
      <c r="BS119" s="348"/>
      <c r="BT119" s="348"/>
      <c r="BU119" s="348"/>
      <c r="BV119" s="348"/>
    </row>
    <row r="120" spans="63:74" x14ac:dyDescent="0.2">
      <c r="BK120" s="348"/>
      <c r="BL120" s="348"/>
      <c r="BM120" s="348"/>
      <c r="BN120" s="348"/>
      <c r="BO120" s="348"/>
      <c r="BP120" s="348"/>
      <c r="BQ120" s="348"/>
      <c r="BR120" s="348"/>
      <c r="BS120" s="348"/>
      <c r="BT120" s="348"/>
      <c r="BU120" s="348"/>
      <c r="BV120" s="348"/>
    </row>
    <row r="121" spans="63:74" x14ac:dyDescent="0.2">
      <c r="BK121" s="348"/>
      <c r="BL121" s="348"/>
      <c r="BM121" s="348"/>
      <c r="BN121" s="348"/>
      <c r="BO121" s="348"/>
      <c r="BP121" s="348"/>
      <c r="BQ121" s="348"/>
      <c r="BR121" s="348"/>
      <c r="BS121" s="348"/>
      <c r="BT121" s="348"/>
      <c r="BU121" s="348"/>
      <c r="BV121" s="348"/>
    </row>
    <row r="122" spans="63:74" x14ac:dyDescent="0.2">
      <c r="BK122" s="348"/>
      <c r="BL122" s="348"/>
      <c r="BM122" s="348"/>
      <c r="BN122" s="348"/>
      <c r="BO122" s="348"/>
      <c r="BP122" s="348"/>
      <c r="BQ122" s="348"/>
      <c r="BR122" s="348"/>
      <c r="BS122" s="348"/>
      <c r="BT122" s="348"/>
      <c r="BU122" s="348"/>
      <c r="BV122" s="348"/>
    </row>
    <row r="123" spans="63:74" x14ac:dyDescent="0.2">
      <c r="BK123" s="348"/>
      <c r="BL123" s="348"/>
      <c r="BM123" s="348"/>
      <c r="BN123" s="348"/>
      <c r="BO123" s="348"/>
      <c r="BP123" s="348"/>
      <c r="BQ123" s="348"/>
      <c r="BR123" s="348"/>
      <c r="BS123" s="348"/>
      <c r="BT123" s="348"/>
      <c r="BU123" s="348"/>
      <c r="BV123" s="348"/>
    </row>
    <row r="124" spans="63:74" x14ac:dyDescent="0.2">
      <c r="BK124" s="348"/>
      <c r="BL124" s="348"/>
      <c r="BM124" s="348"/>
      <c r="BN124" s="348"/>
      <c r="BO124" s="348"/>
      <c r="BP124" s="348"/>
      <c r="BQ124" s="348"/>
      <c r="BR124" s="348"/>
      <c r="BS124" s="348"/>
      <c r="BT124" s="348"/>
      <c r="BU124" s="348"/>
      <c r="BV124" s="348"/>
    </row>
    <row r="125" spans="63:74" x14ac:dyDescent="0.2">
      <c r="BK125" s="348"/>
      <c r="BL125" s="348"/>
      <c r="BM125" s="348"/>
      <c r="BN125" s="348"/>
      <c r="BO125" s="348"/>
      <c r="BP125" s="348"/>
      <c r="BQ125" s="348"/>
      <c r="BR125" s="348"/>
      <c r="BS125" s="348"/>
      <c r="BT125" s="348"/>
      <c r="BU125" s="348"/>
      <c r="BV125" s="348"/>
    </row>
    <row r="126" spans="63:74" x14ac:dyDescent="0.2">
      <c r="BK126" s="348"/>
      <c r="BL126" s="348"/>
      <c r="BM126" s="348"/>
      <c r="BN126" s="348"/>
      <c r="BO126" s="348"/>
      <c r="BP126" s="348"/>
      <c r="BQ126" s="348"/>
      <c r="BR126" s="348"/>
      <c r="BS126" s="348"/>
      <c r="BT126" s="348"/>
      <c r="BU126" s="348"/>
      <c r="BV126" s="348"/>
    </row>
    <row r="127" spans="63:74" x14ac:dyDescent="0.2">
      <c r="BK127" s="348"/>
      <c r="BL127" s="348"/>
      <c r="BM127" s="348"/>
      <c r="BN127" s="348"/>
      <c r="BO127" s="348"/>
      <c r="BP127" s="348"/>
      <c r="BQ127" s="348"/>
      <c r="BR127" s="348"/>
      <c r="BS127" s="348"/>
      <c r="BT127" s="348"/>
      <c r="BU127" s="348"/>
      <c r="BV127" s="348"/>
    </row>
    <row r="128" spans="63:74" x14ac:dyDescent="0.2">
      <c r="BK128" s="348"/>
      <c r="BL128" s="348"/>
      <c r="BM128" s="348"/>
      <c r="BN128" s="348"/>
      <c r="BO128" s="348"/>
      <c r="BP128" s="348"/>
      <c r="BQ128" s="348"/>
      <c r="BR128" s="348"/>
      <c r="BS128" s="348"/>
      <c r="BT128" s="348"/>
      <c r="BU128" s="348"/>
      <c r="BV128" s="348"/>
    </row>
    <row r="129" spans="63:74" x14ac:dyDescent="0.2">
      <c r="BK129" s="348"/>
      <c r="BL129" s="348"/>
      <c r="BM129" s="348"/>
      <c r="BN129" s="348"/>
      <c r="BO129" s="348"/>
      <c r="BP129" s="348"/>
      <c r="BQ129" s="348"/>
      <c r="BR129" s="348"/>
      <c r="BS129" s="348"/>
      <c r="BT129" s="348"/>
      <c r="BU129" s="348"/>
      <c r="BV129" s="348"/>
    </row>
    <row r="130" spans="63:74" x14ac:dyDescent="0.2">
      <c r="BK130" s="348"/>
      <c r="BL130" s="348"/>
      <c r="BM130" s="348"/>
      <c r="BN130" s="348"/>
      <c r="BO130" s="348"/>
      <c r="BP130" s="348"/>
      <c r="BQ130" s="348"/>
      <c r="BR130" s="348"/>
      <c r="BS130" s="348"/>
      <c r="BT130" s="348"/>
      <c r="BU130" s="348"/>
      <c r="BV130" s="348"/>
    </row>
    <row r="131" spans="63:74" x14ac:dyDescent="0.2">
      <c r="BK131" s="348"/>
      <c r="BL131" s="348"/>
      <c r="BM131" s="348"/>
      <c r="BN131" s="348"/>
      <c r="BO131" s="348"/>
      <c r="BP131" s="348"/>
      <c r="BQ131" s="348"/>
      <c r="BR131" s="348"/>
      <c r="BS131" s="348"/>
      <c r="BT131" s="348"/>
      <c r="BU131" s="348"/>
      <c r="BV131" s="348"/>
    </row>
    <row r="132" spans="63:74" x14ac:dyDescent="0.2">
      <c r="BK132" s="348"/>
      <c r="BL132" s="348"/>
      <c r="BM132" s="348"/>
      <c r="BN132" s="348"/>
      <c r="BO132" s="348"/>
      <c r="BP132" s="348"/>
      <c r="BQ132" s="348"/>
      <c r="BR132" s="348"/>
      <c r="BS132" s="348"/>
      <c r="BT132" s="348"/>
      <c r="BU132" s="348"/>
      <c r="BV132" s="348"/>
    </row>
    <row r="133" spans="63:74" x14ac:dyDescent="0.2">
      <c r="BK133" s="348"/>
      <c r="BL133" s="348"/>
      <c r="BM133" s="348"/>
      <c r="BN133" s="348"/>
      <c r="BO133" s="348"/>
      <c r="BP133" s="348"/>
      <c r="BQ133" s="348"/>
      <c r="BR133" s="348"/>
      <c r="BS133" s="348"/>
      <c r="BT133" s="348"/>
      <c r="BU133" s="348"/>
      <c r="BV133" s="348"/>
    </row>
    <row r="134" spans="63:74" x14ac:dyDescent="0.2">
      <c r="BK134" s="348"/>
      <c r="BL134" s="348"/>
      <c r="BM134" s="348"/>
      <c r="BN134" s="348"/>
      <c r="BO134" s="348"/>
      <c r="BP134" s="348"/>
      <c r="BQ134" s="348"/>
      <c r="BR134" s="348"/>
      <c r="BS134" s="348"/>
      <c r="BT134" s="348"/>
      <c r="BU134" s="348"/>
      <c r="BV134" s="348"/>
    </row>
    <row r="135" spans="63:74" x14ac:dyDescent="0.2">
      <c r="BK135" s="348"/>
      <c r="BL135" s="348"/>
      <c r="BM135" s="348"/>
      <c r="BN135" s="348"/>
      <c r="BO135" s="348"/>
      <c r="BP135" s="348"/>
      <c r="BQ135" s="348"/>
      <c r="BR135" s="348"/>
      <c r="BS135" s="348"/>
      <c r="BT135" s="348"/>
      <c r="BU135" s="348"/>
      <c r="BV135" s="348"/>
    </row>
    <row r="136" spans="63:74" x14ac:dyDescent="0.2">
      <c r="BK136" s="348"/>
      <c r="BL136" s="348"/>
      <c r="BM136" s="348"/>
      <c r="BN136" s="348"/>
      <c r="BO136" s="348"/>
      <c r="BP136" s="348"/>
      <c r="BQ136" s="348"/>
      <c r="BR136" s="348"/>
      <c r="BS136" s="348"/>
      <c r="BT136" s="348"/>
      <c r="BU136" s="348"/>
      <c r="BV136" s="348"/>
    </row>
    <row r="137" spans="63:74" x14ac:dyDescent="0.2">
      <c r="BK137" s="348"/>
      <c r="BL137" s="348"/>
      <c r="BM137" s="348"/>
      <c r="BN137" s="348"/>
      <c r="BO137" s="348"/>
      <c r="BP137" s="348"/>
      <c r="BQ137" s="348"/>
      <c r="BR137" s="348"/>
      <c r="BS137" s="348"/>
      <c r="BT137" s="348"/>
      <c r="BU137" s="348"/>
      <c r="BV137" s="348"/>
    </row>
    <row r="138" spans="63:74" x14ac:dyDescent="0.2">
      <c r="BK138" s="348"/>
      <c r="BL138" s="348"/>
      <c r="BM138" s="348"/>
      <c r="BN138" s="348"/>
      <c r="BO138" s="348"/>
      <c r="BP138" s="348"/>
      <c r="BQ138" s="348"/>
      <c r="BR138" s="348"/>
      <c r="BS138" s="348"/>
      <c r="BT138" s="348"/>
      <c r="BU138" s="348"/>
      <c r="BV138" s="348"/>
    </row>
    <row r="139" spans="63:74" x14ac:dyDescent="0.2">
      <c r="BK139" s="348"/>
      <c r="BL139" s="348"/>
      <c r="BM139" s="348"/>
      <c r="BN139" s="348"/>
      <c r="BO139" s="348"/>
      <c r="BP139" s="348"/>
      <c r="BQ139" s="348"/>
      <c r="BR139" s="348"/>
      <c r="BS139" s="348"/>
      <c r="BT139" s="348"/>
      <c r="BU139" s="348"/>
      <c r="BV139" s="348"/>
    </row>
    <row r="140" spans="63:74" x14ac:dyDescent="0.2">
      <c r="BK140" s="348"/>
      <c r="BL140" s="348"/>
      <c r="BM140" s="348"/>
      <c r="BN140" s="348"/>
      <c r="BO140" s="348"/>
      <c r="BP140" s="348"/>
      <c r="BQ140" s="348"/>
      <c r="BR140" s="348"/>
      <c r="BS140" s="348"/>
      <c r="BT140" s="348"/>
      <c r="BU140" s="348"/>
      <c r="BV140" s="348"/>
    </row>
    <row r="141" spans="63:74" x14ac:dyDescent="0.2">
      <c r="BK141" s="348"/>
      <c r="BL141" s="348"/>
      <c r="BM141" s="348"/>
      <c r="BN141" s="348"/>
      <c r="BO141" s="348"/>
      <c r="BP141" s="348"/>
      <c r="BQ141" s="348"/>
      <c r="BR141" s="348"/>
      <c r="BS141" s="348"/>
      <c r="BT141" s="348"/>
      <c r="BU141" s="348"/>
      <c r="BV141" s="348"/>
    </row>
    <row r="142" spans="63:74" x14ac:dyDescent="0.2">
      <c r="BK142" s="348"/>
      <c r="BL142" s="348"/>
      <c r="BM142" s="348"/>
      <c r="BN142" s="348"/>
      <c r="BO142" s="348"/>
      <c r="BP142" s="348"/>
      <c r="BQ142" s="348"/>
      <c r="BR142" s="348"/>
      <c r="BS142" s="348"/>
      <c r="BT142" s="348"/>
      <c r="BU142" s="348"/>
      <c r="BV142" s="348"/>
    </row>
    <row r="143" spans="63:74" x14ac:dyDescent="0.2">
      <c r="BK143" s="348"/>
      <c r="BL143" s="348"/>
      <c r="BM143" s="348"/>
      <c r="BN143" s="348"/>
      <c r="BO143" s="348"/>
      <c r="BP143" s="348"/>
      <c r="BQ143" s="348"/>
      <c r="BR143" s="348"/>
      <c r="BS143" s="348"/>
      <c r="BT143" s="348"/>
      <c r="BU143" s="348"/>
      <c r="BV143" s="348"/>
    </row>
  </sheetData>
  <mergeCells count="15">
    <mergeCell ref="A1:A2"/>
    <mergeCell ref="AM3:AX3"/>
    <mergeCell ref="AY3:BJ3"/>
    <mergeCell ref="BK3:BV3"/>
    <mergeCell ref="B1:AL1"/>
    <mergeCell ref="C3:N3"/>
    <mergeCell ref="O3:Z3"/>
    <mergeCell ref="AA3:AL3"/>
    <mergeCell ref="B60:Q60"/>
    <mergeCell ref="B61:Q61"/>
    <mergeCell ref="B62:Q62"/>
    <mergeCell ref="B56:Q56"/>
    <mergeCell ref="B57:Q57"/>
    <mergeCell ref="B58:Q58"/>
    <mergeCell ref="B59:Q59"/>
  </mergeCells>
  <phoneticPr fontId="6" type="noConversion"/>
  <hyperlinks>
    <hyperlink ref="A1:A2" location="Contents!A1" display="Table of Contents"/>
  </hyperlinks>
  <pageMargins left="0.25" right="0.25" top="0.25" bottom="0.25" header="0.5" footer="0.5"/>
  <pageSetup scale="70" orientation="portrait" horizontalDpi="300" verticalDpi="300" r:id="rId1"/>
  <headerFooter alignWithMargins="0">
    <oddFooter>&amp;L&amp;"Courier,Bold"&amp;F&amp;C&amp;P&amp;R&amp;"Courier,Bold"&amp;D  &amp;T</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BV143"/>
  <sheetViews>
    <sheetView workbookViewId="0">
      <pane xSplit="2" ySplit="4" topLeftCell="AZ5" activePane="bottomRight" state="frozen"/>
      <selection activeCell="BI18" sqref="BI18"/>
      <selection pane="topRight" activeCell="BI18" sqref="BI18"/>
      <selection pane="bottomLeft" activeCell="BI18" sqref="BI18"/>
      <selection pane="bottomRight" activeCell="B1" sqref="B1:AL1"/>
    </sheetView>
  </sheetViews>
  <sheetFormatPr defaultColWidth="9.5546875" defaultRowHeight="9.6" x14ac:dyDescent="0.15"/>
  <cols>
    <col min="1" max="1" width="13.44140625" style="191" customWidth="1"/>
    <col min="2" max="2" width="36.44140625" style="191" customWidth="1"/>
    <col min="3" max="50" width="6.5546875" style="191" customWidth="1"/>
    <col min="51" max="55" width="6.5546875" style="340" customWidth="1"/>
    <col min="56" max="58" width="6.5546875" style="700" customWidth="1"/>
    <col min="59" max="62" width="6.5546875" style="340" customWidth="1"/>
    <col min="63" max="74" width="6.5546875" style="191" customWidth="1"/>
    <col min="75" max="16384" width="9.5546875" style="191"/>
  </cols>
  <sheetData>
    <row r="1" spans="1:74" ht="13.35" customHeight="1" x14ac:dyDescent="0.25">
      <c r="A1" s="797" t="s">
        <v>809</v>
      </c>
      <c r="B1" s="876" t="s">
        <v>1424</v>
      </c>
      <c r="C1" s="877"/>
      <c r="D1" s="877"/>
      <c r="E1" s="877"/>
      <c r="F1" s="877"/>
      <c r="G1" s="877"/>
      <c r="H1" s="877"/>
      <c r="I1" s="877"/>
      <c r="J1" s="877"/>
      <c r="K1" s="877"/>
      <c r="L1" s="877"/>
      <c r="M1" s="877"/>
      <c r="N1" s="877"/>
      <c r="O1" s="877"/>
      <c r="P1" s="877"/>
      <c r="Q1" s="877"/>
      <c r="R1" s="877"/>
      <c r="S1" s="877"/>
      <c r="T1" s="877"/>
      <c r="U1" s="877"/>
      <c r="V1" s="877"/>
      <c r="W1" s="877"/>
      <c r="X1" s="877"/>
      <c r="Y1" s="877"/>
      <c r="Z1" s="877"/>
      <c r="AA1" s="877"/>
      <c r="AB1" s="877"/>
      <c r="AC1" s="877"/>
      <c r="AD1" s="877"/>
      <c r="AE1" s="877"/>
      <c r="AF1" s="877"/>
      <c r="AG1" s="877"/>
      <c r="AH1" s="877"/>
      <c r="AI1" s="877"/>
      <c r="AJ1" s="877"/>
      <c r="AK1" s="877"/>
      <c r="AL1" s="877"/>
      <c r="AM1" s="197"/>
    </row>
    <row r="2" spans="1:74" s="192" customFormat="1" ht="13.35" customHeight="1" x14ac:dyDescent="0.25">
      <c r="A2" s="798"/>
      <c r="B2" s="747" t="str">
        <f>"U.S. Energy Information Administration  |  Short-Term Energy Outlook  - "&amp;Dates!D1</f>
        <v>U.S. Energy Information Administration  |  Short-Term Energy Outlook  - September 2020</v>
      </c>
      <c r="C2" s="748"/>
      <c r="D2" s="748"/>
      <c r="E2" s="748"/>
      <c r="F2" s="748"/>
      <c r="G2" s="748"/>
      <c r="H2" s="748"/>
      <c r="I2" s="748"/>
      <c r="J2" s="748"/>
      <c r="K2" s="748"/>
      <c r="L2" s="748"/>
      <c r="M2" s="748"/>
      <c r="N2" s="748"/>
      <c r="O2" s="748"/>
      <c r="P2" s="748"/>
      <c r="Q2" s="748"/>
      <c r="R2" s="748"/>
      <c r="S2" s="748"/>
      <c r="T2" s="748"/>
      <c r="U2" s="748"/>
      <c r="V2" s="748"/>
      <c r="W2" s="748"/>
      <c r="X2" s="748"/>
      <c r="Y2" s="748"/>
      <c r="Z2" s="748"/>
      <c r="AA2" s="748"/>
      <c r="AB2" s="748"/>
      <c r="AC2" s="748"/>
      <c r="AD2" s="748"/>
      <c r="AE2" s="748"/>
      <c r="AF2" s="748"/>
      <c r="AG2" s="748"/>
      <c r="AH2" s="748"/>
      <c r="AI2" s="748"/>
      <c r="AJ2" s="748"/>
      <c r="AK2" s="748"/>
      <c r="AL2" s="748"/>
      <c r="AM2" s="296"/>
      <c r="AY2" s="497"/>
      <c r="AZ2" s="497"/>
      <c r="BA2" s="497"/>
      <c r="BB2" s="497"/>
      <c r="BC2" s="497"/>
      <c r="BD2" s="701"/>
      <c r="BE2" s="701"/>
      <c r="BF2" s="701"/>
      <c r="BG2" s="497"/>
      <c r="BH2" s="497"/>
      <c r="BI2" s="497"/>
      <c r="BJ2" s="497"/>
    </row>
    <row r="3" spans="1:74" s="12" customFormat="1" ht="13.2" x14ac:dyDescent="0.25">
      <c r="A3" s="14"/>
      <c r="B3" s="15"/>
      <c r="C3" s="806">
        <f>Dates!D3</f>
        <v>2016</v>
      </c>
      <c r="D3" s="802"/>
      <c r="E3" s="802"/>
      <c r="F3" s="802"/>
      <c r="G3" s="802"/>
      <c r="H3" s="802"/>
      <c r="I3" s="802"/>
      <c r="J3" s="802"/>
      <c r="K3" s="802"/>
      <c r="L3" s="802"/>
      <c r="M3" s="802"/>
      <c r="N3" s="803"/>
      <c r="O3" s="806">
        <f>C3+1</f>
        <v>2017</v>
      </c>
      <c r="P3" s="807"/>
      <c r="Q3" s="807"/>
      <c r="R3" s="807"/>
      <c r="S3" s="807"/>
      <c r="T3" s="807"/>
      <c r="U3" s="807"/>
      <c r="V3" s="807"/>
      <c r="W3" s="807"/>
      <c r="X3" s="802"/>
      <c r="Y3" s="802"/>
      <c r="Z3" s="803"/>
      <c r="AA3" s="799">
        <f>O3+1</f>
        <v>2018</v>
      </c>
      <c r="AB3" s="802"/>
      <c r="AC3" s="802"/>
      <c r="AD3" s="802"/>
      <c r="AE3" s="802"/>
      <c r="AF3" s="802"/>
      <c r="AG3" s="802"/>
      <c r="AH3" s="802"/>
      <c r="AI3" s="802"/>
      <c r="AJ3" s="802"/>
      <c r="AK3" s="802"/>
      <c r="AL3" s="803"/>
      <c r="AM3" s="799">
        <f>AA3+1</f>
        <v>2019</v>
      </c>
      <c r="AN3" s="802"/>
      <c r="AO3" s="802"/>
      <c r="AP3" s="802"/>
      <c r="AQ3" s="802"/>
      <c r="AR3" s="802"/>
      <c r="AS3" s="802"/>
      <c r="AT3" s="802"/>
      <c r="AU3" s="802"/>
      <c r="AV3" s="802"/>
      <c r="AW3" s="802"/>
      <c r="AX3" s="803"/>
      <c r="AY3" s="799">
        <f>AM3+1</f>
        <v>2020</v>
      </c>
      <c r="AZ3" s="800"/>
      <c r="BA3" s="800"/>
      <c r="BB3" s="800"/>
      <c r="BC3" s="800"/>
      <c r="BD3" s="800"/>
      <c r="BE3" s="800"/>
      <c r="BF3" s="800"/>
      <c r="BG3" s="800"/>
      <c r="BH3" s="800"/>
      <c r="BI3" s="800"/>
      <c r="BJ3" s="801"/>
      <c r="BK3" s="799">
        <f>AY3+1</f>
        <v>2021</v>
      </c>
      <c r="BL3" s="802"/>
      <c r="BM3" s="802"/>
      <c r="BN3" s="802"/>
      <c r="BO3" s="802"/>
      <c r="BP3" s="802"/>
      <c r="BQ3" s="802"/>
      <c r="BR3" s="802"/>
      <c r="BS3" s="802"/>
      <c r="BT3" s="802"/>
      <c r="BU3" s="802"/>
      <c r="BV3" s="803"/>
    </row>
    <row r="4" spans="1:74" s="12" customFormat="1" ht="10.199999999999999" x14ac:dyDescent="0.2">
      <c r="A4" s="16"/>
      <c r="B4" s="17"/>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A5" s="8"/>
      <c r="B5" s="193" t="s">
        <v>159</v>
      </c>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493"/>
      <c r="AZ5" s="493"/>
      <c r="BA5" s="493"/>
      <c r="BB5" s="699"/>
      <c r="BC5" s="493"/>
      <c r="BD5" s="194"/>
      <c r="BE5" s="194"/>
      <c r="BF5" s="194"/>
      <c r="BG5" s="194"/>
      <c r="BH5" s="194"/>
      <c r="BI5" s="194"/>
      <c r="BJ5" s="493"/>
      <c r="BK5" s="411"/>
      <c r="BL5" s="411"/>
      <c r="BM5" s="411"/>
      <c r="BN5" s="411"/>
      <c r="BO5" s="411"/>
      <c r="BP5" s="411"/>
      <c r="BQ5" s="411"/>
      <c r="BR5" s="411"/>
      <c r="BS5" s="411"/>
      <c r="BT5" s="411"/>
      <c r="BU5" s="411"/>
      <c r="BV5" s="411"/>
    </row>
    <row r="6" spans="1:74" ht="11.1" customHeight="1" x14ac:dyDescent="0.2">
      <c r="A6" s="9" t="s">
        <v>68</v>
      </c>
      <c r="B6" s="211" t="s">
        <v>444</v>
      </c>
      <c r="C6" s="273">
        <v>1127.2976292999999</v>
      </c>
      <c r="D6" s="273">
        <v>956.97687638000002</v>
      </c>
      <c r="E6" s="273">
        <v>754.35315756</v>
      </c>
      <c r="F6" s="273">
        <v>604.90380193999999</v>
      </c>
      <c r="G6" s="273">
        <v>251.30765584</v>
      </c>
      <c r="H6" s="273">
        <v>44.573177733999998</v>
      </c>
      <c r="I6" s="273">
        <v>3.5545147235000001</v>
      </c>
      <c r="J6" s="273">
        <v>4.9864141383999998</v>
      </c>
      <c r="K6" s="273">
        <v>67.134750479999994</v>
      </c>
      <c r="L6" s="273">
        <v>388.50780072999999</v>
      </c>
      <c r="M6" s="273">
        <v>672.28301798999996</v>
      </c>
      <c r="N6" s="273">
        <v>1053.6140558</v>
      </c>
      <c r="O6" s="273">
        <v>1038.1473851000001</v>
      </c>
      <c r="P6" s="273">
        <v>905.58998119</v>
      </c>
      <c r="Q6" s="273">
        <v>1036.2684675999999</v>
      </c>
      <c r="R6" s="273">
        <v>450.72762646000001</v>
      </c>
      <c r="S6" s="273">
        <v>302.87411710999999</v>
      </c>
      <c r="T6" s="273">
        <v>44.952610571000001</v>
      </c>
      <c r="U6" s="273">
        <v>9.0508460967000008</v>
      </c>
      <c r="V6" s="273">
        <v>26.360549907999999</v>
      </c>
      <c r="W6" s="273">
        <v>57.363930447999998</v>
      </c>
      <c r="X6" s="273">
        <v>237.11339118000001</v>
      </c>
      <c r="Y6" s="273">
        <v>742.59451635999994</v>
      </c>
      <c r="Z6" s="273">
        <v>1186.3428280999999</v>
      </c>
      <c r="AA6" s="273">
        <v>1257.251651</v>
      </c>
      <c r="AB6" s="273">
        <v>868.79101378999997</v>
      </c>
      <c r="AC6" s="273">
        <v>925.79754163999996</v>
      </c>
      <c r="AD6" s="273">
        <v>674.12229289000004</v>
      </c>
      <c r="AE6" s="273">
        <v>167.91563400000001</v>
      </c>
      <c r="AF6" s="273">
        <v>61.279761471</v>
      </c>
      <c r="AG6" s="273">
        <v>1.5972992102000001</v>
      </c>
      <c r="AH6" s="273">
        <v>3.4257769479000002</v>
      </c>
      <c r="AI6" s="273">
        <v>64.544838342999995</v>
      </c>
      <c r="AJ6" s="273">
        <v>456.77417994000001</v>
      </c>
      <c r="AK6" s="273">
        <v>818.37127708000003</v>
      </c>
      <c r="AL6" s="273">
        <v>1026.4110465000001</v>
      </c>
      <c r="AM6" s="273">
        <v>1220.7469105</v>
      </c>
      <c r="AN6" s="273">
        <v>1028.8391323000001</v>
      </c>
      <c r="AO6" s="273">
        <v>975.19323655000005</v>
      </c>
      <c r="AP6" s="273">
        <v>525.30844596999998</v>
      </c>
      <c r="AQ6" s="273">
        <v>311.03196481999998</v>
      </c>
      <c r="AR6" s="273">
        <v>53.612796695</v>
      </c>
      <c r="AS6" s="273">
        <v>1.6840585860999999</v>
      </c>
      <c r="AT6" s="273">
        <v>15.717516313000001</v>
      </c>
      <c r="AU6" s="273">
        <v>117.69355367</v>
      </c>
      <c r="AV6" s="273">
        <v>386.97495322999998</v>
      </c>
      <c r="AW6" s="273">
        <v>828.23179283000002</v>
      </c>
      <c r="AX6" s="273">
        <v>1058.3897497999999</v>
      </c>
      <c r="AY6" s="273">
        <v>1030.7329253</v>
      </c>
      <c r="AZ6" s="273">
        <v>922.43150355</v>
      </c>
      <c r="BA6" s="273">
        <v>776.35795283000004</v>
      </c>
      <c r="BB6" s="273">
        <v>654.35149862000003</v>
      </c>
      <c r="BC6" s="273">
        <v>286.95543013000002</v>
      </c>
      <c r="BD6" s="273">
        <v>27.420493766</v>
      </c>
      <c r="BE6" s="273">
        <v>1.0834672608</v>
      </c>
      <c r="BF6" s="273">
        <v>14.048358069000001</v>
      </c>
      <c r="BG6" s="334">
        <v>104.86069365</v>
      </c>
      <c r="BH6" s="334">
        <v>425.26516950000001</v>
      </c>
      <c r="BI6" s="334">
        <v>691.46093461999999</v>
      </c>
      <c r="BJ6" s="334">
        <v>1038.773455</v>
      </c>
      <c r="BK6" s="334">
        <v>1218.4660922999999</v>
      </c>
      <c r="BL6" s="334">
        <v>1029.6040777000001</v>
      </c>
      <c r="BM6" s="334">
        <v>916.73150094000005</v>
      </c>
      <c r="BN6" s="334">
        <v>563.42359056999999</v>
      </c>
      <c r="BO6" s="334">
        <v>268.29580369000001</v>
      </c>
      <c r="BP6" s="334">
        <v>45.697541403000002</v>
      </c>
      <c r="BQ6" s="334">
        <v>6.5759534585999999</v>
      </c>
      <c r="BR6" s="334">
        <v>14.984947434</v>
      </c>
      <c r="BS6" s="334">
        <v>103.84904233</v>
      </c>
      <c r="BT6" s="334">
        <v>414.68281904999998</v>
      </c>
      <c r="BU6" s="334">
        <v>674.52923453999995</v>
      </c>
      <c r="BV6" s="334">
        <v>1038.8363569000001</v>
      </c>
    </row>
    <row r="7" spans="1:74" ht="11.1" customHeight="1" x14ac:dyDescent="0.2">
      <c r="A7" s="9" t="s">
        <v>70</v>
      </c>
      <c r="B7" s="211" t="s">
        <v>477</v>
      </c>
      <c r="C7" s="273">
        <v>1118.8773461000001</v>
      </c>
      <c r="D7" s="273">
        <v>901.18439934000003</v>
      </c>
      <c r="E7" s="273">
        <v>643.78678146000004</v>
      </c>
      <c r="F7" s="273">
        <v>514.94648930999995</v>
      </c>
      <c r="G7" s="273">
        <v>212.96860602999999</v>
      </c>
      <c r="H7" s="273">
        <v>21.91237392</v>
      </c>
      <c r="I7" s="273">
        <v>0.78505994628999998</v>
      </c>
      <c r="J7" s="273">
        <v>1.2603636378</v>
      </c>
      <c r="K7" s="273">
        <v>37.617954890999997</v>
      </c>
      <c r="L7" s="273">
        <v>316.02671916000003</v>
      </c>
      <c r="M7" s="273">
        <v>608.93148421000001</v>
      </c>
      <c r="N7" s="273">
        <v>974.72888126999999</v>
      </c>
      <c r="O7" s="273">
        <v>971.34307178999995</v>
      </c>
      <c r="P7" s="273">
        <v>779.59307798999998</v>
      </c>
      <c r="Q7" s="273">
        <v>908.48783369</v>
      </c>
      <c r="R7" s="273">
        <v>341.19451953999999</v>
      </c>
      <c r="S7" s="273">
        <v>233.02246468000001</v>
      </c>
      <c r="T7" s="273">
        <v>24.920794062999999</v>
      </c>
      <c r="U7" s="273">
        <v>3.3030548725000002</v>
      </c>
      <c r="V7" s="273">
        <v>17.699183133999998</v>
      </c>
      <c r="W7" s="273">
        <v>52.543884339999998</v>
      </c>
      <c r="X7" s="273">
        <v>214.99861722</v>
      </c>
      <c r="Y7" s="273">
        <v>698.89112102000001</v>
      </c>
      <c r="Z7" s="273">
        <v>1086.5318235</v>
      </c>
      <c r="AA7" s="273">
        <v>1216.1390744</v>
      </c>
      <c r="AB7" s="273">
        <v>812.55652271999998</v>
      </c>
      <c r="AC7" s="273">
        <v>913.40172476999999</v>
      </c>
      <c r="AD7" s="273">
        <v>617.79715569999996</v>
      </c>
      <c r="AE7" s="273">
        <v>108.0399583</v>
      </c>
      <c r="AF7" s="273">
        <v>28.751602341000002</v>
      </c>
      <c r="AG7" s="273">
        <v>0.78435643221999996</v>
      </c>
      <c r="AH7" s="273">
        <v>2.3529884592000001</v>
      </c>
      <c r="AI7" s="273">
        <v>33.662503653000002</v>
      </c>
      <c r="AJ7" s="273">
        <v>354.89705765000002</v>
      </c>
      <c r="AK7" s="273">
        <v>766.12538586000005</v>
      </c>
      <c r="AL7" s="273">
        <v>929.36532339999997</v>
      </c>
      <c r="AM7" s="273">
        <v>1152.9162630999999</v>
      </c>
      <c r="AN7" s="273">
        <v>942.30181055000003</v>
      </c>
      <c r="AO7" s="273">
        <v>890.38047884000002</v>
      </c>
      <c r="AP7" s="273">
        <v>413.47304499000001</v>
      </c>
      <c r="AQ7" s="273">
        <v>188.33148652</v>
      </c>
      <c r="AR7" s="273">
        <v>31.856763579999999</v>
      </c>
      <c r="AS7" s="273">
        <v>0.78403197566000005</v>
      </c>
      <c r="AT7" s="273">
        <v>9.4192854465</v>
      </c>
      <c r="AU7" s="273">
        <v>57.692021388000001</v>
      </c>
      <c r="AV7" s="273">
        <v>303.17098757000002</v>
      </c>
      <c r="AW7" s="273">
        <v>788.31234929000004</v>
      </c>
      <c r="AX7" s="273">
        <v>970.72609496999996</v>
      </c>
      <c r="AY7" s="273">
        <v>957.86300277999999</v>
      </c>
      <c r="AZ7" s="273">
        <v>842.72589247999997</v>
      </c>
      <c r="BA7" s="273">
        <v>669.57053425000004</v>
      </c>
      <c r="BB7" s="273">
        <v>565.82735865999996</v>
      </c>
      <c r="BC7" s="273">
        <v>250.34857822999999</v>
      </c>
      <c r="BD7" s="273">
        <v>17.794768264999998</v>
      </c>
      <c r="BE7" s="273">
        <v>0</v>
      </c>
      <c r="BF7" s="273">
        <v>1.7821373427</v>
      </c>
      <c r="BG7" s="334">
        <v>71.330447230000004</v>
      </c>
      <c r="BH7" s="334">
        <v>362.90022089000001</v>
      </c>
      <c r="BI7" s="334">
        <v>636.51657140999998</v>
      </c>
      <c r="BJ7" s="334">
        <v>980.42544147000001</v>
      </c>
      <c r="BK7" s="334">
        <v>1137.5941989</v>
      </c>
      <c r="BL7" s="334">
        <v>962.96924407999995</v>
      </c>
      <c r="BM7" s="334">
        <v>832.26479575999997</v>
      </c>
      <c r="BN7" s="334">
        <v>476.31701985000001</v>
      </c>
      <c r="BO7" s="334">
        <v>202.19682596999999</v>
      </c>
      <c r="BP7" s="334">
        <v>21.637030746000001</v>
      </c>
      <c r="BQ7" s="334">
        <v>0.68758650200000004</v>
      </c>
      <c r="BR7" s="334">
        <v>5.3494656694999998</v>
      </c>
      <c r="BS7" s="334">
        <v>69.000453090999997</v>
      </c>
      <c r="BT7" s="334">
        <v>350.02255703999998</v>
      </c>
      <c r="BU7" s="334">
        <v>616.98038821</v>
      </c>
      <c r="BV7" s="334">
        <v>980.37061653000001</v>
      </c>
    </row>
    <row r="8" spans="1:74" ht="11.1" customHeight="1" x14ac:dyDescent="0.2">
      <c r="A8" s="9" t="s">
        <v>71</v>
      </c>
      <c r="B8" s="211" t="s">
        <v>445</v>
      </c>
      <c r="C8" s="273">
        <v>1241.2723954999999</v>
      </c>
      <c r="D8" s="273">
        <v>956.82015648000004</v>
      </c>
      <c r="E8" s="273">
        <v>669.56991037</v>
      </c>
      <c r="F8" s="273">
        <v>506.15814947000001</v>
      </c>
      <c r="G8" s="273">
        <v>221.31432658</v>
      </c>
      <c r="H8" s="273">
        <v>25.174953256999999</v>
      </c>
      <c r="I8" s="273">
        <v>2.4540529661999999</v>
      </c>
      <c r="J8" s="273">
        <v>5.0062573167000002</v>
      </c>
      <c r="K8" s="273">
        <v>40.428576997</v>
      </c>
      <c r="L8" s="273">
        <v>285.05176394</v>
      </c>
      <c r="M8" s="273">
        <v>581.85484626000004</v>
      </c>
      <c r="N8" s="273">
        <v>1165.6552515000001</v>
      </c>
      <c r="O8" s="273">
        <v>1081.3478018999999</v>
      </c>
      <c r="P8" s="273">
        <v>775.54421665999996</v>
      </c>
      <c r="Q8" s="273">
        <v>833.70936053000003</v>
      </c>
      <c r="R8" s="273">
        <v>349.25666423000001</v>
      </c>
      <c r="S8" s="273">
        <v>249.3579637</v>
      </c>
      <c r="T8" s="273">
        <v>27.283299362000001</v>
      </c>
      <c r="U8" s="273">
        <v>6.4603954760000004</v>
      </c>
      <c r="V8" s="273">
        <v>34.049286223999999</v>
      </c>
      <c r="W8" s="273">
        <v>64.340142123000007</v>
      </c>
      <c r="X8" s="273">
        <v>291.13508632000003</v>
      </c>
      <c r="Y8" s="273">
        <v>773.39836926999999</v>
      </c>
      <c r="Z8" s="273">
        <v>1197.4783783</v>
      </c>
      <c r="AA8" s="273">
        <v>1307.5342588000001</v>
      </c>
      <c r="AB8" s="273">
        <v>980.39861587999997</v>
      </c>
      <c r="AC8" s="273">
        <v>922.36564792000001</v>
      </c>
      <c r="AD8" s="273">
        <v>703.22762197999998</v>
      </c>
      <c r="AE8" s="273">
        <v>99.074602440000007</v>
      </c>
      <c r="AF8" s="273">
        <v>23.939604519</v>
      </c>
      <c r="AG8" s="273">
        <v>4.0808698784999997</v>
      </c>
      <c r="AH8" s="273">
        <v>8.0720201446999997</v>
      </c>
      <c r="AI8" s="273">
        <v>48.168066248999999</v>
      </c>
      <c r="AJ8" s="273">
        <v>419.98130429999998</v>
      </c>
      <c r="AK8" s="273">
        <v>913.16551948999995</v>
      </c>
      <c r="AL8" s="273">
        <v>1003.3081782</v>
      </c>
      <c r="AM8" s="273">
        <v>1302.113683</v>
      </c>
      <c r="AN8" s="273">
        <v>1062.7225794999999</v>
      </c>
      <c r="AO8" s="273">
        <v>960.97785193000004</v>
      </c>
      <c r="AP8" s="273">
        <v>475.75974002999999</v>
      </c>
      <c r="AQ8" s="273">
        <v>236.11175693999999</v>
      </c>
      <c r="AR8" s="273">
        <v>48.590126415</v>
      </c>
      <c r="AS8" s="273">
        <v>1.3838839341</v>
      </c>
      <c r="AT8" s="273">
        <v>20.63956005</v>
      </c>
      <c r="AU8" s="273">
        <v>42.093232458000003</v>
      </c>
      <c r="AV8" s="273">
        <v>389.66607988999999</v>
      </c>
      <c r="AW8" s="273">
        <v>911.68692397999996</v>
      </c>
      <c r="AX8" s="273">
        <v>975.21945172999995</v>
      </c>
      <c r="AY8" s="273">
        <v>1051.5151453999999</v>
      </c>
      <c r="AZ8" s="273">
        <v>1001.356863</v>
      </c>
      <c r="BA8" s="273">
        <v>734.25547227000004</v>
      </c>
      <c r="BB8" s="273">
        <v>565.92942362999997</v>
      </c>
      <c r="BC8" s="273">
        <v>256.33218004000003</v>
      </c>
      <c r="BD8" s="273">
        <v>22.677263674999999</v>
      </c>
      <c r="BE8" s="273">
        <v>0.71052850603999995</v>
      </c>
      <c r="BF8" s="273">
        <v>17.491958537999999</v>
      </c>
      <c r="BG8" s="334">
        <v>97.098041980000005</v>
      </c>
      <c r="BH8" s="334">
        <v>397.45890402999999</v>
      </c>
      <c r="BI8" s="334">
        <v>722.86055804</v>
      </c>
      <c r="BJ8" s="334">
        <v>1122.5138379</v>
      </c>
      <c r="BK8" s="334">
        <v>1258.9414566</v>
      </c>
      <c r="BL8" s="334">
        <v>1041.1672297</v>
      </c>
      <c r="BM8" s="334">
        <v>852.89713029999996</v>
      </c>
      <c r="BN8" s="334">
        <v>474.48113376999999</v>
      </c>
      <c r="BO8" s="334">
        <v>220.71248725000001</v>
      </c>
      <c r="BP8" s="334">
        <v>36.990171132999997</v>
      </c>
      <c r="BQ8" s="334">
        <v>6.4458737903000003</v>
      </c>
      <c r="BR8" s="334">
        <v>17.738734194999999</v>
      </c>
      <c r="BS8" s="334">
        <v>96.920851842999994</v>
      </c>
      <c r="BT8" s="334">
        <v>394.21181481000002</v>
      </c>
      <c r="BU8" s="334">
        <v>718.07685675000005</v>
      </c>
      <c r="BV8" s="334">
        <v>1122.4996699000001</v>
      </c>
    </row>
    <row r="9" spans="1:74" ht="11.1" customHeight="1" x14ac:dyDescent="0.2">
      <c r="A9" s="9" t="s">
        <v>72</v>
      </c>
      <c r="B9" s="211" t="s">
        <v>446</v>
      </c>
      <c r="C9" s="273">
        <v>1303.4490172000001</v>
      </c>
      <c r="D9" s="273">
        <v>937.01250091999998</v>
      </c>
      <c r="E9" s="273">
        <v>653.41255163999995</v>
      </c>
      <c r="F9" s="273">
        <v>424.31199147000001</v>
      </c>
      <c r="G9" s="273">
        <v>207.20453157</v>
      </c>
      <c r="H9" s="273">
        <v>27.430310747</v>
      </c>
      <c r="I9" s="273">
        <v>10.999588761</v>
      </c>
      <c r="J9" s="273">
        <v>16.838577209</v>
      </c>
      <c r="K9" s="273">
        <v>75.234467656999996</v>
      </c>
      <c r="L9" s="273">
        <v>304.17025694</v>
      </c>
      <c r="M9" s="273">
        <v>568.85221958</v>
      </c>
      <c r="N9" s="273">
        <v>1257.1759198</v>
      </c>
      <c r="O9" s="273">
        <v>1211.8917948000001</v>
      </c>
      <c r="P9" s="273">
        <v>817.66385219999995</v>
      </c>
      <c r="Q9" s="273">
        <v>782.60446640999999</v>
      </c>
      <c r="R9" s="273">
        <v>400.58756664999999</v>
      </c>
      <c r="S9" s="273">
        <v>224.22554269</v>
      </c>
      <c r="T9" s="273">
        <v>36.813575634000003</v>
      </c>
      <c r="U9" s="273">
        <v>10.01395499</v>
      </c>
      <c r="V9" s="273">
        <v>49.564362637999999</v>
      </c>
      <c r="W9" s="273">
        <v>77.671587062</v>
      </c>
      <c r="X9" s="273">
        <v>362.66167301000002</v>
      </c>
      <c r="Y9" s="273">
        <v>805.30791592000003</v>
      </c>
      <c r="Z9" s="273">
        <v>1218.2183954</v>
      </c>
      <c r="AA9" s="273">
        <v>1373.2531163000001</v>
      </c>
      <c r="AB9" s="273">
        <v>1177.9486942000001</v>
      </c>
      <c r="AC9" s="273">
        <v>868.54553793000002</v>
      </c>
      <c r="AD9" s="273">
        <v>715.70880475000001</v>
      </c>
      <c r="AE9" s="273">
        <v>88.763918239999995</v>
      </c>
      <c r="AF9" s="273">
        <v>23.149335439000001</v>
      </c>
      <c r="AG9" s="273">
        <v>10.950556937</v>
      </c>
      <c r="AH9" s="273">
        <v>19.504757684000001</v>
      </c>
      <c r="AI9" s="273">
        <v>90.337468826999995</v>
      </c>
      <c r="AJ9" s="273">
        <v>493.79838976000002</v>
      </c>
      <c r="AK9" s="273">
        <v>1002.8242863</v>
      </c>
      <c r="AL9" s="273">
        <v>1103.1591459000001</v>
      </c>
      <c r="AM9" s="273">
        <v>1359.6565894</v>
      </c>
      <c r="AN9" s="273">
        <v>1283.9192075000001</v>
      </c>
      <c r="AO9" s="273">
        <v>1001.16679</v>
      </c>
      <c r="AP9" s="273">
        <v>453.97093487000001</v>
      </c>
      <c r="AQ9" s="273">
        <v>272.49828600000001</v>
      </c>
      <c r="AR9" s="273">
        <v>45.397852575999998</v>
      </c>
      <c r="AS9" s="273">
        <v>7.8789646006999998</v>
      </c>
      <c r="AT9" s="273">
        <v>32.112251057000002</v>
      </c>
      <c r="AU9" s="273">
        <v>67.260562671000002</v>
      </c>
      <c r="AV9" s="273">
        <v>524.60006109000005</v>
      </c>
      <c r="AW9" s="273">
        <v>924.59557518999998</v>
      </c>
      <c r="AX9" s="273">
        <v>1096.9327589</v>
      </c>
      <c r="AY9" s="273">
        <v>1223.6260451999999</v>
      </c>
      <c r="AZ9" s="273">
        <v>1070.8710384000001</v>
      </c>
      <c r="BA9" s="273">
        <v>744.85303685999997</v>
      </c>
      <c r="BB9" s="273">
        <v>533.55381875</v>
      </c>
      <c r="BC9" s="273">
        <v>244.62609681999999</v>
      </c>
      <c r="BD9" s="273">
        <v>20.548291888000001</v>
      </c>
      <c r="BE9" s="273">
        <v>5.9051126873999999</v>
      </c>
      <c r="BF9" s="273">
        <v>13.432061892</v>
      </c>
      <c r="BG9" s="334">
        <v>118.34723941999999</v>
      </c>
      <c r="BH9" s="334">
        <v>407.80237271999999</v>
      </c>
      <c r="BI9" s="334">
        <v>790.94328974999996</v>
      </c>
      <c r="BJ9" s="334">
        <v>1219.6739327</v>
      </c>
      <c r="BK9" s="334">
        <v>1325.2835534999999</v>
      </c>
      <c r="BL9" s="334">
        <v>1067.1610828</v>
      </c>
      <c r="BM9" s="334">
        <v>845.39015367000002</v>
      </c>
      <c r="BN9" s="334">
        <v>455.74546342999997</v>
      </c>
      <c r="BO9" s="334">
        <v>201.70448902999999</v>
      </c>
      <c r="BP9" s="334">
        <v>45.211381119000002</v>
      </c>
      <c r="BQ9" s="334">
        <v>13.589661573000001</v>
      </c>
      <c r="BR9" s="334">
        <v>23.829153553000001</v>
      </c>
      <c r="BS9" s="334">
        <v>120.5618439</v>
      </c>
      <c r="BT9" s="334">
        <v>414.29121142000002</v>
      </c>
      <c r="BU9" s="334">
        <v>797.91957359000003</v>
      </c>
      <c r="BV9" s="334">
        <v>1219.8502905</v>
      </c>
    </row>
    <row r="10" spans="1:74" ht="11.1" customHeight="1" x14ac:dyDescent="0.2">
      <c r="A10" s="9" t="s">
        <v>339</v>
      </c>
      <c r="B10" s="211" t="s">
        <v>478</v>
      </c>
      <c r="C10" s="273">
        <v>659.02179864000004</v>
      </c>
      <c r="D10" s="273">
        <v>482.97447385999999</v>
      </c>
      <c r="E10" s="273">
        <v>239.65543162</v>
      </c>
      <c r="F10" s="273">
        <v>151.90104625999999</v>
      </c>
      <c r="G10" s="273">
        <v>58.186096462999998</v>
      </c>
      <c r="H10" s="273">
        <v>0.97355256309000004</v>
      </c>
      <c r="I10" s="273">
        <v>2.8561609500000001E-2</v>
      </c>
      <c r="J10" s="273">
        <v>0</v>
      </c>
      <c r="K10" s="273">
        <v>2.4392304449000002</v>
      </c>
      <c r="L10" s="273">
        <v>91.285859060999996</v>
      </c>
      <c r="M10" s="273">
        <v>290.48172703</v>
      </c>
      <c r="N10" s="273">
        <v>479.36286927999998</v>
      </c>
      <c r="O10" s="273">
        <v>476.49310747999999</v>
      </c>
      <c r="P10" s="273">
        <v>322.72287540999997</v>
      </c>
      <c r="Q10" s="273">
        <v>346.31594589000002</v>
      </c>
      <c r="R10" s="273">
        <v>76.038120672999995</v>
      </c>
      <c r="S10" s="273">
        <v>46.724509945999998</v>
      </c>
      <c r="T10" s="273">
        <v>2.3717221893999998</v>
      </c>
      <c r="U10" s="273">
        <v>5.6083089847000001E-2</v>
      </c>
      <c r="V10" s="273">
        <v>0.55989778706000004</v>
      </c>
      <c r="W10" s="273">
        <v>14.235034897</v>
      </c>
      <c r="X10" s="273">
        <v>89.022103865000005</v>
      </c>
      <c r="Y10" s="273">
        <v>321.86901093</v>
      </c>
      <c r="Z10" s="273">
        <v>535.20921958999998</v>
      </c>
      <c r="AA10" s="273">
        <v>699.87482253999997</v>
      </c>
      <c r="AB10" s="273">
        <v>306.98268985999999</v>
      </c>
      <c r="AC10" s="273">
        <v>434.57475317000001</v>
      </c>
      <c r="AD10" s="273">
        <v>204.88115194</v>
      </c>
      <c r="AE10" s="273">
        <v>11.911802927</v>
      </c>
      <c r="AF10" s="273">
        <v>0.96437988977</v>
      </c>
      <c r="AG10" s="273">
        <v>5.5180879070000001E-2</v>
      </c>
      <c r="AH10" s="273">
        <v>5.5110860503999999E-2</v>
      </c>
      <c r="AI10" s="273">
        <v>1.9619319851000001</v>
      </c>
      <c r="AJ10" s="273">
        <v>98.734211125000002</v>
      </c>
      <c r="AK10" s="273">
        <v>379.51181043000003</v>
      </c>
      <c r="AL10" s="273">
        <v>487.93203099999999</v>
      </c>
      <c r="AM10" s="273">
        <v>581.98527458000001</v>
      </c>
      <c r="AN10" s="273">
        <v>376.55414435</v>
      </c>
      <c r="AO10" s="273">
        <v>375.55012929999998</v>
      </c>
      <c r="AP10" s="273">
        <v>109.43509188</v>
      </c>
      <c r="AQ10" s="273">
        <v>15.581142010000001</v>
      </c>
      <c r="AR10" s="273">
        <v>2.2671720233000001</v>
      </c>
      <c r="AS10" s="273">
        <v>2.7175879970999999E-2</v>
      </c>
      <c r="AT10" s="273">
        <v>8.1430251475999998E-2</v>
      </c>
      <c r="AU10" s="273">
        <v>1.9072005957</v>
      </c>
      <c r="AV10" s="273">
        <v>77.065181785999997</v>
      </c>
      <c r="AW10" s="273">
        <v>391.82131079999999</v>
      </c>
      <c r="AX10" s="273">
        <v>450.02297508999999</v>
      </c>
      <c r="AY10" s="273">
        <v>481.02456840000002</v>
      </c>
      <c r="AZ10" s="273">
        <v>396.09967258</v>
      </c>
      <c r="BA10" s="273">
        <v>230.75168256000001</v>
      </c>
      <c r="BB10" s="273">
        <v>175.84300529999999</v>
      </c>
      <c r="BC10" s="273">
        <v>73.273998457000005</v>
      </c>
      <c r="BD10" s="273">
        <v>2.1100580779999998</v>
      </c>
      <c r="BE10" s="273">
        <v>0</v>
      </c>
      <c r="BF10" s="273">
        <v>0</v>
      </c>
      <c r="BG10" s="334">
        <v>12.23573187</v>
      </c>
      <c r="BH10" s="334">
        <v>131.34013639</v>
      </c>
      <c r="BI10" s="334">
        <v>305.62728623999999</v>
      </c>
      <c r="BJ10" s="334">
        <v>524.95743479999999</v>
      </c>
      <c r="BK10" s="334">
        <v>593.97549316000004</v>
      </c>
      <c r="BL10" s="334">
        <v>456.13666311999998</v>
      </c>
      <c r="BM10" s="334">
        <v>334.86489547999997</v>
      </c>
      <c r="BN10" s="334">
        <v>142.50725503000001</v>
      </c>
      <c r="BO10" s="334">
        <v>40.028461421999999</v>
      </c>
      <c r="BP10" s="334">
        <v>1.3335372834999999</v>
      </c>
      <c r="BQ10" s="334">
        <v>7.9840268901999994E-2</v>
      </c>
      <c r="BR10" s="334">
        <v>0.29962248499999999</v>
      </c>
      <c r="BS10" s="334">
        <v>10.597854218</v>
      </c>
      <c r="BT10" s="334">
        <v>119.1815282</v>
      </c>
      <c r="BU10" s="334">
        <v>279.47024987999998</v>
      </c>
      <c r="BV10" s="334">
        <v>524.3704133</v>
      </c>
    </row>
    <row r="11" spans="1:74" ht="11.1" customHeight="1" x14ac:dyDescent="0.2">
      <c r="A11" s="9" t="s">
        <v>73</v>
      </c>
      <c r="B11" s="211" t="s">
        <v>448</v>
      </c>
      <c r="C11" s="273">
        <v>857.15185666000002</v>
      </c>
      <c r="D11" s="273">
        <v>573.49387727999999</v>
      </c>
      <c r="E11" s="273">
        <v>324.01819741999998</v>
      </c>
      <c r="F11" s="273">
        <v>162.23139927</v>
      </c>
      <c r="G11" s="273">
        <v>71.285197027999999</v>
      </c>
      <c r="H11" s="273">
        <v>0.23435432567</v>
      </c>
      <c r="I11" s="273">
        <v>0</v>
      </c>
      <c r="J11" s="273">
        <v>0</v>
      </c>
      <c r="K11" s="273">
        <v>5.0374033578999997</v>
      </c>
      <c r="L11" s="273">
        <v>89.047287062999999</v>
      </c>
      <c r="M11" s="273">
        <v>339.21074340000001</v>
      </c>
      <c r="N11" s="273">
        <v>671.92157781000003</v>
      </c>
      <c r="O11" s="273">
        <v>578.97377268000002</v>
      </c>
      <c r="P11" s="273">
        <v>408.68600500999997</v>
      </c>
      <c r="Q11" s="273">
        <v>387.20266769</v>
      </c>
      <c r="R11" s="273">
        <v>93.680431131000006</v>
      </c>
      <c r="S11" s="273">
        <v>56.856188111999998</v>
      </c>
      <c r="T11" s="273">
        <v>3.3983698545999999</v>
      </c>
      <c r="U11" s="273">
        <v>0</v>
      </c>
      <c r="V11" s="273">
        <v>0.70173681001999999</v>
      </c>
      <c r="W11" s="273">
        <v>23.919809988000001</v>
      </c>
      <c r="X11" s="273">
        <v>145.70462325</v>
      </c>
      <c r="Y11" s="273">
        <v>407.23652497</v>
      </c>
      <c r="Z11" s="273">
        <v>729.02547229000004</v>
      </c>
      <c r="AA11" s="273">
        <v>928.77936345000001</v>
      </c>
      <c r="AB11" s="273">
        <v>410.36937827000003</v>
      </c>
      <c r="AC11" s="273">
        <v>474.28955723000001</v>
      </c>
      <c r="AD11" s="273">
        <v>311.80788475000003</v>
      </c>
      <c r="AE11" s="273">
        <v>13.067346391999999</v>
      </c>
      <c r="AF11" s="273">
        <v>0</v>
      </c>
      <c r="AG11" s="273">
        <v>0</v>
      </c>
      <c r="AH11" s="273">
        <v>0</v>
      </c>
      <c r="AI11" s="273">
        <v>2.5669562277</v>
      </c>
      <c r="AJ11" s="273">
        <v>138.19347943</v>
      </c>
      <c r="AK11" s="273">
        <v>565.70205281000005</v>
      </c>
      <c r="AL11" s="273">
        <v>633.67805716999999</v>
      </c>
      <c r="AM11" s="273">
        <v>748.21199134000005</v>
      </c>
      <c r="AN11" s="273">
        <v>458.86880428000001</v>
      </c>
      <c r="AO11" s="273">
        <v>503.95026973</v>
      </c>
      <c r="AP11" s="273">
        <v>165.33303541000001</v>
      </c>
      <c r="AQ11" s="273">
        <v>24.574981725000001</v>
      </c>
      <c r="AR11" s="273">
        <v>2.9322553387000001</v>
      </c>
      <c r="AS11" s="273">
        <v>0</v>
      </c>
      <c r="AT11" s="273">
        <v>0</v>
      </c>
      <c r="AU11" s="273">
        <v>1.3968381759999999</v>
      </c>
      <c r="AV11" s="273">
        <v>128.57371456000001</v>
      </c>
      <c r="AW11" s="273">
        <v>572.56963321000001</v>
      </c>
      <c r="AX11" s="273">
        <v>572.65172787999995</v>
      </c>
      <c r="AY11" s="273">
        <v>633.73605646999999</v>
      </c>
      <c r="AZ11" s="273">
        <v>555.40666758999998</v>
      </c>
      <c r="BA11" s="273">
        <v>293.48593026999998</v>
      </c>
      <c r="BB11" s="273">
        <v>248.06414264</v>
      </c>
      <c r="BC11" s="273">
        <v>87.066603541999996</v>
      </c>
      <c r="BD11" s="273">
        <v>2.7004007954000002</v>
      </c>
      <c r="BE11" s="273">
        <v>0</v>
      </c>
      <c r="BF11" s="273">
        <v>0</v>
      </c>
      <c r="BG11" s="334">
        <v>20.168528970000001</v>
      </c>
      <c r="BH11" s="334">
        <v>179.62634850000001</v>
      </c>
      <c r="BI11" s="334">
        <v>416.89581937999998</v>
      </c>
      <c r="BJ11" s="334">
        <v>697.35919011999999</v>
      </c>
      <c r="BK11" s="334">
        <v>772.98321515999999</v>
      </c>
      <c r="BL11" s="334">
        <v>587.12382728</v>
      </c>
      <c r="BM11" s="334">
        <v>418.26852348</v>
      </c>
      <c r="BN11" s="334">
        <v>178.44285665000001</v>
      </c>
      <c r="BO11" s="334">
        <v>50.963318254999997</v>
      </c>
      <c r="BP11" s="334">
        <v>1.2879581833</v>
      </c>
      <c r="BQ11" s="334">
        <v>0</v>
      </c>
      <c r="BR11" s="334">
        <v>0.23237953126999999</v>
      </c>
      <c r="BS11" s="334">
        <v>17.766196220000001</v>
      </c>
      <c r="BT11" s="334">
        <v>170.03248038000001</v>
      </c>
      <c r="BU11" s="334">
        <v>401.66742156999999</v>
      </c>
      <c r="BV11" s="334">
        <v>697.50556850999999</v>
      </c>
    </row>
    <row r="12" spans="1:74" ht="11.1" customHeight="1" x14ac:dyDescent="0.2">
      <c r="A12" s="9" t="s">
        <v>74</v>
      </c>
      <c r="B12" s="211" t="s">
        <v>449</v>
      </c>
      <c r="C12" s="273">
        <v>564.74573150000003</v>
      </c>
      <c r="D12" s="273">
        <v>310.12731805999999</v>
      </c>
      <c r="E12" s="273">
        <v>178.71055111999999</v>
      </c>
      <c r="F12" s="273">
        <v>60.826541161999998</v>
      </c>
      <c r="G12" s="273">
        <v>17.079898733</v>
      </c>
      <c r="H12" s="273">
        <v>0</v>
      </c>
      <c r="I12" s="273">
        <v>0</v>
      </c>
      <c r="J12" s="273">
        <v>7.5563253083999998E-2</v>
      </c>
      <c r="K12" s="273">
        <v>1.2694810026000001</v>
      </c>
      <c r="L12" s="273">
        <v>21.885948874</v>
      </c>
      <c r="M12" s="273">
        <v>153.88334266999999</v>
      </c>
      <c r="N12" s="273">
        <v>443.63661243000001</v>
      </c>
      <c r="O12" s="273">
        <v>417.51136093000002</v>
      </c>
      <c r="P12" s="273">
        <v>208.47539789000001</v>
      </c>
      <c r="Q12" s="273">
        <v>147.25308649999999</v>
      </c>
      <c r="R12" s="273">
        <v>51.558325224000001</v>
      </c>
      <c r="S12" s="273">
        <v>13.928009173</v>
      </c>
      <c r="T12" s="273">
        <v>0.15037602265</v>
      </c>
      <c r="U12" s="273">
        <v>0</v>
      </c>
      <c r="V12" s="273">
        <v>0.49722719660999998</v>
      </c>
      <c r="W12" s="273">
        <v>3.2592624326999999</v>
      </c>
      <c r="X12" s="273">
        <v>58.748846409000002</v>
      </c>
      <c r="Y12" s="273">
        <v>179.72523824000001</v>
      </c>
      <c r="Z12" s="273">
        <v>500.85110863</v>
      </c>
      <c r="AA12" s="273">
        <v>659.90259048999997</v>
      </c>
      <c r="AB12" s="273">
        <v>347.78928781000002</v>
      </c>
      <c r="AC12" s="273">
        <v>185.98015362999999</v>
      </c>
      <c r="AD12" s="273">
        <v>141.65106055000001</v>
      </c>
      <c r="AE12" s="273">
        <v>0.49503697690999998</v>
      </c>
      <c r="AF12" s="273">
        <v>0</v>
      </c>
      <c r="AG12" s="273">
        <v>0</v>
      </c>
      <c r="AH12" s="273">
        <v>7.4671002323000002E-2</v>
      </c>
      <c r="AI12" s="273">
        <v>2.5800840090000001</v>
      </c>
      <c r="AJ12" s="273">
        <v>69.582716855000001</v>
      </c>
      <c r="AK12" s="273">
        <v>372.42741605999998</v>
      </c>
      <c r="AL12" s="273">
        <v>471.55515868999998</v>
      </c>
      <c r="AM12" s="273">
        <v>547.70832694000001</v>
      </c>
      <c r="AN12" s="273">
        <v>356.64900920000002</v>
      </c>
      <c r="AO12" s="273">
        <v>306.24933492000002</v>
      </c>
      <c r="AP12" s="273">
        <v>79.732241703</v>
      </c>
      <c r="AQ12" s="273">
        <v>11.409679690999999</v>
      </c>
      <c r="AR12" s="273">
        <v>0.24587940436</v>
      </c>
      <c r="AS12" s="273">
        <v>0</v>
      </c>
      <c r="AT12" s="273">
        <v>7.4169082062E-2</v>
      </c>
      <c r="AU12" s="273">
        <v>7.4127132114000002E-2</v>
      </c>
      <c r="AV12" s="273">
        <v>84.191729961999997</v>
      </c>
      <c r="AW12" s="273">
        <v>346.92525023000002</v>
      </c>
      <c r="AX12" s="273">
        <v>420.19107156000001</v>
      </c>
      <c r="AY12" s="273">
        <v>432.35346092999998</v>
      </c>
      <c r="AZ12" s="273">
        <v>402.54230758</v>
      </c>
      <c r="BA12" s="273">
        <v>139.78505014999999</v>
      </c>
      <c r="BB12" s="273">
        <v>90.003011997000002</v>
      </c>
      <c r="BC12" s="273">
        <v>12.946024183</v>
      </c>
      <c r="BD12" s="273">
        <v>7.3824298686000003E-2</v>
      </c>
      <c r="BE12" s="273">
        <v>0</v>
      </c>
      <c r="BF12" s="273">
        <v>0</v>
      </c>
      <c r="BG12" s="334">
        <v>3.8834299525999998</v>
      </c>
      <c r="BH12" s="334">
        <v>57.695640505</v>
      </c>
      <c r="BI12" s="334">
        <v>231.21118156</v>
      </c>
      <c r="BJ12" s="334">
        <v>468.65551993000003</v>
      </c>
      <c r="BK12" s="334">
        <v>504.22719332999998</v>
      </c>
      <c r="BL12" s="334">
        <v>360.39376476000001</v>
      </c>
      <c r="BM12" s="334">
        <v>225.7309377</v>
      </c>
      <c r="BN12" s="334">
        <v>67.6519811</v>
      </c>
      <c r="BO12" s="334">
        <v>8.1932823278000004</v>
      </c>
      <c r="BP12" s="334">
        <v>0.24341390702999999</v>
      </c>
      <c r="BQ12" s="334">
        <v>0</v>
      </c>
      <c r="BR12" s="334">
        <v>0.24320585208000001</v>
      </c>
      <c r="BS12" s="334">
        <v>3.7969157569999998</v>
      </c>
      <c r="BT12" s="334">
        <v>58.345679906000001</v>
      </c>
      <c r="BU12" s="334">
        <v>232.73805583999999</v>
      </c>
      <c r="BV12" s="334">
        <v>468.43881084999998</v>
      </c>
    </row>
    <row r="13" spans="1:74" ht="11.1" customHeight="1" x14ac:dyDescent="0.2">
      <c r="A13" s="9" t="s">
        <v>75</v>
      </c>
      <c r="B13" s="211" t="s">
        <v>450</v>
      </c>
      <c r="C13" s="273">
        <v>917.57563984000001</v>
      </c>
      <c r="D13" s="273">
        <v>618.37476586000002</v>
      </c>
      <c r="E13" s="273">
        <v>542.52005266000003</v>
      </c>
      <c r="F13" s="273">
        <v>380.96957878000001</v>
      </c>
      <c r="G13" s="273">
        <v>253.89699941000001</v>
      </c>
      <c r="H13" s="273">
        <v>42.173525103000003</v>
      </c>
      <c r="I13" s="273">
        <v>14.638733521000001</v>
      </c>
      <c r="J13" s="273">
        <v>30.715203503000001</v>
      </c>
      <c r="K13" s="273">
        <v>114.81660521000001</v>
      </c>
      <c r="L13" s="273">
        <v>265.04180787000001</v>
      </c>
      <c r="M13" s="273">
        <v>512.36882290999995</v>
      </c>
      <c r="N13" s="273">
        <v>926.22256715000003</v>
      </c>
      <c r="O13" s="273">
        <v>961.64114917999996</v>
      </c>
      <c r="P13" s="273">
        <v>627.31967542999996</v>
      </c>
      <c r="Q13" s="273">
        <v>466.97187867000002</v>
      </c>
      <c r="R13" s="273">
        <v>403.69432354000003</v>
      </c>
      <c r="S13" s="273">
        <v>234.82239582</v>
      </c>
      <c r="T13" s="273">
        <v>58.517155956000003</v>
      </c>
      <c r="U13" s="273">
        <v>6.4148412555999998</v>
      </c>
      <c r="V13" s="273">
        <v>26.52535898</v>
      </c>
      <c r="W13" s="273">
        <v>119.86486519</v>
      </c>
      <c r="X13" s="273">
        <v>358.19391531000002</v>
      </c>
      <c r="Y13" s="273">
        <v>488.91467015000001</v>
      </c>
      <c r="Z13" s="273">
        <v>815.00117</v>
      </c>
      <c r="AA13" s="273">
        <v>770.48422281000001</v>
      </c>
      <c r="AB13" s="273">
        <v>747.46825139999999</v>
      </c>
      <c r="AC13" s="273">
        <v>603.67251364000003</v>
      </c>
      <c r="AD13" s="273">
        <v>379.80213572000002</v>
      </c>
      <c r="AE13" s="273">
        <v>162.95469990999999</v>
      </c>
      <c r="AF13" s="273">
        <v>56.424373834999997</v>
      </c>
      <c r="AG13" s="273">
        <v>9.0379644913000003</v>
      </c>
      <c r="AH13" s="273">
        <v>24.703463442</v>
      </c>
      <c r="AI13" s="273">
        <v>89.151316186000003</v>
      </c>
      <c r="AJ13" s="273">
        <v>383.81004548999999</v>
      </c>
      <c r="AK13" s="273">
        <v>678.40020290999996</v>
      </c>
      <c r="AL13" s="273">
        <v>897.26145057999997</v>
      </c>
      <c r="AM13" s="273">
        <v>894.35160048</v>
      </c>
      <c r="AN13" s="273">
        <v>865.64347730999998</v>
      </c>
      <c r="AO13" s="273">
        <v>668.03014464</v>
      </c>
      <c r="AP13" s="273">
        <v>374.62738137000002</v>
      </c>
      <c r="AQ13" s="273">
        <v>313.99856833000001</v>
      </c>
      <c r="AR13" s="273">
        <v>97.156064799000006</v>
      </c>
      <c r="AS13" s="273">
        <v>14.757794978</v>
      </c>
      <c r="AT13" s="273">
        <v>16.884439237999999</v>
      </c>
      <c r="AU13" s="273">
        <v>94.958141823999995</v>
      </c>
      <c r="AV13" s="273">
        <v>476.72282805999998</v>
      </c>
      <c r="AW13" s="273">
        <v>617.92002691000005</v>
      </c>
      <c r="AX13" s="273">
        <v>871.55615158000001</v>
      </c>
      <c r="AY13" s="273">
        <v>850.01534212000001</v>
      </c>
      <c r="AZ13" s="273">
        <v>764.59064296999998</v>
      </c>
      <c r="BA13" s="273">
        <v>602.47122851999995</v>
      </c>
      <c r="BB13" s="273">
        <v>414.15312294</v>
      </c>
      <c r="BC13" s="273">
        <v>185.16600346999999</v>
      </c>
      <c r="BD13" s="273">
        <v>74.422138345999997</v>
      </c>
      <c r="BE13" s="273">
        <v>14.045986394</v>
      </c>
      <c r="BF13" s="273">
        <v>2.0066803434999998</v>
      </c>
      <c r="BG13" s="334">
        <v>106.67645942999999</v>
      </c>
      <c r="BH13" s="334">
        <v>316.46986473999999</v>
      </c>
      <c r="BI13" s="334">
        <v>602.51062108999997</v>
      </c>
      <c r="BJ13" s="334">
        <v>884.15092960000004</v>
      </c>
      <c r="BK13" s="334">
        <v>877.81566811000005</v>
      </c>
      <c r="BL13" s="334">
        <v>717.09125306999999</v>
      </c>
      <c r="BM13" s="334">
        <v>602.34300647999999</v>
      </c>
      <c r="BN13" s="334">
        <v>399.68595334999998</v>
      </c>
      <c r="BO13" s="334">
        <v>210.96677564000001</v>
      </c>
      <c r="BP13" s="334">
        <v>76.600436082000002</v>
      </c>
      <c r="BQ13" s="334">
        <v>15.120323430999999</v>
      </c>
      <c r="BR13" s="334">
        <v>20.913123322000001</v>
      </c>
      <c r="BS13" s="334">
        <v>111.17541129</v>
      </c>
      <c r="BT13" s="334">
        <v>321.45228230999999</v>
      </c>
      <c r="BU13" s="334">
        <v>604.19028948000005</v>
      </c>
      <c r="BV13" s="334">
        <v>883.89220553999996</v>
      </c>
    </row>
    <row r="14" spans="1:74" ht="11.1" customHeight="1" x14ac:dyDescent="0.2">
      <c r="A14" s="9" t="s">
        <v>76</v>
      </c>
      <c r="B14" s="211" t="s">
        <v>451</v>
      </c>
      <c r="C14" s="273">
        <v>569.31470005999995</v>
      </c>
      <c r="D14" s="273">
        <v>341.68670033000001</v>
      </c>
      <c r="E14" s="273">
        <v>395.66879509</v>
      </c>
      <c r="F14" s="273">
        <v>242.24228282000001</v>
      </c>
      <c r="G14" s="273">
        <v>181.06948285999999</v>
      </c>
      <c r="H14" s="273">
        <v>44.117897202000002</v>
      </c>
      <c r="I14" s="273">
        <v>19.836437089</v>
      </c>
      <c r="J14" s="273">
        <v>11.676666583999999</v>
      </c>
      <c r="K14" s="273">
        <v>66.066488621999994</v>
      </c>
      <c r="L14" s="273">
        <v>200.70131273999999</v>
      </c>
      <c r="M14" s="273">
        <v>331.65192516000002</v>
      </c>
      <c r="N14" s="273">
        <v>627.34759081000004</v>
      </c>
      <c r="O14" s="273">
        <v>666.00039862000006</v>
      </c>
      <c r="P14" s="273">
        <v>496.05466387000001</v>
      </c>
      <c r="Q14" s="273">
        <v>392.35370346000002</v>
      </c>
      <c r="R14" s="273">
        <v>308.79871888000002</v>
      </c>
      <c r="S14" s="273">
        <v>170.93827254000001</v>
      </c>
      <c r="T14" s="273">
        <v>49.809727666000001</v>
      </c>
      <c r="U14" s="273">
        <v>14.145355630999999</v>
      </c>
      <c r="V14" s="273">
        <v>8.4963578229000003</v>
      </c>
      <c r="W14" s="273">
        <v>44.857918437000002</v>
      </c>
      <c r="X14" s="273">
        <v>177.92507143</v>
      </c>
      <c r="Y14" s="273">
        <v>351.13327942000001</v>
      </c>
      <c r="Z14" s="273">
        <v>506.58713353000002</v>
      </c>
      <c r="AA14" s="273">
        <v>458.15583535000002</v>
      </c>
      <c r="AB14" s="273">
        <v>495.72556897999999</v>
      </c>
      <c r="AC14" s="273">
        <v>486.52873032999997</v>
      </c>
      <c r="AD14" s="273">
        <v>299.17767372999998</v>
      </c>
      <c r="AE14" s="273">
        <v>175.58612216</v>
      </c>
      <c r="AF14" s="273">
        <v>65.002409813</v>
      </c>
      <c r="AG14" s="273">
        <v>8.4785474616999998</v>
      </c>
      <c r="AH14" s="273">
        <v>13.513501622</v>
      </c>
      <c r="AI14" s="273">
        <v>62.115487731999998</v>
      </c>
      <c r="AJ14" s="273">
        <v>186.72936274</v>
      </c>
      <c r="AK14" s="273">
        <v>354.24385229000001</v>
      </c>
      <c r="AL14" s="273">
        <v>564.24074585999995</v>
      </c>
      <c r="AM14" s="273">
        <v>543.01694540000005</v>
      </c>
      <c r="AN14" s="273">
        <v>654.80288948999998</v>
      </c>
      <c r="AO14" s="273">
        <v>489.50449200000003</v>
      </c>
      <c r="AP14" s="273">
        <v>274.72789267000002</v>
      </c>
      <c r="AQ14" s="273">
        <v>240.73974228</v>
      </c>
      <c r="AR14" s="273">
        <v>59.348737718999999</v>
      </c>
      <c r="AS14" s="273">
        <v>19.444350802999999</v>
      </c>
      <c r="AT14" s="273">
        <v>11.983558817</v>
      </c>
      <c r="AU14" s="273">
        <v>64.154263865000004</v>
      </c>
      <c r="AV14" s="273">
        <v>236.71924885999999</v>
      </c>
      <c r="AW14" s="273">
        <v>371.29030514999999</v>
      </c>
      <c r="AX14" s="273">
        <v>574.74161191999997</v>
      </c>
      <c r="AY14" s="273">
        <v>563.40939711999999</v>
      </c>
      <c r="AZ14" s="273">
        <v>448.04036363</v>
      </c>
      <c r="BA14" s="273">
        <v>526.05024263999996</v>
      </c>
      <c r="BB14" s="273">
        <v>307.55179330999999</v>
      </c>
      <c r="BC14" s="273">
        <v>147.43725372</v>
      </c>
      <c r="BD14" s="273">
        <v>69.664308836999993</v>
      </c>
      <c r="BE14" s="273">
        <v>18.697526359000001</v>
      </c>
      <c r="BF14" s="273">
        <v>12.475263364</v>
      </c>
      <c r="BG14" s="334">
        <v>53.378567191999998</v>
      </c>
      <c r="BH14" s="334">
        <v>197.10913167999999</v>
      </c>
      <c r="BI14" s="334">
        <v>413.44925147999999</v>
      </c>
      <c r="BJ14" s="334">
        <v>598.45982714000002</v>
      </c>
      <c r="BK14" s="334">
        <v>585.52714420999996</v>
      </c>
      <c r="BL14" s="334">
        <v>489.31551753000002</v>
      </c>
      <c r="BM14" s="334">
        <v>450.46552115999998</v>
      </c>
      <c r="BN14" s="334">
        <v>329.48233112000003</v>
      </c>
      <c r="BO14" s="334">
        <v>181.50911214000001</v>
      </c>
      <c r="BP14" s="334">
        <v>68.353512988000006</v>
      </c>
      <c r="BQ14" s="334">
        <v>21.136706396000001</v>
      </c>
      <c r="BR14" s="334">
        <v>19.209638288000001</v>
      </c>
      <c r="BS14" s="334">
        <v>46.135114545</v>
      </c>
      <c r="BT14" s="334">
        <v>185.95269503</v>
      </c>
      <c r="BU14" s="334">
        <v>403.33501557</v>
      </c>
      <c r="BV14" s="334">
        <v>598.63819294999996</v>
      </c>
    </row>
    <row r="15" spans="1:74" ht="11.1" customHeight="1" x14ac:dyDescent="0.2">
      <c r="A15" s="9" t="s">
        <v>574</v>
      </c>
      <c r="B15" s="211" t="s">
        <v>479</v>
      </c>
      <c r="C15" s="273">
        <v>870.78703095000003</v>
      </c>
      <c r="D15" s="273">
        <v>627.93085418999999</v>
      </c>
      <c r="E15" s="273">
        <v>449.74364516000003</v>
      </c>
      <c r="F15" s="273">
        <v>309.40539027</v>
      </c>
      <c r="G15" s="273">
        <v>150.46254603</v>
      </c>
      <c r="H15" s="273">
        <v>20.805959799</v>
      </c>
      <c r="I15" s="273">
        <v>5.6652801715000001</v>
      </c>
      <c r="J15" s="273">
        <v>6.4041284983000004</v>
      </c>
      <c r="K15" s="273">
        <v>38.860550064000002</v>
      </c>
      <c r="L15" s="273">
        <v>197.567927</v>
      </c>
      <c r="M15" s="273">
        <v>418.10447042999999</v>
      </c>
      <c r="N15" s="273">
        <v>782.93742613999996</v>
      </c>
      <c r="O15" s="273">
        <v>766.30428791999998</v>
      </c>
      <c r="P15" s="273">
        <v>547.11643475999995</v>
      </c>
      <c r="Q15" s="273">
        <v>542.55769178000003</v>
      </c>
      <c r="R15" s="273">
        <v>247.84273077</v>
      </c>
      <c r="S15" s="273">
        <v>153.72009127000001</v>
      </c>
      <c r="T15" s="273">
        <v>24.730240924</v>
      </c>
      <c r="U15" s="273">
        <v>5.2161611694000003</v>
      </c>
      <c r="V15" s="273">
        <v>15.1675065</v>
      </c>
      <c r="W15" s="273">
        <v>44.510979347000003</v>
      </c>
      <c r="X15" s="273">
        <v>192.89713144000001</v>
      </c>
      <c r="Y15" s="273">
        <v>490.05555229999999</v>
      </c>
      <c r="Z15" s="273">
        <v>797.79460360999997</v>
      </c>
      <c r="AA15" s="273">
        <v>896.13629879999996</v>
      </c>
      <c r="AB15" s="273">
        <v>624.95230395999999</v>
      </c>
      <c r="AC15" s="273">
        <v>608.65972768999995</v>
      </c>
      <c r="AD15" s="273">
        <v>410.22449158000001</v>
      </c>
      <c r="AE15" s="273">
        <v>85.363732217999996</v>
      </c>
      <c r="AF15" s="273">
        <v>26.391929106999999</v>
      </c>
      <c r="AG15" s="273">
        <v>3.5458233948000002</v>
      </c>
      <c r="AH15" s="273">
        <v>6.9661846958</v>
      </c>
      <c r="AI15" s="273">
        <v>37.672173913000002</v>
      </c>
      <c r="AJ15" s="273">
        <v>253.55277312999999</v>
      </c>
      <c r="AK15" s="273">
        <v>593.56126648999998</v>
      </c>
      <c r="AL15" s="273">
        <v>731.57470525999997</v>
      </c>
      <c r="AM15" s="273">
        <v>859.16315071999998</v>
      </c>
      <c r="AN15" s="273">
        <v>719.17002914</v>
      </c>
      <c r="AO15" s="273">
        <v>631.46329893999996</v>
      </c>
      <c r="AP15" s="273">
        <v>287.82943584999998</v>
      </c>
      <c r="AQ15" s="273">
        <v>158.17594837999999</v>
      </c>
      <c r="AR15" s="273">
        <v>34.007344416000002</v>
      </c>
      <c r="AS15" s="273">
        <v>5.1787769853999999</v>
      </c>
      <c r="AT15" s="273">
        <v>10.189401422</v>
      </c>
      <c r="AU15" s="273">
        <v>41.060854325000001</v>
      </c>
      <c r="AV15" s="273">
        <v>253.36975661</v>
      </c>
      <c r="AW15" s="273">
        <v>588.75535261000005</v>
      </c>
      <c r="AX15" s="273">
        <v>715.38082042999997</v>
      </c>
      <c r="AY15" s="273">
        <v>739.42361827000002</v>
      </c>
      <c r="AZ15" s="273">
        <v>652.38807843999996</v>
      </c>
      <c r="BA15" s="273">
        <v>484.07260337999998</v>
      </c>
      <c r="BB15" s="273">
        <v>358.05317508000002</v>
      </c>
      <c r="BC15" s="273">
        <v>156.11574668</v>
      </c>
      <c r="BD15" s="273">
        <v>25.636986758999999</v>
      </c>
      <c r="BE15" s="273">
        <v>4.6532935302</v>
      </c>
      <c r="BF15" s="273">
        <v>6.4039163367</v>
      </c>
      <c r="BG15" s="334">
        <v>56.084596969000003</v>
      </c>
      <c r="BH15" s="334">
        <v>247.72569014000001</v>
      </c>
      <c r="BI15" s="334">
        <v>492.53709144999999</v>
      </c>
      <c r="BJ15" s="334">
        <v>777.33177597999997</v>
      </c>
      <c r="BK15" s="334">
        <v>851.26994272000002</v>
      </c>
      <c r="BL15" s="334">
        <v>688.79631123000001</v>
      </c>
      <c r="BM15" s="334">
        <v>560.09310756000002</v>
      </c>
      <c r="BN15" s="334">
        <v>313.26004934000002</v>
      </c>
      <c r="BO15" s="334">
        <v>139.37425091</v>
      </c>
      <c r="BP15" s="334">
        <v>30.317934475000001</v>
      </c>
      <c r="BQ15" s="334">
        <v>6.8023295074999997</v>
      </c>
      <c r="BR15" s="334">
        <v>10.243725635000001</v>
      </c>
      <c r="BS15" s="334">
        <v>54.489392283000001</v>
      </c>
      <c r="BT15" s="334">
        <v>240.93337167999999</v>
      </c>
      <c r="BU15" s="334">
        <v>481.19060331999998</v>
      </c>
      <c r="BV15" s="334">
        <v>776.54433122</v>
      </c>
    </row>
    <row r="16" spans="1:74" ht="11.1" customHeight="1" x14ac:dyDescent="0.2">
      <c r="A16" s="9"/>
      <c r="B16" s="193" t="s">
        <v>160</v>
      </c>
      <c r="C16" s="247"/>
      <c r="D16" s="247"/>
      <c r="E16" s="247"/>
      <c r="F16" s="247"/>
      <c r="G16" s="247"/>
      <c r="H16" s="247"/>
      <c r="I16" s="247"/>
      <c r="J16" s="247"/>
      <c r="K16" s="247"/>
      <c r="L16" s="247"/>
      <c r="M16" s="247"/>
      <c r="N16" s="247"/>
      <c r="O16" s="247"/>
      <c r="P16" s="247"/>
      <c r="Q16" s="247"/>
      <c r="R16" s="247"/>
      <c r="S16" s="247"/>
      <c r="T16" s="247"/>
      <c r="U16" s="247"/>
      <c r="V16" s="247"/>
      <c r="W16" s="247"/>
      <c r="X16" s="247"/>
      <c r="Y16" s="247"/>
      <c r="Z16" s="247"/>
      <c r="AA16" s="247"/>
      <c r="AB16" s="247"/>
      <c r="AC16" s="247"/>
      <c r="AD16" s="247"/>
      <c r="AE16" s="247"/>
      <c r="AF16" s="247"/>
      <c r="AG16" s="247"/>
      <c r="AH16" s="247"/>
      <c r="AI16" s="247"/>
      <c r="AJ16" s="247"/>
      <c r="AK16" s="247"/>
      <c r="AL16" s="247"/>
      <c r="AM16" s="247"/>
      <c r="AN16" s="247"/>
      <c r="AO16" s="247"/>
      <c r="AP16" s="247"/>
      <c r="AQ16" s="247"/>
      <c r="AR16" s="247"/>
      <c r="AS16" s="247"/>
      <c r="AT16" s="247"/>
      <c r="AU16" s="247"/>
      <c r="AV16" s="247"/>
      <c r="AW16" s="247"/>
      <c r="AX16" s="247"/>
      <c r="AY16" s="247"/>
      <c r="AZ16" s="247"/>
      <c r="BA16" s="247"/>
      <c r="BB16" s="247"/>
      <c r="BC16" s="247"/>
      <c r="BD16" s="247"/>
      <c r="BE16" s="247"/>
      <c r="BF16" s="247"/>
      <c r="BG16" s="335"/>
      <c r="BH16" s="335"/>
      <c r="BI16" s="335"/>
      <c r="BJ16" s="335"/>
      <c r="BK16" s="335"/>
      <c r="BL16" s="335"/>
      <c r="BM16" s="335"/>
      <c r="BN16" s="335"/>
      <c r="BO16" s="335"/>
      <c r="BP16" s="335"/>
      <c r="BQ16" s="335"/>
      <c r="BR16" s="335"/>
      <c r="BS16" s="335"/>
      <c r="BT16" s="335"/>
      <c r="BU16" s="335"/>
      <c r="BV16" s="335"/>
    </row>
    <row r="17" spans="1:74" ht="11.1" customHeight="1" x14ac:dyDescent="0.2">
      <c r="A17" s="9" t="s">
        <v>139</v>
      </c>
      <c r="B17" s="211" t="s">
        <v>444</v>
      </c>
      <c r="C17" s="273">
        <v>1206.8368601</v>
      </c>
      <c r="D17" s="273">
        <v>1084.9764368000001</v>
      </c>
      <c r="E17" s="273">
        <v>920.61516175999998</v>
      </c>
      <c r="F17" s="273">
        <v>538.77732294999998</v>
      </c>
      <c r="G17" s="273">
        <v>232.72396795</v>
      </c>
      <c r="H17" s="273">
        <v>52.646018222999999</v>
      </c>
      <c r="I17" s="273">
        <v>6.2318169485999997</v>
      </c>
      <c r="J17" s="273">
        <v>19.473639691999999</v>
      </c>
      <c r="K17" s="273">
        <v>107.04452548</v>
      </c>
      <c r="L17" s="273">
        <v>411.91589540000001</v>
      </c>
      <c r="M17" s="273">
        <v>698.95286616999999</v>
      </c>
      <c r="N17" s="273">
        <v>994.44143890999999</v>
      </c>
      <c r="O17" s="273">
        <v>1219.2700984000001</v>
      </c>
      <c r="P17" s="273">
        <v>1077.3592779000001</v>
      </c>
      <c r="Q17" s="273">
        <v>904.16993790000004</v>
      </c>
      <c r="R17" s="273">
        <v>547.23338520000004</v>
      </c>
      <c r="S17" s="273">
        <v>230.19670468000001</v>
      </c>
      <c r="T17" s="273">
        <v>53.299832983000002</v>
      </c>
      <c r="U17" s="273">
        <v>6.4371840085000001</v>
      </c>
      <c r="V17" s="273">
        <v>17.182302886999999</v>
      </c>
      <c r="W17" s="273">
        <v>98.701693300000002</v>
      </c>
      <c r="X17" s="273">
        <v>404.58647352000003</v>
      </c>
      <c r="Y17" s="273">
        <v>707.90036866000003</v>
      </c>
      <c r="Z17" s="273">
        <v>1012.6270050000001</v>
      </c>
      <c r="AA17" s="273">
        <v>1212.3192214000001</v>
      </c>
      <c r="AB17" s="273">
        <v>1047.6783304999999</v>
      </c>
      <c r="AC17" s="273">
        <v>911.43518754000002</v>
      </c>
      <c r="AD17" s="273">
        <v>527.14604457999997</v>
      </c>
      <c r="AE17" s="273">
        <v>237.44134921</v>
      </c>
      <c r="AF17" s="273">
        <v>52.865377785</v>
      </c>
      <c r="AG17" s="273">
        <v>6.2399809608999997</v>
      </c>
      <c r="AH17" s="273">
        <v>17.910064505000001</v>
      </c>
      <c r="AI17" s="273">
        <v>95.125684211999996</v>
      </c>
      <c r="AJ17" s="273">
        <v>399.77791384</v>
      </c>
      <c r="AK17" s="273">
        <v>703.46498847999999</v>
      </c>
      <c r="AL17" s="273">
        <v>1017.3668087</v>
      </c>
      <c r="AM17" s="273">
        <v>1224.1472996</v>
      </c>
      <c r="AN17" s="273">
        <v>1032.2117178999999</v>
      </c>
      <c r="AO17" s="273">
        <v>909.11991093999995</v>
      </c>
      <c r="AP17" s="273">
        <v>542.74324879000005</v>
      </c>
      <c r="AQ17" s="273">
        <v>220.96553322</v>
      </c>
      <c r="AR17" s="273">
        <v>55.878789482000002</v>
      </c>
      <c r="AS17" s="273">
        <v>6.0467867244000004</v>
      </c>
      <c r="AT17" s="273">
        <v>14.668522586</v>
      </c>
      <c r="AU17" s="273">
        <v>90.318540748000004</v>
      </c>
      <c r="AV17" s="273">
        <v>396.67435571999999</v>
      </c>
      <c r="AW17" s="273">
        <v>709.98548403999996</v>
      </c>
      <c r="AX17" s="273">
        <v>1015.0759329</v>
      </c>
      <c r="AY17" s="273">
        <v>1205.5044971</v>
      </c>
      <c r="AZ17" s="273">
        <v>1032.9413599</v>
      </c>
      <c r="BA17" s="273">
        <v>913.76619072999995</v>
      </c>
      <c r="BB17" s="273">
        <v>544.56025091000004</v>
      </c>
      <c r="BC17" s="273">
        <v>225.84548330999999</v>
      </c>
      <c r="BD17" s="273">
        <v>51.496135942000002</v>
      </c>
      <c r="BE17" s="273">
        <v>3.5536816580999999</v>
      </c>
      <c r="BF17" s="273">
        <v>15.316256715</v>
      </c>
      <c r="BG17" s="334">
        <v>85.694670000000002</v>
      </c>
      <c r="BH17" s="334">
        <v>383.82589999999999</v>
      </c>
      <c r="BI17" s="334">
        <v>733.3</v>
      </c>
      <c r="BJ17" s="334">
        <v>1009.857</v>
      </c>
      <c r="BK17" s="334">
        <v>1188.146</v>
      </c>
      <c r="BL17" s="334">
        <v>1025.8019999999999</v>
      </c>
      <c r="BM17" s="334">
        <v>918.54870000000005</v>
      </c>
      <c r="BN17" s="334">
        <v>566.68309999999997</v>
      </c>
      <c r="BO17" s="334">
        <v>236.9083</v>
      </c>
      <c r="BP17" s="334">
        <v>51.081530000000001</v>
      </c>
      <c r="BQ17" s="334">
        <v>3.5180699999999998</v>
      </c>
      <c r="BR17" s="334">
        <v>15.29387</v>
      </c>
      <c r="BS17" s="334">
        <v>88.916659999999993</v>
      </c>
      <c r="BT17" s="334">
        <v>384.42160000000001</v>
      </c>
      <c r="BU17" s="334">
        <v>730.66589999999997</v>
      </c>
      <c r="BV17" s="334">
        <v>999.52729999999997</v>
      </c>
    </row>
    <row r="18" spans="1:74" ht="11.1" customHeight="1" x14ac:dyDescent="0.2">
      <c r="A18" s="9" t="s">
        <v>140</v>
      </c>
      <c r="B18" s="211" t="s">
        <v>477</v>
      </c>
      <c r="C18" s="273">
        <v>1129.0163777</v>
      </c>
      <c r="D18" s="273">
        <v>1023.3414708</v>
      </c>
      <c r="E18" s="273">
        <v>831.04377738999995</v>
      </c>
      <c r="F18" s="273">
        <v>454.63600878</v>
      </c>
      <c r="G18" s="273">
        <v>173.20364042</v>
      </c>
      <c r="H18" s="273">
        <v>23.341839500999999</v>
      </c>
      <c r="I18" s="273">
        <v>4.2947247560999999</v>
      </c>
      <c r="J18" s="273">
        <v>11.162566173</v>
      </c>
      <c r="K18" s="273">
        <v>74.367052306999994</v>
      </c>
      <c r="L18" s="273">
        <v>355.57858886999998</v>
      </c>
      <c r="M18" s="273">
        <v>652.27219165999998</v>
      </c>
      <c r="N18" s="273">
        <v>919.33100115000002</v>
      </c>
      <c r="O18" s="273">
        <v>1150.9171143000001</v>
      </c>
      <c r="P18" s="273">
        <v>1018.5864127</v>
      </c>
      <c r="Q18" s="273">
        <v>813.33358479000003</v>
      </c>
      <c r="R18" s="273">
        <v>463.94271866000003</v>
      </c>
      <c r="S18" s="273">
        <v>174.06296678000001</v>
      </c>
      <c r="T18" s="273">
        <v>22.865547882000001</v>
      </c>
      <c r="U18" s="273">
        <v>4.2947340322000001</v>
      </c>
      <c r="V18" s="273">
        <v>10.407167588</v>
      </c>
      <c r="W18" s="273">
        <v>66.286829272000006</v>
      </c>
      <c r="X18" s="273">
        <v>345.05961587000002</v>
      </c>
      <c r="Y18" s="273">
        <v>658.77307875999998</v>
      </c>
      <c r="Z18" s="273">
        <v>937.07483248000005</v>
      </c>
      <c r="AA18" s="273">
        <v>1148.3983221000001</v>
      </c>
      <c r="AB18" s="273">
        <v>979.90445041999999</v>
      </c>
      <c r="AC18" s="273">
        <v>818.91032271999995</v>
      </c>
      <c r="AD18" s="273">
        <v>441.32443112999999</v>
      </c>
      <c r="AE18" s="273">
        <v>180.85170897</v>
      </c>
      <c r="AF18" s="273">
        <v>23.562346825999999</v>
      </c>
      <c r="AG18" s="273">
        <v>3.7614628158999999</v>
      </c>
      <c r="AH18" s="273">
        <v>11.452005066</v>
      </c>
      <c r="AI18" s="273">
        <v>66.061638119999998</v>
      </c>
      <c r="AJ18" s="273">
        <v>346.92402426000001</v>
      </c>
      <c r="AK18" s="273">
        <v>656.84162570000001</v>
      </c>
      <c r="AL18" s="273">
        <v>945.19463064000001</v>
      </c>
      <c r="AM18" s="273">
        <v>1165.6710574000001</v>
      </c>
      <c r="AN18" s="273">
        <v>965.25190630999998</v>
      </c>
      <c r="AO18" s="273">
        <v>825.43235152</v>
      </c>
      <c r="AP18" s="273">
        <v>462.72857009000001</v>
      </c>
      <c r="AQ18" s="273">
        <v>162.13045554999999</v>
      </c>
      <c r="AR18" s="273">
        <v>25.416877727999999</v>
      </c>
      <c r="AS18" s="273">
        <v>3.5258626461999998</v>
      </c>
      <c r="AT18" s="273">
        <v>9.4008491598999999</v>
      </c>
      <c r="AU18" s="273">
        <v>62.783850202000004</v>
      </c>
      <c r="AV18" s="273">
        <v>338.90713821000003</v>
      </c>
      <c r="AW18" s="273">
        <v>662.37952851</v>
      </c>
      <c r="AX18" s="273">
        <v>939.59026598000003</v>
      </c>
      <c r="AY18" s="273">
        <v>1150.4258052</v>
      </c>
      <c r="AZ18" s="273">
        <v>965.76863867999998</v>
      </c>
      <c r="BA18" s="273">
        <v>832.30744543000003</v>
      </c>
      <c r="BB18" s="273">
        <v>459.69747711000002</v>
      </c>
      <c r="BC18" s="273">
        <v>160.56214202999999</v>
      </c>
      <c r="BD18" s="273">
        <v>23.634736367999999</v>
      </c>
      <c r="BE18" s="273">
        <v>1.9171699322</v>
      </c>
      <c r="BF18" s="273">
        <v>9.6673837991999996</v>
      </c>
      <c r="BG18" s="334">
        <v>57.704149999999998</v>
      </c>
      <c r="BH18" s="334">
        <v>325.13630000000001</v>
      </c>
      <c r="BI18" s="334">
        <v>686.55250000000001</v>
      </c>
      <c r="BJ18" s="334">
        <v>932.35789999999997</v>
      </c>
      <c r="BK18" s="334">
        <v>1131.3589999999999</v>
      </c>
      <c r="BL18" s="334">
        <v>948.67079999999999</v>
      </c>
      <c r="BM18" s="334">
        <v>832.74829999999997</v>
      </c>
      <c r="BN18" s="334">
        <v>481.24470000000002</v>
      </c>
      <c r="BO18" s="334">
        <v>171.78389999999999</v>
      </c>
      <c r="BP18" s="334">
        <v>24.076560000000001</v>
      </c>
      <c r="BQ18" s="334">
        <v>1.838676</v>
      </c>
      <c r="BR18" s="334">
        <v>9.2797610000000006</v>
      </c>
      <c r="BS18" s="334">
        <v>59.191209999999998</v>
      </c>
      <c r="BT18" s="334">
        <v>325.47519999999997</v>
      </c>
      <c r="BU18" s="334">
        <v>683.54200000000003</v>
      </c>
      <c r="BV18" s="334">
        <v>916.77049999999997</v>
      </c>
    </row>
    <row r="19" spans="1:74" ht="11.1" customHeight="1" x14ac:dyDescent="0.2">
      <c r="A19" s="9" t="s">
        <v>141</v>
      </c>
      <c r="B19" s="211" t="s">
        <v>445</v>
      </c>
      <c r="C19" s="273">
        <v>1258.3408532000001</v>
      </c>
      <c r="D19" s="273">
        <v>1143.2475432000001</v>
      </c>
      <c r="E19" s="273">
        <v>845.11812173999999</v>
      </c>
      <c r="F19" s="273">
        <v>462.98833925000002</v>
      </c>
      <c r="G19" s="273">
        <v>193.29375949000001</v>
      </c>
      <c r="H19" s="273">
        <v>33.245339555999998</v>
      </c>
      <c r="I19" s="273">
        <v>10.882674872000001</v>
      </c>
      <c r="J19" s="273">
        <v>17.594460181999999</v>
      </c>
      <c r="K19" s="273">
        <v>96.773658251000001</v>
      </c>
      <c r="L19" s="273">
        <v>404.52357524000001</v>
      </c>
      <c r="M19" s="273">
        <v>734.01858996999999</v>
      </c>
      <c r="N19" s="273">
        <v>1067.265118</v>
      </c>
      <c r="O19" s="273">
        <v>1291.2592351000001</v>
      </c>
      <c r="P19" s="273">
        <v>1136.2122165000001</v>
      </c>
      <c r="Q19" s="273">
        <v>827.02683245000003</v>
      </c>
      <c r="R19" s="273">
        <v>476.63913852000002</v>
      </c>
      <c r="S19" s="273">
        <v>193.023607</v>
      </c>
      <c r="T19" s="273">
        <v>31.188999333000002</v>
      </c>
      <c r="U19" s="273">
        <v>11.023989429</v>
      </c>
      <c r="V19" s="273">
        <v>16.817957660000001</v>
      </c>
      <c r="W19" s="273">
        <v>86.099880503999998</v>
      </c>
      <c r="X19" s="273">
        <v>382.70242342</v>
      </c>
      <c r="Y19" s="273">
        <v>724.67597966000005</v>
      </c>
      <c r="Z19" s="273">
        <v>1090.1119579000001</v>
      </c>
      <c r="AA19" s="273">
        <v>1287.5921017000001</v>
      </c>
      <c r="AB19" s="273">
        <v>1081.912045</v>
      </c>
      <c r="AC19" s="273">
        <v>839.13538834999997</v>
      </c>
      <c r="AD19" s="273">
        <v>457.34328160000001</v>
      </c>
      <c r="AE19" s="273">
        <v>203.32338025000001</v>
      </c>
      <c r="AF19" s="273">
        <v>31.58549687</v>
      </c>
      <c r="AG19" s="273">
        <v>10.511847363999999</v>
      </c>
      <c r="AH19" s="273">
        <v>19.36760108</v>
      </c>
      <c r="AI19" s="273">
        <v>86.530813089999995</v>
      </c>
      <c r="AJ19" s="273">
        <v>388.51566327</v>
      </c>
      <c r="AK19" s="273">
        <v>725.40855700999998</v>
      </c>
      <c r="AL19" s="273">
        <v>1096.4235603</v>
      </c>
      <c r="AM19" s="273">
        <v>1295.544564</v>
      </c>
      <c r="AN19" s="273">
        <v>1064.2218709000001</v>
      </c>
      <c r="AO19" s="273">
        <v>835.94374931000004</v>
      </c>
      <c r="AP19" s="273">
        <v>483.34529678000001</v>
      </c>
      <c r="AQ19" s="273">
        <v>182.83696682999999</v>
      </c>
      <c r="AR19" s="273">
        <v>31.134151634999998</v>
      </c>
      <c r="AS19" s="273">
        <v>10.173518576999999</v>
      </c>
      <c r="AT19" s="273">
        <v>17.814702048000001</v>
      </c>
      <c r="AU19" s="273">
        <v>83.810071273000005</v>
      </c>
      <c r="AV19" s="273">
        <v>386.92673273000003</v>
      </c>
      <c r="AW19" s="273">
        <v>738.03909705000001</v>
      </c>
      <c r="AX19" s="273">
        <v>1073.3270613</v>
      </c>
      <c r="AY19" s="273">
        <v>1276.8331788</v>
      </c>
      <c r="AZ19" s="273">
        <v>1068.6744269999999</v>
      </c>
      <c r="BA19" s="273">
        <v>852.01853912000001</v>
      </c>
      <c r="BB19" s="273">
        <v>481.52843044000002</v>
      </c>
      <c r="BC19" s="273">
        <v>184.79698807</v>
      </c>
      <c r="BD19" s="273">
        <v>31.422469626000002</v>
      </c>
      <c r="BE19" s="273">
        <v>6.5816577378999996</v>
      </c>
      <c r="BF19" s="273">
        <v>16.908236974000001</v>
      </c>
      <c r="BG19" s="334">
        <v>78.566919999999996</v>
      </c>
      <c r="BH19" s="334">
        <v>374.35340000000002</v>
      </c>
      <c r="BI19" s="334">
        <v>768.2681</v>
      </c>
      <c r="BJ19" s="334">
        <v>1054.579</v>
      </c>
      <c r="BK19" s="334">
        <v>1248.7929999999999</v>
      </c>
      <c r="BL19" s="334">
        <v>1056.617</v>
      </c>
      <c r="BM19" s="334">
        <v>851.25519999999995</v>
      </c>
      <c r="BN19" s="334">
        <v>505.42939999999999</v>
      </c>
      <c r="BO19" s="334">
        <v>193.79589999999999</v>
      </c>
      <c r="BP19" s="334">
        <v>31.386019999999998</v>
      </c>
      <c r="BQ19" s="334">
        <v>6.5366439999999999</v>
      </c>
      <c r="BR19" s="334">
        <v>18.207090000000001</v>
      </c>
      <c r="BS19" s="334">
        <v>78.720169999999996</v>
      </c>
      <c r="BT19" s="334">
        <v>379.2106</v>
      </c>
      <c r="BU19" s="334">
        <v>768.65639999999996</v>
      </c>
      <c r="BV19" s="334">
        <v>1036.202</v>
      </c>
    </row>
    <row r="20" spans="1:74" ht="11.1" customHeight="1" x14ac:dyDescent="0.2">
      <c r="A20" s="9" t="s">
        <v>142</v>
      </c>
      <c r="B20" s="211" t="s">
        <v>446</v>
      </c>
      <c r="C20" s="273">
        <v>1313.2141403999999</v>
      </c>
      <c r="D20" s="273">
        <v>1160.598941</v>
      </c>
      <c r="E20" s="273">
        <v>824.33507262000001</v>
      </c>
      <c r="F20" s="273">
        <v>455.21103188000001</v>
      </c>
      <c r="G20" s="273">
        <v>197.36895103000001</v>
      </c>
      <c r="H20" s="273">
        <v>40.483398805999997</v>
      </c>
      <c r="I20" s="273">
        <v>13.518300155</v>
      </c>
      <c r="J20" s="273">
        <v>22.058507857999999</v>
      </c>
      <c r="K20" s="273">
        <v>114.64878220999999</v>
      </c>
      <c r="L20" s="273">
        <v>416.60891198000002</v>
      </c>
      <c r="M20" s="273">
        <v>774.98039962999997</v>
      </c>
      <c r="N20" s="273">
        <v>1201.3417526000001</v>
      </c>
      <c r="O20" s="273">
        <v>1348.6615942000001</v>
      </c>
      <c r="P20" s="273">
        <v>1145.8223974</v>
      </c>
      <c r="Q20" s="273">
        <v>807.93391297000005</v>
      </c>
      <c r="R20" s="273">
        <v>466.61708641000001</v>
      </c>
      <c r="S20" s="273">
        <v>200.45926245000001</v>
      </c>
      <c r="T20" s="273">
        <v>39.866203456000001</v>
      </c>
      <c r="U20" s="273">
        <v>14.335762732999999</v>
      </c>
      <c r="V20" s="273">
        <v>22.208346039999999</v>
      </c>
      <c r="W20" s="273">
        <v>105.17250285</v>
      </c>
      <c r="X20" s="273">
        <v>397.32349945999999</v>
      </c>
      <c r="Y20" s="273">
        <v>757.46154765000006</v>
      </c>
      <c r="Z20" s="273">
        <v>1224.8778815000001</v>
      </c>
      <c r="AA20" s="273">
        <v>1342.0088008</v>
      </c>
      <c r="AB20" s="273">
        <v>1101.537253</v>
      </c>
      <c r="AC20" s="273">
        <v>820.36406772999999</v>
      </c>
      <c r="AD20" s="273">
        <v>454.64872821</v>
      </c>
      <c r="AE20" s="273">
        <v>209.88637722000001</v>
      </c>
      <c r="AF20" s="273">
        <v>40.615227290999997</v>
      </c>
      <c r="AG20" s="273">
        <v>14.504690977999999</v>
      </c>
      <c r="AH20" s="273">
        <v>25.401387677999999</v>
      </c>
      <c r="AI20" s="273">
        <v>103.70658424</v>
      </c>
      <c r="AJ20" s="273">
        <v>402.77463838</v>
      </c>
      <c r="AK20" s="273">
        <v>759.67490848</v>
      </c>
      <c r="AL20" s="273">
        <v>1216.8412662000001</v>
      </c>
      <c r="AM20" s="273">
        <v>1342.3496419999999</v>
      </c>
      <c r="AN20" s="273">
        <v>1098.1878936999999</v>
      </c>
      <c r="AO20" s="273">
        <v>814.29492189999996</v>
      </c>
      <c r="AP20" s="273">
        <v>471.34445923999999</v>
      </c>
      <c r="AQ20" s="273">
        <v>193.13981738000001</v>
      </c>
      <c r="AR20" s="273">
        <v>37.862884299999997</v>
      </c>
      <c r="AS20" s="273">
        <v>14.321136792000001</v>
      </c>
      <c r="AT20" s="273">
        <v>24.717245675000001</v>
      </c>
      <c r="AU20" s="273">
        <v>100.65084865</v>
      </c>
      <c r="AV20" s="273">
        <v>409.91655530000003</v>
      </c>
      <c r="AW20" s="273">
        <v>780.54926207000005</v>
      </c>
      <c r="AX20" s="273">
        <v>1189.413687</v>
      </c>
      <c r="AY20" s="273">
        <v>1331.4258064999999</v>
      </c>
      <c r="AZ20" s="273">
        <v>1125.7699408000001</v>
      </c>
      <c r="BA20" s="273">
        <v>829.58278730999996</v>
      </c>
      <c r="BB20" s="273">
        <v>466.23620153000002</v>
      </c>
      <c r="BC20" s="273">
        <v>199.1928609</v>
      </c>
      <c r="BD20" s="273">
        <v>36.991527927999996</v>
      </c>
      <c r="BE20" s="273">
        <v>10.827175104</v>
      </c>
      <c r="BF20" s="273">
        <v>23.574444915000001</v>
      </c>
      <c r="BG20" s="334">
        <v>97.091560000000001</v>
      </c>
      <c r="BH20" s="334">
        <v>402.54989999999998</v>
      </c>
      <c r="BI20" s="334">
        <v>811.22810000000004</v>
      </c>
      <c r="BJ20" s="334">
        <v>1165.07</v>
      </c>
      <c r="BK20" s="334">
        <v>1307.8019999999999</v>
      </c>
      <c r="BL20" s="334">
        <v>1110.742</v>
      </c>
      <c r="BM20" s="334">
        <v>828.35540000000003</v>
      </c>
      <c r="BN20" s="334">
        <v>489.3691</v>
      </c>
      <c r="BO20" s="334">
        <v>203.41890000000001</v>
      </c>
      <c r="BP20" s="334">
        <v>35.182780000000001</v>
      </c>
      <c r="BQ20" s="334">
        <v>10.623200000000001</v>
      </c>
      <c r="BR20" s="334">
        <v>24.10652</v>
      </c>
      <c r="BS20" s="334">
        <v>95.373090000000005</v>
      </c>
      <c r="BT20" s="334">
        <v>409.88490000000002</v>
      </c>
      <c r="BU20" s="334">
        <v>813.03570000000002</v>
      </c>
      <c r="BV20" s="334">
        <v>1154.5119999999999</v>
      </c>
    </row>
    <row r="21" spans="1:74" ht="11.1" customHeight="1" x14ac:dyDescent="0.2">
      <c r="A21" s="9" t="s">
        <v>143</v>
      </c>
      <c r="B21" s="211" t="s">
        <v>478</v>
      </c>
      <c r="C21" s="273">
        <v>614.79699015000006</v>
      </c>
      <c r="D21" s="273">
        <v>521.65162881000003</v>
      </c>
      <c r="E21" s="273">
        <v>362.28825494</v>
      </c>
      <c r="F21" s="273">
        <v>141.12837633000001</v>
      </c>
      <c r="G21" s="273">
        <v>41.574585161999998</v>
      </c>
      <c r="H21" s="273">
        <v>1.4053240704000001</v>
      </c>
      <c r="I21" s="273">
        <v>0.30398711283000002</v>
      </c>
      <c r="J21" s="273">
        <v>0.43541109469</v>
      </c>
      <c r="K21" s="273">
        <v>13.41507056</v>
      </c>
      <c r="L21" s="273">
        <v>139.87069192999999</v>
      </c>
      <c r="M21" s="273">
        <v>347.29309028</v>
      </c>
      <c r="N21" s="273">
        <v>484.96692324999998</v>
      </c>
      <c r="O21" s="273">
        <v>633.66402128000004</v>
      </c>
      <c r="P21" s="273">
        <v>518.15628692999996</v>
      </c>
      <c r="Q21" s="273">
        <v>350.36971073000001</v>
      </c>
      <c r="R21" s="273">
        <v>145.82722053000001</v>
      </c>
      <c r="S21" s="273">
        <v>40.969054886000002</v>
      </c>
      <c r="T21" s="273">
        <v>1.2274547280999999</v>
      </c>
      <c r="U21" s="273">
        <v>0.30045860739000002</v>
      </c>
      <c r="V21" s="273">
        <v>0.43222161561</v>
      </c>
      <c r="W21" s="273">
        <v>10.925615143</v>
      </c>
      <c r="X21" s="273">
        <v>131.30816639</v>
      </c>
      <c r="Y21" s="273">
        <v>344.49339319000001</v>
      </c>
      <c r="Z21" s="273">
        <v>490.08673051</v>
      </c>
      <c r="AA21" s="273">
        <v>629.74222577</v>
      </c>
      <c r="AB21" s="273">
        <v>490.95627647999999</v>
      </c>
      <c r="AC21" s="273">
        <v>355.49449043999999</v>
      </c>
      <c r="AD21" s="273">
        <v>133.73819650999999</v>
      </c>
      <c r="AE21" s="273">
        <v>41.545084160000002</v>
      </c>
      <c r="AF21" s="273">
        <v>1.3397530981000001</v>
      </c>
      <c r="AG21" s="273">
        <v>0.24535418795</v>
      </c>
      <c r="AH21" s="273">
        <v>0.48821139430999999</v>
      </c>
      <c r="AI21" s="273">
        <v>11.705049654</v>
      </c>
      <c r="AJ21" s="273">
        <v>133.46487977000001</v>
      </c>
      <c r="AK21" s="273">
        <v>341.71162543000003</v>
      </c>
      <c r="AL21" s="273">
        <v>498.59403424999999</v>
      </c>
      <c r="AM21" s="273">
        <v>638.64390200000003</v>
      </c>
      <c r="AN21" s="273">
        <v>477.73484465000001</v>
      </c>
      <c r="AO21" s="273">
        <v>363.50640292000003</v>
      </c>
      <c r="AP21" s="273">
        <v>139.15266134000001</v>
      </c>
      <c r="AQ21" s="273">
        <v>35.922924559999998</v>
      </c>
      <c r="AR21" s="273">
        <v>1.3466263956</v>
      </c>
      <c r="AS21" s="273">
        <v>0.22186172538000001</v>
      </c>
      <c r="AT21" s="273">
        <v>0.40412062107000002</v>
      </c>
      <c r="AU21" s="273">
        <v>10.804070496</v>
      </c>
      <c r="AV21" s="273">
        <v>126.04941608</v>
      </c>
      <c r="AW21" s="273">
        <v>338.61051957000001</v>
      </c>
      <c r="AX21" s="273">
        <v>498.96550382999999</v>
      </c>
      <c r="AY21" s="273">
        <v>629.97239179999997</v>
      </c>
      <c r="AZ21" s="273">
        <v>464.96546947000002</v>
      </c>
      <c r="BA21" s="273">
        <v>364.02929948000002</v>
      </c>
      <c r="BB21" s="273">
        <v>134.14903172999999</v>
      </c>
      <c r="BC21" s="273">
        <v>33.238106236999997</v>
      </c>
      <c r="BD21" s="273">
        <v>1.3566118673000001</v>
      </c>
      <c r="BE21" s="273">
        <v>9.0399587978000004E-2</v>
      </c>
      <c r="BF21" s="273">
        <v>0.40293225498000002</v>
      </c>
      <c r="BG21" s="334">
        <v>9.2359480000000005</v>
      </c>
      <c r="BH21" s="334">
        <v>117.49590000000001</v>
      </c>
      <c r="BI21" s="334">
        <v>348.93830000000003</v>
      </c>
      <c r="BJ21" s="334">
        <v>485.15260000000001</v>
      </c>
      <c r="BK21" s="334">
        <v>605.77269999999999</v>
      </c>
      <c r="BL21" s="334">
        <v>439.26319999999998</v>
      </c>
      <c r="BM21" s="334">
        <v>347.83670000000001</v>
      </c>
      <c r="BN21" s="334">
        <v>140.7715</v>
      </c>
      <c r="BO21" s="334">
        <v>37.896680000000003</v>
      </c>
      <c r="BP21" s="334">
        <v>1.55216</v>
      </c>
      <c r="BQ21" s="334">
        <v>8.7310399999999996E-2</v>
      </c>
      <c r="BR21" s="334">
        <v>0.39984520000000001</v>
      </c>
      <c r="BS21" s="334">
        <v>9.8536210000000004</v>
      </c>
      <c r="BT21" s="334">
        <v>118.2188</v>
      </c>
      <c r="BU21" s="334">
        <v>345.47320000000002</v>
      </c>
      <c r="BV21" s="334">
        <v>459.16789999999997</v>
      </c>
    </row>
    <row r="22" spans="1:74" ht="11.1" customHeight="1" x14ac:dyDescent="0.2">
      <c r="A22" s="9" t="s">
        <v>144</v>
      </c>
      <c r="B22" s="211" t="s">
        <v>448</v>
      </c>
      <c r="C22" s="273">
        <v>795.93906190999996</v>
      </c>
      <c r="D22" s="273">
        <v>669.02580359000001</v>
      </c>
      <c r="E22" s="273">
        <v>433.76347304000001</v>
      </c>
      <c r="F22" s="273">
        <v>172.73964853000001</v>
      </c>
      <c r="G22" s="273">
        <v>51.391999462000001</v>
      </c>
      <c r="H22" s="273">
        <v>1.1849783202999999</v>
      </c>
      <c r="I22" s="273">
        <v>0.23525100661000001</v>
      </c>
      <c r="J22" s="273">
        <v>0.16438956037999999</v>
      </c>
      <c r="K22" s="273">
        <v>19.038520385999998</v>
      </c>
      <c r="L22" s="273">
        <v>193.76439273</v>
      </c>
      <c r="M22" s="273">
        <v>464.85041395000002</v>
      </c>
      <c r="N22" s="273">
        <v>649.29523471000005</v>
      </c>
      <c r="O22" s="273">
        <v>824.15462264999996</v>
      </c>
      <c r="P22" s="273">
        <v>659.00728135999998</v>
      </c>
      <c r="Q22" s="273">
        <v>422.51563091999998</v>
      </c>
      <c r="R22" s="273">
        <v>179.05505631</v>
      </c>
      <c r="S22" s="273">
        <v>51.225516190999997</v>
      </c>
      <c r="T22" s="273">
        <v>0.82227160989000003</v>
      </c>
      <c r="U22" s="273">
        <v>0.23525100661000001</v>
      </c>
      <c r="V22" s="273">
        <v>0.16438956037999999</v>
      </c>
      <c r="W22" s="273">
        <v>15.399791243999999</v>
      </c>
      <c r="X22" s="273">
        <v>178.43520215999999</v>
      </c>
      <c r="Y22" s="273">
        <v>453.54825579999999</v>
      </c>
      <c r="Z22" s="273">
        <v>654.97181278000005</v>
      </c>
      <c r="AA22" s="273">
        <v>810.75030414000003</v>
      </c>
      <c r="AB22" s="273">
        <v>624.67425320999996</v>
      </c>
      <c r="AC22" s="273">
        <v>432.66560443999998</v>
      </c>
      <c r="AD22" s="273">
        <v>162.74620666999999</v>
      </c>
      <c r="AE22" s="273">
        <v>53.446847744999999</v>
      </c>
      <c r="AF22" s="273">
        <v>1.0913062764000001</v>
      </c>
      <c r="AG22" s="273">
        <v>0.23525100661000001</v>
      </c>
      <c r="AH22" s="273">
        <v>0.23456324138000001</v>
      </c>
      <c r="AI22" s="273">
        <v>17.137819776000001</v>
      </c>
      <c r="AJ22" s="273">
        <v>182.13982268000001</v>
      </c>
      <c r="AK22" s="273">
        <v>449.21691521999998</v>
      </c>
      <c r="AL22" s="273">
        <v>669.97204838000005</v>
      </c>
      <c r="AM22" s="273">
        <v>820.86813094000001</v>
      </c>
      <c r="AN22" s="273">
        <v>606.53371857000002</v>
      </c>
      <c r="AO22" s="273">
        <v>434.06614350000001</v>
      </c>
      <c r="AP22" s="273">
        <v>173.62924430000001</v>
      </c>
      <c r="AQ22" s="273">
        <v>46.873769369999998</v>
      </c>
      <c r="AR22" s="273">
        <v>1.0206147577</v>
      </c>
      <c r="AS22" s="273">
        <v>0.23525100661000001</v>
      </c>
      <c r="AT22" s="273">
        <v>0.23456324138000001</v>
      </c>
      <c r="AU22" s="273">
        <v>16.263395818999999</v>
      </c>
      <c r="AV22" s="273">
        <v>175.2024404</v>
      </c>
      <c r="AW22" s="273">
        <v>452.26101491999998</v>
      </c>
      <c r="AX22" s="273">
        <v>664.83605611999997</v>
      </c>
      <c r="AY22" s="273">
        <v>811.56717830000002</v>
      </c>
      <c r="AZ22" s="273">
        <v>593.86524046</v>
      </c>
      <c r="BA22" s="273">
        <v>443.94326130000002</v>
      </c>
      <c r="BB22" s="273">
        <v>169.30548489</v>
      </c>
      <c r="BC22" s="273">
        <v>43.828071971999996</v>
      </c>
      <c r="BD22" s="273">
        <v>1.2432250602999999</v>
      </c>
      <c r="BE22" s="273">
        <v>7.0474437215000005E-2</v>
      </c>
      <c r="BF22" s="273">
        <v>0.18748407885000001</v>
      </c>
      <c r="BG22" s="334">
        <v>14.789540000000001</v>
      </c>
      <c r="BH22" s="334">
        <v>163.8426</v>
      </c>
      <c r="BI22" s="334">
        <v>468.82810000000001</v>
      </c>
      <c r="BJ22" s="334">
        <v>644.70680000000004</v>
      </c>
      <c r="BK22" s="334">
        <v>781.89930000000004</v>
      </c>
      <c r="BL22" s="334">
        <v>567.32280000000003</v>
      </c>
      <c r="BM22" s="334">
        <v>422.20229999999998</v>
      </c>
      <c r="BN22" s="334">
        <v>180.70419999999999</v>
      </c>
      <c r="BO22" s="334">
        <v>49.349220000000003</v>
      </c>
      <c r="BP22" s="334">
        <v>1.5132650000000001</v>
      </c>
      <c r="BQ22" s="334">
        <v>7.0474400000000006E-2</v>
      </c>
      <c r="BR22" s="334">
        <v>0.18748409999999999</v>
      </c>
      <c r="BS22" s="334">
        <v>15.68046</v>
      </c>
      <c r="BT22" s="334">
        <v>164.52610000000001</v>
      </c>
      <c r="BU22" s="334">
        <v>469.13010000000003</v>
      </c>
      <c r="BV22" s="334">
        <v>622.09529999999995</v>
      </c>
    </row>
    <row r="23" spans="1:74" ht="11.1" customHeight="1" x14ac:dyDescent="0.2">
      <c r="A23" s="9" t="s">
        <v>145</v>
      </c>
      <c r="B23" s="211" t="s">
        <v>449</v>
      </c>
      <c r="C23" s="273">
        <v>558.15065861999994</v>
      </c>
      <c r="D23" s="273">
        <v>423.04128806</v>
      </c>
      <c r="E23" s="273">
        <v>239.87918081999999</v>
      </c>
      <c r="F23" s="273">
        <v>73.161590904999997</v>
      </c>
      <c r="G23" s="273">
        <v>9.8134640318000006</v>
      </c>
      <c r="H23" s="273">
        <v>6.7084325614999996E-2</v>
      </c>
      <c r="I23" s="273">
        <v>7.7023930851000001E-3</v>
      </c>
      <c r="J23" s="273">
        <v>0.1352503155</v>
      </c>
      <c r="K23" s="273">
        <v>4.7625677640999999</v>
      </c>
      <c r="L23" s="273">
        <v>66.883575116000003</v>
      </c>
      <c r="M23" s="273">
        <v>262.72241365999997</v>
      </c>
      <c r="N23" s="273">
        <v>485.22266587000001</v>
      </c>
      <c r="O23" s="273">
        <v>577.50259740000001</v>
      </c>
      <c r="P23" s="273">
        <v>411.39502643999998</v>
      </c>
      <c r="Q23" s="273">
        <v>238.63629682999999</v>
      </c>
      <c r="R23" s="273">
        <v>76.850308705000003</v>
      </c>
      <c r="S23" s="273">
        <v>11.108016597000001</v>
      </c>
      <c r="T23" s="273">
        <v>5.0529561927999997E-2</v>
      </c>
      <c r="U23" s="273">
        <v>7.7023930851000001E-3</v>
      </c>
      <c r="V23" s="273">
        <v>0.14280664081</v>
      </c>
      <c r="W23" s="273">
        <v>3.8909566594</v>
      </c>
      <c r="X23" s="273">
        <v>62.172738791</v>
      </c>
      <c r="Y23" s="273">
        <v>254.14140173000001</v>
      </c>
      <c r="Z23" s="273">
        <v>482.94161634</v>
      </c>
      <c r="AA23" s="273">
        <v>555.70312376000004</v>
      </c>
      <c r="AB23" s="273">
        <v>387.52169257999998</v>
      </c>
      <c r="AC23" s="273">
        <v>238.07159540000001</v>
      </c>
      <c r="AD23" s="273">
        <v>68.638105421000006</v>
      </c>
      <c r="AE23" s="273">
        <v>11.575094354999999</v>
      </c>
      <c r="AF23" s="273">
        <v>3.8684930550000003E-2</v>
      </c>
      <c r="AG23" s="273">
        <v>7.7023930851000001E-3</v>
      </c>
      <c r="AH23" s="273">
        <v>0.19252936046999999</v>
      </c>
      <c r="AI23" s="273">
        <v>3.9991415560000001</v>
      </c>
      <c r="AJ23" s="273">
        <v>63.614492732999999</v>
      </c>
      <c r="AK23" s="273">
        <v>249.31449185</v>
      </c>
      <c r="AL23" s="273">
        <v>487.81086864000002</v>
      </c>
      <c r="AM23" s="273">
        <v>564.33267603000002</v>
      </c>
      <c r="AN23" s="273">
        <v>386.94378958999999</v>
      </c>
      <c r="AO23" s="273">
        <v>232.01272121</v>
      </c>
      <c r="AP23" s="273">
        <v>74.018540873999996</v>
      </c>
      <c r="AQ23" s="273">
        <v>10.748290541999999</v>
      </c>
      <c r="AR23" s="273">
        <v>3.0545064608000001E-2</v>
      </c>
      <c r="AS23" s="273">
        <v>7.7023930851000001E-3</v>
      </c>
      <c r="AT23" s="273">
        <v>0.18374433542999999</v>
      </c>
      <c r="AU23" s="273">
        <v>3.3253678746999999</v>
      </c>
      <c r="AV23" s="273">
        <v>62.277579881999998</v>
      </c>
      <c r="AW23" s="273">
        <v>260.51728351999998</v>
      </c>
      <c r="AX23" s="273">
        <v>484.71343794000001</v>
      </c>
      <c r="AY23" s="273">
        <v>565.31968395000001</v>
      </c>
      <c r="AZ23" s="273">
        <v>393.61255288000001</v>
      </c>
      <c r="BA23" s="273">
        <v>240.21448921000001</v>
      </c>
      <c r="BB23" s="273">
        <v>72.896599273999996</v>
      </c>
      <c r="BC23" s="273">
        <v>10.443517085</v>
      </c>
      <c r="BD23" s="273">
        <v>5.5133005043999997E-2</v>
      </c>
      <c r="BE23" s="273">
        <v>7.7023930851000001E-3</v>
      </c>
      <c r="BF23" s="273">
        <v>0.13826662611000001</v>
      </c>
      <c r="BG23" s="334">
        <v>2.4771519999999998</v>
      </c>
      <c r="BH23" s="334">
        <v>58.991900000000001</v>
      </c>
      <c r="BI23" s="334">
        <v>272.34980000000002</v>
      </c>
      <c r="BJ23" s="334">
        <v>462.58789999999999</v>
      </c>
      <c r="BK23" s="334">
        <v>544.45489999999995</v>
      </c>
      <c r="BL23" s="334">
        <v>374.46960000000001</v>
      </c>
      <c r="BM23" s="334">
        <v>221.55070000000001</v>
      </c>
      <c r="BN23" s="334">
        <v>75.203999999999994</v>
      </c>
      <c r="BO23" s="334">
        <v>10.975020000000001</v>
      </c>
      <c r="BP23" s="334">
        <v>6.2515399999999999E-2</v>
      </c>
      <c r="BQ23" s="334">
        <v>7.7023899999999999E-3</v>
      </c>
      <c r="BR23" s="334">
        <v>0.13826659999999999</v>
      </c>
      <c r="BS23" s="334">
        <v>2.672355</v>
      </c>
      <c r="BT23" s="334">
        <v>58.852420000000002</v>
      </c>
      <c r="BU23" s="334">
        <v>270.79020000000003</v>
      </c>
      <c r="BV23" s="334">
        <v>458.84219999999999</v>
      </c>
    </row>
    <row r="24" spans="1:74" ht="11.1" customHeight="1" x14ac:dyDescent="0.2">
      <c r="A24" s="9" t="s">
        <v>146</v>
      </c>
      <c r="B24" s="211" t="s">
        <v>450</v>
      </c>
      <c r="C24" s="273">
        <v>903.08117368000001</v>
      </c>
      <c r="D24" s="273">
        <v>738.84273972999995</v>
      </c>
      <c r="E24" s="273">
        <v>589.23114518</v>
      </c>
      <c r="F24" s="273">
        <v>415.92993962000003</v>
      </c>
      <c r="G24" s="273">
        <v>235.26718245000001</v>
      </c>
      <c r="H24" s="273">
        <v>73.494864586999995</v>
      </c>
      <c r="I24" s="273">
        <v>13.370629012</v>
      </c>
      <c r="J24" s="273">
        <v>23.669272375999999</v>
      </c>
      <c r="K24" s="273">
        <v>109.77208594</v>
      </c>
      <c r="L24" s="273">
        <v>341.49328258000003</v>
      </c>
      <c r="M24" s="273">
        <v>610.40265539999996</v>
      </c>
      <c r="N24" s="273">
        <v>928.39504279000005</v>
      </c>
      <c r="O24" s="273">
        <v>913.74034759000006</v>
      </c>
      <c r="P24" s="273">
        <v>727.14786329000003</v>
      </c>
      <c r="Q24" s="273">
        <v>574.92560903000003</v>
      </c>
      <c r="R24" s="273">
        <v>417.80280854</v>
      </c>
      <c r="S24" s="273">
        <v>242.95264159999999</v>
      </c>
      <c r="T24" s="273">
        <v>72.861417509000006</v>
      </c>
      <c r="U24" s="273">
        <v>14.185491481</v>
      </c>
      <c r="V24" s="273">
        <v>23.883133351000001</v>
      </c>
      <c r="W24" s="273">
        <v>104.04601618</v>
      </c>
      <c r="X24" s="273">
        <v>329.30351173999998</v>
      </c>
      <c r="Y24" s="273">
        <v>602.39769386</v>
      </c>
      <c r="Z24" s="273">
        <v>930.04075799999998</v>
      </c>
      <c r="AA24" s="273">
        <v>905.21431787999995</v>
      </c>
      <c r="AB24" s="273">
        <v>717.93186681999998</v>
      </c>
      <c r="AC24" s="273">
        <v>570.96246195000003</v>
      </c>
      <c r="AD24" s="273">
        <v>418.07965711000003</v>
      </c>
      <c r="AE24" s="273">
        <v>246.52200963000001</v>
      </c>
      <c r="AF24" s="273">
        <v>72.214772382000007</v>
      </c>
      <c r="AG24" s="273">
        <v>14.400138562</v>
      </c>
      <c r="AH24" s="273">
        <v>24.971698370999999</v>
      </c>
      <c r="AI24" s="273">
        <v>104.68937741000001</v>
      </c>
      <c r="AJ24" s="273">
        <v>332.13894306999998</v>
      </c>
      <c r="AK24" s="273">
        <v>596.26725821000002</v>
      </c>
      <c r="AL24" s="273">
        <v>912.63122179000004</v>
      </c>
      <c r="AM24" s="273">
        <v>880.68663178999998</v>
      </c>
      <c r="AN24" s="273">
        <v>717.54707871000005</v>
      </c>
      <c r="AO24" s="273">
        <v>565.95579535000002</v>
      </c>
      <c r="AP24" s="273">
        <v>408.88583946</v>
      </c>
      <c r="AQ24" s="273">
        <v>236.78208723</v>
      </c>
      <c r="AR24" s="273">
        <v>68.656110208000001</v>
      </c>
      <c r="AS24" s="273">
        <v>14.067472757000001</v>
      </c>
      <c r="AT24" s="273">
        <v>24.832725045</v>
      </c>
      <c r="AU24" s="273">
        <v>100.11167965999999</v>
      </c>
      <c r="AV24" s="273">
        <v>337.08506871999998</v>
      </c>
      <c r="AW24" s="273">
        <v>609.85095951000005</v>
      </c>
      <c r="AX24" s="273">
        <v>908.53992340000002</v>
      </c>
      <c r="AY24" s="273">
        <v>886.13113997000005</v>
      </c>
      <c r="AZ24" s="273">
        <v>734.94275117999996</v>
      </c>
      <c r="BA24" s="273">
        <v>571.14996441000005</v>
      </c>
      <c r="BB24" s="273">
        <v>401.79137474999999</v>
      </c>
      <c r="BC24" s="273">
        <v>248.95010830999999</v>
      </c>
      <c r="BD24" s="273">
        <v>67.364674410999996</v>
      </c>
      <c r="BE24" s="273">
        <v>13.303030982999999</v>
      </c>
      <c r="BF24" s="273">
        <v>22.934475508999999</v>
      </c>
      <c r="BG24" s="334">
        <v>99.137910000000005</v>
      </c>
      <c r="BH24" s="334">
        <v>338.84379999999999</v>
      </c>
      <c r="BI24" s="334">
        <v>614.16380000000004</v>
      </c>
      <c r="BJ24" s="334">
        <v>890.94439999999997</v>
      </c>
      <c r="BK24" s="334">
        <v>882.04859999999996</v>
      </c>
      <c r="BL24" s="334">
        <v>733.37009999999998</v>
      </c>
      <c r="BM24" s="334">
        <v>566.58280000000002</v>
      </c>
      <c r="BN24" s="334">
        <v>398.61930000000001</v>
      </c>
      <c r="BO24" s="334">
        <v>236.2414</v>
      </c>
      <c r="BP24" s="334">
        <v>66.500860000000003</v>
      </c>
      <c r="BQ24" s="334">
        <v>12.88466</v>
      </c>
      <c r="BR24" s="334">
        <v>20.295829999999999</v>
      </c>
      <c r="BS24" s="334">
        <v>100.1254</v>
      </c>
      <c r="BT24" s="334">
        <v>340.95139999999998</v>
      </c>
      <c r="BU24" s="334">
        <v>605.47329999999999</v>
      </c>
      <c r="BV24" s="334">
        <v>899.88639999999998</v>
      </c>
    </row>
    <row r="25" spans="1:74" ht="11.1" customHeight="1" x14ac:dyDescent="0.2">
      <c r="A25" s="9" t="s">
        <v>147</v>
      </c>
      <c r="B25" s="211" t="s">
        <v>451</v>
      </c>
      <c r="C25" s="273">
        <v>563.82740695999996</v>
      </c>
      <c r="D25" s="273">
        <v>484.61698251000001</v>
      </c>
      <c r="E25" s="273">
        <v>447.57310056</v>
      </c>
      <c r="F25" s="273">
        <v>341.30210058</v>
      </c>
      <c r="G25" s="273">
        <v>195.02229073999999</v>
      </c>
      <c r="H25" s="273">
        <v>74.023116833000003</v>
      </c>
      <c r="I25" s="273">
        <v>16.942659238000001</v>
      </c>
      <c r="J25" s="273">
        <v>18.948591599</v>
      </c>
      <c r="K25" s="273">
        <v>52.506357023</v>
      </c>
      <c r="L25" s="273">
        <v>196.80409736999999</v>
      </c>
      <c r="M25" s="273">
        <v>404.01476467999998</v>
      </c>
      <c r="N25" s="273">
        <v>611.65164823999999</v>
      </c>
      <c r="O25" s="273">
        <v>564.17347041999994</v>
      </c>
      <c r="P25" s="273">
        <v>471.69770298999998</v>
      </c>
      <c r="Q25" s="273">
        <v>426.57058841000003</v>
      </c>
      <c r="R25" s="273">
        <v>327.07496988999998</v>
      </c>
      <c r="S25" s="273">
        <v>196.65661992</v>
      </c>
      <c r="T25" s="273">
        <v>73.974347459000001</v>
      </c>
      <c r="U25" s="273">
        <v>17.684837009999999</v>
      </c>
      <c r="V25" s="273">
        <v>17.609009018999998</v>
      </c>
      <c r="W25" s="273">
        <v>53.400239251000002</v>
      </c>
      <c r="X25" s="273">
        <v>192.86821143</v>
      </c>
      <c r="Y25" s="273">
        <v>397.35059605999999</v>
      </c>
      <c r="Z25" s="273">
        <v>615.48323913000002</v>
      </c>
      <c r="AA25" s="273">
        <v>563.51472052999998</v>
      </c>
      <c r="AB25" s="273">
        <v>472.54221694</v>
      </c>
      <c r="AC25" s="273">
        <v>428.57456569999999</v>
      </c>
      <c r="AD25" s="273">
        <v>325.47692146999998</v>
      </c>
      <c r="AE25" s="273">
        <v>195.75394080000001</v>
      </c>
      <c r="AF25" s="273">
        <v>71.226617998999998</v>
      </c>
      <c r="AG25" s="273">
        <v>17.796971245999998</v>
      </c>
      <c r="AH25" s="273">
        <v>16.276610708</v>
      </c>
      <c r="AI25" s="273">
        <v>49.646167366</v>
      </c>
      <c r="AJ25" s="273">
        <v>186.55691895000001</v>
      </c>
      <c r="AK25" s="273">
        <v>395.03356817000002</v>
      </c>
      <c r="AL25" s="273">
        <v>600.18912451999995</v>
      </c>
      <c r="AM25" s="273">
        <v>541.95197794000001</v>
      </c>
      <c r="AN25" s="273">
        <v>471.31501765000002</v>
      </c>
      <c r="AO25" s="273">
        <v>430.71144455000001</v>
      </c>
      <c r="AP25" s="273">
        <v>318.92688484000001</v>
      </c>
      <c r="AQ25" s="273">
        <v>192.77583920000001</v>
      </c>
      <c r="AR25" s="273">
        <v>69.881059426999997</v>
      </c>
      <c r="AS25" s="273">
        <v>16.449569755999999</v>
      </c>
      <c r="AT25" s="273">
        <v>15.578614997000001</v>
      </c>
      <c r="AU25" s="273">
        <v>50.535093420999999</v>
      </c>
      <c r="AV25" s="273">
        <v>186.73822372000001</v>
      </c>
      <c r="AW25" s="273">
        <v>397.72992126999998</v>
      </c>
      <c r="AX25" s="273">
        <v>590.20106549000002</v>
      </c>
      <c r="AY25" s="273">
        <v>542.85182976999999</v>
      </c>
      <c r="AZ25" s="273">
        <v>483.97992018999997</v>
      </c>
      <c r="BA25" s="273">
        <v>429.16618414999999</v>
      </c>
      <c r="BB25" s="273">
        <v>310.61439970999999</v>
      </c>
      <c r="BC25" s="273">
        <v>202.33278730999999</v>
      </c>
      <c r="BD25" s="273">
        <v>67.200373518000006</v>
      </c>
      <c r="BE25" s="273">
        <v>17.519633069000001</v>
      </c>
      <c r="BF25" s="273">
        <v>14.776635928999999</v>
      </c>
      <c r="BG25" s="334">
        <v>52.951039999999999</v>
      </c>
      <c r="BH25" s="334">
        <v>185.75129999999999</v>
      </c>
      <c r="BI25" s="334">
        <v>394.11250000000001</v>
      </c>
      <c r="BJ25" s="334">
        <v>581.73009999999999</v>
      </c>
      <c r="BK25" s="334">
        <v>545.40909999999997</v>
      </c>
      <c r="BL25" s="334">
        <v>481.54230000000001</v>
      </c>
      <c r="BM25" s="334">
        <v>434.9864</v>
      </c>
      <c r="BN25" s="334">
        <v>299.60469999999998</v>
      </c>
      <c r="BO25" s="334">
        <v>188.48150000000001</v>
      </c>
      <c r="BP25" s="334">
        <v>64.308629999999994</v>
      </c>
      <c r="BQ25" s="334">
        <v>16.845140000000001</v>
      </c>
      <c r="BR25" s="334">
        <v>13.243869999999999</v>
      </c>
      <c r="BS25" s="334">
        <v>52.329120000000003</v>
      </c>
      <c r="BT25" s="334">
        <v>184.80719999999999</v>
      </c>
      <c r="BU25" s="334">
        <v>388.75229999999999</v>
      </c>
      <c r="BV25" s="334">
        <v>585.77589999999998</v>
      </c>
    </row>
    <row r="26" spans="1:74" ht="11.1" customHeight="1" x14ac:dyDescent="0.2">
      <c r="A26" s="9" t="s">
        <v>148</v>
      </c>
      <c r="B26" s="211" t="s">
        <v>479</v>
      </c>
      <c r="C26" s="273">
        <v>869.58827083999995</v>
      </c>
      <c r="D26" s="273">
        <v>756.50125961000003</v>
      </c>
      <c r="E26" s="273">
        <v>573.07858614999998</v>
      </c>
      <c r="F26" s="273">
        <v>316.03443171999999</v>
      </c>
      <c r="G26" s="273">
        <v>136.59679842</v>
      </c>
      <c r="H26" s="273">
        <v>30.780301789999999</v>
      </c>
      <c r="I26" s="273">
        <v>7.1542927268999996</v>
      </c>
      <c r="J26" s="273">
        <v>11.33832924</v>
      </c>
      <c r="K26" s="273">
        <v>57.560874994999999</v>
      </c>
      <c r="L26" s="273">
        <v>257.08265139999997</v>
      </c>
      <c r="M26" s="273">
        <v>515.01072705000001</v>
      </c>
      <c r="N26" s="273">
        <v>762.62179073000004</v>
      </c>
      <c r="O26" s="273">
        <v>887.84396261999996</v>
      </c>
      <c r="P26" s="273">
        <v>746.90610031999995</v>
      </c>
      <c r="Q26" s="273">
        <v>557.79065188000004</v>
      </c>
      <c r="R26" s="273">
        <v>319.42684938999997</v>
      </c>
      <c r="S26" s="273">
        <v>137.33059675999999</v>
      </c>
      <c r="T26" s="273">
        <v>30.256147373000001</v>
      </c>
      <c r="U26" s="273">
        <v>7.4219273012000002</v>
      </c>
      <c r="V26" s="273">
        <v>10.824504741</v>
      </c>
      <c r="W26" s="273">
        <v>52.726808941999998</v>
      </c>
      <c r="X26" s="273">
        <v>245.70484117000001</v>
      </c>
      <c r="Y26" s="273">
        <v>509.25639171</v>
      </c>
      <c r="Z26" s="273">
        <v>771.72206014000005</v>
      </c>
      <c r="AA26" s="273">
        <v>880.48313293000001</v>
      </c>
      <c r="AB26" s="273">
        <v>717.62280508000003</v>
      </c>
      <c r="AC26" s="273">
        <v>562.01419738000004</v>
      </c>
      <c r="AD26" s="273">
        <v>306.82011147999998</v>
      </c>
      <c r="AE26" s="273">
        <v>140.89076550999999</v>
      </c>
      <c r="AF26" s="273">
        <v>29.971163747999999</v>
      </c>
      <c r="AG26" s="273">
        <v>7.2916343757000002</v>
      </c>
      <c r="AH26" s="273">
        <v>11.444282313</v>
      </c>
      <c r="AI26" s="273">
        <v>52.157213337000002</v>
      </c>
      <c r="AJ26" s="273">
        <v>246.73798393999999</v>
      </c>
      <c r="AK26" s="273">
        <v>506.04180219</v>
      </c>
      <c r="AL26" s="273">
        <v>771.74462014999995</v>
      </c>
      <c r="AM26" s="273">
        <v>881.52636454000003</v>
      </c>
      <c r="AN26" s="273">
        <v>707.17028816000004</v>
      </c>
      <c r="AO26" s="273">
        <v>561.79013615999997</v>
      </c>
      <c r="AP26" s="273">
        <v>315.25635628999999</v>
      </c>
      <c r="AQ26" s="273">
        <v>130.55139831</v>
      </c>
      <c r="AR26" s="273">
        <v>29.619211432</v>
      </c>
      <c r="AS26" s="273">
        <v>6.9423450582999999</v>
      </c>
      <c r="AT26" s="273">
        <v>10.599255898999999</v>
      </c>
      <c r="AU26" s="273">
        <v>50.357306147999999</v>
      </c>
      <c r="AV26" s="273">
        <v>243.68198663000001</v>
      </c>
      <c r="AW26" s="273">
        <v>511.88732415999999</v>
      </c>
      <c r="AX26" s="273">
        <v>762.30616654000005</v>
      </c>
      <c r="AY26" s="273">
        <v>872.33487853999998</v>
      </c>
      <c r="AZ26" s="273">
        <v>709.64482257999998</v>
      </c>
      <c r="BA26" s="273">
        <v>567.18111121000004</v>
      </c>
      <c r="BB26" s="273">
        <v>310.59955267999999</v>
      </c>
      <c r="BC26" s="273">
        <v>132.71798977</v>
      </c>
      <c r="BD26" s="273">
        <v>28.632677655999998</v>
      </c>
      <c r="BE26" s="273">
        <v>5.9272751454000003</v>
      </c>
      <c r="BF26" s="273">
        <v>10.158358298</v>
      </c>
      <c r="BG26" s="334">
        <v>48.218170000000001</v>
      </c>
      <c r="BH26" s="334">
        <v>235.79310000000001</v>
      </c>
      <c r="BI26" s="334">
        <v>526.06719999999996</v>
      </c>
      <c r="BJ26" s="334">
        <v>746.74360000000001</v>
      </c>
      <c r="BK26" s="334">
        <v>853.55290000000002</v>
      </c>
      <c r="BL26" s="334">
        <v>694.08820000000003</v>
      </c>
      <c r="BM26" s="334">
        <v>560.5095</v>
      </c>
      <c r="BN26" s="334">
        <v>319.17809999999997</v>
      </c>
      <c r="BO26" s="334">
        <v>134.18639999999999</v>
      </c>
      <c r="BP26" s="334">
        <v>28.079470000000001</v>
      </c>
      <c r="BQ26" s="334">
        <v>5.7631009999999998</v>
      </c>
      <c r="BR26" s="334">
        <v>9.8826579999999993</v>
      </c>
      <c r="BS26" s="334">
        <v>48.545940000000002</v>
      </c>
      <c r="BT26" s="334">
        <v>236.8228</v>
      </c>
      <c r="BU26" s="334">
        <v>522.79729999999995</v>
      </c>
      <c r="BV26" s="334">
        <v>734.3691</v>
      </c>
    </row>
    <row r="27" spans="1:74" ht="11.1" customHeight="1" x14ac:dyDescent="0.2">
      <c r="A27" s="8"/>
      <c r="B27" s="193" t="s">
        <v>161</v>
      </c>
      <c r="C27" s="248"/>
      <c r="D27" s="248"/>
      <c r="E27" s="248"/>
      <c r="F27" s="248"/>
      <c r="G27" s="248"/>
      <c r="H27" s="248"/>
      <c r="I27" s="248"/>
      <c r="J27" s="248"/>
      <c r="K27" s="248"/>
      <c r="L27" s="248"/>
      <c r="M27" s="248"/>
      <c r="N27" s="248"/>
      <c r="O27" s="248"/>
      <c r="P27" s="248"/>
      <c r="Q27" s="248"/>
      <c r="R27" s="248"/>
      <c r="S27" s="248"/>
      <c r="T27" s="248"/>
      <c r="U27" s="248"/>
      <c r="V27" s="248"/>
      <c r="W27" s="248"/>
      <c r="X27" s="248"/>
      <c r="Y27" s="248"/>
      <c r="Z27" s="248"/>
      <c r="AA27" s="248"/>
      <c r="AB27" s="248"/>
      <c r="AC27" s="248"/>
      <c r="AD27" s="248"/>
      <c r="AE27" s="248"/>
      <c r="AF27" s="248"/>
      <c r="AG27" s="248"/>
      <c r="AH27" s="248"/>
      <c r="AI27" s="248"/>
      <c r="AJ27" s="248"/>
      <c r="AK27" s="248"/>
      <c r="AL27" s="248"/>
      <c r="AM27" s="248"/>
      <c r="AN27" s="248"/>
      <c r="AO27" s="248"/>
      <c r="AP27" s="248"/>
      <c r="AQ27" s="248"/>
      <c r="AR27" s="248"/>
      <c r="AS27" s="248"/>
      <c r="AT27" s="248"/>
      <c r="AU27" s="248"/>
      <c r="AV27" s="248"/>
      <c r="AW27" s="248"/>
      <c r="AX27" s="248"/>
      <c r="AY27" s="248"/>
      <c r="AZ27" s="248"/>
      <c r="BA27" s="248"/>
      <c r="BB27" s="248"/>
      <c r="BC27" s="248"/>
      <c r="BD27" s="248"/>
      <c r="BE27" s="248"/>
      <c r="BF27" s="248"/>
      <c r="BG27" s="336"/>
      <c r="BH27" s="336"/>
      <c r="BI27" s="336"/>
      <c r="BJ27" s="336"/>
      <c r="BK27" s="336"/>
      <c r="BL27" s="336"/>
      <c r="BM27" s="336"/>
      <c r="BN27" s="336"/>
      <c r="BO27" s="336"/>
      <c r="BP27" s="336"/>
      <c r="BQ27" s="336"/>
      <c r="BR27" s="336"/>
      <c r="BS27" s="336"/>
      <c r="BT27" s="336"/>
      <c r="BU27" s="336"/>
      <c r="BV27" s="336"/>
    </row>
    <row r="28" spans="1:74" ht="11.1" customHeight="1" x14ac:dyDescent="0.2">
      <c r="A28" s="9" t="s">
        <v>39</v>
      </c>
      <c r="B28" s="211" t="s">
        <v>444</v>
      </c>
      <c r="C28" s="273">
        <v>0</v>
      </c>
      <c r="D28" s="273">
        <v>0</v>
      </c>
      <c r="E28" s="273">
        <v>0</v>
      </c>
      <c r="F28" s="273">
        <v>0</v>
      </c>
      <c r="G28" s="273">
        <v>6.9429501632999999</v>
      </c>
      <c r="H28" s="273">
        <v>74.804578000000006</v>
      </c>
      <c r="I28" s="273">
        <v>241.49577790999999</v>
      </c>
      <c r="J28" s="273">
        <v>241.32453444999999</v>
      </c>
      <c r="K28" s="273">
        <v>61.104476378000001</v>
      </c>
      <c r="L28" s="273">
        <v>0</v>
      </c>
      <c r="M28" s="273">
        <v>0</v>
      </c>
      <c r="N28" s="273">
        <v>0</v>
      </c>
      <c r="O28" s="273">
        <v>0</v>
      </c>
      <c r="P28" s="273">
        <v>0</v>
      </c>
      <c r="Q28" s="273">
        <v>0</v>
      </c>
      <c r="R28" s="273">
        <v>0</v>
      </c>
      <c r="S28" s="273">
        <v>3.0812953462000001</v>
      </c>
      <c r="T28" s="273">
        <v>72.280444177999996</v>
      </c>
      <c r="U28" s="273">
        <v>169.78221540000001</v>
      </c>
      <c r="V28" s="273">
        <v>128.2303833</v>
      </c>
      <c r="W28" s="273">
        <v>66.374321101999996</v>
      </c>
      <c r="X28" s="273">
        <v>10.657088376999999</v>
      </c>
      <c r="Y28" s="273">
        <v>0</v>
      </c>
      <c r="Z28" s="273">
        <v>0</v>
      </c>
      <c r="AA28" s="273">
        <v>0</v>
      </c>
      <c r="AB28" s="273">
        <v>0</v>
      </c>
      <c r="AC28" s="273">
        <v>0</v>
      </c>
      <c r="AD28" s="273">
        <v>0</v>
      </c>
      <c r="AE28" s="273">
        <v>25.200350142000001</v>
      </c>
      <c r="AF28" s="273">
        <v>57.360347716</v>
      </c>
      <c r="AG28" s="273">
        <v>254.28925645999999</v>
      </c>
      <c r="AH28" s="273">
        <v>265.74054390999999</v>
      </c>
      <c r="AI28" s="273">
        <v>64.382147716000006</v>
      </c>
      <c r="AJ28" s="273">
        <v>0</v>
      </c>
      <c r="AK28" s="273">
        <v>0</v>
      </c>
      <c r="AL28" s="273">
        <v>0</v>
      </c>
      <c r="AM28" s="273">
        <v>0</v>
      </c>
      <c r="AN28" s="273">
        <v>0</v>
      </c>
      <c r="AO28" s="273">
        <v>0</v>
      </c>
      <c r="AP28" s="273">
        <v>0</v>
      </c>
      <c r="AQ28" s="273">
        <v>3.3142174013000001</v>
      </c>
      <c r="AR28" s="273">
        <v>64.677572443000003</v>
      </c>
      <c r="AS28" s="273">
        <v>274.93194232000002</v>
      </c>
      <c r="AT28" s="273">
        <v>165.78624511000001</v>
      </c>
      <c r="AU28" s="273">
        <v>28.175426147</v>
      </c>
      <c r="AV28" s="273">
        <v>0</v>
      </c>
      <c r="AW28" s="273">
        <v>0</v>
      </c>
      <c r="AX28" s="273">
        <v>0</v>
      </c>
      <c r="AY28" s="273">
        <v>0</v>
      </c>
      <c r="AZ28" s="273">
        <v>0</v>
      </c>
      <c r="BA28" s="273">
        <v>0</v>
      </c>
      <c r="BB28" s="273">
        <v>0</v>
      </c>
      <c r="BC28" s="273">
        <v>3.4216339199000001</v>
      </c>
      <c r="BD28" s="273">
        <v>101.46203614</v>
      </c>
      <c r="BE28" s="273">
        <v>295.68723939</v>
      </c>
      <c r="BF28" s="273">
        <v>228.18696793999999</v>
      </c>
      <c r="BG28" s="334">
        <v>29.836589140000001</v>
      </c>
      <c r="BH28" s="334">
        <v>1.396977122</v>
      </c>
      <c r="BI28" s="334">
        <v>0</v>
      </c>
      <c r="BJ28" s="334">
        <v>0</v>
      </c>
      <c r="BK28" s="334">
        <v>0</v>
      </c>
      <c r="BL28" s="334">
        <v>0</v>
      </c>
      <c r="BM28" s="334">
        <v>0</v>
      </c>
      <c r="BN28" s="334">
        <v>0</v>
      </c>
      <c r="BO28" s="334">
        <v>7.7348742022000003</v>
      </c>
      <c r="BP28" s="334">
        <v>76.175594709999999</v>
      </c>
      <c r="BQ28" s="334">
        <v>208.48180790999999</v>
      </c>
      <c r="BR28" s="334">
        <v>178.64223851</v>
      </c>
      <c r="BS28" s="334">
        <v>30.690975375000001</v>
      </c>
      <c r="BT28" s="334">
        <v>2.0994252017999999</v>
      </c>
      <c r="BU28" s="334">
        <v>0</v>
      </c>
      <c r="BV28" s="334">
        <v>0</v>
      </c>
    </row>
    <row r="29" spans="1:74" ht="11.1" customHeight="1" x14ac:dyDescent="0.2">
      <c r="A29" s="9" t="s">
        <v>40</v>
      </c>
      <c r="B29" s="211" t="s">
        <v>477</v>
      </c>
      <c r="C29" s="273">
        <v>0</v>
      </c>
      <c r="D29" s="273">
        <v>0</v>
      </c>
      <c r="E29" s="273">
        <v>0</v>
      </c>
      <c r="F29" s="273">
        <v>0</v>
      </c>
      <c r="G29" s="273">
        <v>16.980778483000002</v>
      </c>
      <c r="H29" s="273">
        <v>129.23229617999999</v>
      </c>
      <c r="I29" s="273">
        <v>309.62681778000001</v>
      </c>
      <c r="J29" s="273">
        <v>311.87921075000003</v>
      </c>
      <c r="K29" s="273">
        <v>114.0397237</v>
      </c>
      <c r="L29" s="273">
        <v>5.5743631926999999</v>
      </c>
      <c r="M29" s="273">
        <v>0</v>
      </c>
      <c r="N29" s="273">
        <v>0</v>
      </c>
      <c r="O29" s="273">
        <v>0</v>
      </c>
      <c r="P29" s="273">
        <v>0</v>
      </c>
      <c r="Q29" s="273">
        <v>0</v>
      </c>
      <c r="R29" s="273">
        <v>2.1952704368</v>
      </c>
      <c r="S29" s="273">
        <v>14.347029594</v>
      </c>
      <c r="T29" s="273">
        <v>122.51110405999999</v>
      </c>
      <c r="U29" s="273">
        <v>250.93748525000001</v>
      </c>
      <c r="V29" s="273">
        <v>162.09179270000001</v>
      </c>
      <c r="W29" s="273">
        <v>86.938066500999994</v>
      </c>
      <c r="X29" s="273">
        <v>21.577556053999999</v>
      </c>
      <c r="Y29" s="273">
        <v>0</v>
      </c>
      <c r="Z29" s="273">
        <v>0</v>
      </c>
      <c r="AA29" s="273">
        <v>0</v>
      </c>
      <c r="AB29" s="273">
        <v>0</v>
      </c>
      <c r="AC29" s="273">
        <v>0</v>
      </c>
      <c r="AD29" s="273">
        <v>0</v>
      </c>
      <c r="AE29" s="273">
        <v>65.037853966</v>
      </c>
      <c r="AF29" s="273">
        <v>110.65552518</v>
      </c>
      <c r="AG29" s="273">
        <v>286.84718910999999</v>
      </c>
      <c r="AH29" s="273">
        <v>297.49049886</v>
      </c>
      <c r="AI29" s="273">
        <v>121.41716781</v>
      </c>
      <c r="AJ29" s="273">
        <v>3.7002868960000002</v>
      </c>
      <c r="AK29" s="273">
        <v>0</v>
      </c>
      <c r="AL29" s="273">
        <v>0</v>
      </c>
      <c r="AM29" s="273">
        <v>0</v>
      </c>
      <c r="AN29" s="273">
        <v>0</v>
      </c>
      <c r="AO29" s="273">
        <v>0</v>
      </c>
      <c r="AP29" s="273">
        <v>0.43177249001000001</v>
      </c>
      <c r="AQ29" s="273">
        <v>31.440256382000001</v>
      </c>
      <c r="AR29" s="273">
        <v>112.91056267</v>
      </c>
      <c r="AS29" s="273">
        <v>326.05212588000001</v>
      </c>
      <c r="AT29" s="273">
        <v>218.37354488</v>
      </c>
      <c r="AU29" s="273">
        <v>87.662404284000004</v>
      </c>
      <c r="AV29" s="273">
        <v>7.6224326719000004</v>
      </c>
      <c r="AW29" s="273">
        <v>0</v>
      </c>
      <c r="AX29" s="273">
        <v>0</v>
      </c>
      <c r="AY29" s="273">
        <v>0</v>
      </c>
      <c r="AZ29" s="273">
        <v>0</v>
      </c>
      <c r="BA29" s="273">
        <v>0</v>
      </c>
      <c r="BB29" s="273">
        <v>0</v>
      </c>
      <c r="BC29" s="273">
        <v>11.263573274000001</v>
      </c>
      <c r="BD29" s="273">
        <v>147.98363660000001</v>
      </c>
      <c r="BE29" s="273">
        <v>364.30157449000001</v>
      </c>
      <c r="BF29" s="273">
        <v>285.66552289999998</v>
      </c>
      <c r="BG29" s="334">
        <v>60.718585138999998</v>
      </c>
      <c r="BH29" s="334">
        <v>4.3941451402</v>
      </c>
      <c r="BI29" s="334">
        <v>0</v>
      </c>
      <c r="BJ29" s="334">
        <v>0</v>
      </c>
      <c r="BK29" s="334">
        <v>0</v>
      </c>
      <c r="BL29" s="334">
        <v>0</v>
      </c>
      <c r="BM29" s="334">
        <v>0</v>
      </c>
      <c r="BN29" s="334">
        <v>0</v>
      </c>
      <c r="BO29" s="334">
        <v>25.522240318000001</v>
      </c>
      <c r="BP29" s="334">
        <v>127.83007026999999</v>
      </c>
      <c r="BQ29" s="334">
        <v>260.83420976999997</v>
      </c>
      <c r="BR29" s="334">
        <v>224.24118541000001</v>
      </c>
      <c r="BS29" s="334">
        <v>62.176037096000002</v>
      </c>
      <c r="BT29" s="334">
        <v>5.1438197409999997</v>
      </c>
      <c r="BU29" s="334">
        <v>0</v>
      </c>
      <c r="BV29" s="334">
        <v>0</v>
      </c>
    </row>
    <row r="30" spans="1:74" ht="11.1" customHeight="1" x14ac:dyDescent="0.2">
      <c r="A30" s="9" t="s">
        <v>41</v>
      </c>
      <c r="B30" s="211" t="s">
        <v>445</v>
      </c>
      <c r="C30" s="273">
        <v>0</v>
      </c>
      <c r="D30" s="273">
        <v>0</v>
      </c>
      <c r="E30" s="273">
        <v>3.4718497718000001</v>
      </c>
      <c r="F30" s="273">
        <v>0.68960890871000002</v>
      </c>
      <c r="G30" s="273">
        <v>42.416029278000003</v>
      </c>
      <c r="H30" s="273">
        <v>187.82647957</v>
      </c>
      <c r="I30" s="273">
        <v>276.68194543999999</v>
      </c>
      <c r="J30" s="273">
        <v>296.76762129000002</v>
      </c>
      <c r="K30" s="273">
        <v>130.91785350999999</v>
      </c>
      <c r="L30" s="273">
        <v>18.753475743999999</v>
      </c>
      <c r="M30" s="273">
        <v>0</v>
      </c>
      <c r="N30" s="273">
        <v>0</v>
      </c>
      <c r="O30" s="273">
        <v>0</v>
      </c>
      <c r="P30" s="273">
        <v>0</v>
      </c>
      <c r="Q30" s="273">
        <v>0.55694610412000001</v>
      </c>
      <c r="R30" s="273">
        <v>6.5869929608</v>
      </c>
      <c r="S30" s="273">
        <v>36.782834065000003</v>
      </c>
      <c r="T30" s="273">
        <v>167.08349716000001</v>
      </c>
      <c r="U30" s="273">
        <v>242.02509469</v>
      </c>
      <c r="V30" s="273">
        <v>147.7303857</v>
      </c>
      <c r="W30" s="273">
        <v>92.281069876999993</v>
      </c>
      <c r="X30" s="273">
        <v>15.670181381000001</v>
      </c>
      <c r="Y30" s="273">
        <v>0</v>
      </c>
      <c r="Z30" s="273">
        <v>0</v>
      </c>
      <c r="AA30" s="273">
        <v>0</v>
      </c>
      <c r="AB30" s="273">
        <v>0</v>
      </c>
      <c r="AC30" s="273">
        <v>0</v>
      </c>
      <c r="AD30" s="273">
        <v>0</v>
      </c>
      <c r="AE30" s="273">
        <v>139.87754967000001</v>
      </c>
      <c r="AF30" s="273">
        <v>192.04215593999999</v>
      </c>
      <c r="AG30" s="273">
        <v>257.37837342</v>
      </c>
      <c r="AH30" s="273">
        <v>256.56986616</v>
      </c>
      <c r="AI30" s="273">
        <v>122.44682395</v>
      </c>
      <c r="AJ30" s="273">
        <v>3.8814661186000001</v>
      </c>
      <c r="AK30" s="273">
        <v>0</v>
      </c>
      <c r="AL30" s="273">
        <v>0</v>
      </c>
      <c r="AM30" s="273">
        <v>0</v>
      </c>
      <c r="AN30" s="273">
        <v>0</v>
      </c>
      <c r="AO30" s="273">
        <v>0</v>
      </c>
      <c r="AP30" s="273">
        <v>0.80643013808999997</v>
      </c>
      <c r="AQ30" s="273">
        <v>47.428302295999998</v>
      </c>
      <c r="AR30" s="273">
        <v>126.67874069</v>
      </c>
      <c r="AS30" s="273">
        <v>320.18057302</v>
      </c>
      <c r="AT30" s="273">
        <v>194.41978764000001</v>
      </c>
      <c r="AU30" s="273">
        <v>135.45465082999999</v>
      </c>
      <c r="AV30" s="273">
        <v>6.6640099212999999</v>
      </c>
      <c r="AW30" s="273">
        <v>0</v>
      </c>
      <c r="AX30" s="273">
        <v>0</v>
      </c>
      <c r="AY30" s="273">
        <v>0</v>
      </c>
      <c r="AZ30" s="273">
        <v>0</v>
      </c>
      <c r="BA30" s="273">
        <v>1.757734906</v>
      </c>
      <c r="BB30" s="273">
        <v>0</v>
      </c>
      <c r="BC30" s="273">
        <v>31.785151189</v>
      </c>
      <c r="BD30" s="273">
        <v>187.53681902</v>
      </c>
      <c r="BE30" s="273">
        <v>336.18474478000002</v>
      </c>
      <c r="BF30" s="273">
        <v>226.89119683999999</v>
      </c>
      <c r="BG30" s="334">
        <v>67.434415040000005</v>
      </c>
      <c r="BH30" s="334">
        <v>6.5730924999999996</v>
      </c>
      <c r="BI30" s="334">
        <v>0</v>
      </c>
      <c r="BJ30" s="334">
        <v>0</v>
      </c>
      <c r="BK30" s="334">
        <v>0</v>
      </c>
      <c r="BL30" s="334">
        <v>0</v>
      </c>
      <c r="BM30" s="334">
        <v>0.41320739527</v>
      </c>
      <c r="BN30" s="334">
        <v>1.9021632715000001</v>
      </c>
      <c r="BO30" s="334">
        <v>55.922198010999999</v>
      </c>
      <c r="BP30" s="334">
        <v>159.38622555000001</v>
      </c>
      <c r="BQ30" s="334">
        <v>254.91609095999999</v>
      </c>
      <c r="BR30" s="334">
        <v>218.56172169999999</v>
      </c>
      <c r="BS30" s="334">
        <v>68.687824016999997</v>
      </c>
      <c r="BT30" s="334">
        <v>6.8215165471999999</v>
      </c>
      <c r="BU30" s="334">
        <v>0</v>
      </c>
      <c r="BV30" s="334">
        <v>0</v>
      </c>
    </row>
    <row r="31" spans="1:74" ht="11.1" customHeight="1" x14ac:dyDescent="0.2">
      <c r="A31" s="9" t="s">
        <v>42</v>
      </c>
      <c r="B31" s="211" t="s">
        <v>446</v>
      </c>
      <c r="C31" s="273">
        <v>0</v>
      </c>
      <c r="D31" s="273">
        <v>7.6355745214000001E-2</v>
      </c>
      <c r="E31" s="273">
        <v>9.5590538821000006</v>
      </c>
      <c r="F31" s="273">
        <v>7.7981151947000003</v>
      </c>
      <c r="G31" s="273">
        <v>48.685852683999997</v>
      </c>
      <c r="H31" s="273">
        <v>263.33631735</v>
      </c>
      <c r="I31" s="273">
        <v>306.13323129000003</v>
      </c>
      <c r="J31" s="273">
        <v>268.51069006</v>
      </c>
      <c r="K31" s="273">
        <v>138.22961129999999</v>
      </c>
      <c r="L31" s="273">
        <v>28.478217400999998</v>
      </c>
      <c r="M31" s="273">
        <v>1.9849946745</v>
      </c>
      <c r="N31" s="273">
        <v>0</v>
      </c>
      <c r="O31" s="273">
        <v>0</v>
      </c>
      <c r="P31" s="273">
        <v>2.9691825148</v>
      </c>
      <c r="Q31" s="273">
        <v>5.7266368188000003</v>
      </c>
      <c r="R31" s="273">
        <v>8.7278355653999995</v>
      </c>
      <c r="S31" s="273">
        <v>50.603348938000003</v>
      </c>
      <c r="T31" s="273">
        <v>205.54876204999999</v>
      </c>
      <c r="U31" s="273">
        <v>330.50418642</v>
      </c>
      <c r="V31" s="273">
        <v>165.70961578000001</v>
      </c>
      <c r="W31" s="273">
        <v>126.93570371</v>
      </c>
      <c r="X31" s="273">
        <v>14.00239667</v>
      </c>
      <c r="Y31" s="273">
        <v>0</v>
      </c>
      <c r="Z31" s="273">
        <v>0</v>
      </c>
      <c r="AA31" s="273">
        <v>0</v>
      </c>
      <c r="AB31" s="273">
        <v>0</v>
      </c>
      <c r="AC31" s="273">
        <v>1.8153908825</v>
      </c>
      <c r="AD31" s="273">
        <v>0</v>
      </c>
      <c r="AE31" s="273">
        <v>167.98518680000001</v>
      </c>
      <c r="AF31" s="273">
        <v>272.41845123000002</v>
      </c>
      <c r="AG31" s="273">
        <v>304.34618272</v>
      </c>
      <c r="AH31" s="273">
        <v>258.07929557</v>
      </c>
      <c r="AI31" s="273">
        <v>124.0292596</v>
      </c>
      <c r="AJ31" s="273">
        <v>5.6610514298999997</v>
      </c>
      <c r="AK31" s="273">
        <v>0</v>
      </c>
      <c r="AL31" s="273">
        <v>0</v>
      </c>
      <c r="AM31" s="273">
        <v>0</v>
      </c>
      <c r="AN31" s="273">
        <v>0</v>
      </c>
      <c r="AO31" s="273">
        <v>0</v>
      </c>
      <c r="AP31" s="273">
        <v>6.0793854377000001</v>
      </c>
      <c r="AQ31" s="273">
        <v>41.861069978000003</v>
      </c>
      <c r="AR31" s="273">
        <v>174.69604447</v>
      </c>
      <c r="AS31" s="273">
        <v>321.10991313</v>
      </c>
      <c r="AT31" s="273">
        <v>224.75187213999999</v>
      </c>
      <c r="AU31" s="273">
        <v>182.79510633000001</v>
      </c>
      <c r="AV31" s="273">
        <v>2.4117196426</v>
      </c>
      <c r="AW31" s="273">
        <v>0</v>
      </c>
      <c r="AX31" s="273">
        <v>0</v>
      </c>
      <c r="AY31" s="273">
        <v>0</v>
      </c>
      <c r="AZ31" s="273">
        <v>0</v>
      </c>
      <c r="BA31" s="273">
        <v>6.2192247820000004</v>
      </c>
      <c r="BB31" s="273">
        <v>1.3864409677</v>
      </c>
      <c r="BC31" s="273">
        <v>37.115434841000003</v>
      </c>
      <c r="BD31" s="273">
        <v>257.09067814000002</v>
      </c>
      <c r="BE31" s="273">
        <v>345.67166277000001</v>
      </c>
      <c r="BF31" s="273">
        <v>261.33374789999999</v>
      </c>
      <c r="BG31" s="334">
        <v>95.621934637999999</v>
      </c>
      <c r="BH31" s="334">
        <v>10.249435822000001</v>
      </c>
      <c r="BI31" s="334">
        <v>0.28602577164999998</v>
      </c>
      <c r="BJ31" s="334">
        <v>0</v>
      </c>
      <c r="BK31" s="334">
        <v>0</v>
      </c>
      <c r="BL31" s="334">
        <v>0</v>
      </c>
      <c r="BM31" s="334">
        <v>2.9922426603000001</v>
      </c>
      <c r="BN31" s="334">
        <v>6.9351372992</v>
      </c>
      <c r="BO31" s="334">
        <v>66.833597695999998</v>
      </c>
      <c r="BP31" s="334">
        <v>191.71015098999999</v>
      </c>
      <c r="BQ31" s="334">
        <v>310.77280769999999</v>
      </c>
      <c r="BR31" s="334">
        <v>269.00541387999999</v>
      </c>
      <c r="BS31" s="334">
        <v>94.535638429000002</v>
      </c>
      <c r="BT31" s="334">
        <v>9.8342757314</v>
      </c>
      <c r="BU31" s="334">
        <v>0.28576300854999998</v>
      </c>
      <c r="BV31" s="334">
        <v>0</v>
      </c>
    </row>
    <row r="32" spans="1:74" ht="11.1" customHeight="1" x14ac:dyDescent="0.2">
      <c r="A32" s="9" t="s">
        <v>338</v>
      </c>
      <c r="B32" s="211" t="s">
        <v>478</v>
      </c>
      <c r="C32" s="273">
        <v>24.843597566</v>
      </c>
      <c r="D32" s="273">
        <v>23.498345171</v>
      </c>
      <c r="E32" s="273">
        <v>89.069081409999995</v>
      </c>
      <c r="F32" s="273">
        <v>87.113455776999999</v>
      </c>
      <c r="G32" s="273">
        <v>185.09972343000001</v>
      </c>
      <c r="H32" s="273">
        <v>378.98053598000001</v>
      </c>
      <c r="I32" s="273">
        <v>509.25869465</v>
      </c>
      <c r="J32" s="273">
        <v>483.87916173999997</v>
      </c>
      <c r="K32" s="273">
        <v>352.04206662000001</v>
      </c>
      <c r="L32" s="273">
        <v>156.4889585</v>
      </c>
      <c r="M32" s="273">
        <v>56.061109637999998</v>
      </c>
      <c r="N32" s="273">
        <v>65.348261265000005</v>
      </c>
      <c r="O32" s="273">
        <v>50.228793220999997</v>
      </c>
      <c r="P32" s="273">
        <v>54.535873246000001</v>
      </c>
      <c r="Q32" s="273">
        <v>56.002271520999997</v>
      </c>
      <c r="R32" s="273">
        <v>123.91028535</v>
      </c>
      <c r="S32" s="273">
        <v>212.49454420000001</v>
      </c>
      <c r="T32" s="273">
        <v>337.01760839999997</v>
      </c>
      <c r="U32" s="273">
        <v>468.54001299999999</v>
      </c>
      <c r="V32" s="273">
        <v>406.15240240999998</v>
      </c>
      <c r="W32" s="273">
        <v>281.75783733999998</v>
      </c>
      <c r="X32" s="273">
        <v>158.69881407</v>
      </c>
      <c r="Y32" s="273">
        <v>66.387678155000003</v>
      </c>
      <c r="Z32" s="273">
        <v>38.188036406000002</v>
      </c>
      <c r="AA32" s="273">
        <v>20.891786569000001</v>
      </c>
      <c r="AB32" s="273">
        <v>80.785904712999994</v>
      </c>
      <c r="AC32" s="273">
        <v>34.768319398000003</v>
      </c>
      <c r="AD32" s="273">
        <v>79.382297042000005</v>
      </c>
      <c r="AE32" s="273">
        <v>264.94064827</v>
      </c>
      <c r="AF32" s="273">
        <v>384.58047900999998</v>
      </c>
      <c r="AG32" s="273">
        <v>440.99387956999999</v>
      </c>
      <c r="AH32" s="273">
        <v>438.69797668000001</v>
      </c>
      <c r="AI32" s="273">
        <v>390.96846459</v>
      </c>
      <c r="AJ32" s="273">
        <v>176.06806272</v>
      </c>
      <c r="AK32" s="273">
        <v>66.118193933000001</v>
      </c>
      <c r="AL32" s="273">
        <v>39.675665336999998</v>
      </c>
      <c r="AM32" s="273">
        <v>29.793210225999999</v>
      </c>
      <c r="AN32" s="273">
        <v>67.055967183000007</v>
      </c>
      <c r="AO32" s="273">
        <v>56.715534746000003</v>
      </c>
      <c r="AP32" s="273">
        <v>100.80017193</v>
      </c>
      <c r="AQ32" s="273">
        <v>293.21047491000002</v>
      </c>
      <c r="AR32" s="273">
        <v>361.03668678999998</v>
      </c>
      <c r="AS32" s="273">
        <v>480.01638217999999</v>
      </c>
      <c r="AT32" s="273">
        <v>441.33160012000002</v>
      </c>
      <c r="AU32" s="273">
        <v>375.04929411000001</v>
      </c>
      <c r="AV32" s="273">
        <v>203.52568337</v>
      </c>
      <c r="AW32" s="273">
        <v>53.524616115999997</v>
      </c>
      <c r="AX32" s="273">
        <v>50.465131526</v>
      </c>
      <c r="AY32" s="273">
        <v>46.804800540999999</v>
      </c>
      <c r="AZ32" s="273">
        <v>46.649511068000002</v>
      </c>
      <c r="BA32" s="273">
        <v>101.78623788</v>
      </c>
      <c r="BB32" s="273">
        <v>109.32375771</v>
      </c>
      <c r="BC32" s="273">
        <v>166.42157667999999</v>
      </c>
      <c r="BD32" s="273">
        <v>344.80254525999999</v>
      </c>
      <c r="BE32" s="273">
        <v>502.89202174000002</v>
      </c>
      <c r="BF32" s="273">
        <v>456.61659264000002</v>
      </c>
      <c r="BG32" s="334">
        <v>276.45531596000001</v>
      </c>
      <c r="BH32" s="334">
        <v>135.23731838</v>
      </c>
      <c r="BI32" s="334">
        <v>59.174518925000001</v>
      </c>
      <c r="BJ32" s="334">
        <v>35.482225225000001</v>
      </c>
      <c r="BK32" s="334">
        <v>33.254112356</v>
      </c>
      <c r="BL32" s="334">
        <v>36.309213212000003</v>
      </c>
      <c r="BM32" s="334">
        <v>57.463867544000003</v>
      </c>
      <c r="BN32" s="334">
        <v>85.589014395000007</v>
      </c>
      <c r="BO32" s="334">
        <v>216.78478161000001</v>
      </c>
      <c r="BP32" s="334">
        <v>368.6393453</v>
      </c>
      <c r="BQ32" s="334">
        <v>462.07967678</v>
      </c>
      <c r="BR32" s="334">
        <v>435.39216216</v>
      </c>
      <c r="BS32" s="334">
        <v>287.30755581</v>
      </c>
      <c r="BT32" s="334">
        <v>146.49231716</v>
      </c>
      <c r="BU32" s="334">
        <v>66.604829866000003</v>
      </c>
      <c r="BV32" s="334">
        <v>35.554546188000003</v>
      </c>
    </row>
    <row r="33" spans="1:74" ht="11.1" customHeight="1" x14ac:dyDescent="0.2">
      <c r="A33" s="9" t="s">
        <v>43</v>
      </c>
      <c r="B33" s="211" t="s">
        <v>448</v>
      </c>
      <c r="C33" s="273">
        <v>2.1341365482999999</v>
      </c>
      <c r="D33" s="273">
        <v>3.4373249989999999</v>
      </c>
      <c r="E33" s="273">
        <v>36.058512595000003</v>
      </c>
      <c r="F33" s="273">
        <v>37.184532286</v>
      </c>
      <c r="G33" s="273">
        <v>124.30398615999999</v>
      </c>
      <c r="H33" s="273">
        <v>371.02401899</v>
      </c>
      <c r="I33" s="273">
        <v>472.85966428</v>
      </c>
      <c r="J33" s="273">
        <v>460.00786632000001</v>
      </c>
      <c r="K33" s="273">
        <v>320.75546092000002</v>
      </c>
      <c r="L33" s="273">
        <v>113.38789663</v>
      </c>
      <c r="M33" s="273">
        <v>11.887992240000001</v>
      </c>
      <c r="N33" s="273">
        <v>3.8821882471000002</v>
      </c>
      <c r="O33" s="273">
        <v>20.070630431000001</v>
      </c>
      <c r="P33" s="273">
        <v>17.704078002999999</v>
      </c>
      <c r="Q33" s="273">
        <v>27.527434854999999</v>
      </c>
      <c r="R33" s="273">
        <v>74.244668021999999</v>
      </c>
      <c r="S33" s="273">
        <v>135.04374913000001</v>
      </c>
      <c r="T33" s="273">
        <v>272.40366460000001</v>
      </c>
      <c r="U33" s="273">
        <v>429.74919784999997</v>
      </c>
      <c r="V33" s="273">
        <v>340.72787281000001</v>
      </c>
      <c r="W33" s="273">
        <v>194.17325604999999</v>
      </c>
      <c r="X33" s="273">
        <v>65.911581237999997</v>
      </c>
      <c r="Y33" s="273">
        <v>6.2041496163999996</v>
      </c>
      <c r="Z33" s="273">
        <v>1.3940320816</v>
      </c>
      <c r="AA33" s="273">
        <v>0.66839470778999999</v>
      </c>
      <c r="AB33" s="273">
        <v>21.729006817999998</v>
      </c>
      <c r="AC33" s="273">
        <v>14.533561303000001</v>
      </c>
      <c r="AD33" s="273">
        <v>7.3170382300999997</v>
      </c>
      <c r="AE33" s="273">
        <v>267.61408686999999</v>
      </c>
      <c r="AF33" s="273">
        <v>376.20331131</v>
      </c>
      <c r="AG33" s="273">
        <v>430.26429895000001</v>
      </c>
      <c r="AH33" s="273">
        <v>391.60975735</v>
      </c>
      <c r="AI33" s="273">
        <v>337.88730536999998</v>
      </c>
      <c r="AJ33" s="273">
        <v>77.078668238000006</v>
      </c>
      <c r="AK33" s="273">
        <v>0.97846193130000003</v>
      </c>
      <c r="AL33" s="273">
        <v>2.3677586075999999</v>
      </c>
      <c r="AM33" s="273">
        <v>4.9348902259000003</v>
      </c>
      <c r="AN33" s="273">
        <v>14.067994129000001</v>
      </c>
      <c r="AO33" s="273">
        <v>9.8550666150000001</v>
      </c>
      <c r="AP33" s="273">
        <v>31.241706682</v>
      </c>
      <c r="AQ33" s="273">
        <v>218.49698147000001</v>
      </c>
      <c r="AR33" s="273">
        <v>299.20025028999999</v>
      </c>
      <c r="AS33" s="273">
        <v>426.42210871999998</v>
      </c>
      <c r="AT33" s="273">
        <v>406.47703630000001</v>
      </c>
      <c r="AU33" s="273">
        <v>382.10409348000002</v>
      </c>
      <c r="AV33" s="273">
        <v>80.433396669000004</v>
      </c>
      <c r="AW33" s="273">
        <v>0.82079495154000004</v>
      </c>
      <c r="AX33" s="273">
        <v>5.4830884273000002</v>
      </c>
      <c r="AY33" s="273">
        <v>13.021498578999999</v>
      </c>
      <c r="AZ33" s="273">
        <v>4.31037917</v>
      </c>
      <c r="BA33" s="273">
        <v>54.920689072999998</v>
      </c>
      <c r="BB33" s="273">
        <v>20.077184439</v>
      </c>
      <c r="BC33" s="273">
        <v>104.75647557000001</v>
      </c>
      <c r="BD33" s="273">
        <v>298.11970439999999</v>
      </c>
      <c r="BE33" s="273">
        <v>463.38056811000001</v>
      </c>
      <c r="BF33" s="273">
        <v>394.30169203999998</v>
      </c>
      <c r="BG33" s="334">
        <v>216.92568352000001</v>
      </c>
      <c r="BH33" s="334">
        <v>55.195570898</v>
      </c>
      <c r="BI33" s="334">
        <v>7.2722513963999997</v>
      </c>
      <c r="BJ33" s="334">
        <v>2.6121458911</v>
      </c>
      <c r="BK33" s="334">
        <v>5.7623404011000003</v>
      </c>
      <c r="BL33" s="334">
        <v>4.3522402184000004</v>
      </c>
      <c r="BM33" s="334">
        <v>19.491599337</v>
      </c>
      <c r="BN33" s="334">
        <v>39.186253487999998</v>
      </c>
      <c r="BO33" s="334">
        <v>170.01741530999999</v>
      </c>
      <c r="BP33" s="334">
        <v>328.70092812000001</v>
      </c>
      <c r="BQ33" s="334">
        <v>433.50327904</v>
      </c>
      <c r="BR33" s="334">
        <v>416.12443901</v>
      </c>
      <c r="BS33" s="334">
        <v>228.90619652000001</v>
      </c>
      <c r="BT33" s="334">
        <v>60.68166918</v>
      </c>
      <c r="BU33" s="334">
        <v>8.5910638539999997</v>
      </c>
      <c r="BV33" s="334">
        <v>2.6071904701999999</v>
      </c>
    </row>
    <row r="34" spans="1:74" ht="11.1" customHeight="1" x14ac:dyDescent="0.2">
      <c r="A34" s="9" t="s">
        <v>44</v>
      </c>
      <c r="B34" s="211" t="s">
        <v>449</v>
      </c>
      <c r="C34" s="273">
        <v>9.3136860255999991</v>
      </c>
      <c r="D34" s="273">
        <v>25.485120237</v>
      </c>
      <c r="E34" s="273">
        <v>86.028454331000006</v>
      </c>
      <c r="F34" s="273">
        <v>122.65711698</v>
      </c>
      <c r="G34" s="273">
        <v>238.00950506999999</v>
      </c>
      <c r="H34" s="273">
        <v>475.26743498000002</v>
      </c>
      <c r="I34" s="273">
        <v>619.45852952999996</v>
      </c>
      <c r="J34" s="273">
        <v>547.04729206000002</v>
      </c>
      <c r="K34" s="273">
        <v>429.30489548999998</v>
      </c>
      <c r="L34" s="273">
        <v>232.53214145999999</v>
      </c>
      <c r="M34" s="273">
        <v>79.807031993999999</v>
      </c>
      <c r="N34" s="273">
        <v>16.746957008999999</v>
      </c>
      <c r="O34" s="273">
        <v>35.647631771999997</v>
      </c>
      <c r="P34" s="273">
        <v>66.882305384999995</v>
      </c>
      <c r="Q34" s="273">
        <v>111.42590944</v>
      </c>
      <c r="R34" s="273">
        <v>141.29484522000001</v>
      </c>
      <c r="S34" s="273">
        <v>239.74788784</v>
      </c>
      <c r="T34" s="273">
        <v>445.30853294999997</v>
      </c>
      <c r="U34" s="273">
        <v>582.13634553999998</v>
      </c>
      <c r="V34" s="273">
        <v>508.02458302000002</v>
      </c>
      <c r="W34" s="273">
        <v>368.34120997999997</v>
      </c>
      <c r="X34" s="273">
        <v>145.49168263999999</v>
      </c>
      <c r="Y34" s="273">
        <v>67.412226337999996</v>
      </c>
      <c r="Z34" s="273">
        <v>6.1369211072000001</v>
      </c>
      <c r="AA34" s="273">
        <v>4.4833388025999996</v>
      </c>
      <c r="AB34" s="273">
        <v>33.390397950999997</v>
      </c>
      <c r="AC34" s="273">
        <v>87.338930480000002</v>
      </c>
      <c r="AD34" s="273">
        <v>57.931006011000001</v>
      </c>
      <c r="AE34" s="273">
        <v>395.42738958000001</v>
      </c>
      <c r="AF34" s="273">
        <v>550.02709854</v>
      </c>
      <c r="AG34" s="273">
        <v>607.49101664</v>
      </c>
      <c r="AH34" s="273">
        <v>564.68492894999997</v>
      </c>
      <c r="AI34" s="273">
        <v>391.72010811000001</v>
      </c>
      <c r="AJ34" s="273">
        <v>142.26629299999999</v>
      </c>
      <c r="AK34" s="273">
        <v>12.647051512999999</v>
      </c>
      <c r="AL34" s="273">
        <v>8.9687662931999999</v>
      </c>
      <c r="AM34" s="273">
        <v>11.199321857999999</v>
      </c>
      <c r="AN34" s="273">
        <v>24.333694237</v>
      </c>
      <c r="AO34" s="273">
        <v>35.986857684</v>
      </c>
      <c r="AP34" s="273">
        <v>89.627077049999997</v>
      </c>
      <c r="AQ34" s="273">
        <v>290.68574109999997</v>
      </c>
      <c r="AR34" s="273">
        <v>436.21381455</v>
      </c>
      <c r="AS34" s="273">
        <v>544.96898197999997</v>
      </c>
      <c r="AT34" s="273">
        <v>622.53162453000004</v>
      </c>
      <c r="AU34" s="273">
        <v>521.84091092999995</v>
      </c>
      <c r="AV34" s="273">
        <v>138.2521605</v>
      </c>
      <c r="AW34" s="273">
        <v>15.779233547</v>
      </c>
      <c r="AX34" s="273">
        <v>13.189358918</v>
      </c>
      <c r="AY34" s="273">
        <v>28.679146976999998</v>
      </c>
      <c r="AZ34" s="273">
        <v>12.855160788999999</v>
      </c>
      <c r="BA34" s="273">
        <v>130.66994851000001</v>
      </c>
      <c r="BB34" s="273">
        <v>104.08172936</v>
      </c>
      <c r="BC34" s="273">
        <v>275.74617210000002</v>
      </c>
      <c r="BD34" s="273">
        <v>455.20194881999998</v>
      </c>
      <c r="BE34" s="273">
        <v>597.58358201999999</v>
      </c>
      <c r="BF34" s="273">
        <v>572.48016379000001</v>
      </c>
      <c r="BG34" s="334">
        <v>376.09687600000001</v>
      </c>
      <c r="BH34" s="334">
        <v>154.38649888</v>
      </c>
      <c r="BI34" s="334">
        <v>44.592912464000001</v>
      </c>
      <c r="BJ34" s="334">
        <v>11.462368446999999</v>
      </c>
      <c r="BK34" s="334">
        <v>17.039353796</v>
      </c>
      <c r="BL34" s="334">
        <v>21.181030919000001</v>
      </c>
      <c r="BM34" s="334">
        <v>59.711140671999999</v>
      </c>
      <c r="BN34" s="334">
        <v>121.0211645</v>
      </c>
      <c r="BO34" s="334">
        <v>301.86699666999999</v>
      </c>
      <c r="BP34" s="334">
        <v>468.84503859</v>
      </c>
      <c r="BQ34" s="334">
        <v>575.64527843999997</v>
      </c>
      <c r="BR34" s="334">
        <v>574.98732688999996</v>
      </c>
      <c r="BS34" s="334">
        <v>379.42504436000002</v>
      </c>
      <c r="BT34" s="334">
        <v>155.37007241000001</v>
      </c>
      <c r="BU34" s="334">
        <v>45.097914854000003</v>
      </c>
      <c r="BV34" s="334">
        <v>11.467481321999999</v>
      </c>
    </row>
    <row r="35" spans="1:74" ht="11.1" customHeight="1" x14ac:dyDescent="0.2">
      <c r="A35" s="9" t="s">
        <v>47</v>
      </c>
      <c r="B35" s="211" t="s">
        <v>450</v>
      </c>
      <c r="C35" s="273">
        <v>0</v>
      </c>
      <c r="D35" s="273">
        <v>10.089299356</v>
      </c>
      <c r="E35" s="273">
        <v>24.152480937</v>
      </c>
      <c r="F35" s="273">
        <v>41.950119895999997</v>
      </c>
      <c r="G35" s="273">
        <v>90.266683971999996</v>
      </c>
      <c r="H35" s="273">
        <v>331.16042097000002</v>
      </c>
      <c r="I35" s="273">
        <v>407.76949933999998</v>
      </c>
      <c r="J35" s="273">
        <v>305.33980442000001</v>
      </c>
      <c r="K35" s="273">
        <v>173.46135584999999</v>
      </c>
      <c r="L35" s="273">
        <v>99.173559531999999</v>
      </c>
      <c r="M35" s="273">
        <v>13.752978812</v>
      </c>
      <c r="N35" s="273">
        <v>0</v>
      </c>
      <c r="O35" s="273">
        <v>0</v>
      </c>
      <c r="P35" s="273">
        <v>5.2760542649</v>
      </c>
      <c r="Q35" s="273">
        <v>31.542024007999999</v>
      </c>
      <c r="R35" s="273">
        <v>50.699460099</v>
      </c>
      <c r="S35" s="273">
        <v>109.19680839999999</v>
      </c>
      <c r="T35" s="273">
        <v>307.68668722000001</v>
      </c>
      <c r="U35" s="273">
        <v>414.38730776</v>
      </c>
      <c r="V35" s="273">
        <v>329.27656905999999</v>
      </c>
      <c r="W35" s="273">
        <v>177.69368596000001</v>
      </c>
      <c r="X35" s="273">
        <v>91.829764467000004</v>
      </c>
      <c r="Y35" s="273">
        <v>29.106898455</v>
      </c>
      <c r="Z35" s="273">
        <v>1.1671694617999999</v>
      </c>
      <c r="AA35" s="273">
        <v>4.2418762890000004</v>
      </c>
      <c r="AB35" s="273">
        <v>2.6269690199000002</v>
      </c>
      <c r="AC35" s="273">
        <v>13.872677479</v>
      </c>
      <c r="AD35" s="273">
        <v>70.451198259999998</v>
      </c>
      <c r="AE35" s="273">
        <v>136.57894819000001</v>
      </c>
      <c r="AF35" s="273">
        <v>298.50877270000001</v>
      </c>
      <c r="AG35" s="273">
        <v>415.01102272999998</v>
      </c>
      <c r="AH35" s="273">
        <v>343.64849747</v>
      </c>
      <c r="AI35" s="273">
        <v>238.03068023</v>
      </c>
      <c r="AJ35" s="273">
        <v>45.052946640000002</v>
      </c>
      <c r="AK35" s="273">
        <v>4.8814462602999997</v>
      </c>
      <c r="AL35" s="273">
        <v>0</v>
      </c>
      <c r="AM35" s="273">
        <v>4.3090083267999998E-2</v>
      </c>
      <c r="AN35" s="273">
        <v>0</v>
      </c>
      <c r="AO35" s="273">
        <v>10.188764259999999</v>
      </c>
      <c r="AP35" s="273">
        <v>52.003449881999998</v>
      </c>
      <c r="AQ35" s="273">
        <v>57.419662641999999</v>
      </c>
      <c r="AR35" s="273">
        <v>232.81479615000001</v>
      </c>
      <c r="AS35" s="273">
        <v>394.17243013000001</v>
      </c>
      <c r="AT35" s="273">
        <v>385.47798117999997</v>
      </c>
      <c r="AU35" s="273">
        <v>205.76521464999999</v>
      </c>
      <c r="AV35" s="273">
        <v>49.028236173000003</v>
      </c>
      <c r="AW35" s="273">
        <v>10.128071838</v>
      </c>
      <c r="AX35" s="273">
        <v>0</v>
      </c>
      <c r="AY35" s="273">
        <v>0</v>
      </c>
      <c r="AZ35" s="273">
        <v>1.760273457</v>
      </c>
      <c r="BA35" s="273">
        <v>7.4079503474999999</v>
      </c>
      <c r="BB35" s="273">
        <v>42.959925894999998</v>
      </c>
      <c r="BC35" s="273">
        <v>162.19912937999999</v>
      </c>
      <c r="BD35" s="273">
        <v>262.31060310999999</v>
      </c>
      <c r="BE35" s="273">
        <v>414.66668379999999</v>
      </c>
      <c r="BF35" s="273">
        <v>416.99505815999999</v>
      </c>
      <c r="BG35" s="334">
        <v>204.89318822000001</v>
      </c>
      <c r="BH35" s="334">
        <v>68.833138235999996</v>
      </c>
      <c r="BI35" s="334">
        <v>8.8415821133999994</v>
      </c>
      <c r="BJ35" s="334">
        <v>0.58719835703000001</v>
      </c>
      <c r="BK35" s="334">
        <v>1.341409074</v>
      </c>
      <c r="BL35" s="334">
        <v>3.7724889606000001</v>
      </c>
      <c r="BM35" s="334">
        <v>13.612504162</v>
      </c>
      <c r="BN35" s="334">
        <v>42.506021560999997</v>
      </c>
      <c r="BO35" s="334">
        <v>124.46908532</v>
      </c>
      <c r="BP35" s="334">
        <v>263.30802834000002</v>
      </c>
      <c r="BQ35" s="334">
        <v>386.97833335000001</v>
      </c>
      <c r="BR35" s="334">
        <v>342.34986950000001</v>
      </c>
      <c r="BS35" s="334">
        <v>204.40308282000001</v>
      </c>
      <c r="BT35" s="334">
        <v>69.788400972000005</v>
      </c>
      <c r="BU35" s="334">
        <v>9.4399276039999993</v>
      </c>
      <c r="BV35" s="334">
        <v>0.58789956157000001</v>
      </c>
    </row>
    <row r="36" spans="1:74" ht="11.1" customHeight="1" x14ac:dyDescent="0.2">
      <c r="A36" s="9" t="s">
        <v>48</v>
      </c>
      <c r="B36" s="211" t="s">
        <v>451</v>
      </c>
      <c r="C36" s="273">
        <v>7.7841288229999996</v>
      </c>
      <c r="D36" s="273">
        <v>15.024821181</v>
      </c>
      <c r="E36" s="273">
        <v>12.643504653999999</v>
      </c>
      <c r="F36" s="273">
        <v>26.807977768000001</v>
      </c>
      <c r="G36" s="273">
        <v>36.786793306</v>
      </c>
      <c r="H36" s="273">
        <v>165.61636110000001</v>
      </c>
      <c r="I36" s="273">
        <v>235.53874306</v>
      </c>
      <c r="J36" s="273">
        <v>233.80653007000001</v>
      </c>
      <c r="K36" s="273">
        <v>122.14812689</v>
      </c>
      <c r="L36" s="273">
        <v>47.051723858999999</v>
      </c>
      <c r="M36" s="273">
        <v>17.124572830000002</v>
      </c>
      <c r="N36" s="273">
        <v>7.9990345094000004</v>
      </c>
      <c r="O36" s="273">
        <v>6.9971646890999999</v>
      </c>
      <c r="P36" s="273">
        <v>6.5884399240000002</v>
      </c>
      <c r="Q36" s="273">
        <v>16.713555589999999</v>
      </c>
      <c r="R36" s="273">
        <v>24.870916306000002</v>
      </c>
      <c r="S36" s="273">
        <v>45.646436489999999</v>
      </c>
      <c r="T36" s="273">
        <v>149.71264916999999</v>
      </c>
      <c r="U36" s="273">
        <v>283.34522678000002</v>
      </c>
      <c r="V36" s="273">
        <v>281.34879862000003</v>
      </c>
      <c r="W36" s="273">
        <v>139.14877572</v>
      </c>
      <c r="X36" s="273">
        <v>68.446706062999993</v>
      </c>
      <c r="Y36" s="273">
        <v>20.609493201999999</v>
      </c>
      <c r="Z36" s="273">
        <v>9.7032910209000001</v>
      </c>
      <c r="AA36" s="273">
        <v>15.003219937000001</v>
      </c>
      <c r="AB36" s="273">
        <v>7.5527819591999998</v>
      </c>
      <c r="AC36" s="273">
        <v>8.8487314673000004</v>
      </c>
      <c r="AD36" s="273">
        <v>24.532760204999999</v>
      </c>
      <c r="AE36" s="273">
        <v>39.204807068999997</v>
      </c>
      <c r="AF36" s="273">
        <v>117.46989487</v>
      </c>
      <c r="AG36" s="273">
        <v>320.37446965999999</v>
      </c>
      <c r="AH36" s="273">
        <v>256.55439631000002</v>
      </c>
      <c r="AI36" s="273">
        <v>141.75187450999999</v>
      </c>
      <c r="AJ36" s="273">
        <v>45.816606106000002</v>
      </c>
      <c r="AK36" s="273">
        <v>15.872858558000001</v>
      </c>
      <c r="AL36" s="273">
        <v>9.3157059162000007</v>
      </c>
      <c r="AM36" s="273">
        <v>8.2761454844000006</v>
      </c>
      <c r="AN36" s="273">
        <v>5.4879321521</v>
      </c>
      <c r="AO36" s="273">
        <v>8.2376487012999995</v>
      </c>
      <c r="AP36" s="273">
        <v>25.760046891999998</v>
      </c>
      <c r="AQ36" s="273">
        <v>23.483909765</v>
      </c>
      <c r="AR36" s="273">
        <v>116.41913593</v>
      </c>
      <c r="AS36" s="273">
        <v>209.24115137999999</v>
      </c>
      <c r="AT36" s="273">
        <v>246.85967815999999</v>
      </c>
      <c r="AU36" s="273">
        <v>133.03899756000001</v>
      </c>
      <c r="AV36" s="273">
        <v>41.015119499999997</v>
      </c>
      <c r="AW36" s="273">
        <v>15.962403728</v>
      </c>
      <c r="AX36" s="273">
        <v>10.025433274999999</v>
      </c>
      <c r="AY36" s="273">
        <v>8.8078147784999992</v>
      </c>
      <c r="AZ36" s="273">
        <v>7.5391341833999999</v>
      </c>
      <c r="BA36" s="273">
        <v>8.0108489828000007</v>
      </c>
      <c r="BB36" s="273">
        <v>19.707514101000001</v>
      </c>
      <c r="BC36" s="273">
        <v>65.491847074000006</v>
      </c>
      <c r="BD36" s="273">
        <v>111.96892644</v>
      </c>
      <c r="BE36" s="273">
        <v>215.87205594</v>
      </c>
      <c r="BF36" s="273">
        <v>294.30942814000002</v>
      </c>
      <c r="BG36" s="334">
        <v>133.4198226</v>
      </c>
      <c r="BH36" s="334">
        <v>38.732273083000003</v>
      </c>
      <c r="BI36" s="334">
        <v>11.864866167000001</v>
      </c>
      <c r="BJ36" s="334">
        <v>8.0149534898999999</v>
      </c>
      <c r="BK36" s="334">
        <v>8.3591230958999994</v>
      </c>
      <c r="BL36" s="334">
        <v>7.5647540999</v>
      </c>
      <c r="BM36" s="334">
        <v>11.181793932</v>
      </c>
      <c r="BN36" s="334">
        <v>18.159941975999999</v>
      </c>
      <c r="BO36" s="334">
        <v>45.774308568000002</v>
      </c>
      <c r="BP36" s="334">
        <v>104.21613465</v>
      </c>
      <c r="BQ36" s="334">
        <v>226.34092362000001</v>
      </c>
      <c r="BR36" s="334">
        <v>221.46870229000001</v>
      </c>
      <c r="BS36" s="334">
        <v>137.66998925999999</v>
      </c>
      <c r="BT36" s="334">
        <v>39.408833520999998</v>
      </c>
      <c r="BU36" s="334">
        <v>11.826599120999999</v>
      </c>
      <c r="BV36" s="334">
        <v>7.9822007188999997</v>
      </c>
    </row>
    <row r="37" spans="1:74" ht="11.1" customHeight="1" x14ac:dyDescent="0.2">
      <c r="A37" s="9" t="s">
        <v>581</v>
      </c>
      <c r="B37" s="211" t="s">
        <v>479</v>
      </c>
      <c r="C37" s="273">
        <v>7.4405600420000004</v>
      </c>
      <c r="D37" s="273">
        <v>11.159724407000001</v>
      </c>
      <c r="E37" s="273">
        <v>35.216666811000003</v>
      </c>
      <c r="F37" s="273">
        <v>42.495039171999998</v>
      </c>
      <c r="G37" s="273">
        <v>97.534597796</v>
      </c>
      <c r="H37" s="273">
        <v>270.85030499999999</v>
      </c>
      <c r="I37" s="273">
        <v>383.70547388</v>
      </c>
      <c r="J37" s="273">
        <v>361.95328028</v>
      </c>
      <c r="K37" s="273">
        <v>219.27566680999999</v>
      </c>
      <c r="L37" s="273">
        <v>86.479280372999995</v>
      </c>
      <c r="M37" s="273">
        <v>25.543511745</v>
      </c>
      <c r="N37" s="273">
        <v>16.554870723000001</v>
      </c>
      <c r="O37" s="273">
        <v>16.661354357</v>
      </c>
      <c r="P37" s="273">
        <v>21.733911524</v>
      </c>
      <c r="Q37" s="273">
        <v>31.938342560999999</v>
      </c>
      <c r="R37" s="273">
        <v>55.948397116000002</v>
      </c>
      <c r="S37" s="273">
        <v>105.7457019</v>
      </c>
      <c r="T37" s="273">
        <v>241.38829265999999</v>
      </c>
      <c r="U37" s="273">
        <v>363.07942250000002</v>
      </c>
      <c r="V37" s="273">
        <v>292.196528</v>
      </c>
      <c r="W37" s="273">
        <v>184.33663913999999</v>
      </c>
      <c r="X37" s="273">
        <v>77.773442371000002</v>
      </c>
      <c r="Y37" s="273">
        <v>27.420420118999999</v>
      </c>
      <c r="Z37" s="273">
        <v>10.119832095</v>
      </c>
      <c r="AA37" s="273">
        <v>7.5232976449000004</v>
      </c>
      <c r="AB37" s="273">
        <v>22.923752128</v>
      </c>
      <c r="AC37" s="273">
        <v>21.141661171999999</v>
      </c>
      <c r="AD37" s="273">
        <v>32.692720792999999</v>
      </c>
      <c r="AE37" s="273">
        <v>174.30277226000001</v>
      </c>
      <c r="AF37" s="273">
        <v>270.07541722000002</v>
      </c>
      <c r="AG37" s="273">
        <v>376.09655803999999</v>
      </c>
      <c r="AH37" s="273">
        <v>351.07406743000001</v>
      </c>
      <c r="AI37" s="273">
        <v>231.13134208</v>
      </c>
      <c r="AJ37" s="273">
        <v>69.531336924000001</v>
      </c>
      <c r="AK37" s="273">
        <v>17.801906820999999</v>
      </c>
      <c r="AL37" s="273">
        <v>10.704606985</v>
      </c>
      <c r="AM37" s="273">
        <v>8.9885076093999992</v>
      </c>
      <c r="AN37" s="273">
        <v>18.151197108000002</v>
      </c>
      <c r="AO37" s="273">
        <v>18.498611650000001</v>
      </c>
      <c r="AP37" s="273">
        <v>41.807873502</v>
      </c>
      <c r="AQ37" s="273">
        <v>129.27643965999999</v>
      </c>
      <c r="AR37" s="273">
        <v>227.03773785000001</v>
      </c>
      <c r="AS37" s="273">
        <v>372.56494796999999</v>
      </c>
      <c r="AT37" s="273">
        <v>336.10190204999998</v>
      </c>
      <c r="AU37" s="273">
        <v>243.03981112</v>
      </c>
      <c r="AV37" s="273">
        <v>75.159852110000003</v>
      </c>
      <c r="AW37" s="273">
        <v>16.122198795999999</v>
      </c>
      <c r="AX37" s="273">
        <v>13.724772258</v>
      </c>
      <c r="AY37" s="273">
        <v>15.157272925999999</v>
      </c>
      <c r="AZ37" s="273">
        <v>12.583005074000001</v>
      </c>
      <c r="BA37" s="273">
        <v>42.416986381999997</v>
      </c>
      <c r="BB37" s="273">
        <v>42.649979453</v>
      </c>
      <c r="BC37" s="273">
        <v>105.37791278</v>
      </c>
      <c r="BD37" s="273">
        <v>248.01227012999999</v>
      </c>
      <c r="BE37" s="273">
        <v>398.32026069</v>
      </c>
      <c r="BF37" s="273">
        <v>360.96597150000002</v>
      </c>
      <c r="BG37" s="334">
        <v>177.17104039</v>
      </c>
      <c r="BH37" s="334">
        <v>63.426402006000004</v>
      </c>
      <c r="BI37" s="334">
        <v>20.509738758000001</v>
      </c>
      <c r="BJ37" s="334">
        <v>10.07032543</v>
      </c>
      <c r="BK37" s="334">
        <v>10.616309201</v>
      </c>
      <c r="BL37" s="334">
        <v>11.724196554000001</v>
      </c>
      <c r="BM37" s="334">
        <v>23.270559235</v>
      </c>
      <c r="BN37" s="334">
        <v>41.557179972</v>
      </c>
      <c r="BO37" s="334">
        <v>124.05257616</v>
      </c>
      <c r="BP37" s="334">
        <v>243.49336335999999</v>
      </c>
      <c r="BQ37" s="334">
        <v>354.89380750999999</v>
      </c>
      <c r="BR37" s="334">
        <v>330.48507732000002</v>
      </c>
      <c r="BS37" s="334">
        <v>181.77989192000001</v>
      </c>
      <c r="BT37" s="334">
        <v>66.624900819999993</v>
      </c>
      <c r="BU37" s="334">
        <v>22.246198225000001</v>
      </c>
      <c r="BV37" s="334">
        <v>10.105602934</v>
      </c>
    </row>
    <row r="38" spans="1:74" ht="11.1" customHeight="1" x14ac:dyDescent="0.2">
      <c r="A38" s="9"/>
      <c r="B38" s="193" t="s">
        <v>162</v>
      </c>
      <c r="C38" s="247"/>
      <c r="D38" s="247"/>
      <c r="E38" s="247"/>
      <c r="F38" s="247"/>
      <c r="G38" s="247"/>
      <c r="H38" s="247"/>
      <c r="I38" s="247"/>
      <c r="J38" s="247"/>
      <c r="K38" s="247"/>
      <c r="L38" s="247"/>
      <c r="M38" s="247"/>
      <c r="N38" s="247"/>
      <c r="O38" s="247"/>
      <c r="P38" s="247"/>
      <c r="Q38" s="247"/>
      <c r="R38" s="247"/>
      <c r="S38" s="247"/>
      <c r="T38" s="247"/>
      <c r="U38" s="247"/>
      <c r="V38" s="247"/>
      <c r="W38" s="247"/>
      <c r="X38" s="247"/>
      <c r="Y38" s="247"/>
      <c r="Z38" s="247"/>
      <c r="AA38" s="247"/>
      <c r="AB38" s="247"/>
      <c r="AC38" s="247"/>
      <c r="AD38" s="247"/>
      <c r="AE38" s="247"/>
      <c r="AF38" s="247"/>
      <c r="AG38" s="247"/>
      <c r="AH38" s="247"/>
      <c r="AI38" s="247"/>
      <c r="AJ38" s="247"/>
      <c r="AK38" s="247"/>
      <c r="AL38" s="247"/>
      <c r="AM38" s="247"/>
      <c r="AN38" s="247"/>
      <c r="AO38" s="247"/>
      <c r="AP38" s="247"/>
      <c r="AQ38" s="247"/>
      <c r="AR38" s="247"/>
      <c r="AS38" s="247"/>
      <c r="AT38" s="247"/>
      <c r="AU38" s="247"/>
      <c r="AV38" s="247"/>
      <c r="AW38" s="247"/>
      <c r="AX38" s="247"/>
      <c r="AY38" s="247"/>
      <c r="AZ38" s="247"/>
      <c r="BA38" s="247"/>
      <c r="BB38" s="247"/>
      <c r="BC38" s="247"/>
      <c r="BD38" s="247"/>
      <c r="BE38" s="247"/>
      <c r="BF38" s="247"/>
      <c r="BG38" s="335"/>
      <c r="BH38" s="335"/>
      <c r="BI38" s="335"/>
      <c r="BJ38" s="335"/>
      <c r="BK38" s="335"/>
      <c r="BL38" s="335"/>
      <c r="BM38" s="335"/>
      <c r="BN38" s="335"/>
      <c r="BO38" s="335"/>
      <c r="BP38" s="335"/>
      <c r="BQ38" s="335"/>
      <c r="BR38" s="335"/>
      <c r="BS38" s="335"/>
      <c r="BT38" s="335"/>
      <c r="BU38" s="335"/>
      <c r="BV38" s="335"/>
    </row>
    <row r="39" spans="1:74" ht="11.1" customHeight="1" x14ac:dyDescent="0.2">
      <c r="A39" s="9" t="s">
        <v>149</v>
      </c>
      <c r="B39" s="211" t="s">
        <v>444</v>
      </c>
      <c r="C39" s="255">
        <v>0</v>
      </c>
      <c r="D39" s="255">
        <v>0</v>
      </c>
      <c r="E39" s="255">
        <v>0</v>
      </c>
      <c r="F39" s="255">
        <v>0</v>
      </c>
      <c r="G39" s="255">
        <v>12.041309147</v>
      </c>
      <c r="H39" s="255">
        <v>68.943716930999997</v>
      </c>
      <c r="I39" s="255">
        <v>223.71003289000001</v>
      </c>
      <c r="J39" s="255">
        <v>157.21175969999999</v>
      </c>
      <c r="K39" s="255">
        <v>37.847215296999998</v>
      </c>
      <c r="L39" s="255">
        <v>0.76354212707000002</v>
      </c>
      <c r="M39" s="255">
        <v>0</v>
      </c>
      <c r="N39" s="255">
        <v>0</v>
      </c>
      <c r="O39" s="255">
        <v>0</v>
      </c>
      <c r="P39" s="255">
        <v>0</v>
      </c>
      <c r="Q39" s="255">
        <v>0</v>
      </c>
      <c r="R39" s="255">
        <v>0</v>
      </c>
      <c r="S39" s="255">
        <v>12.298907823</v>
      </c>
      <c r="T39" s="255">
        <v>68.622649498000001</v>
      </c>
      <c r="U39" s="255">
        <v>222.13398355999999</v>
      </c>
      <c r="V39" s="255">
        <v>168.29185835000001</v>
      </c>
      <c r="W39" s="255">
        <v>42.561968293</v>
      </c>
      <c r="X39" s="255">
        <v>0.76354212707000002</v>
      </c>
      <c r="Y39" s="255">
        <v>0</v>
      </c>
      <c r="Z39" s="255">
        <v>0</v>
      </c>
      <c r="AA39" s="255">
        <v>0</v>
      </c>
      <c r="AB39" s="255">
        <v>0</v>
      </c>
      <c r="AC39" s="255">
        <v>0</v>
      </c>
      <c r="AD39" s="255">
        <v>0</v>
      </c>
      <c r="AE39" s="255">
        <v>11.512879481000001</v>
      </c>
      <c r="AF39" s="255">
        <v>69.345285747999995</v>
      </c>
      <c r="AG39" s="255">
        <v>222.38735592</v>
      </c>
      <c r="AH39" s="255">
        <v>165.70331752000001</v>
      </c>
      <c r="AI39" s="255">
        <v>45.127796754999999</v>
      </c>
      <c r="AJ39" s="255">
        <v>1.1637295256</v>
      </c>
      <c r="AK39" s="255">
        <v>0</v>
      </c>
      <c r="AL39" s="255">
        <v>0</v>
      </c>
      <c r="AM39" s="255">
        <v>0</v>
      </c>
      <c r="AN39" s="255">
        <v>0</v>
      </c>
      <c r="AO39" s="255">
        <v>0</v>
      </c>
      <c r="AP39" s="255">
        <v>0</v>
      </c>
      <c r="AQ39" s="255">
        <v>14.032914495</v>
      </c>
      <c r="AR39" s="255">
        <v>65.181554797000004</v>
      </c>
      <c r="AS39" s="255">
        <v>224.73527842999999</v>
      </c>
      <c r="AT39" s="255">
        <v>182.0083448</v>
      </c>
      <c r="AU39" s="255">
        <v>48.628297691999997</v>
      </c>
      <c r="AV39" s="255">
        <v>1.1637295256</v>
      </c>
      <c r="AW39" s="255">
        <v>0</v>
      </c>
      <c r="AX39" s="255">
        <v>0</v>
      </c>
      <c r="AY39" s="255">
        <v>0</v>
      </c>
      <c r="AZ39" s="255">
        <v>0</v>
      </c>
      <c r="BA39" s="255">
        <v>0</v>
      </c>
      <c r="BB39" s="255">
        <v>0</v>
      </c>
      <c r="BC39" s="255">
        <v>13.839594104</v>
      </c>
      <c r="BD39" s="255">
        <v>68.899929236999995</v>
      </c>
      <c r="BE39" s="255">
        <v>241.39352668999999</v>
      </c>
      <c r="BF39" s="255">
        <v>178.92883633</v>
      </c>
      <c r="BG39" s="337">
        <v>50.26896</v>
      </c>
      <c r="BH39" s="337">
        <v>1.1637299999999999</v>
      </c>
      <c r="BI39" s="337">
        <v>0</v>
      </c>
      <c r="BJ39" s="337">
        <v>0</v>
      </c>
      <c r="BK39" s="337">
        <v>0</v>
      </c>
      <c r="BL39" s="337">
        <v>0</v>
      </c>
      <c r="BM39" s="337">
        <v>0</v>
      </c>
      <c r="BN39" s="337">
        <v>0</v>
      </c>
      <c r="BO39" s="337">
        <v>12.141920000000001</v>
      </c>
      <c r="BP39" s="337">
        <v>68.727810000000005</v>
      </c>
      <c r="BQ39" s="337">
        <v>242.66800000000001</v>
      </c>
      <c r="BR39" s="337">
        <v>184.66720000000001</v>
      </c>
      <c r="BS39" s="337">
        <v>47.56653</v>
      </c>
      <c r="BT39" s="337">
        <v>1.3034269999999999</v>
      </c>
      <c r="BU39" s="337">
        <v>0</v>
      </c>
      <c r="BV39" s="337">
        <v>0</v>
      </c>
    </row>
    <row r="40" spans="1:74" ht="11.1" customHeight="1" x14ac:dyDescent="0.2">
      <c r="A40" s="9" t="s">
        <v>150</v>
      </c>
      <c r="B40" s="211" t="s">
        <v>477</v>
      </c>
      <c r="C40" s="255">
        <v>0</v>
      </c>
      <c r="D40" s="255">
        <v>0</v>
      </c>
      <c r="E40" s="255">
        <v>0.19798233819</v>
      </c>
      <c r="F40" s="255">
        <v>4.3019734163999998E-2</v>
      </c>
      <c r="G40" s="255">
        <v>35.166327821000003</v>
      </c>
      <c r="H40" s="255">
        <v>132.44615596</v>
      </c>
      <c r="I40" s="255">
        <v>272.70091943</v>
      </c>
      <c r="J40" s="255">
        <v>204.99350726</v>
      </c>
      <c r="K40" s="255">
        <v>70.718821422999994</v>
      </c>
      <c r="L40" s="255">
        <v>5.1694943689999997</v>
      </c>
      <c r="M40" s="255">
        <v>0</v>
      </c>
      <c r="N40" s="255">
        <v>8.5914281713000001E-2</v>
      </c>
      <c r="O40" s="255">
        <v>0</v>
      </c>
      <c r="P40" s="255">
        <v>0</v>
      </c>
      <c r="Q40" s="255">
        <v>0.19798233819</v>
      </c>
      <c r="R40" s="255">
        <v>4.3019734163999998E-2</v>
      </c>
      <c r="S40" s="255">
        <v>34.831201792000002</v>
      </c>
      <c r="T40" s="255">
        <v>133.84447422</v>
      </c>
      <c r="U40" s="255">
        <v>273.63130410000002</v>
      </c>
      <c r="V40" s="255">
        <v>213.86636092000001</v>
      </c>
      <c r="W40" s="255">
        <v>78.783187221000006</v>
      </c>
      <c r="X40" s="255">
        <v>5.6624295131000002</v>
      </c>
      <c r="Y40" s="255">
        <v>0</v>
      </c>
      <c r="Z40" s="255">
        <v>8.5914281713000001E-2</v>
      </c>
      <c r="AA40" s="255">
        <v>0</v>
      </c>
      <c r="AB40" s="255">
        <v>0</v>
      </c>
      <c r="AC40" s="255">
        <v>0.19798233819</v>
      </c>
      <c r="AD40" s="255">
        <v>0.26254677784000002</v>
      </c>
      <c r="AE40" s="255">
        <v>32.909836636999998</v>
      </c>
      <c r="AF40" s="255">
        <v>132.68930667000001</v>
      </c>
      <c r="AG40" s="255">
        <v>278.59524993999997</v>
      </c>
      <c r="AH40" s="255">
        <v>208.57239318000001</v>
      </c>
      <c r="AI40" s="255">
        <v>79.226072391000002</v>
      </c>
      <c r="AJ40" s="255">
        <v>5.1243246141999998</v>
      </c>
      <c r="AK40" s="255">
        <v>0</v>
      </c>
      <c r="AL40" s="255">
        <v>8.5914281713000001E-2</v>
      </c>
      <c r="AM40" s="255">
        <v>0</v>
      </c>
      <c r="AN40" s="255">
        <v>0</v>
      </c>
      <c r="AO40" s="255">
        <v>0.19798233819</v>
      </c>
      <c r="AP40" s="255">
        <v>0.26254677784000002</v>
      </c>
      <c r="AQ40" s="255">
        <v>38.845395572999998</v>
      </c>
      <c r="AR40" s="255">
        <v>126.17635516</v>
      </c>
      <c r="AS40" s="255">
        <v>280.49700197999999</v>
      </c>
      <c r="AT40" s="255">
        <v>223.80455302999999</v>
      </c>
      <c r="AU40" s="255">
        <v>84.239991923999995</v>
      </c>
      <c r="AV40" s="255">
        <v>5.4298748442999996</v>
      </c>
      <c r="AW40" s="255">
        <v>0</v>
      </c>
      <c r="AX40" s="255">
        <v>8.5914281713000001E-2</v>
      </c>
      <c r="AY40" s="255">
        <v>0</v>
      </c>
      <c r="AZ40" s="255">
        <v>0</v>
      </c>
      <c r="BA40" s="255">
        <v>0.19798233819</v>
      </c>
      <c r="BB40" s="255">
        <v>0.30572402684</v>
      </c>
      <c r="BC40" s="255">
        <v>39.885670515000001</v>
      </c>
      <c r="BD40" s="255">
        <v>130.16797278000001</v>
      </c>
      <c r="BE40" s="255">
        <v>297.70624111000001</v>
      </c>
      <c r="BF40" s="255">
        <v>221.91970616</v>
      </c>
      <c r="BG40" s="337">
        <v>89.248159999999999</v>
      </c>
      <c r="BH40" s="337">
        <v>6.127605</v>
      </c>
      <c r="BI40" s="337">
        <v>0</v>
      </c>
      <c r="BJ40" s="337">
        <v>8.5914299999999999E-2</v>
      </c>
      <c r="BK40" s="337">
        <v>0</v>
      </c>
      <c r="BL40" s="337">
        <v>0</v>
      </c>
      <c r="BM40" s="337">
        <v>0.1979823</v>
      </c>
      <c r="BN40" s="337">
        <v>0.2627043</v>
      </c>
      <c r="BO40" s="337">
        <v>36.583959999999998</v>
      </c>
      <c r="BP40" s="337">
        <v>126.26139999999999</v>
      </c>
      <c r="BQ40" s="337">
        <v>300.2149</v>
      </c>
      <c r="BR40" s="337">
        <v>226.27199999999999</v>
      </c>
      <c r="BS40" s="337">
        <v>86.105230000000006</v>
      </c>
      <c r="BT40" s="337">
        <v>6.2499539999999998</v>
      </c>
      <c r="BU40" s="337">
        <v>0</v>
      </c>
      <c r="BV40" s="337">
        <v>8.5914299999999999E-2</v>
      </c>
    </row>
    <row r="41" spans="1:74" ht="11.1" customHeight="1" x14ac:dyDescent="0.2">
      <c r="A41" s="9" t="s">
        <v>151</v>
      </c>
      <c r="B41" s="211" t="s">
        <v>445</v>
      </c>
      <c r="C41" s="255">
        <v>0.1047395297</v>
      </c>
      <c r="D41" s="255">
        <v>0</v>
      </c>
      <c r="E41" s="255">
        <v>2.7362651726</v>
      </c>
      <c r="F41" s="255">
        <v>1.8307868759000001</v>
      </c>
      <c r="G41" s="255">
        <v>64.076112206000005</v>
      </c>
      <c r="H41" s="255">
        <v>162.75444374</v>
      </c>
      <c r="I41" s="255">
        <v>248.65562241000001</v>
      </c>
      <c r="J41" s="255">
        <v>210.44814559</v>
      </c>
      <c r="K41" s="255">
        <v>68.566037484000006</v>
      </c>
      <c r="L41" s="255">
        <v>5.9834715624000001</v>
      </c>
      <c r="M41" s="255">
        <v>0</v>
      </c>
      <c r="N41" s="255">
        <v>0.15512025712999999</v>
      </c>
      <c r="O41" s="255">
        <v>0</v>
      </c>
      <c r="P41" s="255">
        <v>0</v>
      </c>
      <c r="Q41" s="255">
        <v>3.0560061559</v>
      </c>
      <c r="R41" s="255">
        <v>1.3649557071</v>
      </c>
      <c r="S41" s="255">
        <v>64.190358605</v>
      </c>
      <c r="T41" s="255">
        <v>168.73746631</v>
      </c>
      <c r="U41" s="255">
        <v>247.01332479000001</v>
      </c>
      <c r="V41" s="255">
        <v>217.00015680999999</v>
      </c>
      <c r="W41" s="255">
        <v>78.440909719000004</v>
      </c>
      <c r="X41" s="255">
        <v>7.8175837197</v>
      </c>
      <c r="Y41" s="255">
        <v>0</v>
      </c>
      <c r="Z41" s="255">
        <v>0.15512025712999999</v>
      </c>
      <c r="AA41" s="255">
        <v>0</v>
      </c>
      <c r="AB41" s="255">
        <v>0</v>
      </c>
      <c r="AC41" s="255">
        <v>2.8140854165000002</v>
      </c>
      <c r="AD41" s="255">
        <v>2.0236550032</v>
      </c>
      <c r="AE41" s="255">
        <v>58.713707712999998</v>
      </c>
      <c r="AF41" s="255">
        <v>167.49674831999999</v>
      </c>
      <c r="AG41" s="255">
        <v>251.66148389</v>
      </c>
      <c r="AH41" s="255">
        <v>203.67597735999999</v>
      </c>
      <c r="AI41" s="255">
        <v>77.373862661000004</v>
      </c>
      <c r="AJ41" s="255">
        <v>6.6281116675999998</v>
      </c>
      <c r="AK41" s="255">
        <v>0</v>
      </c>
      <c r="AL41" s="255">
        <v>0.15512025712999999</v>
      </c>
      <c r="AM41" s="255">
        <v>0</v>
      </c>
      <c r="AN41" s="255">
        <v>0</v>
      </c>
      <c r="AO41" s="255">
        <v>2.8140854165000002</v>
      </c>
      <c r="AP41" s="255">
        <v>2.0097762505999999</v>
      </c>
      <c r="AQ41" s="255">
        <v>70.545047494000002</v>
      </c>
      <c r="AR41" s="255">
        <v>169.25161635000001</v>
      </c>
      <c r="AS41" s="255">
        <v>254.75263373000001</v>
      </c>
      <c r="AT41" s="255">
        <v>211.85689435</v>
      </c>
      <c r="AU41" s="255">
        <v>81.268691680000003</v>
      </c>
      <c r="AV41" s="255">
        <v>6.8003586084999998</v>
      </c>
      <c r="AW41" s="255">
        <v>0</v>
      </c>
      <c r="AX41" s="255">
        <v>0.15512025712999999</v>
      </c>
      <c r="AY41" s="255">
        <v>0</v>
      </c>
      <c r="AZ41" s="255">
        <v>0</v>
      </c>
      <c r="BA41" s="255">
        <v>2.7061696274</v>
      </c>
      <c r="BB41" s="255">
        <v>2.0488879226000001</v>
      </c>
      <c r="BC41" s="255">
        <v>70.501889028999997</v>
      </c>
      <c r="BD41" s="255">
        <v>167.81050891999999</v>
      </c>
      <c r="BE41" s="255">
        <v>274.79209910999998</v>
      </c>
      <c r="BF41" s="255">
        <v>215.14083441</v>
      </c>
      <c r="BG41" s="337">
        <v>88.62912</v>
      </c>
      <c r="BH41" s="337">
        <v>7.4667599999999998</v>
      </c>
      <c r="BI41" s="337">
        <v>0</v>
      </c>
      <c r="BJ41" s="337">
        <v>0.15512029999999999</v>
      </c>
      <c r="BK41" s="337">
        <v>0</v>
      </c>
      <c r="BL41" s="337">
        <v>0</v>
      </c>
      <c r="BM41" s="337">
        <v>2.8403290000000001</v>
      </c>
      <c r="BN41" s="337">
        <v>1.218801</v>
      </c>
      <c r="BO41" s="337">
        <v>66.431240000000003</v>
      </c>
      <c r="BP41" s="337">
        <v>166.5419</v>
      </c>
      <c r="BQ41" s="337">
        <v>277.02409999999998</v>
      </c>
      <c r="BR41" s="337">
        <v>209.0317</v>
      </c>
      <c r="BS41" s="337">
        <v>88.251490000000004</v>
      </c>
      <c r="BT41" s="337">
        <v>7.2534900000000002</v>
      </c>
      <c r="BU41" s="337">
        <v>0</v>
      </c>
      <c r="BV41" s="337">
        <v>0.15512029999999999</v>
      </c>
    </row>
    <row r="42" spans="1:74" ht="11.1" customHeight="1" x14ac:dyDescent="0.2">
      <c r="A42" s="9" t="s">
        <v>152</v>
      </c>
      <c r="B42" s="211" t="s">
        <v>446</v>
      </c>
      <c r="C42" s="255">
        <v>0.20605248340999999</v>
      </c>
      <c r="D42" s="255">
        <v>0</v>
      </c>
      <c r="E42" s="255">
        <v>6.6768635670999998</v>
      </c>
      <c r="F42" s="255">
        <v>7.6266563278000001</v>
      </c>
      <c r="G42" s="255">
        <v>66.768926246999996</v>
      </c>
      <c r="H42" s="255">
        <v>204.28167049000001</v>
      </c>
      <c r="I42" s="255">
        <v>315.30875478000002</v>
      </c>
      <c r="J42" s="255">
        <v>263.38448247000002</v>
      </c>
      <c r="K42" s="255">
        <v>95.114760739999994</v>
      </c>
      <c r="L42" s="255">
        <v>9.2151671319999995</v>
      </c>
      <c r="M42" s="255">
        <v>7.2334988961999996E-2</v>
      </c>
      <c r="N42" s="255">
        <v>0</v>
      </c>
      <c r="O42" s="255">
        <v>0</v>
      </c>
      <c r="P42" s="255">
        <v>7.6355745213999996E-3</v>
      </c>
      <c r="Q42" s="255">
        <v>7.2739775734999998</v>
      </c>
      <c r="R42" s="255">
        <v>6.3263238827999997</v>
      </c>
      <c r="S42" s="255">
        <v>64.662486090000002</v>
      </c>
      <c r="T42" s="255">
        <v>209.93628311000001</v>
      </c>
      <c r="U42" s="255">
        <v>307.97548888</v>
      </c>
      <c r="V42" s="255">
        <v>260.77882438</v>
      </c>
      <c r="W42" s="255">
        <v>103.71515131</v>
      </c>
      <c r="X42" s="255">
        <v>11.678048678</v>
      </c>
      <c r="Y42" s="255">
        <v>0.27083445640999998</v>
      </c>
      <c r="Z42" s="255">
        <v>0</v>
      </c>
      <c r="AA42" s="255">
        <v>0</v>
      </c>
      <c r="AB42" s="255">
        <v>0.30455382600000003</v>
      </c>
      <c r="AC42" s="255">
        <v>6.4417983393</v>
      </c>
      <c r="AD42" s="255">
        <v>7.1714177058999997</v>
      </c>
      <c r="AE42" s="255">
        <v>58.986252647999997</v>
      </c>
      <c r="AF42" s="255">
        <v>210.44102101999999</v>
      </c>
      <c r="AG42" s="255">
        <v>310.85907871000001</v>
      </c>
      <c r="AH42" s="255">
        <v>243.30836381</v>
      </c>
      <c r="AI42" s="255">
        <v>104.60114711999999</v>
      </c>
      <c r="AJ42" s="255">
        <v>11.074171618999999</v>
      </c>
      <c r="AK42" s="255">
        <v>0.27083445640999998</v>
      </c>
      <c r="AL42" s="255">
        <v>0</v>
      </c>
      <c r="AM42" s="255">
        <v>0</v>
      </c>
      <c r="AN42" s="255">
        <v>0.30455382600000003</v>
      </c>
      <c r="AO42" s="255">
        <v>6.5370886342999999</v>
      </c>
      <c r="AP42" s="255">
        <v>7.1436857489000003</v>
      </c>
      <c r="AQ42" s="255">
        <v>71.770300043999995</v>
      </c>
      <c r="AR42" s="255">
        <v>219.48483143999999</v>
      </c>
      <c r="AS42" s="255">
        <v>312.50081548999998</v>
      </c>
      <c r="AT42" s="255">
        <v>246.99769169000001</v>
      </c>
      <c r="AU42" s="255">
        <v>109.04234058999999</v>
      </c>
      <c r="AV42" s="255">
        <v>11.028744815</v>
      </c>
      <c r="AW42" s="255">
        <v>0.27083445640999998</v>
      </c>
      <c r="AX42" s="255">
        <v>0</v>
      </c>
      <c r="AY42" s="255">
        <v>0</v>
      </c>
      <c r="AZ42" s="255">
        <v>0.30455382600000003</v>
      </c>
      <c r="BA42" s="255">
        <v>6.2198814202000001</v>
      </c>
      <c r="BB42" s="255">
        <v>7.5944788837999999</v>
      </c>
      <c r="BC42" s="255">
        <v>70.466745220000007</v>
      </c>
      <c r="BD42" s="255">
        <v>218.10636191</v>
      </c>
      <c r="BE42" s="255">
        <v>326.09153793000002</v>
      </c>
      <c r="BF42" s="255">
        <v>251.37847851999999</v>
      </c>
      <c r="BG42" s="337">
        <v>119.03189999999999</v>
      </c>
      <c r="BH42" s="337">
        <v>11.269920000000001</v>
      </c>
      <c r="BI42" s="337">
        <v>0.1984995</v>
      </c>
      <c r="BJ42" s="337">
        <v>0</v>
      </c>
      <c r="BK42" s="337">
        <v>0</v>
      </c>
      <c r="BL42" s="337">
        <v>0.30455379999999999</v>
      </c>
      <c r="BM42" s="337">
        <v>6.5830929999999999</v>
      </c>
      <c r="BN42" s="337">
        <v>5.7145609999999998</v>
      </c>
      <c r="BO42" s="337">
        <v>68.543239999999997</v>
      </c>
      <c r="BP42" s="337">
        <v>220.072</v>
      </c>
      <c r="BQ42" s="337">
        <v>327.24270000000001</v>
      </c>
      <c r="BR42" s="337">
        <v>244.04509999999999</v>
      </c>
      <c r="BS42" s="337">
        <v>119.1063</v>
      </c>
      <c r="BT42" s="337">
        <v>10.84296</v>
      </c>
      <c r="BU42" s="337">
        <v>0.227102</v>
      </c>
      <c r="BV42" s="337">
        <v>0</v>
      </c>
    </row>
    <row r="43" spans="1:74" ht="11.1" customHeight="1" x14ac:dyDescent="0.2">
      <c r="A43" s="9" t="s">
        <v>153</v>
      </c>
      <c r="B43" s="211" t="s">
        <v>478</v>
      </c>
      <c r="C43" s="255">
        <v>31.188478663000001</v>
      </c>
      <c r="D43" s="255">
        <v>29.334828197</v>
      </c>
      <c r="E43" s="255">
        <v>52.953602801999999</v>
      </c>
      <c r="F43" s="255">
        <v>89.911449645000005</v>
      </c>
      <c r="G43" s="255">
        <v>204.5565488</v>
      </c>
      <c r="H43" s="255">
        <v>366.4497647</v>
      </c>
      <c r="I43" s="255">
        <v>441.79470772000002</v>
      </c>
      <c r="J43" s="255">
        <v>427.40602453000002</v>
      </c>
      <c r="K43" s="255">
        <v>277.69370020999997</v>
      </c>
      <c r="L43" s="255">
        <v>125.72024152</v>
      </c>
      <c r="M43" s="255">
        <v>49.862241679</v>
      </c>
      <c r="N43" s="255">
        <v>46.141239595000002</v>
      </c>
      <c r="O43" s="255">
        <v>29.631265142</v>
      </c>
      <c r="P43" s="255">
        <v>29.691021932000002</v>
      </c>
      <c r="Q43" s="255">
        <v>57.268517441999997</v>
      </c>
      <c r="R43" s="255">
        <v>87.740372746999995</v>
      </c>
      <c r="S43" s="255">
        <v>206.16936523999999</v>
      </c>
      <c r="T43" s="255">
        <v>371.67142289999998</v>
      </c>
      <c r="U43" s="255">
        <v>447.86804207</v>
      </c>
      <c r="V43" s="255">
        <v>429.46860719</v>
      </c>
      <c r="W43" s="255">
        <v>289.36635045000003</v>
      </c>
      <c r="X43" s="255">
        <v>130.83691232999999</v>
      </c>
      <c r="Y43" s="255">
        <v>51.740688431000002</v>
      </c>
      <c r="Z43" s="255">
        <v>47.125718403999997</v>
      </c>
      <c r="AA43" s="255">
        <v>29.911160381999998</v>
      </c>
      <c r="AB43" s="255">
        <v>32.932729864999999</v>
      </c>
      <c r="AC43" s="255">
        <v>56.439365023000001</v>
      </c>
      <c r="AD43" s="255">
        <v>94.125230522999999</v>
      </c>
      <c r="AE43" s="255">
        <v>209.40575419000001</v>
      </c>
      <c r="AF43" s="255">
        <v>371.48139986000001</v>
      </c>
      <c r="AG43" s="255">
        <v>453.89841948999998</v>
      </c>
      <c r="AH43" s="255">
        <v>419.73856938</v>
      </c>
      <c r="AI43" s="255">
        <v>286.78512982000001</v>
      </c>
      <c r="AJ43" s="255">
        <v>127.72507487</v>
      </c>
      <c r="AK43" s="255">
        <v>53.619524204000001</v>
      </c>
      <c r="AL43" s="255">
        <v>45.679626493000001</v>
      </c>
      <c r="AM43" s="255">
        <v>28.950014631999998</v>
      </c>
      <c r="AN43" s="255">
        <v>36.548145173000002</v>
      </c>
      <c r="AO43" s="255">
        <v>54.898419015000002</v>
      </c>
      <c r="AP43" s="255">
        <v>95.071481255999998</v>
      </c>
      <c r="AQ43" s="255">
        <v>218.15438508</v>
      </c>
      <c r="AR43" s="255">
        <v>371.03260890000001</v>
      </c>
      <c r="AS43" s="255">
        <v>456.45711872999999</v>
      </c>
      <c r="AT43" s="255">
        <v>425.33846377999998</v>
      </c>
      <c r="AU43" s="255">
        <v>298.18961639000003</v>
      </c>
      <c r="AV43" s="255">
        <v>135.53442806000001</v>
      </c>
      <c r="AW43" s="255">
        <v>57.592083817999999</v>
      </c>
      <c r="AX43" s="255">
        <v>45.975134353000001</v>
      </c>
      <c r="AY43" s="255">
        <v>29.675743996000001</v>
      </c>
      <c r="AZ43" s="255">
        <v>41.466800630000002</v>
      </c>
      <c r="BA43" s="255">
        <v>55.874799377999999</v>
      </c>
      <c r="BB43" s="255">
        <v>97.868865325000002</v>
      </c>
      <c r="BC43" s="255">
        <v>227.21805861000001</v>
      </c>
      <c r="BD43" s="255">
        <v>370.97764589000002</v>
      </c>
      <c r="BE43" s="255">
        <v>466.13227766</v>
      </c>
      <c r="BF43" s="255">
        <v>426.20127087999998</v>
      </c>
      <c r="BG43" s="337">
        <v>309.18119999999999</v>
      </c>
      <c r="BH43" s="337">
        <v>142.29310000000001</v>
      </c>
      <c r="BI43" s="337">
        <v>57.358510000000003</v>
      </c>
      <c r="BJ43" s="337">
        <v>47.537649999999999</v>
      </c>
      <c r="BK43" s="337">
        <v>33.388559999999998</v>
      </c>
      <c r="BL43" s="337">
        <v>45.345359999999999</v>
      </c>
      <c r="BM43" s="337">
        <v>64.377340000000004</v>
      </c>
      <c r="BN43" s="337">
        <v>100.7715</v>
      </c>
      <c r="BO43" s="337">
        <v>218.7175</v>
      </c>
      <c r="BP43" s="337">
        <v>360.56</v>
      </c>
      <c r="BQ43" s="337">
        <v>466.72129999999999</v>
      </c>
      <c r="BR43" s="337">
        <v>424.67180000000002</v>
      </c>
      <c r="BS43" s="337">
        <v>304.41919999999999</v>
      </c>
      <c r="BT43" s="337">
        <v>144.08349999999999</v>
      </c>
      <c r="BU43" s="337">
        <v>58.743519999999997</v>
      </c>
      <c r="BV43" s="337">
        <v>50.739719999999998</v>
      </c>
    </row>
    <row r="44" spans="1:74" ht="11.1" customHeight="1" x14ac:dyDescent="0.2">
      <c r="A44" s="9" t="s">
        <v>154</v>
      </c>
      <c r="B44" s="211" t="s">
        <v>448</v>
      </c>
      <c r="C44" s="255">
        <v>5.7296101806999999</v>
      </c>
      <c r="D44" s="255">
        <v>2.1640767095000002</v>
      </c>
      <c r="E44" s="255">
        <v>24.463180555000001</v>
      </c>
      <c r="F44" s="255">
        <v>38.370370362000003</v>
      </c>
      <c r="G44" s="255">
        <v>156.98706841000001</v>
      </c>
      <c r="H44" s="255">
        <v>345.76657108000001</v>
      </c>
      <c r="I44" s="255">
        <v>408.84325193000001</v>
      </c>
      <c r="J44" s="255">
        <v>405.83606130999999</v>
      </c>
      <c r="K44" s="255">
        <v>222.48316754999999</v>
      </c>
      <c r="L44" s="255">
        <v>47.084452222000003</v>
      </c>
      <c r="M44" s="255">
        <v>4.0826389706999997</v>
      </c>
      <c r="N44" s="255">
        <v>5.0676977196999999</v>
      </c>
      <c r="O44" s="255">
        <v>4.1095498306999998</v>
      </c>
      <c r="P44" s="255">
        <v>2.3906381668000001</v>
      </c>
      <c r="Q44" s="255">
        <v>26.321480019999999</v>
      </c>
      <c r="R44" s="255">
        <v>34.220052185999997</v>
      </c>
      <c r="S44" s="255">
        <v>156.57400856000001</v>
      </c>
      <c r="T44" s="255">
        <v>353.16943663000001</v>
      </c>
      <c r="U44" s="255">
        <v>411.98322237999997</v>
      </c>
      <c r="V44" s="255">
        <v>404.9698482</v>
      </c>
      <c r="W44" s="255">
        <v>238.70373011000001</v>
      </c>
      <c r="X44" s="255">
        <v>55.232841817999997</v>
      </c>
      <c r="Y44" s="255">
        <v>5.0539068299999999</v>
      </c>
      <c r="Z44" s="255">
        <v>5.1443890581999998</v>
      </c>
      <c r="AA44" s="255">
        <v>5.5845867305999999</v>
      </c>
      <c r="AB44" s="255">
        <v>4.0442098214</v>
      </c>
      <c r="AC44" s="255">
        <v>24.480493982999999</v>
      </c>
      <c r="AD44" s="255">
        <v>40.369564988999997</v>
      </c>
      <c r="AE44" s="255">
        <v>152.20978615999999</v>
      </c>
      <c r="AF44" s="255">
        <v>346.13772368999997</v>
      </c>
      <c r="AG44" s="255">
        <v>417.78096676000001</v>
      </c>
      <c r="AH44" s="255">
        <v>383.61675127000001</v>
      </c>
      <c r="AI44" s="255">
        <v>230.03409144</v>
      </c>
      <c r="AJ44" s="255">
        <v>52.901609102999998</v>
      </c>
      <c r="AK44" s="255">
        <v>5.3080202022999998</v>
      </c>
      <c r="AL44" s="255">
        <v>4.6874839136000004</v>
      </c>
      <c r="AM44" s="255">
        <v>5.4083815103999999</v>
      </c>
      <c r="AN44" s="255">
        <v>5.9092691097000003</v>
      </c>
      <c r="AO44" s="255">
        <v>24.542589776</v>
      </c>
      <c r="AP44" s="255">
        <v>38.579362476999997</v>
      </c>
      <c r="AQ44" s="255">
        <v>166.88566370999999</v>
      </c>
      <c r="AR44" s="255">
        <v>349.03669574000003</v>
      </c>
      <c r="AS44" s="255">
        <v>420.78879208000001</v>
      </c>
      <c r="AT44" s="255">
        <v>387.81477387000001</v>
      </c>
      <c r="AU44" s="255">
        <v>240.32950640999999</v>
      </c>
      <c r="AV44" s="255">
        <v>57.135949287000003</v>
      </c>
      <c r="AW44" s="255">
        <v>5.2472555427999996</v>
      </c>
      <c r="AX44" s="255">
        <v>4.6036848045000003</v>
      </c>
      <c r="AY44" s="255">
        <v>5.4746137025000001</v>
      </c>
      <c r="AZ44" s="255">
        <v>7.0346893287999999</v>
      </c>
      <c r="BA44" s="255">
        <v>23.379812923999999</v>
      </c>
      <c r="BB44" s="255">
        <v>39.501366351000001</v>
      </c>
      <c r="BC44" s="255">
        <v>173.74834443</v>
      </c>
      <c r="BD44" s="255">
        <v>343.42998044000001</v>
      </c>
      <c r="BE44" s="255">
        <v>431.58627392</v>
      </c>
      <c r="BF44" s="255">
        <v>394.49572855000002</v>
      </c>
      <c r="BG44" s="337">
        <v>255.68109999999999</v>
      </c>
      <c r="BH44" s="337">
        <v>61.874450000000003</v>
      </c>
      <c r="BI44" s="337">
        <v>5.0041260000000003</v>
      </c>
      <c r="BJ44" s="337">
        <v>5.1099509999999997</v>
      </c>
      <c r="BK44" s="337">
        <v>6.6926880000000004</v>
      </c>
      <c r="BL44" s="337">
        <v>7.4657270000000002</v>
      </c>
      <c r="BM44" s="337">
        <v>28.07396</v>
      </c>
      <c r="BN44" s="337">
        <v>36.950969999999998</v>
      </c>
      <c r="BO44" s="337">
        <v>163.9572</v>
      </c>
      <c r="BP44" s="337">
        <v>330.68270000000001</v>
      </c>
      <c r="BQ44" s="337">
        <v>429.61279999999999</v>
      </c>
      <c r="BR44" s="337">
        <v>384.75819999999999</v>
      </c>
      <c r="BS44" s="337">
        <v>251.27510000000001</v>
      </c>
      <c r="BT44" s="337">
        <v>62.247039999999998</v>
      </c>
      <c r="BU44" s="337">
        <v>5.179411</v>
      </c>
      <c r="BV44" s="337">
        <v>5.3711659999999997</v>
      </c>
    </row>
    <row r="45" spans="1:74" ht="11.1" customHeight="1" x14ac:dyDescent="0.2">
      <c r="A45" s="9" t="s">
        <v>155</v>
      </c>
      <c r="B45" s="211" t="s">
        <v>449</v>
      </c>
      <c r="C45" s="255">
        <v>13.723784876</v>
      </c>
      <c r="D45" s="255">
        <v>14.758363730999999</v>
      </c>
      <c r="E45" s="255">
        <v>61.922601591999999</v>
      </c>
      <c r="F45" s="255">
        <v>121.74198611</v>
      </c>
      <c r="G45" s="255">
        <v>278.18371997000003</v>
      </c>
      <c r="H45" s="255">
        <v>489.57762887000001</v>
      </c>
      <c r="I45" s="255">
        <v>558.70771334999995</v>
      </c>
      <c r="J45" s="255">
        <v>586.05569616000002</v>
      </c>
      <c r="K45" s="255">
        <v>372.38181845999998</v>
      </c>
      <c r="L45" s="255">
        <v>145.58520394999999</v>
      </c>
      <c r="M45" s="255">
        <v>34.387369941999999</v>
      </c>
      <c r="N45" s="255">
        <v>11.024094593999999</v>
      </c>
      <c r="O45" s="255">
        <v>11.175439101</v>
      </c>
      <c r="P45" s="255">
        <v>16.251619700999999</v>
      </c>
      <c r="Q45" s="255">
        <v>62.099637215000001</v>
      </c>
      <c r="R45" s="255">
        <v>113.61212153</v>
      </c>
      <c r="S45" s="255">
        <v>270.85603355000001</v>
      </c>
      <c r="T45" s="255">
        <v>491.80826331999998</v>
      </c>
      <c r="U45" s="255">
        <v>563.86333166999998</v>
      </c>
      <c r="V45" s="255">
        <v>579.67526312999996</v>
      </c>
      <c r="W45" s="255">
        <v>383.76354155000001</v>
      </c>
      <c r="X45" s="255">
        <v>154.27068661999999</v>
      </c>
      <c r="Y45" s="255">
        <v>38.427541140999999</v>
      </c>
      <c r="Z45" s="255">
        <v>11.848388255</v>
      </c>
      <c r="AA45" s="255">
        <v>14.038109915</v>
      </c>
      <c r="AB45" s="255">
        <v>22.071028409</v>
      </c>
      <c r="AC45" s="255">
        <v>63.640565082999998</v>
      </c>
      <c r="AD45" s="255">
        <v>122.29653915999999</v>
      </c>
      <c r="AE45" s="255">
        <v>269.42440837999999</v>
      </c>
      <c r="AF45" s="255">
        <v>494.84883658000001</v>
      </c>
      <c r="AG45" s="255">
        <v>576.25566856</v>
      </c>
      <c r="AH45" s="255">
        <v>573.62882427</v>
      </c>
      <c r="AI45" s="255">
        <v>381.76409432999998</v>
      </c>
      <c r="AJ45" s="255">
        <v>152.00837429000001</v>
      </c>
      <c r="AK45" s="255">
        <v>40.954476683000003</v>
      </c>
      <c r="AL45" s="255">
        <v>10.845882014000001</v>
      </c>
      <c r="AM45" s="255">
        <v>13.502855895</v>
      </c>
      <c r="AN45" s="255">
        <v>22.786073996999999</v>
      </c>
      <c r="AO45" s="255">
        <v>67.133011155999995</v>
      </c>
      <c r="AP45" s="255">
        <v>118.12639944</v>
      </c>
      <c r="AQ45" s="255">
        <v>279.91140378</v>
      </c>
      <c r="AR45" s="255">
        <v>498.96666003000001</v>
      </c>
      <c r="AS45" s="255">
        <v>582.24455450000005</v>
      </c>
      <c r="AT45" s="255">
        <v>578.82501743</v>
      </c>
      <c r="AU45" s="255">
        <v>391.04410283999999</v>
      </c>
      <c r="AV45" s="255">
        <v>155.28495759</v>
      </c>
      <c r="AW45" s="255">
        <v>38.734803925999998</v>
      </c>
      <c r="AX45" s="255">
        <v>10.896193468</v>
      </c>
      <c r="AY45" s="255">
        <v>13.086277641000001</v>
      </c>
      <c r="AZ45" s="255">
        <v>21.883148578</v>
      </c>
      <c r="BA45" s="255">
        <v>64.813369780000002</v>
      </c>
      <c r="BB45" s="255">
        <v>118.01923004</v>
      </c>
      <c r="BC45" s="255">
        <v>281.46347307000002</v>
      </c>
      <c r="BD45" s="255">
        <v>491.94292918000002</v>
      </c>
      <c r="BE45" s="255">
        <v>578.34317202</v>
      </c>
      <c r="BF45" s="255">
        <v>585.40679940999996</v>
      </c>
      <c r="BG45" s="337">
        <v>411.27940000000001</v>
      </c>
      <c r="BH45" s="337">
        <v>157.87540000000001</v>
      </c>
      <c r="BI45" s="337">
        <v>36.966439999999999</v>
      </c>
      <c r="BJ45" s="337">
        <v>12.08357</v>
      </c>
      <c r="BK45" s="337">
        <v>15.345230000000001</v>
      </c>
      <c r="BL45" s="337">
        <v>23.09948</v>
      </c>
      <c r="BM45" s="337">
        <v>75.419510000000002</v>
      </c>
      <c r="BN45" s="337">
        <v>118.09690000000001</v>
      </c>
      <c r="BO45" s="337">
        <v>277.27760000000001</v>
      </c>
      <c r="BP45" s="337">
        <v>484.00259999999997</v>
      </c>
      <c r="BQ45" s="337">
        <v>582.91049999999996</v>
      </c>
      <c r="BR45" s="337">
        <v>579.24779999999998</v>
      </c>
      <c r="BS45" s="337">
        <v>408.68299999999999</v>
      </c>
      <c r="BT45" s="337">
        <v>159.41990000000001</v>
      </c>
      <c r="BU45" s="337">
        <v>37.99136</v>
      </c>
      <c r="BV45" s="337">
        <v>12.499280000000001</v>
      </c>
    </row>
    <row r="46" spans="1:74" ht="11.1" customHeight="1" x14ac:dyDescent="0.2">
      <c r="A46" s="9" t="s">
        <v>156</v>
      </c>
      <c r="B46" s="211" t="s">
        <v>450</v>
      </c>
      <c r="C46" s="255">
        <v>1.0583117285999999</v>
      </c>
      <c r="D46" s="255">
        <v>3.3760331522000002</v>
      </c>
      <c r="E46" s="255">
        <v>16.244446964000002</v>
      </c>
      <c r="F46" s="255">
        <v>41.013781801999997</v>
      </c>
      <c r="G46" s="255">
        <v>114.09367758</v>
      </c>
      <c r="H46" s="255">
        <v>273.85495658999997</v>
      </c>
      <c r="I46" s="255">
        <v>387.77351779000003</v>
      </c>
      <c r="J46" s="255">
        <v>338.92048872999999</v>
      </c>
      <c r="K46" s="255">
        <v>203.03168538</v>
      </c>
      <c r="L46" s="255">
        <v>65.526439518999993</v>
      </c>
      <c r="M46" s="255">
        <v>10.352733408000001</v>
      </c>
      <c r="N46" s="255">
        <v>0</v>
      </c>
      <c r="O46" s="255">
        <v>0.91434051586999998</v>
      </c>
      <c r="P46" s="255">
        <v>3.9874308615</v>
      </c>
      <c r="Q46" s="255">
        <v>18.223322189000001</v>
      </c>
      <c r="R46" s="255">
        <v>41.36097084</v>
      </c>
      <c r="S46" s="255">
        <v>107.66720485</v>
      </c>
      <c r="T46" s="255">
        <v>275.11416492000001</v>
      </c>
      <c r="U46" s="255">
        <v>385.78950263000002</v>
      </c>
      <c r="V46" s="255">
        <v>338.94558175999998</v>
      </c>
      <c r="W46" s="255">
        <v>205.56487308000001</v>
      </c>
      <c r="X46" s="255">
        <v>70.378264251999994</v>
      </c>
      <c r="Y46" s="255">
        <v>10.506263518000001</v>
      </c>
      <c r="Z46" s="255">
        <v>0</v>
      </c>
      <c r="AA46" s="255">
        <v>0.91434051586999998</v>
      </c>
      <c r="AB46" s="255">
        <v>4.2037590472000002</v>
      </c>
      <c r="AC46" s="255">
        <v>19.054068783999998</v>
      </c>
      <c r="AD46" s="255">
        <v>41.989209854999999</v>
      </c>
      <c r="AE46" s="255">
        <v>105.17971248000001</v>
      </c>
      <c r="AF46" s="255">
        <v>278.92774868999999</v>
      </c>
      <c r="AG46" s="255">
        <v>384.38496253</v>
      </c>
      <c r="AH46" s="255">
        <v>334.70227397999997</v>
      </c>
      <c r="AI46" s="255">
        <v>203.37710208999999</v>
      </c>
      <c r="AJ46" s="255">
        <v>72.841538174999997</v>
      </c>
      <c r="AK46" s="255">
        <v>11.363002075000001</v>
      </c>
      <c r="AL46" s="255">
        <v>0.11671694618</v>
      </c>
      <c r="AM46" s="255">
        <v>1.3385281447999999</v>
      </c>
      <c r="AN46" s="255">
        <v>4.2916259033999999</v>
      </c>
      <c r="AO46" s="255">
        <v>19.161780196999999</v>
      </c>
      <c r="AP46" s="255">
        <v>45.139111733</v>
      </c>
      <c r="AQ46" s="255">
        <v>110.66268072</v>
      </c>
      <c r="AR46" s="255">
        <v>282.23395017000001</v>
      </c>
      <c r="AS46" s="255">
        <v>388.11588749999999</v>
      </c>
      <c r="AT46" s="255">
        <v>336.40161775000001</v>
      </c>
      <c r="AU46" s="255">
        <v>207.60846434999999</v>
      </c>
      <c r="AV46" s="255">
        <v>70.266701784999995</v>
      </c>
      <c r="AW46" s="255">
        <v>10.482314050999999</v>
      </c>
      <c r="AX46" s="255">
        <v>0.11671694618</v>
      </c>
      <c r="AY46" s="255">
        <v>1.1684876631000001</v>
      </c>
      <c r="AZ46" s="255">
        <v>4.0301899418999998</v>
      </c>
      <c r="BA46" s="255">
        <v>18.712690090999999</v>
      </c>
      <c r="BB46" s="255">
        <v>47.132683847000003</v>
      </c>
      <c r="BC46" s="255">
        <v>99.815060360000004</v>
      </c>
      <c r="BD46" s="255">
        <v>285.57523278000002</v>
      </c>
      <c r="BE46" s="255">
        <v>388.72478346000003</v>
      </c>
      <c r="BF46" s="255">
        <v>343.10149283999999</v>
      </c>
      <c r="BG46" s="337">
        <v>206.8023</v>
      </c>
      <c r="BH46" s="337">
        <v>70.904910000000001</v>
      </c>
      <c r="BI46" s="337">
        <v>10.19196</v>
      </c>
      <c r="BJ46" s="337">
        <v>0.1167169</v>
      </c>
      <c r="BK46" s="337">
        <v>1.052597</v>
      </c>
      <c r="BL46" s="337">
        <v>4.0324070000000001</v>
      </c>
      <c r="BM46" s="337">
        <v>18.875450000000001</v>
      </c>
      <c r="BN46" s="337">
        <v>48.902569999999997</v>
      </c>
      <c r="BO46" s="337">
        <v>108.9263</v>
      </c>
      <c r="BP46" s="337">
        <v>286.9178</v>
      </c>
      <c r="BQ46" s="337">
        <v>391.92180000000002</v>
      </c>
      <c r="BR46" s="337">
        <v>352.3897</v>
      </c>
      <c r="BS46" s="337">
        <v>204.76410000000001</v>
      </c>
      <c r="BT46" s="337">
        <v>71.073750000000004</v>
      </c>
      <c r="BU46" s="337">
        <v>10.728590000000001</v>
      </c>
      <c r="BV46" s="337">
        <v>0.1754368</v>
      </c>
    </row>
    <row r="47" spans="1:74" ht="11.1" customHeight="1" x14ac:dyDescent="0.2">
      <c r="A47" s="9" t="s">
        <v>157</v>
      </c>
      <c r="B47" s="211" t="s">
        <v>451</v>
      </c>
      <c r="C47" s="255">
        <v>8.9442748620000003</v>
      </c>
      <c r="D47" s="255">
        <v>7.4344157797000001</v>
      </c>
      <c r="E47" s="255">
        <v>12.395978863</v>
      </c>
      <c r="F47" s="255">
        <v>17.653166119000002</v>
      </c>
      <c r="G47" s="255">
        <v>46.291067024</v>
      </c>
      <c r="H47" s="255">
        <v>115.8304469</v>
      </c>
      <c r="I47" s="255">
        <v>232.47497607</v>
      </c>
      <c r="J47" s="255">
        <v>222.12648175000001</v>
      </c>
      <c r="K47" s="255">
        <v>156.13331072</v>
      </c>
      <c r="L47" s="255">
        <v>48.830546550999998</v>
      </c>
      <c r="M47" s="255">
        <v>14.260272451000001</v>
      </c>
      <c r="N47" s="255">
        <v>8.5622546746000001</v>
      </c>
      <c r="O47" s="255">
        <v>8.9148078539999993</v>
      </c>
      <c r="P47" s="255">
        <v>8.3869402931000003</v>
      </c>
      <c r="Q47" s="255">
        <v>12.91404311</v>
      </c>
      <c r="R47" s="255">
        <v>19.407195905999998</v>
      </c>
      <c r="S47" s="255">
        <v>44.739591695999998</v>
      </c>
      <c r="T47" s="255">
        <v>116.27256388000001</v>
      </c>
      <c r="U47" s="255">
        <v>224.28461178000001</v>
      </c>
      <c r="V47" s="255">
        <v>227.01252162</v>
      </c>
      <c r="W47" s="255">
        <v>156.08061791</v>
      </c>
      <c r="X47" s="255">
        <v>50.944501465000002</v>
      </c>
      <c r="Y47" s="255">
        <v>14.328494405000001</v>
      </c>
      <c r="Z47" s="255">
        <v>8.4671223683000001</v>
      </c>
      <c r="AA47" s="255">
        <v>8.8040525182000007</v>
      </c>
      <c r="AB47" s="255">
        <v>8.4258669518999998</v>
      </c>
      <c r="AC47" s="255">
        <v>13.056582552</v>
      </c>
      <c r="AD47" s="255">
        <v>20.019115048</v>
      </c>
      <c r="AE47" s="255">
        <v>44.523290813000003</v>
      </c>
      <c r="AF47" s="255">
        <v>120.54458477</v>
      </c>
      <c r="AG47" s="255">
        <v>228.87586171000001</v>
      </c>
      <c r="AH47" s="255">
        <v>231.47325092</v>
      </c>
      <c r="AI47" s="255">
        <v>160.58672207999999</v>
      </c>
      <c r="AJ47" s="255">
        <v>54.470919815999999</v>
      </c>
      <c r="AK47" s="255">
        <v>14.919562806</v>
      </c>
      <c r="AL47" s="255">
        <v>8.5726916975999998</v>
      </c>
      <c r="AM47" s="255">
        <v>9.6434732970999999</v>
      </c>
      <c r="AN47" s="255">
        <v>8.4739074159999994</v>
      </c>
      <c r="AO47" s="255">
        <v>12.701013885</v>
      </c>
      <c r="AP47" s="255">
        <v>20.702899028000001</v>
      </c>
      <c r="AQ47" s="255">
        <v>45.033779871</v>
      </c>
      <c r="AR47" s="255">
        <v>119.24394482</v>
      </c>
      <c r="AS47" s="255">
        <v>238.37341412999999</v>
      </c>
      <c r="AT47" s="255">
        <v>233.36180999000001</v>
      </c>
      <c r="AU47" s="255">
        <v>158.89551598</v>
      </c>
      <c r="AV47" s="255">
        <v>53.010703157000002</v>
      </c>
      <c r="AW47" s="255">
        <v>14.649383201999999</v>
      </c>
      <c r="AX47" s="255">
        <v>8.6796579904000009</v>
      </c>
      <c r="AY47" s="255">
        <v>9.4797082309</v>
      </c>
      <c r="AZ47" s="255">
        <v>8.4348538481999995</v>
      </c>
      <c r="BA47" s="255">
        <v>12.786016322</v>
      </c>
      <c r="BB47" s="255">
        <v>21.973776246</v>
      </c>
      <c r="BC47" s="255">
        <v>39.801327901999997</v>
      </c>
      <c r="BD47" s="255">
        <v>123.22335729</v>
      </c>
      <c r="BE47" s="255">
        <v>233.76590275000001</v>
      </c>
      <c r="BF47" s="255">
        <v>236.92699931000001</v>
      </c>
      <c r="BG47" s="337">
        <v>153.26660000000001</v>
      </c>
      <c r="BH47" s="337">
        <v>54.307830000000003</v>
      </c>
      <c r="BI47" s="337">
        <v>14.820209999999999</v>
      </c>
      <c r="BJ47" s="337">
        <v>8.9380310000000005</v>
      </c>
      <c r="BK47" s="337">
        <v>9.5670839999999995</v>
      </c>
      <c r="BL47" s="337">
        <v>8.5833480000000009</v>
      </c>
      <c r="BM47" s="337">
        <v>12.78787</v>
      </c>
      <c r="BN47" s="337">
        <v>22.991250000000001</v>
      </c>
      <c r="BO47" s="337">
        <v>44.20928</v>
      </c>
      <c r="BP47" s="337">
        <v>125.7127</v>
      </c>
      <c r="BQ47" s="337">
        <v>236.98849999999999</v>
      </c>
      <c r="BR47" s="337">
        <v>249.50470000000001</v>
      </c>
      <c r="BS47" s="337">
        <v>153.5752</v>
      </c>
      <c r="BT47" s="337">
        <v>54.875320000000002</v>
      </c>
      <c r="BU47" s="337">
        <v>15.02867</v>
      </c>
      <c r="BV47" s="337">
        <v>8.9198120000000003</v>
      </c>
    </row>
    <row r="48" spans="1:74" ht="11.1" customHeight="1" x14ac:dyDescent="0.2">
      <c r="A48" s="9" t="s">
        <v>158</v>
      </c>
      <c r="B48" s="212" t="s">
        <v>479</v>
      </c>
      <c r="C48" s="253">
        <v>9.5484675261999996</v>
      </c>
      <c r="D48" s="253">
        <v>9.0066481118000006</v>
      </c>
      <c r="E48" s="253">
        <v>23.062230616000001</v>
      </c>
      <c r="F48" s="253">
        <v>40.690856689</v>
      </c>
      <c r="G48" s="253">
        <v>116.72093335</v>
      </c>
      <c r="H48" s="253">
        <v>246.58303076000001</v>
      </c>
      <c r="I48" s="253">
        <v>346.12985078999998</v>
      </c>
      <c r="J48" s="253">
        <v>320.09204806999998</v>
      </c>
      <c r="K48" s="253">
        <v>178.79444197000001</v>
      </c>
      <c r="L48" s="253">
        <v>59.360425503000002</v>
      </c>
      <c r="M48" s="253">
        <v>17.076087444999999</v>
      </c>
      <c r="N48" s="253">
        <v>12.023066537</v>
      </c>
      <c r="O48" s="253">
        <v>8.8435451250000003</v>
      </c>
      <c r="P48" s="253">
        <v>9.4979182371000004</v>
      </c>
      <c r="Q48" s="253">
        <v>24.460466907000001</v>
      </c>
      <c r="R48" s="253">
        <v>39.420351314999998</v>
      </c>
      <c r="S48" s="253">
        <v>115.6008875</v>
      </c>
      <c r="T48" s="253">
        <v>250.36014379</v>
      </c>
      <c r="U48" s="253">
        <v>346.34943514000003</v>
      </c>
      <c r="V48" s="253">
        <v>323.34575389000003</v>
      </c>
      <c r="W48" s="253">
        <v>187.27841909</v>
      </c>
      <c r="X48" s="253">
        <v>63.315451537999998</v>
      </c>
      <c r="Y48" s="253">
        <v>18.099929418999999</v>
      </c>
      <c r="Z48" s="253">
        <v>12.352288241</v>
      </c>
      <c r="AA48" s="253">
        <v>9.3555300720000005</v>
      </c>
      <c r="AB48" s="253">
        <v>11.017811457000001</v>
      </c>
      <c r="AC48" s="253">
        <v>24.490591202000001</v>
      </c>
      <c r="AD48" s="253">
        <v>42.541709664000003</v>
      </c>
      <c r="AE48" s="253">
        <v>114.38090945</v>
      </c>
      <c r="AF48" s="253">
        <v>251.33387965</v>
      </c>
      <c r="AG48" s="253">
        <v>351.96086617999998</v>
      </c>
      <c r="AH48" s="253">
        <v>316.38932449999999</v>
      </c>
      <c r="AI48" s="253">
        <v>187.04425878000001</v>
      </c>
      <c r="AJ48" s="253">
        <v>63.004586011999997</v>
      </c>
      <c r="AK48" s="253">
        <v>19.034089168000001</v>
      </c>
      <c r="AL48" s="253">
        <v>11.987571027</v>
      </c>
      <c r="AM48" s="253">
        <v>9.2849541813999998</v>
      </c>
      <c r="AN48" s="253">
        <v>12.000857949</v>
      </c>
      <c r="AO48" s="253">
        <v>24.650040546</v>
      </c>
      <c r="AP48" s="253">
        <v>42.590640350999998</v>
      </c>
      <c r="AQ48" s="253">
        <v>122.49130596000001</v>
      </c>
      <c r="AR48" s="253">
        <v>252.18579792</v>
      </c>
      <c r="AS48" s="253">
        <v>356.46816746000002</v>
      </c>
      <c r="AT48" s="253">
        <v>323.36209926999999</v>
      </c>
      <c r="AU48" s="253">
        <v>193.0947912</v>
      </c>
      <c r="AV48" s="253">
        <v>65.023938362999999</v>
      </c>
      <c r="AW48" s="253">
        <v>19.492290806</v>
      </c>
      <c r="AX48" s="253">
        <v>12.097832991000001</v>
      </c>
      <c r="AY48" s="253">
        <v>9.3712915900000002</v>
      </c>
      <c r="AZ48" s="253">
        <v>12.950794114000001</v>
      </c>
      <c r="BA48" s="253">
        <v>24.511255507000001</v>
      </c>
      <c r="BB48" s="253">
        <v>43.715659995000003</v>
      </c>
      <c r="BC48" s="253">
        <v>123.58930460000001</v>
      </c>
      <c r="BD48" s="253">
        <v>252.70417990999999</v>
      </c>
      <c r="BE48" s="253">
        <v>365.08886754999997</v>
      </c>
      <c r="BF48" s="253">
        <v>326.65618174999997</v>
      </c>
      <c r="BG48" s="338">
        <v>200.53639999999999</v>
      </c>
      <c r="BH48" s="338">
        <v>67.627420000000001</v>
      </c>
      <c r="BI48" s="338">
        <v>19.282910000000001</v>
      </c>
      <c r="BJ48" s="338">
        <v>12.657819999999999</v>
      </c>
      <c r="BK48" s="338">
        <v>10.48659</v>
      </c>
      <c r="BL48" s="338">
        <v>13.938459999999999</v>
      </c>
      <c r="BM48" s="338">
        <v>27.896979999999999</v>
      </c>
      <c r="BN48" s="338">
        <v>44.33661</v>
      </c>
      <c r="BO48" s="338">
        <v>121.3032</v>
      </c>
      <c r="BP48" s="338">
        <v>249.23410000000001</v>
      </c>
      <c r="BQ48" s="338">
        <v>367.45229999999998</v>
      </c>
      <c r="BR48" s="338">
        <v>327.60320000000002</v>
      </c>
      <c r="BS48" s="338">
        <v>198.76339999999999</v>
      </c>
      <c r="BT48" s="338">
        <v>68.461309999999997</v>
      </c>
      <c r="BU48" s="338">
        <v>19.832519999999999</v>
      </c>
      <c r="BV48" s="338">
        <v>13.37866</v>
      </c>
    </row>
    <row r="49" spans="1:74" s="197" customFormat="1" ht="11.1" customHeight="1" x14ac:dyDescent="0.2">
      <c r="A49" s="148"/>
      <c r="B49" s="195"/>
      <c r="C49" s="196"/>
      <c r="D49" s="196"/>
      <c r="E49" s="196"/>
      <c r="F49" s="196"/>
      <c r="G49" s="196"/>
      <c r="H49" s="196"/>
      <c r="I49" s="196"/>
      <c r="J49" s="196"/>
      <c r="K49" s="196"/>
      <c r="L49" s="196"/>
      <c r="M49" s="196"/>
      <c r="N49" s="196"/>
      <c r="O49" s="196"/>
      <c r="P49" s="196"/>
      <c r="Q49" s="196"/>
      <c r="R49" s="196"/>
      <c r="S49" s="196"/>
      <c r="T49" s="196"/>
      <c r="U49" s="196"/>
      <c r="V49" s="196"/>
      <c r="W49" s="196"/>
      <c r="X49" s="196"/>
      <c r="Y49" s="196"/>
      <c r="Z49" s="196"/>
      <c r="AA49" s="196"/>
      <c r="AB49" s="196"/>
      <c r="AC49" s="196"/>
      <c r="AD49" s="196"/>
      <c r="AE49" s="196"/>
      <c r="AF49" s="196"/>
      <c r="AG49" s="196"/>
      <c r="AH49" s="196"/>
      <c r="AI49" s="196"/>
      <c r="AJ49" s="196"/>
      <c r="AK49" s="196"/>
      <c r="AL49" s="196"/>
      <c r="AM49" s="196"/>
      <c r="AN49" s="196"/>
      <c r="AO49" s="196"/>
      <c r="AP49" s="196"/>
      <c r="AQ49" s="196"/>
      <c r="AR49" s="196"/>
      <c r="AS49" s="196"/>
      <c r="AT49" s="196"/>
      <c r="AU49" s="196"/>
      <c r="AV49" s="196"/>
      <c r="AW49" s="196"/>
      <c r="AX49" s="196"/>
      <c r="AY49" s="339"/>
      <c r="AZ49" s="339"/>
      <c r="BA49" s="339"/>
      <c r="BB49" s="339"/>
      <c r="BC49" s="339"/>
      <c r="BD49" s="702"/>
      <c r="BE49" s="702"/>
      <c r="BF49" s="702"/>
      <c r="BG49" s="339"/>
      <c r="BH49" s="339"/>
      <c r="BI49" s="339"/>
      <c r="BJ49" s="339"/>
      <c r="BK49" s="339"/>
      <c r="BL49" s="339"/>
      <c r="BM49" s="339"/>
      <c r="BN49" s="339"/>
      <c r="BO49" s="339"/>
      <c r="BP49" s="339"/>
      <c r="BQ49" s="339"/>
      <c r="BR49" s="339"/>
      <c r="BS49" s="339"/>
      <c r="BT49" s="339"/>
      <c r="BU49" s="339"/>
      <c r="BV49" s="339"/>
    </row>
    <row r="50" spans="1:74" s="197" customFormat="1" ht="12" customHeight="1" x14ac:dyDescent="0.25">
      <c r="A50" s="148"/>
      <c r="B50" s="826" t="s">
        <v>826</v>
      </c>
      <c r="C50" s="805"/>
      <c r="D50" s="805"/>
      <c r="E50" s="805"/>
      <c r="F50" s="805"/>
      <c r="G50" s="805"/>
      <c r="H50" s="805"/>
      <c r="I50" s="805"/>
      <c r="J50" s="805"/>
      <c r="K50" s="805"/>
      <c r="L50" s="805"/>
      <c r="M50" s="805"/>
      <c r="N50" s="805"/>
      <c r="O50" s="805"/>
      <c r="P50" s="805"/>
      <c r="Q50" s="805"/>
      <c r="AY50" s="498"/>
      <c r="AZ50" s="498"/>
      <c r="BA50" s="498"/>
      <c r="BB50" s="498"/>
      <c r="BC50" s="749"/>
      <c r="BD50" s="749"/>
      <c r="BE50" s="749"/>
      <c r="BF50" s="749"/>
      <c r="BG50" s="498"/>
      <c r="BH50" s="498"/>
      <c r="BI50" s="498"/>
      <c r="BJ50" s="498"/>
    </row>
    <row r="51" spans="1:74" s="465" customFormat="1" ht="12" customHeight="1" x14ac:dyDescent="0.25">
      <c r="A51" s="462"/>
      <c r="B51" s="794" t="s">
        <v>167</v>
      </c>
      <c r="C51" s="794"/>
      <c r="D51" s="794"/>
      <c r="E51" s="794"/>
      <c r="F51" s="794"/>
      <c r="G51" s="794"/>
      <c r="H51" s="794"/>
      <c r="I51" s="794"/>
      <c r="J51" s="794"/>
      <c r="K51" s="794"/>
      <c r="L51" s="794"/>
      <c r="M51" s="794"/>
      <c r="N51" s="794"/>
      <c r="O51" s="794"/>
      <c r="P51" s="794"/>
      <c r="Q51" s="794"/>
      <c r="AY51" s="499"/>
      <c r="AZ51" s="499"/>
      <c r="BA51" s="499"/>
      <c r="BB51" s="499"/>
      <c r="BC51" s="703"/>
      <c r="BD51" s="703"/>
      <c r="BE51" s="703"/>
      <c r="BF51" s="703"/>
      <c r="BG51" s="499"/>
      <c r="BH51" s="499"/>
      <c r="BI51" s="499"/>
      <c r="BJ51" s="499"/>
    </row>
    <row r="52" spans="1:74" s="465" customFormat="1" ht="12" customHeight="1" x14ac:dyDescent="0.25">
      <c r="A52" s="466"/>
      <c r="B52" s="821" t="s">
        <v>168</v>
      </c>
      <c r="C52" s="795"/>
      <c r="D52" s="795"/>
      <c r="E52" s="795"/>
      <c r="F52" s="795"/>
      <c r="G52" s="795"/>
      <c r="H52" s="795"/>
      <c r="I52" s="795"/>
      <c r="J52" s="795"/>
      <c r="K52" s="795"/>
      <c r="L52" s="795"/>
      <c r="M52" s="795"/>
      <c r="N52" s="795"/>
      <c r="O52" s="795"/>
      <c r="P52" s="795"/>
      <c r="Q52" s="791"/>
      <c r="AY52" s="499"/>
      <c r="AZ52" s="499"/>
      <c r="BA52" s="499"/>
      <c r="BB52" s="499"/>
      <c r="BC52" s="499"/>
      <c r="BD52" s="703"/>
      <c r="BE52" s="703"/>
      <c r="BF52" s="703"/>
      <c r="BG52" s="499"/>
      <c r="BH52" s="499"/>
      <c r="BI52" s="499"/>
      <c r="BJ52" s="499"/>
    </row>
    <row r="53" spans="1:74" s="465" customFormat="1" ht="12" customHeight="1" x14ac:dyDescent="0.25">
      <c r="A53" s="466"/>
      <c r="B53" s="821" t="s">
        <v>163</v>
      </c>
      <c r="C53" s="795"/>
      <c r="D53" s="795"/>
      <c r="E53" s="795"/>
      <c r="F53" s="795"/>
      <c r="G53" s="795"/>
      <c r="H53" s="795"/>
      <c r="I53" s="795"/>
      <c r="J53" s="795"/>
      <c r="K53" s="795"/>
      <c r="L53" s="795"/>
      <c r="M53" s="795"/>
      <c r="N53" s="795"/>
      <c r="O53" s="795"/>
      <c r="P53" s="795"/>
      <c r="Q53" s="791"/>
      <c r="AY53" s="499"/>
      <c r="AZ53" s="499"/>
      <c r="BA53" s="499"/>
      <c r="BB53" s="499"/>
      <c r="BC53" s="499"/>
      <c r="BD53" s="703"/>
      <c r="BE53" s="703"/>
      <c r="BF53" s="703"/>
      <c r="BG53" s="499"/>
      <c r="BH53" s="499"/>
      <c r="BI53" s="499"/>
      <c r="BJ53" s="499"/>
    </row>
    <row r="54" spans="1:74" s="465" customFormat="1" ht="12" customHeight="1" x14ac:dyDescent="0.25">
      <c r="A54" s="466"/>
      <c r="B54" s="821" t="s">
        <v>360</v>
      </c>
      <c r="C54" s="795"/>
      <c r="D54" s="795"/>
      <c r="E54" s="795"/>
      <c r="F54" s="795"/>
      <c r="G54" s="795"/>
      <c r="H54" s="795"/>
      <c r="I54" s="795"/>
      <c r="J54" s="795"/>
      <c r="K54" s="795"/>
      <c r="L54" s="795"/>
      <c r="M54" s="795"/>
      <c r="N54" s="795"/>
      <c r="O54" s="795"/>
      <c r="P54" s="795"/>
      <c r="Q54" s="791"/>
      <c r="AY54" s="499"/>
      <c r="AZ54" s="499"/>
      <c r="BA54" s="499"/>
      <c r="BB54" s="499"/>
      <c r="BC54" s="499"/>
      <c r="BD54" s="703"/>
      <c r="BE54" s="703"/>
      <c r="BF54" s="703"/>
      <c r="BG54" s="499"/>
      <c r="BH54" s="499"/>
      <c r="BI54" s="499"/>
      <c r="BJ54" s="499"/>
    </row>
    <row r="55" spans="1:74" s="467" customFormat="1" ht="12" customHeight="1" x14ac:dyDescent="0.25">
      <c r="A55" s="466"/>
      <c r="B55" s="821" t="s">
        <v>164</v>
      </c>
      <c r="C55" s="795"/>
      <c r="D55" s="795"/>
      <c r="E55" s="795"/>
      <c r="F55" s="795"/>
      <c r="G55" s="795"/>
      <c r="H55" s="795"/>
      <c r="I55" s="795"/>
      <c r="J55" s="795"/>
      <c r="K55" s="795"/>
      <c r="L55" s="795"/>
      <c r="M55" s="795"/>
      <c r="N55" s="795"/>
      <c r="O55" s="795"/>
      <c r="P55" s="795"/>
      <c r="Q55" s="791"/>
      <c r="AY55" s="500"/>
      <c r="AZ55" s="500"/>
      <c r="BA55" s="500"/>
      <c r="BB55" s="500"/>
      <c r="BC55" s="500"/>
      <c r="BD55" s="704"/>
      <c r="BE55" s="704"/>
      <c r="BF55" s="704"/>
      <c r="BG55" s="500"/>
      <c r="BH55" s="500"/>
      <c r="BI55" s="500"/>
      <c r="BJ55" s="500"/>
    </row>
    <row r="56" spans="1:74" s="467" customFormat="1" ht="12" customHeight="1" x14ac:dyDescent="0.25">
      <c r="A56" s="466"/>
      <c r="B56" s="794" t="s">
        <v>165</v>
      </c>
      <c r="C56" s="795"/>
      <c r="D56" s="795"/>
      <c r="E56" s="795"/>
      <c r="F56" s="795"/>
      <c r="G56" s="795"/>
      <c r="H56" s="795"/>
      <c r="I56" s="795"/>
      <c r="J56" s="795"/>
      <c r="K56" s="795"/>
      <c r="L56" s="795"/>
      <c r="M56" s="795"/>
      <c r="N56" s="795"/>
      <c r="O56" s="795"/>
      <c r="P56" s="795"/>
      <c r="Q56" s="791"/>
      <c r="AY56" s="500"/>
      <c r="AZ56" s="500"/>
      <c r="BA56" s="500"/>
      <c r="BB56" s="500"/>
      <c r="BC56" s="500"/>
      <c r="BD56" s="704"/>
      <c r="BE56" s="704"/>
      <c r="BF56" s="704"/>
      <c r="BG56" s="500"/>
      <c r="BH56" s="500"/>
      <c r="BI56" s="500"/>
      <c r="BJ56" s="500"/>
    </row>
    <row r="57" spans="1:74" s="467" customFormat="1" ht="12" customHeight="1" x14ac:dyDescent="0.25">
      <c r="A57" s="429"/>
      <c r="B57" s="811" t="s">
        <v>166</v>
      </c>
      <c r="C57" s="791"/>
      <c r="D57" s="791"/>
      <c r="E57" s="791"/>
      <c r="F57" s="791"/>
      <c r="G57" s="791"/>
      <c r="H57" s="791"/>
      <c r="I57" s="791"/>
      <c r="J57" s="791"/>
      <c r="K57" s="791"/>
      <c r="L57" s="791"/>
      <c r="M57" s="791"/>
      <c r="N57" s="791"/>
      <c r="O57" s="791"/>
      <c r="P57" s="791"/>
      <c r="Q57" s="791"/>
      <c r="AY57" s="500"/>
      <c r="AZ57" s="500"/>
      <c r="BA57" s="500"/>
      <c r="BB57" s="500"/>
      <c r="BC57" s="500"/>
      <c r="BD57" s="704"/>
      <c r="BE57" s="704"/>
      <c r="BF57" s="704"/>
      <c r="BG57" s="500"/>
      <c r="BH57" s="500"/>
      <c r="BI57" s="500"/>
      <c r="BJ57" s="500"/>
    </row>
    <row r="58" spans="1:74" x14ac:dyDescent="0.15">
      <c r="BK58" s="340"/>
      <c r="BL58" s="340"/>
      <c r="BM58" s="340"/>
      <c r="BN58" s="340"/>
      <c r="BO58" s="340"/>
      <c r="BP58" s="340"/>
      <c r="BQ58" s="340"/>
      <c r="BR58" s="340"/>
      <c r="BS58" s="340"/>
      <c r="BT58" s="340"/>
      <c r="BU58" s="340"/>
      <c r="BV58" s="340"/>
    </row>
    <row r="59" spans="1:74" x14ac:dyDescent="0.15">
      <c r="BK59" s="340"/>
      <c r="BL59" s="340"/>
      <c r="BM59" s="340"/>
      <c r="BN59" s="340"/>
      <c r="BO59" s="340"/>
      <c r="BP59" s="340"/>
      <c r="BQ59" s="340"/>
      <c r="BR59" s="340"/>
      <c r="BS59" s="340"/>
      <c r="BT59" s="340"/>
      <c r="BU59" s="340"/>
      <c r="BV59" s="340"/>
    </row>
    <row r="60" spans="1:74" x14ac:dyDescent="0.15">
      <c r="BK60" s="340"/>
      <c r="BL60" s="340"/>
      <c r="BM60" s="340"/>
      <c r="BN60" s="340"/>
      <c r="BO60" s="340"/>
      <c r="BP60" s="340"/>
      <c r="BQ60" s="340"/>
      <c r="BR60" s="340"/>
      <c r="BS60" s="340"/>
      <c r="BT60" s="340"/>
      <c r="BU60" s="340"/>
      <c r="BV60" s="340"/>
    </row>
    <row r="61" spans="1:74" x14ac:dyDescent="0.15">
      <c r="BK61" s="340"/>
      <c r="BL61" s="340"/>
      <c r="BM61" s="340"/>
      <c r="BN61" s="340"/>
      <c r="BO61" s="340"/>
      <c r="BP61" s="340"/>
      <c r="BQ61" s="340"/>
      <c r="BR61" s="340"/>
      <c r="BS61" s="340"/>
      <c r="BT61" s="340"/>
      <c r="BU61" s="340"/>
      <c r="BV61" s="340"/>
    </row>
    <row r="62" spans="1:74" x14ac:dyDescent="0.15">
      <c r="BK62" s="340"/>
      <c r="BL62" s="340"/>
      <c r="BM62" s="340"/>
      <c r="BN62" s="340"/>
      <c r="BO62" s="340"/>
      <c r="BP62" s="340"/>
      <c r="BQ62" s="340"/>
      <c r="BR62" s="340"/>
      <c r="BS62" s="340"/>
      <c r="BT62" s="340"/>
      <c r="BU62" s="340"/>
      <c r="BV62" s="340"/>
    </row>
    <row r="63" spans="1:74" x14ac:dyDescent="0.15">
      <c r="BK63" s="340"/>
      <c r="BL63" s="340"/>
      <c r="BM63" s="340"/>
      <c r="BN63" s="340"/>
      <c r="BO63" s="340"/>
      <c r="BP63" s="340"/>
      <c r="BQ63" s="340"/>
      <c r="BR63" s="340"/>
      <c r="BS63" s="340"/>
      <c r="BT63" s="340"/>
      <c r="BU63" s="340"/>
      <c r="BV63" s="340"/>
    </row>
    <row r="64" spans="1:74" x14ac:dyDescent="0.15">
      <c r="BK64" s="340"/>
      <c r="BL64" s="340"/>
      <c r="BM64" s="340"/>
      <c r="BN64" s="340"/>
      <c r="BO64" s="340"/>
      <c r="BP64" s="340"/>
      <c r="BQ64" s="340"/>
      <c r="BR64" s="340"/>
      <c r="BS64" s="340"/>
      <c r="BT64" s="340"/>
      <c r="BU64" s="340"/>
      <c r="BV64" s="340"/>
    </row>
    <row r="65" spans="63:74" x14ac:dyDescent="0.15">
      <c r="BK65" s="340"/>
      <c r="BL65" s="340"/>
      <c r="BM65" s="340"/>
      <c r="BN65" s="340"/>
      <c r="BO65" s="340"/>
      <c r="BP65" s="340"/>
      <c r="BQ65" s="340"/>
      <c r="BR65" s="340"/>
      <c r="BS65" s="340"/>
      <c r="BT65" s="340"/>
      <c r="BU65" s="340"/>
      <c r="BV65" s="340"/>
    </row>
    <row r="66" spans="63:74" x14ac:dyDescent="0.15">
      <c r="BK66" s="340"/>
      <c r="BL66" s="340"/>
      <c r="BM66" s="340"/>
      <c r="BN66" s="340"/>
      <c r="BO66" s="340"/>
      <c r="BP66" s="340"/>
      <c r="BQ66" s="340"/>
      <c r="BR66" s="340"/>
      <c r="BS66" s="340"/>
      <c r="BT66" s="340"/>
      <c r="BU66" s="340"/>
      <c r="BV66" s="340"/>
    </row>
    <row r="67" spans="63:74" x14ac:dyDescent="0.15">
      <c r="BK67" s="340"/>
      <c r="BL67" s="340"/>
      <c r="BM67" s="340"/>
      <c r="BN67" s="340"/>
      <c r="BO67" s="340"/>
      <c r="BP67" s="340"/>
      <c r="BQ67" s="340"/>
      <c r="BR67" s="340"/>
      <c r="BS67" s="340"/>
      <c r="BT67" s="340"/>
      <c r="BU67" s="340"/>
      <c r="BV67" s="340"/>
    </row>
    <row r="68" spans="63:74" x14ac:dyDescent="0.15">
      <c r="BK68" s="340"/>
      <c r="BL68" s="340"/>
      <c r="BM68" s="340"/>
      <c r="BN68" s="340"/>
      <c r="BO68" s="340"/>
      <c r="BP68" s="340"/>
      <c r="BQ68" s="340"/>
      <c r="BR68" s="340"/>
      <c r="BS68" s="340"/>
      <c r="BT68" s="340"/>
      <c r="BU68" s="340"/>
      <c r="BV68" s="340"/>
    </row>
    <row r="69" spans="63:74" x14ac:dyDescent="0.15">
      <c r="BK69" s="340"/>
      <c r="BL69" s="340"/>
      <c r="BM69" s="340"/>
      <c r="BN69" s="340"/>
      <c r="BO69" s="340"/>
      <c r="BP69" s="340"/>
      <c r="BQ69" s="340"/>
      <c r="BR69" s="340"/>
      <c r="BS69" s="340"/>
      <c r="BT69" s="340"/>
      <c r="BU69" s="340"/>
      <c r="BV69" s="340"/>
    </row>
    <row r="70" spans="63:74" x14ac:dyDescent="0.15">
      <c r="BK70" s="340"/>
      <c r="BL70" s="340"/>
      <c r="BM70" s="340"/>
      <c r="BN70" s="340"/>
      <c r="BO70" s="340"/>
      <c r="BP70" s="340"/>
      <c r="BQ70" s="340"/>
      <c r="BR70" s="340"/>
      <c r="BS70" s="340"/>
      <c r="BT70" s="340"/>
      <c r="BU70" s="340"/>
      <c r="BV70" s="340"/>
    </row>
    <row r="71" spans="63:74" x14ac:dyDescent="0.15">
      <c r="BK71" s="340"/>
      <c r="BL71" s="340"/>
      <c r="BM71" s="340"/>
      <c r="BN71" s="340"/>
      <c r="BO71" s="340"/>
      <c r="BP71" s="340"/>
      <c r="BQ71" s="340"/>
      <c r="BR71" s="340"/>
      <c r="BS71" s="340"/>
      <c r="BT71" s="340"/>
      <c r="BU71" s="340"/>
      <c r="BV71" s="340"/>
    </row>
    <row r="72" spans="63:74" x14ac:dyDescent="0.15">
      <c r="BK72" s="340"/>
      <c r="BL72" s="340"/>
      <c r="BM72" s="340"/>
      <c r="BN72" s="340"/>
      <c r="BO72" s="340"/>
      <c r="BP72" s="340"/>
      <c r="BQ72" s="340"/>
      <c r="BR72" s="340"/>
      <c r="BS72" s="340"/>
      <c r="BT72" s="340"/>
      <c r="BU72" s="340"/>
      <c r="BV72" s="340"/>
    </row>
    <row r="73" spans="63:74" x14ac:dyDescent="0.15">
      <c r="BK73" s="340"/>
      <c r="BL73" s="340"/>
      <c r="BM73" s="340"/>
      <c r="BN73" s="340"/>
      <c r="BO73" s="340"/>
      <c r="BP73" s="340"/>
      <c r="BQ73" s="340"/>
      <c r="BR73" s="340"/>
      <c r="BS73" s="340"/>
      <c r="BT73" s="340"/>
      <c r="BU73" s="340"/>
      <c r="BV73" s="340"/>
    </row>
    <row r="74" spans="63:74" x14ac:dyDescent="0.15">
      <c r="BK74" s="340"/>
      <c r="BL74" s="340"/>
      <c r="BM74" s="340"/>
      <c r="BN74" s="340"/>
      <c r="BO74" s="340"/>
      <c r="BP74" s="340"/>
      <c r="BQ74" s="340"/>
      <c r="BR74" s="340"/>
      <c r="BS74" s="340"/>
      <c r="BT74" s="340"/>
      <c r="BU74" s="340"/>
      <c r="BV74" s="340"/>
    </row>
    <row r="75" spans="63:74" x14ac:dyDescent="0.15">
      <c r="BK75" s="340"/>
      <c r="BL75" s="340"/>
      <c r="BM75" s="340"/>
      <c r="BN75" s="340"/>
      <c r="BO75" s="340"/>
      <c r="BP75" s="340"/>
      <c r="BQ75" s="340"/>
      <c r="BR75" s="340"/>
      <c r="BS75" s="340"/>
      <c r="BT75" s="340"/>
      <c r="BU75" s="340"/>
      <c r="BV75" s="340"/>
    </row>
    <row r="76" spans="63:74" x14ac:dyDescent="0.15">
      <c r="BK76" s="340"/>
      <c r="BL76" s="340"/>
      <c r="BM76" s="340"/>
      <c r="BN76" s="340"/>
      <c r="BO76" s="340"/>
      <c r="BP76" s="340"/>
      <c r="BQ76" s="340"/>
      <c r="BR76" s="340"/>
      <c r="BS76" s="340"/>
      <c r="BT76" s="340"/>
      <c r="BU76" s="340"/>
      <c r="BV76" s="340"/>
    </row>
    <row r="77" spans="63:74" x14ac:dyDescent="0.15">
      <c r="BK77" s="340"/>
      <c r="BL77" s="340"/>
      <c r="BM77" s="340"/>
      <c r="BN77" s="340"/>
      <c r="BO77" s="340"/>
      <c r="BP77" s="340"/>
      <c r="BQ77" s="340"/>
      <c r="BR77" s="340"/>
      <c r="BS77" s="340"/>
      <c r="BT77" s="340"/>
      <c r="BU77" s="340"/>
      <c r="BV77" s="340"/>
    </row>
    <row r="78" spans="63:74" x14ac:dyDescent="0.15">
      <c r="BK78" s="340"/>
      <c r="BL78" s="340"/>
      <c r="BM78" s="340"/>
      <c r="BN78" s="340"/>
      <c r="BO78" s="340"/>
      <c r="BP78" s="340"/>
      <c r="BQ78" s="340"/>
      <c r="BR78" s="340"/>
      <c r="BS78" s="340"/>
      <c r="BT78" s="340"/>
      <c r="BU78" s="340"/>
      <c r="BV78" s="340"/>
    </row>
    <row r="79" spans="63:74" x14ac:dyDescent="0.15">
      <c r="BK79" s="340"/>
      <c r="BL79" s="340"/>
      <c r="BM79" s="340"/>
      <c r="BN79" s="340"/>
      <c r="BO79" s="340"/>
      <c r="BP79" s="340"/>
      <c r="BQ79" s="340"/>
      <c r="BR79" s="340"/>
      <c r="BS79" s="340"/>
      <c r="BT79" s="340"/>
      <c r="BU79" s="340"/>
      <c r="BV79" s="340"/>
    </row>
    <row r="80" spans="63:74" x14ac:dyDescent="0.15">
      <c r="BK80" s="340"/>
      <c r="BL80" s="340"/>
      <c r="BM80" s="340"/>
      <c r="BN80" s="340"/>
      <c r="BO80" s="340"/>
      <c r="BP80" s="340"/>
      <c r="BQ80" s="340"/>
      <c r="BR80" s="340"/>
      <c r="BS80" s="340"/>
      <c r="BT80" s="340"/>
      <c r="BU80" s="340"/>
      <c r="BV80" s="340"/>
    </row>
    <row r="81" spans="63:74" x14ac:dyDescent="0.15">
      <c r="BK81" s="340"/>
      <c r="BL81" s="340"/>
      <c r="BM81" s="340"/>
      <c r="BN81" s="340"/>
      <c r="BO81" s="340"/>
      <c r="BP81" s="340"/>
      <c r="BQ81" s="340"/>
      <c r="BR81" s="340"/>
      <c r="BS81" s="340"/>
      <c r="BT81" s="340"/>
      <c r="BU81" s="340"/>
      <c r="BV81" s="340"/>
    </row>
    <row r="82" spans="63:74" x14ac:dyDescent="0.15">
      <c r="BK82" s="340"/>
      <c r="BL82" s="340"/>
      <c r="BM82" s="340"/>
      <c r="BN82" s="340"/>
      <c r="BO82" s="340"/>
      <c r="BP82" s="340"/>
      <c r="BQ82" s="340"/>
      <c r="BR82" s="340"/>
      <c r="BS82" s="340"/>
      <c r="BT82" s="340"/>
      <c r="BU82" s="340"/>
      <c r="BV82" s="340"/>
    </row>
    <row r="83" spans="63:74" x14ac:dyDescent="0.15">
      <c r="BK83" s="340"/>
      <c r="BL83" s="340"/>
      <c r="BM83" s="340"/>
      <c r="BN83" s="340"/>
      <c r="BO83" s="340"/>
      <c r="BP83" s="340"/>
      <c r="BQ83" s="340"/>
      <c r="BR83" s="340"/>
      <c r="BS83" s="340"/>
      <c r="BT83" s="340"/>
      <c r="BU83" s="340"/>
      <c r="BV83" s="340"/>
    </row>
    <row r="84" spans="63:74" x14ac:dyDescent="0.15">
      <c r="BK84" s="340"/>
      <c r="BL84" s="340"/>
      <c r="BM84" s="340"/>
      <c r="BN84" s="340"/>
      <c r="BO84" s="340"/>
      <c r="BP84" s="340"/>
      <c r="BQ84" s="340"/>
      <c r="BR84" s="340"/>
      <c r="BS84" s="340"/>
      <c r="BT84" s="340"/>
      <c r="BU84" s="340"/>
      <c r="BV84" s="340"/>
    </row>
    <row r="85" spans="63:74" x14ac:dyDescent="0.15">
      <c r="BK85" s="340"/>
      <c r="BL85" s="340"/>
      <c r="BM85" s="340"/>
      <c r="BN85" s="340"/>
      <c r="BO85" s="340"/>
      <c r="BP85" s="340"/>
      <c r="BQ85" s="340"/>
      <c r="BR85" s="340"/>
      <c r="BS85" s="340"/>
      <c r="BT85" s="340"/>
      <c r="BU85" s="340"/>
      <c r="BV85" s="340"/>
    </row>
    <row r="86" spans="63:74" x14ac:dyDescent="0.15">
      <c r="BK86" s="340"/>
      <c r="BL86" s="340"/>
      <c r="BM86" s="340"/>
      <c r="BN86" s="340"/>
      <c r="BO86" s="340"/>
      <c r="BP86" s="340"/>
      <c r="BQ86" s="340"/>
      <c r="BR86" s="340"/>
      <c r="BS86" s="340"/>
      <c r="BT86" s="340"/>
      <c r="BU86" s="340"/>
      <c r="BV86" s="340"/>
    </row>
    <row r="87" spans="63:74" x14ac:dyDescent="0.15">
      <c r="BK87" s="340"/>
      <c r="BL87" s="340"/>
      <c r="BM87" s="340"/>
      <c r="BN87" s="340"/>
      <c r="BO87" s="340"/>
      <c r="BP87" s="340"/>
      <c r="BQ87" s="340"/>
      <c r="BR87" s="340"/>
      <c r="BS87" s="340"/>
      <c r="BT87" s="340"/>
      <c r="BU87" s="340"/>
      <c r="BV87" s="340"/>
    </row>
    <row r="88" spans="63:74" x14ac:dyDescent="0.15">
      <c r="BK88" s="340"/>
      <c r="BL88" s="340"/>
      <c r="BM88" s="340"/>
      <c r="BN88" s="340"/>
      <c r="BO88" s="340"/>
      <c r="BP88" s="340"/>
      <c r="BQ88" s="340"/>
      <c r="BR88" s="340"/>
      <c r="BS88" s="340"/>
      <c r="BT88" s="340"/>
      <c r="BU88" s="340"/>
      <c r="BV88" s="340"/>
    </row>
    <row r="89" spans="63:74" x14ac:dyDescent="0.15">
      <c r="BK89" s="340"/>
      <c r="BL89" s="340"/>
      <c r="BM89" s="340"/>
      <c r="BN89" s="340"/>
      <c r="BO89" s="340"/>
      <c r="BP89" s="340"/>
      <c r="BQ89" s="340"/>
      <c r="BR89" s="340"/>
      <c r="BS89" s="340"/>
      <c r="BT89" s="340"/>
      <c r="BU89" s="340"/>
      <c r="BV89" s="340"/>
    </row>
    <row r="90" spans="63:74" x14ac:dyDescent="0.15">
      <c r="BK90" s="340"/>
      <c r="BL90" s="340"/>
      <c r="BM90" s="340"/>
      <c r="BN90" s="340"/>
      <c r="BO90" s="340"/>
      <c r="BP90" s="340"/>
      <c r="BQ90" s="340"/>
      <c r="BR90" s="340"/>
      <c r="BS90" s="340"/>
      <c r="BT90" s="340"/>
      <c r="BU90" s="340"/>
      <c r="BV90" s="340"/>
    </row>
    <row r="91" spans="63:74" x14ac:dyDescent="0.15">
      <c r="BK91" s="340"/>
      <c r="BL91" s="340"/>
      <c r="BM91" s="340"/>
      <c r="BN91" s="340"/>
      <c r="BO91" s="340"/>
      <c r="BP91" s="340"/>
      <c r="BQ91" s="340"/>
      <c r="BR91" s="340"/>
      <c r="BS91" s="340"/>
      <c r="BT91" s="340"/>
      <c r="BU91" s="340"/>
      <c r="BV91" s="340"/>
    </row>
    <row r="92" spans="63:74" x14ac:dyDescent="0.15">
      <c r="BK92" s="340"/>
      <c r="BL92" s="340"/>
      <c r="BM92" s="340"/>
      <c r="BN92" s="340"/>
      <c r="BO92" s="340"/>
      <c r="BP92" s="340"/>
      <c r="BQ92" s="340"/>
      <c r="BR92" s="340"/>
      <c r="BS92" s="340"/>
      <c r="BT92" s="340"/>
      <c r="BU92" s="340"/>
      <c r="BV92" s="340"/>
    </row>
    <row r="93" spans="63:74" x14ac:dyDescent="0.15">
      <c r="BK93" s="340"/>
      <c r="BL93" s="340"/>
      <c r="BM93" s="340"/>
      <c r="BN93" s="340"/>
      <c r="BO93" s="340"/>
      <c r="BP93" s="340"/>
      <c r="BQ93" s="340"/>
      <c r="BR93" s="340"/>
      <c r="BS93" s="340"/>
      <c r="BT93" s="340"/>
      <c r="BU93" s="340"/>
      <c r="BV93" s="340"/>
    </row>
    <row r="94" spans="63:74" x14ac:dyDescent="0.15">
      <c r="BK94" s="340"/>
      <c r="BL94" s="340"/>
      <c r="BM94" s="340"/>
      <c r="BN94" s="340"/>
      <c r="BO94" s="340"/>
      <c r="BP94" s="340"/>
      <c r="BQ94" s="340"/>
      <c r="BR94" s="340"/>
      <c r="BS94" s="340"/>
      <c r="BT94" s="340"/>
      <c r="BU94" s="340"/>
      <c r="BV94" s="340"/>
    </row>
    <row r="95" spans="63:74" x14ac:dyDescent="0.15">
      <c r="BK95" s="340"/>
      <c r="BL95" s="340"/>
      <c r="BM95" s="340"/>
      <c r="BN95" s="340"/>
      <c r="BO95" s="340"/>
      <c r="BP95" s="340"/>
      <c r="BQ95" s="340"/>
      <c r="BR95" s="340"/>
      <c r="BS95" s="340"/>
      <c r="BT95" s="340"/>
      <c r="BU95" s="340"/>
      <c r="BV95" s="340"/>
    </row>
    <row r="96" spans="63:74" x14ac:dyDescent="0.15">
      <c r="BK96" s="340"/>
      <c r="BL96" s="340"/>
      <c r="BM96" s="340"/>
      <c r="BN96" s="340"/>
      <c r="BO96" s="340"/>
      <c r="BP96" s="340"/>
      <c r="BQ96" s="340"/>
      <c r="BR96" s="340"/>
      <c r="BS96" s="340"/>
      <c r="BT96" s="340"/>
      <c r="BU96" s="340"/>
      <c r="BV96" s="340"/>
    </row>
    <row r="97" spans="63:74" x14ac:dyDescent="0.15">
      <c r="BK97" s="340"/>
      <c r="BL97" s="340"/>
      <c r="BM97" s="340"/>
      <c r="BN97" s="340"/>
      <c r="BO97" s="340"/>
      <c r="BP97" s="340"/>
      <c r="BQ97" s="340"/>
      <c r="BR97" s="340"/>
      <c r="BS97" s="340"/>
      <c r="BT97" s="340"/>
      <c r="BU97" s="340"/>
      <c r="BV97" s="340"/>
    </row>
    <row r="98" spans="63:74" x14ac:dyDescent="0.15">
      <c r="BK98" s="340"/>
      <c r="BL98" s="340"/>
      <c r="BM98" s="340"/>
      <c r="BN98" s="340"/>
      <c r="BO98" s="340"/>
      <c r="BP98" s="340"/>
      <c r="BQ98" s="340"/>
      <c r="BR98" s="340"/>
      <c r="BS98" s="340"/>
      <c r="BT98" s="340"/>
      <c r="BU98" s="340"/>
      <c r="BV98" s="340"/>
    </row>
    <row r="99" spans="63:74" x14ac:dyDescent="0.15">
      <c r="BK99" s="340"/>
      <c r="BL99" s="340"/>
      <c r="BM99" s="340"/>
      <c r="BN99" s="340"/>
      <c r="BO99" s="340"/>
      <c r="BP99" s="340"/>
      <c r="BQ99" s="340"/>
      <c r="BR99" s="340"/>
      <c r="BS99" s="340"/>
      <c r="BT99" s="340"/>
      <c r="BU99" s="340"/>
      <c r="BV99" s="340"/>
    </row>
    <row r="100" spans="63:74" x14ac:dyDescent="0.15">
      <c r="BK100" s="340"/>
      <c r="BL100" s="340"/>
      <c r="BM100" s="340"/>
      <c r="BN100" s="340"/>
      <c r="BO100" s="340"/>
      <c r="BP100" s="340"/>
      <c r="BQ100" s="340"/>
      <c r="BR100" s="340"/>
      <c r="BS100" s="340"/>
      <c r="BT100" s="340"/>
      <c r="BU100" s="340"/>
      <c r="BV100" s="340"/>
    </row>
    <row r="101" spans="63:74" x14ac:dyDescent="0.15">
      <c r="BK101" s="340"/>
      <c r="BL101" s="340"/>
      <c r="BM101" s="340"/>
      <c r="BN101" s="340"/>
      <c r="BO101" s="340"/>
      <c r="BP101" s="340"/>
      <c r="BQ101" s="340"/>
      <c r="BR101" s="340"/>
      <c r="BS101" s="340"/>
      <c r="BT101" s="340"/>
      <c r="BU101" s="340"/>
      <c r="BV101" s="340"/>
    </row>
    <row r="102" spans="63:74" x14ac:dyDescent="0.15">
      <c r="BK102" s="340"/>
      <c r="BL102" s="340"/>
      <c r="BM102" s="340"/>
      <c r="BN102" s="340"/>
      <c r="BO102" s="340"/>
      <c r="BP102" s="340"/>
      <c r="BQ102" s="340"/>
      <c r="BR102" s="340"/>
      <c r="BS102" s="340"/>
      <c r="BT102" s="340"/>
      <c r="BU102" s="340"/>
      <c r="BV102" s="340"/>
    </row>
    <row r="103" spans="63:74" x14ac:dyDescent="0.15">
      <c r="BK103" s="340"/>
      <c r="BL103" s="340"/>
      <c r="BM103" s="340"/>
      <c r="BN103" s="340"/>
      <c r="BO103" s="340"/>
      <c r="BP103" s="340"/>
      <c r="BQ103" s="340"/>
      <c r="BR103" s="340"/>
      <c r="BS103" s="340"/>
      <c r="BT103" s="340"/>
      <c r="BU103" s="340"/>
      <c r="BV103" s="340"/>
    </row>
    <row r="104" spans="63:74" x14ac:dyDescent="0.15">
      <c r="BK104" s="340"/>
      <c r="BL104" s="340"/>
      <c r="BM104" s="340"/>
      <c r="BN104" s="340"/>
      <c r="BO104" s="340"/>
      <c r="BP104" s="340"/>
      <c r="BQ104" s="340"/>
      <c r="BR104" s="340"/>
      <c r="BS104" s="340"/>
      <c r="BT104" s="340"/>
      <c r="BU104" s="340"/>
      <c r="BV104" s="340"/>
    </row>
    <row r="105" spans="63:74" x14ac:dyDescent="0.15">
      <c r="BK105" s="340"/>
      <c r="BL105" s="340"/>
      <c r="BM105" s="340"/>
      <c r="BN105" s="340"/>
      <c r="BO105" s="340"/>
      <c r="BP105" s="340"/>
      <c r="BQ105" s="340"/>
      <c r="BR105" s="340"/>
      <c r="BS105" s="340"/>
      <c r="BT105" s="340"/>
      <c r="BU105" s="340"/>
      <c r="BV105" s="340"/>
    </row>
    <row r="106" spans="63:74" x14ac:dyDescent="0.15">
      <c r="BK106" s="340"/>
      <c r="BL106" s="340"/>
      <c r="BM106" s="340"/>
      <c r="BN106" s="340"/>
      <c r="BO106" s="340"/>
      <c r="BP106" s="340"/>
      <c r="BQ106" s="340"/>
      <c r="BR106" s="340"/>
      <c r="BS106" s="340"/>
      <c r="BT106" s="340"/>
      <c r="BU106" s="340"/>
      <c r="BV106" s="340"/>
    </row>
    <row r="107" spans="63:74" x14ac:dyDescent="0.15">
      <c r="BK107" s="340"/>
      <c r="BL107" s="340"/>
      <c r="BM107" s="340"/>
      <c r="BN107" s="340"/>
      <c r="BO107" s="340"/>
      <c r="BP107" s="340"/>
      <c r="BQ107" s="340"/>
      <c r="BR107" s="340"/>
      <c r="BS107" s="340"/>
      <c r="BT107" s="340"/>
      <c r="BU107" s="340"/>
      <c r="BV107" s="340"/>
    </row>
    <row r="108" spans="63:74" x14ac:dyDescent="0.15">
      <c r="BK108" s="340"/>
      <c r="BL108" s="340"/>
      <c r="BM108" s="340"/>
      <c r="BN108" s="340"/>
      <c r="BO108" s="340"/>
      <c r="BP108" s="340"/>
      <c r="BQ108" s="340"/>
      <c r="BR108" s="340"/>
      <c r="BS108" s="340"/>
      <c r="BT108" s="340"/>
      <c r="BU108" s="340"/>
      <c r="BV108" s="340"/>
    </row>
    <row r="109" spans="63:74" x14ac:dyDescent="0.15">
      <c r="BK109" s="340"/>
      <c r="BL109" s="340"/>
      <c r="BM109" s="340"/>
      <c r="BN109" s="340"/>
      <c r="BO109" s="340"/>
      <c r="BP109" s="340"/>
      <c r="BQ109" s="340"/>
      <c r="BR109" s="340"/>
      <c r="BS109" s="340"/>
      <c r="BT109" s="340"/>
      <c r="BU109" s="340"/>
      <c r="BV109" s="340"/>
    </row>
    <row r="110" spans="63:74" x14ac:dyDescent="0.15">
      <c r="BK110" s="340"/>
      <c r="BL110" s="340"/>
      <c r="BM110" s="340"/>
      <c r="BN110" s="340"/>
      <c r="BO110" s="340"/>
      <c r="BP110" s="340"/>
      <c r="BQ110" s="340"/>
      <c r="BR110" s="340"/>
      <c r="BS110" s="340"/>
      <c r="BT110" s="340"/>
      <c r="BU110" s="340"/>
      <c r="BV110" s="340"/>
    </row>
    <row r="111" spans="63:74" x14ac:dyDescent="0.15">
      <c r="BK111" s="340"/>
      <c r="BL111" s="340"/>
      <c r="BM111" s="340"/>
      <c r="BN111" s="340"/>
      <c r="BO111" s="340"/>
      <c r="BP111" s="340"/>
      <c r="BQ111" s="340"/>
      <c r="BR111" s="340"/>
      <c r="BS111" s="340"/>
      <c r="BT111" s="340"/>
      <c r="BU111" s="340"/>
      <c r="BV111" s="340"/>
    </row>
    <row r="112" spans="63:74" x14ac:dyDescent="0.15">
      <c r="BK112" s="340"/>
      <c r="BL112" s="340"/>
      <c r="BM112" s="340"/>
      <c r="BN112" s="340"/>
      <c r="BO112" s="340"/>
      <c r="BP112" s="340"/>
      <c r="BQ112" s="340"/>
      <c r="BR112" s="340"/>
      <c r="BS112" s="340"/>
      <c r="BT112" s="340"/>
      <c r="BU112" s="340"/>
      <c r="BV112" s="340"/>
    </row>
    <row r="113" spans="63:74" x14ac:dyDescent="0.15">
      <c r="BK113" s="340"/>
      <c r="BL113" s="340"/>
      <c r="BM113" s="340"/>
      <c r="BN113" s="340"/>
      <c r="BO113" s="340"/>
      <c r="BP113" s="340"/>
      <c r="BQ113" s="340"/>
      <c r="BR113" s="340"/>
      <c r="BS113" s="340"/>
      <c r="BT113" s="340"/>
      <c r="BU113" s="340"/>
      <c r="BV113" s="340"/>
    </row>
    <row r="114" spans="63:74" x14ac:dyDescent="0.15">
      <c r="BK114" s="340"/>
      <c r="BL114" s="340"/>
      <c r="BM114" s="340"/>
      <c r="BN114" s="340"/>
      <c r="BO114" s="340"/>
      <c r="BP114" s="340"/>
      <c r="BQ114" s="340"/>
      <c r="BR114" s="340"/>
      <c r="BS114" s="340"/>
      <c r="BT114" s="340"/>
      <c r="BU114" s="340"/>
      <c r="BV114" s="340"/>
    </row>
    <row r="115" spans="63:74" x14ac:dyDescent="0.15">
      <c r="BK115" s="340"/>
      <c r="BL115" s="340"/>
      <c r="BM115" s="340"/>
      <c r="BN115" s="340"/>
      <c r="BO115" s="340"/>
      <c r="BP115" s="340"/>
      <c r="BQ115" s="340"/>
      <c r="BR115" s="340"/>
      <c r="BS115" s="340"/>
      <c r="BT115" s="340"/>
      <c r="BU115" s="340"/>
      <c r="BV115" s="340"/>
    </row>
    <row r="116" spans="63:74" x14ac:dyDescent="0.15">
      <c r="BK116" s="340"/>
      <c r="BL116" s="340"/>
      <c r="BM116" s="340"/>
      <c r="BN116" s="340"/>
      <c r="BO116" s="340"/>
      <c r="BP116" s="340"/>
      <c r="BQ116" s="340"/>
      <c r="BR116" s="340"/>
      <c r="BS116" s="340"/>
      <c r="BT116" s="340"/>
      <c r="BU116" s="340"/>
      <c r="BV116" s="340"/>
    </row>
    <row r="117" spans="63:74" x14ac:dyDescent="0.15">
      <c r="BK117" s="340"/>
      <c r="BL117" s="340"/>
      <c r="BM117" s="340"/>
      <c r="BN117" s="340"/>
      <c r="BO117" s="340"/>
      <c r="BP117" s="340"/>
      <c r="BQ117" s="340"/>
      <c r="BR117" s="340"/>
      <c r="BS117" s="340"/>
      <c r="BT117" s="340"/>
      <c r="BU117" s="340"/>
      <c r="BV117" s="340"/>
    </row>
    <row r="118" spans="63:74" x14ac:dyDescent="0.15">
      <c r="BK118" s="340"/>
      <c r="BL118" s="340"/>
      <c r="BM118" s="340"/>
      <c r="BN118" s="340"/>
      <c r="BO118" s="340"/>
      <c r="BP118" s="340"/>
      <c r="BQ118" s="340"/>
      <c r="BR118" s="340"/>
      <c r="BS118" s="340"/>
      <c r="BT118" s="340"/>
      <c r="BU118" s="340"/>
      <c r="BV118" s="340"/>
    </row>
    <row r="119" spans="63:74" x14ac:dyDescent="0.15">
      <c r="BK119" s="340"/>
      <c r="BL119" s="340"/>
      <c r="BM119" s="340"/>
      <c r="BN119" s="340"/>
      <c r="BO119" s="340"/>
      <c r="BP119" s="340"/>
      <c r="BQ119" s="340"/>
      <c r="BR119" s="340"/>
      <c r="BS119" s="340"/>
      <c r="BT119" s="340"/>
      <c r="BU119" s="340"/>
      <c r="BV119" s="340"/>
    </row>
    <row r="120" spans="63:74" x14ac:dyDescent="0.15">
      <c r="BK120" s="340"/>
      <c r="BL120" s="340"/>
      <c r="BM120" s="340"/>
      <c r="BN120" s="340"/>
      <c r="BO120" s="340"/>
      <c r="BP120" s="340"/>
      <c r="BQ120" s="340"/>
      <c r="BR120" s="340"/>
      <c r="BS120" s="340"/>
      <c r="BT120" s="340"/>
      <c r="BU120" s="340"/>
      <c r="BV120" s="340"/>
    </row>
    <row r="121" spans="63:74" x14ac:dyDescent="0.15">
      <c r="BK121" s="340"/>
      <c r="BL121" s="340"/>
      <c r="BM121" s="340"/>
      <c r="BN121" s="340"/>
      <c r="BO121" s="340"/>
      <c r="BP121" s="340"/>
      <c r="BQ121" s="340"/>
      <c r="BR121" s="340"/>
      <c r="BS121" s="340"/>
      <c r="BT121" s="340"/>
      <c r="BU121" s="340"/>
      <c r="BV121" s="340"/>
    </row>
    <row r="122" spans="63:74" x14ac:dyDescent="0.15">
      <c r="BK122" s="340"/>
      <c r="BL122" s="340"/>
      <c r="BM122" s="340"/>
      <c r="BN122" s="340"/>
      <c r="BO122" s="340"/>
      <c r="BP122" s="340"/>
      <c r="BQ122" s="340"/>
      <c r="BR122" s="340"/>
      <c r="BS122" s="340"/>
      <c r="BT122" s="340"/>
      <c r="BU122" s="340"/>
      <c r="BV122" s="340"/>
    </row>
    <row r="123" spans="63:74" x14ac:dyDescent="0.15">
      <c r="BK123" s="340"/>
      <c r="BL123" s="340"/>
      <c r="BM123" s="340"/>
      <c r="BN123" s="340"/>
      <c r="BO123" s="340"/>
      <c r="BP123" s="340"/>
      <c r="BQ123" s="340"/>
      <c r="BR123" s="340"/>
      <c r="BS123" s="340"/>
      <c r="BT123" s="340"/>
      <c r="BU123" s="340"/>
      <c r="BV123" s="340"/>
    </row>
    <row r="124" spans="63:74" x14ac:dyDescent="0.15">
      <c r="BK124" s="340"/>
      <c r="BL124" s="340"/>
      <c r="BM124" s="340"/>
      <c r="BN124" s="340"/>
      <c r="BO124" s="340"/>
      <c r="BP124" s="340"/>
      <c r="BQ124" s="340"/>
      <c r="BR124" s="340"/>
      <c r="BS124" s="340"/>
      <c r="BT124" s="340"/>
      <c r="BU124" s="340"/>
      <c r="BV124" s="340"/>
    </row>
    <row r="125" spans="63:74" x14ac:dyDescent="0.15">
      <c r="BK125" s="340"/>
      <c r="BL125" s="340"/>
      <c r="BM125" s="340"/>
      <c r="BN125" s="340"/>
      <c r="BO125" s="340"/>
      <c r="BP125" s="340"/>
      <c r="BQ125" s="340"/>
      <c r="BR125" s="340"/>
      <c r="BS125" s="340"/>
      <c r="BT125" s="340"/>
      <c r="BU125" s="340"/>
      <c r="BV125" s="340"/>
    </row>
    <row r="126" spans="63:74" x14ac:dyDescent="0.15">
      <c r="BK126" s="340"/>
      <c r="BL126" s="340"/>
      <c r="BM126" s="340"/>
      <c r="BN126" s="340"/>
      <c r="BO126" s="340"/>
      <c r="BP126" s="340"/>
      <c r="BQ126" s="340"/>
      <c r="BR126" s="340"/>
      <c r="BS126" s="340"/>
      <c r="BT126" s="340"/>
      <c r="BU126" s="340"/>
      <c r="BV126" s="340"/>
    </row>
    <row r="127" spans="63:74" x14ac:dyDescent="0.15">
      <c r="BK127" s="340"/>
      <c r="BL127" s="340"/>
      <c r="BM127" s="340"/>
      <c r="BN127" s="340"/>
      <c r="BO127" s="340"/>
      <c r="BP127" s="340"/>
      <c r="BQ127" s="340"/>
      <c r="BR127" s="340"/>
      <c r="BS127" s="340"/>
      <c r="BT127" s="340"/>
      <c r="BU127" s="340"/>
      <c r="BV127" s="340"/>
    </row>
    <row r="128" spans="63:74" x14ac:dyDescent="0.15">
      <c r="BK128" s="340"/>
      <c r="BL128" s="340"/>
      <c r="BM128" s="340"/>
      <c r="BN128" s="340"/>
      <c r="BO128" s="340"/>
      <c r="BP128" s="340"/>
      <c r="BQ128" s="340"/>
      <c r="BR128" s="340"/>
      <c r="BS128" s="340"/>
      <c r="BT128" s="340"/>
      <c r="BU128" s="340"/>
      <c r="BV128" s="340"/>
    </row>
    <row r="129" spans="63:74" x14ac:dyDescent="0.15">
      <c r="BK129" s="340"/>
      <c r="BL129" s="340"/>
      <c r="BM129" s="340"/>
      <c r="BN129" s="340"/>
      <c r="BO129" s="340"/>
      <c r="BP129" s="340"/>
      <c r="BQ129" s="340"/>
      <c r="BR129" s="340"/>
      <c r="BS129" s="340"/>
      <c r="BT129" s="340"/>
      <c r="BU129" s="340"/>
      <c r="BV129" s="340"/>
    </row>
    <row r="130" spans="63:74" x14ac:dyDescent="0.15">
      <c r="BK130" s="340"/>
      <c r="BL130" s="340"/>
      <c r="BM130" s="340"/>
      <c r="BN130" s="340"/>
      <c r="BO130" s="340"/>
      <c r="BP130" s="340"/>
      <c r="BQ130" s="340"/>
      <c r="BR130" s="340"/>
      <c r="BS130" s="340"/>
      <c r="BT130" s="340"/>
      <c r="BU130" s="340"/>
      <c r="BV130" s="340"/>
    </row>
    <row r="131" spans="63:74" x14ac:dyDescent="0.15">
      <c r="BK131" s="340"/>
      <c r="BL131" s="340"/>
      <c r="BM131" s="340"/>
      <c r="BN131" s="340"/>
      <c r="BO131" s="340"/>
      <c r="BP131" s="340"/>
      <c r="BQ131" s="340"/>
      <c r="BR131" s="340"/>
      <c r="BS131" s="340"/>
      <c r="BT131" s="340"/>
      <c r="BU131" s="340"/>
      <c r="BV131" s="340"/>
    </row>
    <row r="132" spans="63:74" x14ac:dyDescent="0.15">
      <c r="BK132" s="340"/>
      <c r="BL132" s="340"/>
      <c r="BM132" s="340"/>
      <c r="BN132" s="340"/>
      <c r="BO132" s="340"/>
      <c r="BP132" s="340"/>
      <c r="BQ132" s="340"/>
      <c r="BR132" s="340"/>
      <c r="BS132" s="340"/>
      <c r="BT132" s="340"/>
      <c r="BU132" s="340"/>
      <c r="BV132" s="340"/>
    </row>
    <row r="133" spans="63:74" x14ac:dyDescent="0.15">
      <c r="BK133" s="340"/>
      <c r="BL133" s="340"/>
      <c r="BM133" s="340"/>
      <c r="BN133" s="340"/>
      <c r="BO133" s="340"/>
      <c r="BP133" s="340"/>
      <c r="BQ133" s="340"/>
      <c r="BR133" s="340"/>
      <c r="BS133" s="340"/>
      <c r="BT133" s="340"/>
      <c r="BU133" s="340"/>
      <c r="BV133" s="340"/>
    </row>
    <row r="134" spans="63:74" x14ac:dyDescent="0.15">
      <c r="BK134" s="340"/>
      <c r="BL134" s="340"/>
      <c r="BM134" s="340"/>
      <c r="BN134" s="340"/>
      <c r="BO134" s="340"/>
      <c r="BP134" s="340"/>
      <c r="BQ134" s="340"/>
      <c r="BR134" s="340"/>
      <c r="BS134" s="340"/>
      <c r="BT134" s="340"/>
      <c r="BU134" s="340"/>
      <c r="BV134" s="340"/>
    </row>
    <row r="135" spans="63:74" x14ac:dyDescent="0.15">
      <c r="BK135" s="340"/>
      <c r="BL135" s="340"/>
      <c r="BM135" s="340"/>
      <c r="BN135" s="340"/>
      <c r="BO135" s="340"/>
      <c r="BP135" s="340"/>
      <c r="BQ135" s="340"/>
      <c r="BR135" s="340"/>
      <c r="BS135" s="340"/>
      <c r="BT135" s="340"/>
      <c r="BU135" s="340"/>
      <c r="BV135" s="340"/>
    </row>
    <row r="136" spans="63:74" x14ac:dyDescent="0.15">
      <c r="BK136" s="340"/>
      <c r="BL136" s="340"/>
      <c r="BM136" s="340"/>
      <c r="BN136" s="340"/>
      <c r="BO136" s="340"/>
      <c r="BP136" s="340"/>
      <c r="BQ136" s="340"/>
      <c r="BR136" s="340"/>
      <c r="BS136" s="340"/>
      <c r="BT136" s="340"/>
      <c r="BU136" s="340"/>
      <c r="BV136" s="340"/>
    </row>
    <row r="137" spans="63:74" x14ac:dyDescent="0.15">
      <c r="BK137" s="340"/>
      <c r="BL137" s="340"/>
      <c r="BM137" s="340"/>
      <c r="BN137" s="340"/>
      <c r="BO137" s="340"/>
      <c r="BP137" s="340"/>
      <c r="BQ137" s="340"/>
      <c r="BR137" s="340"/>
      <c r="BS137" s="340"/>
      <c r="BT137" s="340"/>
      <c r="BU137" s="340"/>
      <c r="BV137" s="340"/>
    </row>
    <row r="138" spans="63:74" x14ac:dyDescent="0.15">
      <c r="BK138" s="340"/>
      <c r="BL138" s="340"/>
      <c r="BM138" s="340"/>
      <c r="BN138" s="340"/>
      <c r="BO138" s="340"/>
      <c r="BP138" s="340"/>
      <c r="BQ138" s="340"/>
      <c r="BR138" s="340"/>
      <c r="BS138" s="340"/>
      <c r="BT138" s="340"/>
      <c r="BU138" s="340"/>
      <c r="BV138" s="340"/>
    </row>
    <row r="139" spans="63:74" x14ac:dyDescent="0.15">
      <c r="BK139" s="340"/>
      <c r="BL139" s="340"/>
      <c r="BM139" s="340"/>
      <c r="BN139" s="340"/>
      <c r="BO139" s="340"/>
      <c r="BP139" s="340"/>
      <c r="BQ139" s="340"/>
      <c r="BR139" s="340"/>
      <c r="BS139" s="340"/>
      <c r="BT139" s="340"/>
      <c r="BU139" s="340"/>
      <c r="BV139" s="340"/>
    </row>
    <row r="140" spans="63:74" x14ac:dyDescent="0.15">
      <c r="BK140" s="340"/>
      <c r="BL140" s="340"/>
      <c r="BM140" s="340"/>
      <c r="BN140" s="340"/>
      <c r="BO140" s="340"/>
      <c r="BP140" s="340"/>
      <c r="BQ140" s="340"/>
      <c r="BR140" s="340"/>
      <c r="BS140" s="340"/>
      <c r="BT140" s="340"/>
      <c r="BU140" s="340"/>
      <c r="BV140" s="340"/>
    </row>
    <row r="141" spans="63:74" x14ac:dyDescent="0.15">
      <c r="BK141" s="340"/>
      <c r="BL141" s="340"/>
      <c r="BM141" s="340"/>
      <c r="BN141" s="340"/>
      <c r="BO141" s="340"/>
      <c r="BP141" s="340"/>
      <c r="BQ141" s="340"/>
      <c r="BR141" s="340"/>
      <c r="BS141" s="340"/>
      <c r="BT141" s="340"/>
      <c r="BU141" s="340"/>
      <c r="BV141" s="340"/>
    </row>
    <row r="142" spans="63:74" x14ac:dyDescent="0.15">
      <c r="BK142" s="340"/>
      <c r="BL142" s="340"/>
      <c r="BM142" s="340"/>
      <c r="BN142" s="340"/>
      <c r="BO142" s="340"/>
      <c r="BP142" s="340"/>
      <c r="BQ142" s="340"/>
      <c r="BR142" s="340"/>
      <c r="BS142" s="340"/>
      <c r="BT142" s="340"/>
      <c r="BU142" s="340"/>
      <c r="BV142" s="340"/>
    </row>
    <row r="143" spans="63:74" x14ac:dyDescent="0.15">
      <c r="BK143" s="340"/>
      <c r="BL143" s="340"/>
      <c r="BM143" s="340"/>
      <c r="BN143" s="340"/>
      <c r="BO143" s="340"/>
      <c r="BP143" s="340"/>
      <c r="BQ143" s="340"/>
      <c r="BR143" s="340"/>
      <c r="BS143" s="340"/>
      <c r="BT143" s="340"/>
      <c r="BU143" s="340"/>
      <c r="BV143" s="340"/>
    </row>
  </sheetData>
  <mergeCells count="16">
    <mergeCell ref="B56:Q56"/>
    <mergeCell ref="B57:Q57"/>
    <mergeCell ref="A1:A2"/>
    <mergeCell ref="B50:Q50"/>
    <mergeCell ref="B51:Q51"/>
    <mergeCell ref="B52:Q52"/>
    <mergeCell ref="B53:Q53"/>
    <mergeCell ref="B54:Q54"/>
    <mergeCell ref="B55:Q55"/>
    <mergeCell ref="AM3:AX3"/>
    <mergeCell ref="AY3:BJ3"/>
    <mergeCell ref="BK3:BV3"/>
    <mergeCell ref="B1:AL1"/>
    <mergeCell ref="C3:N3"/>
    <mergeCell ref="O3:Z3"/>
    <mergeCell ref="AA3:AL3"/>
  </mergeCells>
  <phoneticPr fontId="3" type="noConversion"/>
  <hyperlinks>
    <hyperlink ref="A1:A2" location="Contents!A1" display="Table of Contents"/>
  </hyperlinks>
  <pageMargins left="0.25" right="0.25" top="0.25" bottom="0.25" header="0.5" footer="0.5"/>
  <pageSetup scale="86" orientation="portrait" horizont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22</vt:i4>
      </vt:variant>
    </vt:vector>
  </HeadingPairs>
  <TitlesOfParts>
    <vt:vector size="46" baseType="lpstr">
      <vt:lpstr>Dates</vt:lpstr>
      <vt:lpstr>Contents</vt:lpstr>
      <vt:lpstr>1tab</vt:lpstr>
      <vt:lpstr>2tab</vt:lpstr>
      <vt:lpstr>3atab</vt:lpstr>
      <vt:lpstr>3btab</vt:lpstr>
      <vt:lpstr>3ctab</vt:lpstr>
      <vt:lpstr>3dtab</vt:lpstr>
      <vt:lpstr>4atab</vt:lpstr>
      <vt:lpstr>4btab</vt:lpstr>
      <vt:lpstr>4ctab</vt:lpstr>
      <vt:lpstr>5atab</vt:lpstr>
      <vt:lpstr>5btab</vt:lpstr>
      <vt:lpstr>6tab</vt:lpstr>
      <vt:lpstr>7atab</vt:lpstr>
      <vt:lpstr>7btab</vt:lpstr>
      <vt:lpstr>7ctab</vt:lpstr>
      <vt:lpstr>7d(1)tab</vt:lpstr>
      <vt:lpstr>7d(2)tab</vt:lpstr>
      <vt:lpstr>8atab</vt:lpstr>
      <vt:lpstr>8btab</vt:lpstr>
      <vt:lpstr>9atab</vt:lpstr>
      <vt:lpstr>9btab</vt:lpstr>
      <vt:lpstr>9ctab</vt:lpstr>
      <vt:lpstr>'1tab'!Print_Area</vt:lpstr>
      <vt:lpstr>'2tab'!Print_Area</vt:lpstr>
      <vt:lpstr>'3atab'!Print_Area</vt:lpstr>
      <vt:lpstr>'3btab'!Print_Area</vt:lpstr>
      <vt:lpstr>'3ctab'!Print_Area</vt:lpstr>
      <vt:lpstr>'3dtab'!Print_Area</vt:lpstr>
      <vt:lpstr>'4atab'!Print_Area</vt:lpstr>
      <vt:lpstr>'4btab'!Print_Area</vt:lpstr>
      <vt:lpstr>'4ctab'!Print_Area</vt:lpstr>
      <vt:lpstr>'5atab'!Print_Area</vt:lpstr>
      <vt:lpstr>'5btab'!Print_Area</vt:lpstr>
      <vt:lpstr>'6tab'!Print_Area</vt:lpstr>
      <vt:lpstr>'7atab'!Print_Area</vt:lpstr>
      <vt:lpstr>'7btab'!Print_Area</vt:lpstr>
      <vt:lpstr>'7ctab'!Print_Area</vt:lpstr>
      <vt:lpstr>'7d(1)tab'!Print_Area</vt:lpstr>
      <vt:lpstr>'7d(2)tab'!Print_Area</vt:lpstr>
      <vt:lpstr>'8atab'!Print_Area</vt:lpstr>
      <vt:lpstr>'9atab'!Print_Area</vt:lpstr>
      <vt:lpstr>'9btab'!Print_Area</vt:lpstr>
      <vt:lpstr>'9ctab'!Print_Area</vt:lpstr>
      <vt:lpstr>Contents!Print_Area</vt:lpstr>
    </vt:vector>
  </TitlesOfParts>
  <Company>DOE/EIA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EIA</dc:creator>
  <cp:lastModifiedBy>Hess, Timothy </cp:lastModifiedBy>
  <cp:lastPrinted>2013-09-11T15:47:32Z</cp:lastPrinted>
  <dcterms:created xsi:type="dcterms:W3CDTF">2006-10-10T12:45:59Z</dcterms:created>
  <dcterms:modified xsi:type="dcterms:W3CDTF">2020-09-09T14:47:38Z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{4A4165F2-3EA0-4F3F-8873-8BA0E2B8BCA9}</vt:lpwstr>
  </property>
</Properties>
</file>